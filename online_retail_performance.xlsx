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tables/table1.xml" ContentType="application/vnd.openxmlformats-officedocument.spreadsheetml.table+xml"/>
  <Override PartName="/xl/tables/table2.xml" ContentType="application/vnd.openxmlformats-officedocument.spreadsheetml.table+xml"/>
  <Override PartName="/xl/queryTables/queryTable1.xml" ContentType="application/vnd.openxmlformats-officedocument.spreadsheetml.queryTable+xml"/>
  <Override PartName="/xl/tables/table3.xml" ContentType="application/vnd.openxmlformats-officedocument.spreadsheetml.table+xml"/>
  <Override PartName="/xl/tables/table4.xml" ContentType="application/vnd.openxmlformats-officedocument.spreadsheetml.table+xml"/>
  <Override PartName="/xl/pivotTables/pivotTable1.xml" ContentType="application/vnd.openxmlformats-officedocument.spreadsheetml.pivotTable+xml"/>
  <Override PartName="/xl/drawings/drawing2.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2.xml" ContentType="application/vnd.openxmlformats-officedocument.spreadsheetml.pivotTable+xml"/>
  <Override PartName="/xl/drawings/drawing3.xml" ContentType="application/vnd.openxmlformats-officedocument.drawing+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3.xml" ContentType="application/vnd.openxmlformats-officedocument.spreadsheetml.pivotTable+xml"/>
  <Override PartName="/xl/drawings/drawing4.xml" ContentType="application/vnd.openxmlformats-officedocument.drawing+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pivotTables/pivotTable4.xml" ContentType="application/vnd.openxmlformats-officedocument.spreadsheetml.pivotTable+xml"/>
  <Override PartName="/xl/drawings/drawing5.xml" ContentType="application/vnd.openxmlformats-officedocument.drawing+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pivotTables/pivotTable5.xml" ContentType="application/vnd.openxmlformats-officedocument.spreadsheetml.pivotTable+xml"/>
  <Override PartName="/xl/drawings/drawing6.xml" ContentType="application/vnd.openxmlformats-officedocument.drawing+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pivotTables/pivotTable6.xml" ContentType="application/vnd.openxmlformats-officedocument.spreadsheetml.pivotTable+xml"/>
  <Override PartName="/xl/drawings/drawing7.xml" ContentType="application/vnd.openxmlformats-officedocument.drawing+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pivotTables/pivotTable7.xml" ContentType="application/vnd.openxmlformats-officedocument.spreadsheetml.pivotTable+xml"/>
  <Override PartName="/xl/drawings/drawing8.xml" ContentType="application/vnd.openxmlformats-officedocument.drawing+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pivotTables/pivotTable8.xml" ContentType="application/vnd.openxmlformats-officedocument.spreadsheetml.pivotTab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166925"/>
  <mc:AlternateContent xmlns:mc="http://schemas.openxmlformats.org/markup-compatibility/2006">
    <mc:Choice Requires="x15">
      <x15ac:absPath xmlns:x15ac="http://schemas.microsoft.com/office/spreadsheetml/2010/11/ac" url="https://d.docs.live.net/113003433d465e33/Desktop/"/>
    </mc:Choice>
  </mc:AlternateContent>
  <xr:revisionPtr revIDLastSave="51" documentId="8_{70B0F494-7D7A-4F43-A1C6-3CDAFC5DA694}" xr6:coauthVersionLast="47" xr6:coauthVersionMax="47" xr10:uidLastSave="{FFBF3009-62BE-4EAD-932D-D1A1B4DB49E0}"/>
  <bookViews>
    <workbookView xWindow="-108" yWindow="-108" windowWidth="23256" windowHeight="12576" activeTab="4" xr2:uid="{0423C9EA-1809-4186-8F65-297E0CE0A3A3}"/>
  </bookViews>
  <sheets>
    <sheet name="Dashboard" sheetId="20" r:id="rId1"/>
    <sheet name="Cleaned_Data" sheetId="1" r:id="rId2"/>
    <sheet name="Raw_Data" sheetId="6" r:id="rId3"/>
    <sheet name="Product_Lookup" sheetId="3" r:id="rId4"/>
    <sheet name="Data_Quality_Issue_Log" sheetId="2" r:id="rId5"/>
    <sheet name="Sales_by_Status" sheetId="14" state="hidden" r:id="rId6"/>
    <sheet name="Avg_Delivery_by_Month" sheetId="19" state="hidden" r:id="rId7"/>
    <sheet name="Monthly_Unique_Orders" sheetId="16" state="hidden" r:id="rId8"/>
    <sheet name="Monthly_Sales" sheetId="7" state="hidden" r:id="rId9"/>
    <sheet name="Sales_by_Category" sheetId="13" state="hidden" r:id="rId10"/>
    <sheet name="Monthly_Orders" sheetId="15" state="hidden" r:id="rId11"/>
    <sheet name="Sales_by_Product" sheetId="17" state="hidden" r:id="rId12"/>
    <sheet name="Delivery_Time" sheetId="18" state="hidden" r:id="rId13"/>
  </sheets>
  <definedNames>
    <definedName name="ExternalData_1" localSheetId="2" hidden="1">Raw_Data!$A$1:$J$3155</definedName>
    <definedName name="Slicer_Categoty">#N/A</definedName>
    <definedName name="Slicer_Status">#N/A</definedName>
  </definedNames>
  <calcPr calcId="191029"/>
  <pivotCaches>
    <pivotCache cacheId="0" r:id="rId14"/>
  </pivotCaches>
  <extLst>
    <ext xmlns:x14="http://schemas.microsoft.com/office/spreadsheetml/2009/9/main" uri="{BBE1A952-AA13-448e-AADC-164F8A28A991}">
      <x14:slicerCaches>
        <x14:slicerCache r:id="rId15"/>
        <x14:slicerCache r:id="rId16"/>
      </x14:slicerCaches>
    </ext>
    <ext xmlns:x14="http://schemas.microsoft.com/office/spreadsheetml/2009/9/main" uri="{79F54976-1DA5-4618-B147-4CDE4B953A38}">
      <x14:workbookPr/>
    </ext>
  </extLst>
</workbook>
</file>

<file path=xl/calcChain.xml><?xml version="1.0" encoding="utf-8"?>
<calcChain xmlns="http://schemas.openxmlformats.org/spreadsheetml/2006/main">
  <c r="K1192" i="1" l="1"/>
  <c r="K3" i="1"/>
  <c r="K4" i="1"/>
  <c r="K5" i="1"/>
  <c r="K6" i="1"/>
  <c r="K7" i="1"/>
  <c r="K8" i="1"/>
  <c r="K9" i="1"/>
  <c r="K10" i="1"/>
  <c r="K11" i="1"/>
  <c r="K12" i="1"/>
  <c r="K13" i="1"/>
  <c r="K14" i="1"/>
  <c r="K15" i="1"/>
  <c r="K16" i="1"/>
  <c r="K17" i="1"/>
  <c r="K18" i="1"/>
  <c r="K19" i="1"/>
  <c r="K20" i="1"/>
  <c r="K21" i="1"/>
  <c r="K22" i="1"/>
  <c r="K23" i="1"/>
  <c r="K24" i="1"/>
  <c r="K25" i="1"/>
  <c r="K26" i="1"/>
  <c r="K27" i="1"/>
  <c r="K28" i="1"/>
  <c r="K29" i="1"/>
  <c r="K30" i="1"/>
  <c r="K31" i="1"/>
  <c r="K32" i="1"/>
  <c r="K33" i="1"/>
  <c r="K34" i="1"/>
  <c r="K35" i="1"/>
  <c r="K36" i="1"/>
  <c r="K37" i="1"/>
  <c r="K38" i="1"/>
  <c r="K39" i="1"/>
  <c r="K40" i="1"/>
  <c r="K41" i="1"/>
  <c r="K42" i="1"/>
  <c r="K43" i="1"/>
  <c r="K44" i="1"/>
  <c r="K45" i="1"/>
  <c r="K46" i="1"/>
  <c r="K47" i="1"/>
  <c r="K48" i="1"/>
  <c r="K49" i="1"/>
  <c r="K50" i="1"/>
  <c r="K51" i="1"/>
  <c r="K52" i="1"/>
  <c r="K53" i="1"/>
  <c r="K54" i="1"/>
  <c r="K55" i="1"/>
  <c r="K56" i="1"/>
  <c r="K57" i="1"/>
  <c r="K58" i="1"/>
  <c r="K59" i="1"/>
  <c r="K60" i="1"/>
  <c r="K61" i="1"/>
  <c r="K62" i="1"/>
  <c r="K63" i="1"/>
  <c r="K64" i="1"/>
  <c r="K65" i="1"/>
  <c r="K66" i="1"/>
  <c r="K67" i="1"/>
  <c r="K68" i="1"/>
  <c r="K69" i="1"/>
  <c r="K70" i="1"/>
  <c r="K71" i="1"/>
  <c r="K72" i="1"/>
  <c r="K73" i="1"/>
  <c r="K74" i="1"/>
  <c r="K75" i="1"/>
  <c r="K76" i="1"/>
  <c r="K77" i="1"/>
  <c r="K78" i="1"/>
  <c r="K79" i="1"/>
  <c r="K80" i="1"/>
  <c r="K81" i="1"/>
  <c r="K82" i="1"/>
  <c r="K83" i="1"/>
  <c r="K84" i="1"/>
  <c r="K85" i="1"/>
  <c r="K86" i="1"/>
  <c r="K87" i="1"/>
  <c r="K88" i="1"/>
  <c r="K89" i="1"/>
  <c r="K90" i="1"/>
  <c r="K91" i="1"/>
  <c r="K92" i="1"/>
  <c r="K93" i="1"/>
  <c r="K94" i="1"/>
  <c r="K95" i="1"/>
  <c r="K96" i="1"/>
  <c r="K97" i="1"/>
  <c r="K98" i="1"/>
  <c r="K99" i="1"/>
  <c r="K100" i="1"/>
  <c r="K101" i="1"/>
  <c r="K102" i="1"/>
  <c r="K103" i="1"/>
  <c r="K104" i="1"/>
  <c r="K105" i="1"/>
  <c r="K106" i="1"/>
  <c r="K107" i="1"/>
  <c r="K108" i="1"/>
  <c r="K109" i="1"/>
  <c r="K110" i="1"/>
  <c r="K111" i="1"/>
  <c r="K112" i="1"/>
  <c r="K113" i="1"/>
  <c r="K114" i="1"/>
  <c r="K115" i="1"/>
  <c r="K116" i="1"/>
  <c r="K117" i="1"/>
  <c r="K118" i="1"/>
  <c r="K119" i="1"/>
  <c r="K120" i="1"/>
  <c r="K121" i="1"/>
  <c r="K122" i="1"/>
  <c r="K123" i="1"/>
  <c r="K124" i="1"/>
  <c r="K125" i="1"/>
  <c r="K126" i="1"/>
  <c r="K127" i="1"/>
  <c r="K128" i="1"/>
  <c r="K129" i="1"/>
  <c r="K130" i="1"/>
  <c r="K131" i="1"/>
  <c r="K132" i="1"/>
  <c r="K133" i="1"/>
  <c r="K134" i="1"/>
  <c r="K135" i="1"/>
  <c r="K136" i="1"/>
  <c r="K137" i="1"/>
  <c r="K138" i="1"/>
  <c r="K139" i="1"/>
  <c r="K140" i="1"/>
  <c r="K141" i="1"/>
  <c r="K142" i="1"/>
  <c r="K143" i="1"/>
  <c r="K144" i="1"/>
  <c r="K145" i="1"/>
  <c r="K146" i="1"/>
  <c r="K147" i="1"/>
  <c r="K148" i="1"/>
  <c r="K149" i="1"/>
  <c r="K150" i="1"/>
  <c r="K151" i="1"/>
  <c r="K152" i="1"/>
  <c r="K153" i="1"/>
  <c r="K154" i="1"/>
  <c r="K155" i="1"/>
  <c r="K156" i="1"/>
  <c r="K157" i="1"/>
  <c r="K158" i="1"/>
  <c r="K159" i="1"/>
  <c r="K160" i="1"/>
  <c r="K161" i="1"/>
  <c r="K162" i="1"/>
  <c r="K163" i="1"/>
  <c r="K164" i="1"/>
  <c r="K165" i="1"/>
  <c r="K166" i="1"/>
  <c r="K167" i="1"/>
  <c r="K168" i="1"/>
  <c r="K169" i="1"/>
  <c r="K170" i="1"/>
  <c r="K171" i="1"/>
  <c r="K172" i="1"/>
  <c r="K173" i="1"/>
  <c r="K174" i="1"/>
  <c r="K175" i="1"/>
  <c r="K176" i="1"/>
  <c r="K177" i="1"/>
  <c r="K178" i="1"/>
  <c r="K179" i="1"/>
  <c r="K180" i="1"/>
  <c r="K181" i="1"/>
  <c r="K182" i="1"/>
  <c r="K183" i="1"/>
  <c r="K184" i="1"/>
  <c r="K185" i="1"/>
  <c r="K186" i="1"/>
  <c r="K187" i="1"/>
  <c r="K188" i="1"/>
  <c r="K189" i="1"/>
  <c r="K190" i="1"/>
  <c r="K191" i="1"/>
  <c r="K192" i="1"/>
  <c r="K193" i="1"/>
  <c r="K194" i="1"/>
  <c r="K195" i="1"/>
  <c r="K196" i="1"/>
  <c r="K197" i="1"/>
  <c r="K198" i="1"/>
  <c r="K199" i="1"/>
  <c r="K200" i="1"/>
  <c r="K201" i="1"/>
  <c r="K202" i="1"/>
  <c r="K203" i="1"/>
  <c r="K204" i="1"/>
  <c r="K205" i="1"/>
  <c r="K206" i="1"/>
  <c r="K207" i="1"/>
  <c r="K208" i="1"/>
  <c r="K209" i="1"/>
  <c r="K210" i="1"/>
  <c r="K211" i="1"/>
  <c r="K212" i="1"/>
  <c r="K213" i="1"/>
  <c r="K214" i="1"/>
  <c r="K215" i="1"/>
  <c r="K216" i="1"/>
  <c r="K217" i="1"/>
  <c r="K218" i="1"/>
  <c r="K219" i="1"/>
  <c r="K220" i="1"/>
  <c r="K221" i="1"/>
  <c r="K222" i="1"/>
  <c r="K223" i="1"/>
  <c r="K224" i="1"/>
  <c r="K225" i="1"/>
  <c r="K226" i="1"/>
  <c r="K227" i="1"/>
  <c r="K228" i="1"/>
  <c r="K229" i="1"/>
  <c r="K230" i="1"/>
  <c r="K231" i="1"/>
  <c r="K232" i="1"/>
  <c r="K233" i="1"/>
  <c r="K234" i="1"/>
  <c r="K235" i="1"/>
  <c r="K236" i="1"/>
  <c r="K237" i="1"/>
  <c r="K238" i="1"/>
  <c r="K239" i="1"/>
  <c r="K240" i="1"/>
  <c r="K241" i="1"/>
  <c r="K242" i="1"/>
  <c r="K243" i="1"/>
  <c r="K244" i="1"/>
  <c r="K245" i="1"/>
  <c r="K246" i="1"/>
  <c r="K247" i="1"/>
  <c r="K248" i="1"/>
  <c r="K249" i="1"/>
  <c r="K250" i="1"/>
  <c r="K251" i="1"/>
  <c r="K252" i="1"/>
  <c r="K253" i="1"/>
  <c r="K254" i="1"/>
  <c r="K255" i="1"/>
  <c r="K256" i="1"/>
  <c r="K257" i="1"/>
  <c r="K258" i="1"/>
  <c r="K259" i="1"/>
  <c r="K260" i="1"/>
  <c r="K261" i="1"/>
  <c r="K262" i="1"/>
  <c r="K263" i="1"/>
  <c r="K264" i="1"/>
  <c r="K265" i="1"/>
  <c r="K266" i="1"/>
  <c r="K267" i="1"/>
  <c r="K268" i="1"/>
  <c r="K269" i="1"/>
  <c r="K270" i="1"/>
  <c r="K271" i="1"/>
  <c r="K272" i="1"/>
  <c r="K273" i="1"/>
  <c r="K274" i="1"/>
  <c r="K275" i="1"/>
  <c r="K276" i="1"/>
  <c r="K277" i="1"/>
  <c r="K278" i="1"/>
  <c r="K279" i="1"/>
  <c r="K280" i="1"/>
  <c r="K281" i="1"/>
  <c r="K282" i="1"/>
  <c r="K283" i="1"/>
  <c r="K284" i="1"/>
  <c r="K285" i="1"/>
  <c r="K286" i="1"/>
  <c r="K287" i="1"/>
  <c r="K288" i="1"/>
  <c r="K289" i="1"/>
  <c r="K290" i="1"/>
  <c r="K291" i="1"/>
  <c r="K292" i="1"/>
  <c r="K293" i="1"/>
  <c r="K294" i="1"/>
  <c r="K295" i="1"/>
  <c r="K296" i="1"/>
  <c r="K297" i="1"/>
  <c r="K298" i="1"/>
  <c r="K299" i="1"/>
  <c r="K300" i="1"/>
  <c r="K301" i="1"/>
  <c r="K302" i="1"/>
  <c r="K303" i="1"/>
  <c r="K304" i="1"/>
  <c r="K305" i="1"/>
  <c r="K306" i="1"/>
  <c r="K307" i="1"/>
  <c r="K308" i="1"/>
  <c r="K309" i="1"/>
  <c r="K310" i="1"/>
  <c r="K311" i="1"/>
  <c r="K312" i="1"/>
  <c r="K313" i="1"/>
  <c r="K314" i="1"/>
  <c r="K315" i="1"/>
  <c r="K316" i="1"/>
  <c r="K317" i="1"/>
  <c r="K318" i="1"/>
  <c r="K319" i="1"/>
  <c r="K320" i="1"/>
  <c r="K321" i="1"/>
  <c r="K322" i="1"/>
  <c r="K323" i="1"/>
  <c r="K324" i="1"/>
  <c r="K325" i="1"/>
  <c r="K326" i="1"/>
  <c r="K327" i="1"/>
  <c r="K328" i="1"/>
  <c r="K329" i="1"/>
  <c r="K330" i="1"/>
  <c r="K331" i="1"/>
  <c r="K332" i="1"/>
  <c r="K333" i="1"/>
  <c r="K334" i="1"/>
  <c r="K335" i="1"/>
  <c r="K336" i="1"/>
  <c r="K337" i="1"/>
  <c r="K338" i="1"/>
  <c r="K339" i="1"/>
  <c r="K340" i="1"/>
  <c r="K341" i="1"/>
  <c r="K342" i="1"/>
  <c r="K343" i="1"/>
  <c r="K344" i="1"/>
  <c r="K345" i="1"/>
  <c r="K346" i="1"/>
  <c r="K347" i="1"/>
  <c r="K348" i="1"/>
  <c r="K349" i="1"/>
  <c r="K350" i="1"/>
  <c r="K351" i="1"/>
  <c r="K352" i="1"/>
  <c r="K353" i="1"/>
  <c r="K354" i="1"/>
  <c r="K355" i="1"/>
  <c r="K356" i="1"/>
  <c r="K357" i="1"/>
  <c r="K358" i="1"/>
  <c r="K359" i="1"/>
  <c r="K360" i="1"/>
  <c r="K361" i="1"/>
  <c r="K362" i="1"/>
  <c r="K363" i="1"/>
  <c r="K364" i="1"/>
  <c r="K365" i="1"/>
  <c r="K366" i="1"/>
  <c r="K367" i="1"/>
  <c r="K368" i="1"/>
  <c r="K369" i="1"/>
  <c r="K370" i="1"/>
  <c r="K371" i="1"/>
  <c r="K372" i="1"/>
  <c r="K373" i="1"/>
  <c r="K374" i="1"/>
  <c r="K375" i="1"/>
  <c r="K376" i="1"/>
  <c r="K377" i="1"/>
  <c r="K378" i="1"/>
  <c r="K379" i="1"/>
  <c r="K380" i="1"/>
  <c r="K381" i="1"/>
  <c r="K382" i="1"/>
  <c r="K383" i="1"/>
  <c r="K384" i="1"/>
  <c r="K385" i="1"/>
  <c r="K386" i="1"/>
  <c r="K387" i="1"/>
  <c r="K388" i="1"/>
  <c r="K389" i="1"/>
  <c r="K390" i="1"/>
  <c r="K391" i="1"/>
  <c r="K392" i="1"/>
  <c r="K393" i="1"/>
  <c r="K394" i="1"/>
  <c r="K395" i="1"/>
  <c r="K396" i="1"/>
  <c r="K397" i="1"/>
  <c r="K398" i="1"/>
  <c r="K399" i="1"/>
  <c r="K400" i="1"/>
  <c r="K401" i="1"/>
  <c r="K402" i="1"/>
  <c r="K403" i="1"/>
  <c r="K404" i="1"/>
  <c r="K405" i="1"/>
  <c r="K406" i="1"/>
  <c r="K407" i="1"/>
  <c r="K408" i="1"/>
  <c r="K409" i="1"/>
  <c r="K410" i="1"/>
  <c r="K411" i="1"/>
  <c r="K412" i="1"/>
  <c r="K413" i="1"/>
  <c r="K414" i="1"/>
  <c r="K415" i="1"/>
  <c r="K416" i="1"/>
  <c r="K417" i="1"/>
  <c r="K418" i="1"/>
  <c r="K419" i="1"/>
  <c r="K420" i="1"/>
  <c r="K421" i="1"/>
  <c r="K422" i="1"/>
  <c r="K423" i="1"/>
  <c r="K424" i="1"/>
  <c r="K425" i="1"/>
  <c r="K426" i="1"/>
  <c r="K427" i="1"/>
  <c r="K428" i="1"/>
  <c r="K429" i="1"/>
  <c r="K430" i="1"/>
  <c r="K431" i="1"/>
  <c r="K432" i="1"/>
  <c r="K433" i="1"/>
  <c r="K434" i="1"/>
  <c r="K435" i="1"/>
  <c r="K436" i="1"/>
  <c r="K437" i="1"/>
  <c r="K438" i="1"/>
  <c r="K439" i="1"/>
  <c r="K440" i="1"/>
  <c r="K441" i="1"/>
  <c r="K442" i="1"/>
  <c r="K443" i="1"/>
  <c r="K444" i="1"/>
  <c r="K445" i="1"/>
  <c r="K446" i="1"/>
  <c r="K447" i="1"/>
  <c r="K448" i="1"/>
  <c r="K449" i="1"/>
  <c r="K450" i="1"/>
  <c r="K451" i="1"/>
  <c r="K452" i="1"/>
  <c r="K453" i="1"/>
  <c r="K454" i="1"/>
  <c r="K455" i="1"/>
  <c r="K456" i="1"/>
  <c r="K457" i="1"/>
  <c r="K458" i="1"/>
  <c r="K459" i="1"/>
  <c r="K460" i="1"/>
  <c r="K461" i="1"/>
  <c r="K462" i="1"/>
  <c r="K463" i="1"/>
  <c r="K464" i="1"/>
  <c r="K465" i="1"/>
  <c r="K466" i="1"/>
  <c r="K467" i="1"/>
  <c r="K468" i="1"/>
  <c r="K469" i="1"/>
  <c r="K470" i="1"/>
  <c r="K471" i="1"/>
  <c r="K472" i="1"/>
  <c r="K473" i="1"/>
  <c r="K474" i="1"/>
  <c r="K475" i="1"/>
  <c r="K476" i="1"/>
  <c r="K477" i="1"/>
  <c r="K478" i="1"/>
  <c r="K479" i="1"/>
  <c r="K480" i="1"/>
  <c r="K481" i="1"/>
  <c r="K482" i="1"/>
  <c r="K483" i="1"/>
  <c r="K484" i="1"/>
  <c r="K485" i="1"/>
  <c r="K486" i="1"/>
  <c r="K487" i="1"/>
  <c r="K488" i="1"/>
  <c r="K489" i="1"/>
  <c r="K490" i="1"/>
  <c r="K491" i="1"/>
  <c r="K492" i="1"/>
  <c r="K493" i="1"/>
  <c r="K494" i="1"/>
  <c r="K495" i="1"/>
  <c r="K496" i="1"/>
  <c r="K497" i="1"/>
  <c r="K498" i="1"/>
  <c r="K499" i="1"/>
  <c r="K500" i="1"/>
  <c r="K501" i="1"/>
  <c r="K502" i="1"/>
  <c r="K503" i="1"/>
  <c r="K504" i="1"/>
  <c r="K505" i="1"/>
  <c r="K506" i="1"/>
  <c r="K507" i="1"/>
  <c r="K508" i="1"/>
  <c r="K509" i="1"/>
  <c r="K510" i="1"/>
  <c r="K511" i="1"/>
  <c r="K512" i="1"/>
  <c r="K513" i="1"/>
  <c r="K514" i="1"/>
  <c r="K515" i="1"/>
  <c r="K516" i="1"/>
  <c r="K517" i="1"/>
  <c r="K518" i="1"/>
  <c r="K519" i="1"/>
  <c r="K520" i="1"/>
  <c r="K521" i="1"/>
  <c r="K522" i="1"/>
  <c r="K523" i="1"/>
  <c r="K524" i="1"/>
  <c r="K525" i="1"/>
  <c r="K526" i="1"/>
  <c r="K527" i="1"/>
  <c r="K528" i="1"/>
  <c r="K529" i="1"/>
  <c r="K530" i="1"/>
  <c r="K531" i="1"/>
  <c r="K532" i="1"/>
  <c r="K533" i="1"/>
  <c r="K534" i="1"/>
  <c r="K535" i="1"/>
  <c r="K536" i="1"/>
  <c r="K537" i="1"/>
  <c r="K538" i="1"/>
  <c r="K539" i="1"/>
  <c r="K540" i="1"/>
  <c r="K541" i="1"/>
  <c r="K542" i="1"/>
  <c r="K543" i="1"/>
  <c r="K544" i="1"/>
  <c r="K545" i="1"/>
  <c r="K546" i="1"/>
  <c r="K547" i="1"/>
  <c r="K548" i="1"/>
  <c r="K549" i="1"/>
  <c r="K550" i="1"/>
  <c r="K551" i="1"/>
  <c r="K552" i="1"/>
  <c r="K553" i="1"/>
  <c r="K554" i="1"/>
  <c r="K555" i="1"/>
  <c r="K556" i="1"/>
  <c r="K557" i="1"/>
  <c r="K558" i="1"/>
  <c r="K559" i="1"/>
  <c r="K560" i="1"/>
  <c r="K561" i="1"/>
  <c r="K562" i="1"/>
  <c r="K563" i="1"/>
  <c r="K564" i="1"/>
  <c r="K565" i="1"/>
  <c r="K566" i="1"/>
  <c r="K567" i="1"/>
  <c r="K568" i="1"/>
  <c r="K569" i="1"/>
  <c r="K570" i="1"/>
  <c r="K571" i="1"/>
  <c r="K572" i="1"/>
  <c r="K573" i="1"/>
  <c r="K574" i="1"/>
  <c r="K575" i="1"/>
  <c r="K576" i="1"/>
  <c r="K577" i="1"/>
  <c r="K578" i="1"/>
  <c r="K579" i="1"/>
  <c r="K580" i="1"/>
  <c r="K581" i="1"/>
  <c r="K582" i="1"/>
  <c r="K583" i="1"/>
  <c r="K584" i="1"/>
  <c r="K585" i="1"/>
  <c r="K586" i="1"/>
  <c r="K587" i="1"/>
  <c r="K588" i="1"/>
  <c r="K589" i="1"/>
  <c r="K590" i="1"/>
  <c r="K591" i="1"/>
  <c r="K592" i="1"/>
  <c r="K593" i="1"/>
  <c r="K594" i="1"/>
  <c r="K595" i="1"/>
  <c r="K596" i="1"/>
  <c r="K597" i="1"/>
  <c r="K598" i="1"/>
  <c r="K599" i="1"/>
  <c r="K600" i="1"/>
  <c r="K601" i="1"/>
  <c r="K602" i="1"/>
  <c r="K603" i="1"/>
  <c r="K604" i="1"/>
  <c r="K605" i="1"/>
  <c r="K606" i="1"/>
  <c r="K607" i="1"/>
  <c r="K608" i="1"/>
  <c r="K609" i="1"/>
  <c r="K610" i="1"/>
  <c r="K611" i="1"/>
  <c r="K612" i="1"/>
  <c r="K613" i="1"/>
  <c r="K614" i="1"/>
  <c r="K615" i="1"/>
  <c r="K616" i="1"/>
  <c r="K617" i="1"/>
  <c r="K618" i="1"/>
  <c r="K619" i="1"/>
  <c r="K620" i="1"/>
  <c r="K621" i="1"/>
  <c r="K622" i="1"/>
  <c r="K623" i="1"/>
  <c r="K624" i="1"/>
  <c r="K625" i="1"/>
  <c r="K626" i="1"/>
  <c r="K627" i="1"/>
  <c r="K628" i="1"/>
  <c r="K629" i="1"/>
  <c r="K630" i="1"/>
  <c r="K631" i="1"/>
  <c r="K632" i="1"/>
  <c r="K633" i="1"/>
  <c r="K634" i="1"/>
  <c r="K635" i="1"/>
  <c r="K636" i="1"/>
  <c r="K637" i="1"/>
  <c r="K638" i="1"/>
  <c r="K639" i="1"/>
  <c r="K640" i="1"/>
  <c r="K641" i="1"/>
  <c r="K642" i="1"/>
  <c r="K643" i="1"/>
  <c r="K644" i="1"/>
  <c r="K645" i="1"/>
  <c r="K646" i="1"/>
  <c r="K647" i="1"/>
  <c r="K648" i="1"/>
  <c r="K649" i="1"/>
  <c r="K650" i="1"/>
  <c r="K651" i="1"/>
  <c r="K652" i="1"/>
  <c r="K653" i="1"/>
  <c r="K654" i="1"/>
  <c r="K655" i="1"/>
  <c r="K656" i="1"/>
  <c r="K657" i="1"/>
  <c r="K658" i="1"/>
  <c r="K659" i="1"/>
  <c r="K660" i="1"/>
  <c r="K661" i="1"/>
  <c r="K662" i="1"/>
  <c r="K663" i="1"/>
  <c r="K664" i="1"/>
  <c r="K665" i="1"/>
  <c r="K666" i="1"/>
  <c r="K667" i="1"/>
  <c r="K668" i="1"/>
  <c r="K669" i="1"/>
  <c r="K670" i="1"/>
  <c r="K671" i="1"/>
  <c r="K672" i="1"/>
  <c r="K673" i="1"/>
  <c r="K674" i="1"/>
  <c r="K675" i="1"/>
  <c r="K676" i="1"/>
  <c r="K677" i="1"/>
  <c r="K678" i="1"/>
  <c r="K679" i="1"/>
  <c r="K680" i="1"/>
  <c r="K681" i="1"/>
  <c r="K682" i="1"/>
  <c r="K683" i="1"/>
  <c r="K684" i="1"/>
  <c r="K685" i="1"/>
  <c r="K686" i="1"/>
  <c r="K687" i="1"/>
  <c r="K688" i="1"/>
  <c r="K689" i="1"/>
  <c r="K690" i="1"/>
  <c r="K691" i="1"/>
  <c r="K692" i="1"/>
  <c r="K693" i="1"/>
  <c r="K694" i="1"/>
  <c r="K695" i="1"/>
  <c r="K696" i="1"/>
  <c r="K697" i="1"/>
  <c r="K698" i="1"/>
  <c r="K699" i="1"/>
  <c r="K700" i="1"/>
  <c r="K701" i="1"/>
  <c r="K702" i="1"/>
  <c r="K703" i="1"/>
  <c r="K704" i="1"/>
  <c r="K705" i="1"/>
  <c r="K706" i="1"/>
  <c r="K707" i="1"/>
  <c r="K708" i="1"/>
  <c r="K709" i="1"/>
  <c r="K710" i="1"/>
  <c r="K711" i="1"/>
  <c r="K712" i="1"/>
  <c r="K713" i="1"/>
  <c r="K714" i="1"/>
  <c r="K715" i="1"/>
  <c r="K716" i="1"/>
  <c r="K717" i="1"/>
  <c r="K718" i="1"/>
  <c r="K719" i="1"/>
  <c r="K720" i="1"/>
  <c r="K721" i="1"/>
  <c r="K722" i="1"/>
  <c r="K723" i="1"/>
  <c r="K724" i="1"/>
  <c r="K725" i="1"/>
  <c r="K726" i="1"/>
  <c r="K727" i="1"/>
  <c r="K728" i="1"/>
  <c r="K729" i="1"/>
  <c r="K730" i="1"/>
  <c r="K731" i="1"/>
  <c r="K732" i="1"/>
  <c r="K733" i="1"/>
  <c r="K734" i="1"/>
  <c r="K735" i="1"/>
  <c r="K736" i="1"/>
  <c r="K737" i="1"/>
  <c r="K738" i="1"/>
  <c r="K739" i="1"/>
  <c r="K740" i="1"/>
  <c r="K741" i="1"/>
  <c r="K742" i="1"/>
  <c r="K743" i="1"/>
  <c r="K744" i="1"/>
  <c r="K745" i="1"/>
  <c r="K746" i="1"/>
  <c r="K747" i="1"/>
  <c r="K748" i="1"/>
  <c r="K749" i="1"/>
  <c r="K750" i="1"/>
  <c r="K751" i="1"/>
  <c r="K752" i="1"/>
  <c r="K753" i="1"/>
  <c r="K754" i="1"/>
  <c r="K755" i="1"/>
  <c r="K756" i="1"/>
  <c r="K757" i="1"/>
  <c r="K758" i="1"/>
  <c r="K759" i="1"/>
  <c r="K760" i="1"/>
  <c r="K761" i="1"/>
  <c r="K762" i="1"/>
  <c r="K763" i="1"/>
  <c r="K764" i="1"/>
  <c r="K765" i="1"/>
  <c r="K766" i="1"/>
  <c r="K767" i="1"/>
  <c r="K768" i="1"/>
  <c r="K769" i="1"/>
  <c r="K770" i="1"/>
  <c r="K771" i="1"/>
  <c r="K772" i="1"/>
  <c r="K773" i="1"/>
  <c r="K774" i="1"/>
  <c r="K775" i="1"/>
  <c r="K776" i="1"/>
  <c r="K777" i="1"/>
  <c r="K778" i="1"/>
  <c r="K779" i="1"/>
  <c r="K780" i="1"/>
  <c r="K781" i="1"/>
  <c r="K782" i="1"/>
  <c r="K783" i="1"/>
  <c r="K784" i="1"/>
  <c r="K785" i="1"/>
  <c r="K786" i="1"/>
  <c r="K787" i="1"/>
  <c r="K788" i="1"/>
  <c r="K789" i="1"/>
  <c r="K790" i="1"/>
  <c r="K791" i="1"/>
  <c r="K792" i="1"/>
  <c r="K793" i="1"/>
  <c r="K794" i="1"/>
  <c r="K795" i="1"/>
  <c r="K796" i="1"/>
  <c r="K797" i="1"/>
  <c r="K798" i="1"/>
  <c r="K799" i="1"/>
  <c r="K800" i="1"/>
  <c r="K801" i="1"/>
  <c r="K802" i="1"/>
  <c r="K803" i="1"/>
  <c r="K804" i="1"/>
  <c r="K805" i="1"/>
  <c r="K806" i="1"/>
  <c r="K807" i="1"/>
  <c r="K808" i="1"/>
  <c r="K809" i="1"/>
  <c r="K810" i="1"/>
  <c r="K811" i="1"/>
  <c r="K812" i="1"/>
  <c r="K813" i="1"/>
  <c r="K814" i="1"/>
  <c r="K815" i="1"/>
  <c r="K816" i="1"/>
  <c r="K817" i="1"/>
  <c r="K818" i="1"/>
  <c r="K819" i="1"/>
  <c r="K820" i="1"/>
  <c r="K821" i="1"/>
  <c r="K822" i="1"/>
  <c r="K823" i="1"/>
  <c r="K824" i="1"/>
  <c r="K825" i="1"/>
  <c r="K826" i="1"/>
  <c r="K827" i="1"/>
  <c r="K828" i="1"/>
  <c r="K829" i="1"/>
  <c r="K830" i="1"/>
  <c r="K831" i="1"/>
  <c r="K832" i="1"/>
  <c r="K833" i="1"/>
  <c r="K834" i="1"/>
  <c r="K835" i="1"/>
  <c r="K836" i="1"/>
  <c r="K837" i="1"/>
  <c r="K838" i="1"/>
  <c r="K839" i="1"/>
  <c r="K840" i="1"/>
  <c r="K841" i="1"/>
  <c r="K842" i="1"/>
  <c r="K843" i="1"/>
  <c r="K844" i="1"/>
  <c r="K845" i="1"/>
  <c r="K846" i="1"/>
  <c r="K847" i="1"/>
  <c r="K848" i="1"/>
  <c r="K849" i="1"/>
  <c r="K850" i="1"/>
  <c r="K851" i="1"/>
  <c r="K852" i="1"/>
  <c r="K853" i="1"/>
  <c r="K854" i="1"/>
  <c r="K855" i="1"/>
  <c r="K856" i="1"/>
  <c r="K857" i="1"/>
  <c r="K858" i="1"/>
  <c r="K859" i="1"/>
  <c r="K860" i="1"/>
  <c r="K861" i="1"/>
  <c r="K862" i="1"/>
  <c r="K863" i="1"/>
  <c r="K864" i="1"/>
  <c r="K865" i="1"/>
  <c r="K866" i="1"/>
  <c r="K867" i="1"/>
  <c r="K868" i="1"/>
  <c r="K869" i="1"/>
  <c r="K870" i="1"/>
  <c r="K871" i="1"/>
  <c r="K872" i="1"/>
  <c r="K873" i="1"/>
  <c r="K874" i="1"/>
  <c r="K875" i="1"/>
  <c r="K876" i="1"/>
  <c r="K877" i="1"/>
  <c r="K878" i="1"/>
  <c r="K879" i="1"/>
  <c r="K880" i="1"/>
  <c r="K881" i="1"/>
  <c r="K882" i="1"/>
  <c r="K883" i="1"/>
  <c r="K884" i="1"/>
  <c r="K885" i="1"/>
  <c r="K886" i="1"/>
  <c r="K887" i="1"/>
  <c r="K888" i="1"/>
  <c r="K889" i="1"/>
  <c r="K890" i="1"/>
  <c r="K891" i="1"/>
  <c r="K892" i="1"/>
  <c r="K893" i="1"/>
  <c r="K894" i="1"/>
  <c r="K895" i="1"/>
  <c r="K896" i="1"/>
  <c r="K897" i="1"/>
  <c r="K898" i="1"/>
  <c r="K899" i="1"/>
  <c r="K900" i="1"/>
  <c r="K901" i="1"/>
  <c r="K902" i="1"/>
  <c r="K903" i="1"/>
  <c r="K904" i="1"/>
  <c r="K905" i="1"/>
  <c r="K906" i="1"/>
  <c r="K907" i="1"/>
  <c r="K908" i="1"/>
  <c r="K909" i="1"/>
  <c r="K910" i="1"/>
  <c r="K911" i="1"/>
  <c r="K912" i="1"/>
  <c r="K913" i="1"/>
  <c r="K914" i="1"/>
  <c r="K915" i="1"/>
  <c r="K916" i="1"/>
  <c r="K917" i="1"/>
  <c r="K918" i="1"/>
  <c r="K919" i="1"/>
  <c r="K920" i="1"/>
  <c r="K921" i="1"/>
  <c r="K922" i="1"/>
  <c r="K923" i="1"/>
  <c r="K924" i="1"/>
  <c r="K925" i="1"/>
  <c r="K926" i="1"/>
  <c r="K927" i="1"/>
  <c r="K928" i="1"/>
  <c r="K929" i="1"/>
  <c r="K930" i="1"/>
  <c r="K931" i="1"/>
  <c r="K932" i="1"/>
  <c r="K933" i="1"/>
  <c r="K934" i="1"/>
  <c r="K935" i="1"/>
  <c r="K936" i="1"/>
  <c r="K937" i="1"/>
  <c r="K938" i="1"/>
  <c r="K939" i="1"/>
  <c r="K940" i="1"/>
  <c r="K941" i="1"/>
  <c r="K942" i="1"/>
  <c r="K943" i="1"/>
  <c r="K944" i="1"/>
  <c r="K945" i="1"/>
  <c r="K946" i="1"/>
  <c r="K947" i="1"/>
  <c r="K948" i="1"/>
  <c r="K949" i="1"/>
  <c r="K950" i="1"/>
  <c r="K951" i="1"/>
  <c r="K952" i="1"/>
  <c r="K953" i="1"/>
  <c r="K954" i="1"/>
  <c r="K955" i="1"/>
  <c r="K956" i="1"/>
  <c r="K957" i="1"/>
  <c r="K958" i="1"/>
  <c r="K959" i="1"/>
  <c r="K960" i="1"/>
  <c r="K961" i="1"/>
  <c r="K962" i="1"/>
  <c r="K963" i="1"/>
  <c r="K964" i="1"/>
  <c r="K965" i="1"/>
  <c r="K966" i="1"/>
  <c r="K967" i="1"/>
  <c r="K968" i="1"/>
  <c r="K969" i="1"/>
  <c r="K970" i="1"/>
  <c r="K971" i="1"/>
  <c r="K972" i="1"/>
  <c r="K973" i="1"/>
  <c r="K974" i="1"/>
  <c r="K975" i="1"/>
  <c r="K976" i="1"/>
  <c r="K977" i="1"/>
  <c r="K978" i="1"/>
  <c r="K979" i="1"/>
  <c r="K980" i="1"/>
  <c r="K981" i="1"/>
  <c r="K982" i="1"/>
  <c r="K983" i="1"/>
  <c r="K984" i="1"/>
  <c r="K985" i="1"/>
  <c r="K986" i="1"/>
  <c r="K987" i="1"/>
  <c r="K988" i="1"/>
  <c r="K989" i="1"/>
  <c r="K990" i="1"/>
  <c r="K991" i="1"/>
  <c r="K992" i="1"/>
  <c r="K993" i="1"/>
  <c r="K994" i="1"/>
  <c r="K995" i="1"/>
  <c r="K996" i="1"/>
  <c r="K997" i="1"/>
  <c r="K998" i="1"/>
  <c r="K999" i="1"/>
  <c r="K1000" i="1"/>
  <c r="K1001" i="1"/>
  <c r="K1002" i="1"/>
  <c r="K1003" i="1"/>
  <c r="K1004" i="1"/>
  <c r="K1005" i="1"/>
  <c r="K1006" i="1"/>
  <c r="K1007" i="1"/>
  <c r="K1008" i="1"/>
  <c r="K1009" i="1"/>
  <c r="K1010" i="1"/>
  <c r="K1011" i="1"/>
  <c r="K1012" i="1"/>
  <c r="K1013" i="1"/>
  <c r="K1014" i="1"/>
  <c r="K1015" i="1"/>
  <c r="K1016" i="1"/>
  <c r="K1017" i="1"/>
  <c r="K1018" i="1"/>
  <c r="K1019" i="1"/>
  <c r="K1020" i="1"/>
  <c r="K1021" i="1"/>
  <c r="K1022" i="1"/>
  <c r="K1023" i="1"/>
  <c r="K1024" i="1"/>
  <c r="K1025" i="1"/>
  <c r="K1026" i="1"/>
  <c r="K1027" i="1"/>
  <c r="K1028" i="1"/>
  <c r="K1029" i="1"/>
  <c r="K1030" i="1"/>
  <c r="K1031" i="1"/>
  <c r="K1032" i="1"/>
  <c r="K1033" i="1"/>
  <c r="K1034" i="1"/>
  <c r="K1035" i="1"/>
  <c r="K1036" i="1"/>
  <c r="K1037" i="1"/>
  <c r="K1038" i="1"/>
  <c r="K1039" i="1"/>
  <c r="K1040" i="1"/>
  <c r="K1041" i="1"/>
  <c r="K1042" i="1"/>
  <c r="K1043" i="1"/>
  <c r="K1044" i="1"/>
  <c r="K1045" i="1"/>
  <c r="K1046" i="1"/>
  <c r="K1047" i="1"/>
  <c r="K1048" i="1"/>
  <c r="K1049" i="1"/>
  <c r="K1050" i="1"/>
  <c r="K1051" i="1"/>
  <c r="K1052" i="1"/>
  <c r="K1053" i="1"/>
  <c r="K1054" i="1"/>
  <c r="K1055" i="1"/>
  <c r="K1056" i="1"/>
  <c r="K1057" i="1"/>
  <c r="K1058" i="1"/>
  <c r="K1059" i="1"/>
  <c r="K1060" i="1"/>
  <c r="K1061" i="1"/>
  <c r="K1062" i="1"/>
  <c r="K1063" i="1"/>
  <c r="K1064" i="1"/>
  <c r="K1065" i="1"/>
  <c r="K1066" i="1"/>
  <c r="K1067" i="1"/>
  <c r="K1068" i="1"/>
  <c r="K1069" i="1"/>
  <c r="K1070" i="1"/>
  <c r="K1071" i="1"/>
  <c r="K1072" i="1"/>
  <c r="K1073" i="1"/>
  <c r="K1074" i="1"/>
  <c r="K1075" i="1"/>
  <c r="K1076" i="1"/>
  <c r="K1077" i="1"/>
  <c r="K1078" i="1"/>
  <c r="K1079" i="1"/>
  <c r="K1080" i="1"/>
  <c r="K1081" i="1"/>
  <c r="K1082" i="1"/>
  <c r="K1083" i="1"/>
  <c r="K1084" i="1"/>
  <c r="K1085" i="1"/>
  <c r="K1086" i="1"/>
  <c r="K1087" i="1"/>
  <c r="K1088" i="1"/>
  <c r="K1089" i="1"/>
  <c r="K1090" i="1"/>
  <c r="K1091" i="1"/>
  <c r="K1092" i="1"/>
  <c r="K1093" i="1"/>
  <c r="K1094" i="1"/>
  <c r="K1095" i="1"/>
  <c r="K1096" i="1"/>
  <c r="K1097" i="1"/>
  <c r="K1098" i="1"/>
  <c r="K1099" i="1"/>
  <c r="K1100" i="1"/>
  <c r="K1101" i="1"/>
  <c r="K1102" i="1"/>
  <c r="K1103" i="1"/>
  <c r="K1104" i="1"/>
  <c r="K1105" i="1"/>
  <c r="K1106" i="1"/>
  <c r="K1107" i="1"/>
  <c r="K1108" i="1"/>
  <c r="K1109" i="1"/>
  <c r="K1110" i="1"/>
  <c r="K1111" i="1"/>
  <c r="K1112" i="1"/>
  <c r="K1113" i="1"/>
  <c r="K1114" i="1"/>
  <c r="K1115" i="1"/>
  <c r="K1116" i="1"/>
  <c r="K1117" i="1"/>
  <c r="K1118" i="1"/>
  <c r="K1119" i="1"/>
  <c r="K1120" i="1"/>
  <c r="K1121" i="1"/>
  <c r="K1122" i="1"/>
  <c r="K1123" i="1"/>
  <c r="K1124" i="1"/>
  <c r="K1125" i="1"/>
  <c r="K1126" i="1"/>
  <c r="K1127" i="1"/>
  <c r="K1128" i="1"/>
  <c r="K1129" i="1"/>
  <c r="K1130" i="1"/>
  <c r="K1131" i="1"/>
  <c r="K1132" i="1"/>
  <c r="K1133" i="1"/>
  <c r="K1134" i="1"/>
  <c r="K1135" i="1"/>
  <c r="K1136" i="1"/>
  <c r="K1137" i="1"/>
  <c r="K1138" i="1"/>
  <c r="K1139" i="1"/>
  <c r="K1140" i="1"/>
  <c r="K1141" i="1"/>
  <c r="K1142" i="1"/>
  <c r="K1143" i="1"/>
  <c r="K1144" i="1"/>
  <c r="K1145" i="1"/>
  <c r="K1146" i="1"/>
  <c r="K1147" i="1"/>
  <c r="K1148" i="1"/>
  <c r="K1149" i="1"/>
  <c r="K1150" i="1"/>
  <c r="K1151" i="1"/>
  <c r="K1152" i="1"/>
  <c r="K1153" i="1"/>
  <c r="K1154" i="1"/>
  <c r="K1155" i="1"/>
  <c r="K1156" i="1"/>
  <c r="K1157" i="1"/>
  <c r="K1158" i="1"/>
  <c r="K1159" i="1"/>
  <c r="K1160" i="1"/>
  <c r="K1161" i="1"/>
  <c r="K1162" i="1"/>
  <c r="K1163" i="1"/>
  <c r="K1164" i="1"/>
  <c r="K1165" i="1"/>
  <c r="K1166" i="1"/>
  <c r="K1167" i="1"/>
  <c r="K1168" i="1"/>
  <c r="K1169" i="1"/>
  <c r="K1170" i="1"/>
  <c r="K1171" i="1"/>
  <c r="K1172" i="1"/>
  <c r="K1173" i="1"/>
  <c r="K1174" i="1"/>
  <c r="K1175" i="1"/>
  <c r="K1176" i="1"/>
  <c r="K1177" i="1"/>
  <c r="K1178" i="1"/>
  <c r="K1179" i="1"/>
  <c r="K1180" i="1"/>
  <c r="K1181" i="1"/>
  <c r="K1182" i="1"/>
  <c r="K1183" i="1"/>
  <c r="K1184" i="1"/>
  <c r="K1185" i="1"/>
  <c r="K1186" i="1"/>
  <c r="K1187" i="1"/>
  <c r="K1188" i="1"/>
  <c r="K1189" i="1"/>
  <c r="K1190" i="1"/>
  <c r="K1191" i="1"/>
  <c r="K1193" i="1"/>
  <c r="K1194" i="1"/>
  <c r="K1195" i="1"/>
  <c r="K1196" i="1"/>
  <c r="K1197" i="1"/>
  <c r="K1198" i="1"/>
  <c r="K1199" i="1"/>
  <c r="K1200" i="1"/>
  <c r="K1201" i="1"/>
  <c r="K1202" i="1"/>
  <c r="K1203" i="1"/>
  <c r="K1204" i="1"/>
  <c r="K1205" i="1"/>
  <c r="K1206" i="1"/>
  <c r="K1207" i="1"/>
  <c r="K1208" i="1"/>
  <c r="K1209" i="1"/>
  <c r="K1210" i="1"/>
  <c r="K1211" i="1"/>
  <c r="K1212" i="1"/>
  <c r="K1213" i="1"/>
  <c r="K1214" i="1"/>
  <c r="K1215" i="1"/>
  <c r="K1216" i="1"/>
  <c r="K1217" i="1"/>
  <c r="K1218" i="1"/>
  <c r="K1219" i="1"/>
  <c r="K1220" i="1"/>
  <c r="K1221" i="1"/>
  <c r="K1222" i="1"/>
  <c r="K1223" i="1"/>
  <c r="K1224" i="1"/>
  <c r="K1225" i="1"/>
  <c r="K1226" i="1"/>
  <c r="K1227" i="1"/>
  <c r="K1228" i="1"/>
  <c r="K1229" i="1"/>
  <c r="K1230" i="1"/>
  <c r="K1231" i="1"/>
  <c r="K1232" i="1"/>
  <c r="K1233" i="1"/>
  <c r="K1234" i="1"/>
  <c r="K1235" i="1"/>
  <c r="K1236" i="1"/>
  <c r="K1237" i="1"/>
  <c r="K1238" i="1"/>
  <c r="K1239" i="1"/>
  <c r="K1240" i="1"/>
  <c r="K1241" i="1"/>
  <c r="K1242" i="1"/>
  <c r="K1243" i="1"/>
  <c r="K1244" i="1"/>
  <c r="K1245" i="1"/>
  <c r="K1246" i="1"/>
  <c r="K1247" i="1"/>
  <c r="K1248" i="1"/>
  <c r="K1249" i="1"/>
  <c r="K1250" i="1"/>
  <c r="K1251" i="1"/>
  <c r="K1252" i="1"/>
  <c r="K1253" i="1"/>
  <c r="K1254" i="1"/>
  <c r="K1255" i="1"/>
  <c r="K1256" i="1"/>
  <c r="K1257" i="1"/>
  <c r="K1258" i="1"/>
  <c r="K1259" i="1"/>
  <c r="K1260" i="1"/>
  <c r="K1261" i="1"/>
  <c r="K1262" i="1"/>
  <c r="K1263" i="1"/>
  <c r="K1264" i="1"/>
  <c r="K1265" i="1"/>
  <c r="K1266" i="1"/>
  <c r="K1267" i="1"/>
  <c r="K1268" i="1"/>
  <c r="K1269" i="1"/>
  <c r="K1270" i="1"/>
  <c r="K1271" i="1"/>
  <c r="K1272" i="1"/>
  <c r="K1273" i="1"/>
  <c r="K1274" i="1"/>
  <c r="K1275" i="1"/>
  <c r="K1276" i="1"/>
  <c r="K1277" i="1"/>
  <c r="K1278" i="1"/>
  <c r="K1279" i="1"/>
  <c r="K1280" i="1"/>
  <c r="K1281" i="1"/>
  <c r="K1282" i="1"/>
  <c r="K1283" i="1"/>
  <c r="K1284" i="1"/>
  <c r="K1285" i="1"/>
  <c r="K1286" i="1"/>
  <c r="K1287" i="1"/>
  <c r="K1288" i="1"/>
  <c r="K1289" i="1"/>
  <c r="K1290" i="1"/>
  <c r="K1291" i="1"/>
  <c r="K1292" i="1"/>
  <c r="K1293" i="1"/>
  <c r="K1294" i="1"/>
  <c r="K1295" i="1"/>
  <c r="K1296" i="1"/>
  <c r="K1297" i="1"/>
  <c r="K1298" i="1"/>
  <c r="K1299" i="1"/>
  <c r="K1300" i="1"/>
  <c r="K1301" i="1"/>
  <c r="K1302" i="1"/>
  <c r="K1303" i="1"/>
  <c r="K1304" i="1"/>
  <c r="K1305" i="1"/>
  <c r="K1306" i="1"/>
  <c r="K1307" i="1"/>
  <c r="K1308" i="1"/>
  <c r="K1309" i="1"/>
  <c r="K1310" i="1"/>
  <c r="K1311" i="1"/>
  <c r="K1312" i="1"/>
  <c r="K1313" i="1"/>
  <c r="K1314" i="1"/>
  <c r="K1315" i="1"/>
  <c r="K1316" i="1"/>
  <c r="K1317" i="1"/>
  <c r="K1318" i="1"/>
  <c r="K1319" i="1"/>
  <c r="K1320" i="1"/>
  <c r="K1321" i="1"/>
  <c r="K1322" i="1"/>
  <c r="K1323" i="1"/>
  <c r="K1324" i="1"/>
  <c r="K1325" i="1"/>
  <c r="K1326" i="1"/>
  <c r="K1327" i="1"/>
  <c r="K1328" i="1"/>
  <c r="K1329" i="1"/>
  <c r="K1330" i="1"/>
  <c r="K1331" i="1"/>
  <c r="K1332" i="1"/>
  <c r="K1333" i="1"/>
  <c r="K1334" i="1"/>
  <c r="K1335" i="1"/>
  <c r="K1336" i="1"/>
  <c r="K1337" i="1"/>
  <c r="K1338" i="1"/>
  <c r="K1339" i="1"/>
  <c r="K1340" i="1"/>
  <c r="K1341" i="1"/>
  <c r="K1342" i="1"/>
  <c r="K1343" i="1"/>
  <c r="K1344" i="1"/>
  <c r="K1345" i="1"/>
  <c r="K1346" i="1"/>
  <c r="K1347" i="1"/>
  <c r="K1348" i="1"/>
  <c r="K1349" i="1"/>
  <c r="K1350" i="1"/>
  <c r="K1351" i="1"/>
  <c r="K1352" i="1"/>
  <c r="K1353" i="1"/>
  <c r="K1354" i="1"/>
  <c r="K1355" i="1"/>
  <c r="K1356" i="1"/>
  <c r="K1357" i="1"/>
  <c r="K1358" i="1"/>
  <c r="K1359" i="1"/>
  <c r="K1360" i="1"/>
  <c r="K1361" i="1"/>
  <c r="K1362" i="1"/>
  <c r="K1363" i="1"/>
  <c r="K1364" i="1"/>
  <c r="K1365" i="1"/>
  <c r="K1366" i="1"/>
  <c r="K1367" i="1"/>
  <c r="K1368" i="1"/>
  <c r="K1369" i="1"/>
  <c r="K1370" i="1"/>
  <c r="K1371" i="1"/>
  <c r="K1372" i="1"/>
  <c r="K1373" i="1"/>
  <c r="K1374" i="1"/>
  <c r="K1375" i="1"/>
  <c r="K1376" i="1"/>
  <c r="K1377" i="1"/>
  <c r="K1378" i="1"/>
  <c r="K1379" i="1"/>
  <c r="K1380" i="1"/>
  <c r="K1381" i="1"/>
  <c r="K1382" i="1"/>
  <c r="K1383" i="1"/>
  <c r="K1384" i="1"/>
  <c r="K1385" i="1"/>
  <c r="K1386" i="1"/>
  <c r="K1387" i="1"/>
  <c r="K1388" i="1"/>
  <c r="K1389" i="1"/>
  <c r="K1390" i="1"/>
  <c r="K1391" i="1"/>
  <c r="K1392" i="1"/>
  <c r="K1393" i="1"/>
  <c r="K1394" i="1"/>
  <c r="K1395" i="1"/>
  <c r="K1396" i="1"/>
  <c r="K1397" i="1"/>
  <c r="K1398" i="1"/>
  <c r="K1399" i="1"/>
  <c r="K1400" i="1"/>
  <c r="K1401" i="1"/>
  <c r="K1402" i="1"/>
  <c r="K1403" i="1"/>
  <c r="K1404" i="1"/>
  <c r="K1405" i="1"/>
  <c r="K1406" i="1"/>
  <c r="K1407" i="1"/>
  <c r="K1408" i="1"/>
  <c r="K1409" i="1"/>
  <c r="K1410" i="1"/>
  <c r="K1411" i="1"/>
  <c r="K1412" i="1"/>
  <c r="K1413" i="1"/>
  <c r="K1414" i="1"/>
  <c r="K1415" i="1"/>
  <c r="K1416" i="1"/>
  <c r="K1417" i="1"/>
  <c r="K1418" i="1"/>
  <c r="K1419" i="1"/>
  <c r="K1420" i="1"/>
  <c r="K1421" i="1"/>
  <c r="K1422" i="1"/>
  <c r="K1423" i="1"/>
  <c r="K1424" i="1"/>
  <c r="K1425" i="1"/>
  <c r="K1426" i="1"/>
  <c r="K1427" i="1"/>
  <c r="K1428" i="1"/>
  <c r="K1429" i="1"/>
  <c r="K1430" i="1"/>
  <c r="K1431" i="1"/>
  <c r="K1432" i="1"/>
  <c r="K1433" i="1"/>
  <c r="K1434" i="1"/>
  <c r="K1435" i="1"/>
  <c r="K1436" i="1"/>
  <c r="K1437" i="1"/>
  <c r="K1438" i="1"/>
  <c r="K1439" i="1"/>
  <c r="K1440" i="1"/>
  <c r="K1441" i="1"/>
  <c r="K1442" i="1"/>
  <c r="K1443" i="1"/>
  <c r="K1444" i="1"/>
  <c r="K1445" i="1"/>
  <c r="K1446" i="1"/>
  <c r="K1447" i="1"/>
  <c r="K1448" i="1"/>
  <c r="K1449" i="1"/>
  <c r="K1450" i="1"/>
  <c r="K1451" i="1"/>
  <c r="K1452" i="1"/>
  <c r="K1453" i="1"/>
  <c r="K1454" i="1"/>
  <c r="K1455" i="1"/>
  <c r="K1456" i="1"/>
  <c r="K1457" i="1"/>
  <c r="K1458" i="1"/>
  <c r="K1459" i="1"/>
  <c r="K1460" i="1"/>
  <c r="K1461" i="1"/>
  <c r="K1462" i="1"/>
  <c r="K1463" i="1"/>
  <c r="K1464" i="1"/>
  <c r="K1465" i="1"/>
  <c r="K1466" i="1"/>
  <c r="K1467" i="1"/>
  <c r="K1468" i="1"/>
  <c r="K1469" i="1"/>
  <c r="K1470" i="1"/>
  <c r="K1471" i="1"/>
  <c r="K1472" i="1"/>
  <c r="K1473" i="1"/>
  <c r="K1474" i="1"/>
  <c r="K1475" i="1"/>
  <c r="K1476" i="1"/>
  <c r="K1477" i="1"/>
  <c r="K1478" i="1"/>
  <c r="K1479" i="1"/>
  <c r="K1480" i="1"/>
  <c r="K1481" i="1"/>
  <c r="K1482" i="1"/>
  <c r="K1483" i="1"/>
  <c r="K1484" i="1"/>
  <c r="K1485" i="1"/>
  <c r="K1486" i="1"/>
  <c r="K1487" i="1"/>
  <c r="K1488" i="1"/>
  <c r="K1489" i="1"/>
  <c r="K1490" i="1"/>
  <c r="K1491" i="1"/>
  <c r="K1492" i="1"/>
  <c r="K1493" i="1"/>
  <c r="K1494" i="1"/>
  <c r="K1495" i="1"/>
  <c r="K1496" i="1"/>
  <c r="K1497" i="1"/>
  <c r="K1498" i="1"/>
  <c r="K1499" i="1"/>
  <c r="K1500" i="1"/>
  <c r="K1501" i="1"/>
  <c r="K1502" i="1"/>
  <c r="K1503" i="1"/>
  <c r="K1504" i="1"/>
  <c r="K1505" i="1"/>
  <c r="K1506" i="1"/>
  <c r="K1507" i="1"/>
  <c r="K1508" i="1"/>
  <c r="K1509" i="1"/>
  <c r="K1510" i="1"/>
  <c r="K1511" i="1"/>
  <c r="K1512" i="1"/>
  <c r="K1513" i="1"/>
  <c r="K1514" i="1"/>
  <c r="K1515" i="1"/>
  <c r="K1516" i="1"/>
  <c r="K1517" i="1"/>
  <c r="K1518" i="1"/>
  <c r="K1519" i="1"/>
  <c r="K1520" i="1"/>
  <c r="K1521" i="1"/>
  <c r="K1522" i="1"/>
  <c r="K1523" i="1"/>
  <c r="K1524" i="1"/>
  <c r="K1525" i="1"/>
  <c r="K1526" i="1"/>
  <c r="K1527" i="1"/>
  <c r="K1528" i="1"/>
  <c r="K1529" i="1"/>
  <c r="K1530" i="1"/>
  <c r="K1531" i="1"/>
  <c r="K1532" i="1"/>
  <c r="K1533" i="1"/>
  <c r="K1534" i="1"/>
  <c r="K1535" i="1"/>
  <c r="K1536" i="1"/>
  <c r="K1537" i="1"/>
  <c r="K1538" i="1"/>
  <c r="K1539" i="1"/>
  <c r="K1540" i="1"/>
  <c r="K1541" i="1"/>
  <c r="K1542" i="1"/>
  <c r="K1543" i="1"/>
  <c r="K1544" i="1"/>
  <c r="K1545" i="1"/>
  <c r="K1546" i="1"/>
  <c r="K1547" i="1"/>
  <c r="K1548" i="1"/>
  <c r="K1549" i="1"/>
  <c r="K1550" i="1"/>
  <c r="K1551" i="1"/>
  <c r="K1552" i="1"/>
  <c r="K1553" i="1"/>
  <c r="K1554" i="1"/>
  <c r="K1555" i="1"/>
  <c r="K1556" i="1"/>
  <c r="K1557" i="1"/>
  <c r="K1558" i="1"/>
  <c r="K1559" i="1"/>
  <c r="K1560" i="1"/>
  <c r="K1561" i="1"/>
  <c r="K1562" i="1"/>
  <c r="K1563" i="1"/>
  <c r="K1564" i="1"/>
  <c r="K1565" i="1"/>
  <c r="K1566" i="1"/>
  <c r="K1567" i="1"/>
  <c r="K1568" i="1"/>
  <c r="K1569" i="1"/>
  <c r="K1570" i="1"/>
  <c r="K1571" i="1"/>
  <c r="K1572" i="1"/>
  <c r="K1573" i="1"/>
  <c r="K1574" i="1"/>
  <c r="K1575" i="1"/>
  <c r="K1576" i="1"/>
  <c r="K1577" i="1"/>
  <c r="K1578" i="1"/>
  <c r="K1579" i="1"/>
  <c r="K1580" i="1"/>
  <c r="K1581" i="1"/>
  <c r="K1582" i="1"/>
  <c r="K1583" i="1"/>
  <c r="K1584" i="1"/>
  <c r="K1585" i="1"/>
  <c r="K1586" i="1"/>
  <c r="K1587" i="1"/>
  <c r="K1588" i="1"/>
  <c r="K1589" i="1"/>
  <c r="K1590" i="1"/>
  <c r="K1591" i="1"/>
  <c r="K1592" i="1"/>
  <c r="K1593" i="1"/>
  <c r="K1594" i="1"/>
  <c r="K1595" i="1"/>
  <c r="K1596" i="1"/>
  <c r="K1597" i="1"/>
  <c r="K1598" i="1"/>
  <c r="K1599" i="1"/>
  <c r="K1600" i="1"/>
  <c r="K1601" i="1"/>
  <c r="K1602" i="1"/>
  <c r="K1603" i="1"/>
  <c r="K1604" i="1"/>
  <c r="K1605" i="1"/>
  <c r="K1606" i="1"/>
  <c r="K1607" i="1"/>
  <c r="K1608" i="1"/>
  <c r="K1609" i="1"/>
  <c r="K1610" i="1"/>
  <c r="K1611" i="1"/>
  <c r="K1612" i="1"/>
  <c r="K1613" i="1"/>
  <c r="K1614" i="1"/>
  <c r="K1615" i="1"/>
  <c r="K1616" i="1"/>
  <c r="K1617" i="1"/>
  <c r="K1618" i="1"/>
  <c r="K1619" i="1"/>
  <c r="K1620" i="1"/>
  <c r="K1621" i="1"/>
  <c r="K1622" i="1"/>
  <c r="K1623" i="1"/>
  <c r="K1624" i="1"/>
  <c r="K1625" i="1"/>
  <c r="K1626" i="1"/>
  <c r="K1627" i="1"/>
  <c r="K1628" i="1"/>
  <c r="K1629" i="1"/>
  <c r="K1630" i="1"/>
  <c r="K1631" i="1"/>
  <c r="K1632" i="1"/>
  <c r="K1633" i="1"/>
  <c r="K1634" i="1"/>
  <c r="K1635" i="1"/>
  <c r="K1636" i="1"/>
  <c r="K1637" i="1"/>
  <c r="K1638" i="1"/>
  <c r="K1639" i="1"/>
  <c r="K1640" i="1"/>
  <c r="K1641" i="1"/>
  <c r="K1642" i="1"/>
  <c r="K1643" i="1"/>
  <c r="K1644" i="1"/>
  <c r="K1645" i="1"/>
  <c r="K1646" i="1"/>
  <c r="K1647" i="1"/>
  <c r="K1648" i="1"/>
  <c r="K1649" i="1"/>
  <c r="K1650" i="1"/>
  <c r="K1651" i="1"/>
  <c r="K1652" i="1"/>
  <c r="K1653" i="1"/>
  <c r="K1654" i="1"/>
  <c r="K1655" i="1"/>
  <c r="K1656" i="1"/>
  <c r="K1657" i="1"/>
  <c r="K1658" i="1"/>
  <c r="K1659" i="1"/>
  <c r="K1660" i="1"/>
  <c r="K1661" i="1"/>
  <c r="K1662" i="1"/>
  <c r="K1663" i="1"/>
  <c r="K1664" i="1"/>
  <c r="K1665" i="1"/>
  <c r="K1666" i="1"/>
  <c r="K1667" i="1"/>
  <c r="K1668" i="1"/>
  <c r="K1669" i="1"/>
  <c r="K1670" i="1"/>
  <c r="K1671" i="1"/>
  <c r="K1672" i="1"/>
  <c r="K1673" i="1"/>
  <c r="K1674" i="1"/>
  <c r="K1675" i="1"/>
  <c r="K1676" i="1"/>
  <c r="K1677" i="1"/>
  <c r="K1678" i="1"/>
  <c r="K1679" i="1"/>
  <c r="K1680" i="1"/>
  <c r="K1681" i="1"/>
  <c r="K1682" i="1"/>
  <c r="K1683" i="1"/>
  <c r="K1684" i="1"/>
  <c r="K1685" i="1"/>
  <c r="K1686" i="1"/>
  <c r="K1687" i="1"/>
  <c r="K1688" i="1"/>
  <c r="K1689" i="1"/>
  <c r="K1690" i="1"/>
  <c r="K1691" i="1"/>
  <c r="K1692" i="1"/>
  <c r="K1693" i="1"/>
  <c r="K1694" i="1"/>
  <c r="K1695" i="1"/>
  <c r="K1696" i="1"/>
  <c r="K1697" i="1"/>
  <c r="K1698" i="1"/>
  <c r="K1699" i="1"/>
  <c r="K1700" i="1"/>
  <c r="K1701" i="1"/>
  <c r="K1702" i="1"/>
  <c r="K1703" i="1"/>
  <c r="K1704" i="1"/>
  <c r="K1705" i="1"/>
  <c r="K1706" i="1"/>
  <c r="K1707" i="1"/>
  <c r="K1708" i="1"/>
  <c r="K1709" i="1"/>
  <c r="K1710" i="1"/>
  <c r="K1711" i="1"/>
  <c r="K1712" i="1"/>
  <c r="K1713" i="1"/>
  <c r="K1714" i="1"/>
  <c r="K1715" i="1"/>
  <c r="K1716" i="1"/>
  <c r="K1717" i="1"/>
  <c r="K1718" i="1"/>
  <c r="K1719" i="1"/>
  <c r="K1720" i="1"/>
  <c r="K1721" i="1"/>
  <c r="K1722" i="1"/>
  <c r="K1723" i="1"/>
  <c r="K1724" i="1"/>
  <c r="K1725" i="1"/>
  <c r="K1726" i="1"/>
  <c r="K1727" i="1"/>
  <c r="K1728" i="1"/>
  <c r="K1729" i="1"/>
  <c r="K1730" i="1"/>
  <c r="K1731" i="1"/>
  <c r="K1732" i="1"/>
  <c r="K1733" i="1"/>
  <c r="K1734" i="1"/>
  <c r="K1735" i="1"/>
  <c r="K1736" i="1"/>
  <c r="K1737" i="1"/>
  <c r="K1738" i="1"/>
  <c r="K1739" i="1"/>
  <c r="K1740" i="1"/>
  <c r="K1741" i="1"/>
  <c r="K1742" i="1"/>
  <c r="K1743" i="1"/>
  <c r="K1744" i="1"/>
  <c r="K1745" i="1"/>
  <c r="K1746" i="1"/>
  <c r="K1747" i="1"/>
  <c r="K1748" i="1"/>
  <c r="K1749" i="1"/>
  <c r="K1750" i="1"/>
  <c r="K1751" i="1"/>
  <c r="K1752" i="1"/>
  <c r="K1753" i="1"/>
  <c r="K1754" i="1"/>
  <c r="K1755" i="1"/>
  <c r="K1756" i="1"/>
  <c r="K1757" i="1"/>
  <c r="K1758" i="1"/>
  <c r="K1759" i="1"/>
  <c r="K1760" i="1"/>
  <c r="K1761" i="1"/>
  <c r="K1762" i="1"/>
  <c r="K1763" i="1"/>
  <c r="K1764" i="1"/>
  <c r="K1765" i="1"/>
  <c r="K1766" i="1"/>
  <c r="K1767" i="1"/>
  <c r="K1768" i="1"/>
  <c r="K1769" i="1"/>
  <c r="K1770" i="1"/>
  <c r="K1771" i="1"/>
  <c r="K1772" i="1"/>
  <c r="K1773" i="1"/>
  <c r="K1774" i="1"/>
  <c r="K1775" i="1"/>
  <c r="K1776" i="1"/>
  <c r="K1777" i="1"/>
  <c r="K1778" i="1"/>
  <c r="K1779" i="1"/>
  <c r="K1780" i="1"/>
  <c r="K1781" i="1"/>
  <c r="K1782" i="1"/>
  <c r="K1783" i="1"/>
  <c r="K1784" i="1"/>
  <c r="K1785" i="1"/>
  <c r="K1786" i="1"/>
  <c r="K1787" i="1"/>
  <c r="K1788" i="1"/>
  <c r="K1789" i="1"/>
  <c r="K1790" i="1"/>
  <c r="K1791" i="1"/>
  <c r="K1792" i="1"/>
  <c r="K1793" i="1"/>
  <c r="K1794" i="1"/>
  <c r="K1795" i="1"/>
  <c r="K1796" i="1"/>
  <c r="K1797" i="1"/>
  <c r="K1798" i="1"/>
  <c r="K1799" i="1"/>
  <c r="K1800" i="1"/>
  <c r="K1801" i="1"/>
  <c r="K1802" i="1"/>
  <c r="K1803" i="1"/>
  <c r="K1804" i="1"/>
  <c r="K1805" i="1"/>
  <c r="K1806" i="1"/>
  <c r="K1807" i="1"/>
  <c r="K1808" i="1"/>
  <c r="K1809" i="1"/>
  <c r="K1810" i="1"/>
  <c r="K1811" i="1"/>
  <c r="K1812" i="1"/>
  <c r="K1813" i="1"/>
  <c r="K1814" i="1"/>
  <c r="K1815" i="1"/>
  <c r="K1816" i="1"/>
  <c r="K1817" i="1"/>
  <c r="K1818" i="1"/>
  <c r="K1819" i="1"/>
  <c r="K1820" i="1"/>
  <c r="K1821" i="1"/>
  <c r="K1822" i="1"/>
  <c r="K1823" i="1"/>
  <c r="K1824" i="1"/>
  <c r="K1825" i="1"/>
  <c r="K1826" i="1"/>
  <c r="K1827" i="1"/>
  <c r="K1828" i="1"/>
  <c r="K1829" i="1"/>
  <c r="K1830" i="1"/>
  <c r="K1831" i="1"/>
  <c r="K1832" i="1"/>
  <c r="K1833" i="1"/>
  <c r="K1834" i="1"/>
  <c r="K1835" i="1"/>
  <c r="K1836" i="1"/>
  <c r="K1837" i="1"/>
  <c r="K1838" i="1"/>
  <c r="K1839" i="1"/>
  <c r="K1840" i="1"/>
  <c r="K1841" i="1"/>
  <c r="K1842" i="1"/>
  <c r="K1843" i="1"/>
  <c r="K1844" i="1"/>
  <c r="K1845" i="1"/>
  <c r="K1846" i="1"/>
  <c r="K1847" i="1"/>
  <c r="K1848" i="1"/>
  <c r="K1849" i="1"/>
  <c r="K1850" i="1"/>
  <c r="K1851" i="1"/>
  <c r="K1852" i="1"/>
  <c r="K1853" i="1"/>
  <c r="K1854" i="1"/>
  <c r="K1855" i="1"/>
  <c r="K1856" i="1"/>
  <c r="K1857" i="1"/>
  <c r="K1858" i="1"/>
  <c r="K1859" i="1"/>
  <c r="K1860" i="1"/>
  <c r="K1861" i="1"/>
  <c r="K1862" i="1"/>
  <c r="K1863" i="1"/>
  <c r="K1864" i="1"/>
  <c r="K1865" i="1"/>
  <c r="K1866" i="1"/>
  <c r="K1867" i="1"/>
  <c r="K1868" i="1"/>
  <c r="K1869" i="1"/>
  <c r="K1870" i="1"/>
  <c r="K1871" i="1"/>
  <c r="K1872" i="1"/>
  <c r="K1873" i="1"/>
  <c r="K1874" i="1"/>
  <c r="K1875" i="1"/>
  <c r="K1876" i="1"/>
  <c r="K1877" i="1"/>
  <c r="K1878" i="1"/>
  <c r="K1879" i="1"/>
  <c r="K1880" i="1"/>
  <c r="K1881" i="1"/>
  <c r="K1882" i="1"/>
  <c r="K1883" i="1"/>
  <c r="K1884" i="1"/>
  <c r="K1885" i="1"/>
  <c r="K1886" i="1"/>
  <c r="K1887" i="1"/>
  <c r="K1888" i="1"/>
  <c r="K1889" i="1"/>
  <c r="K1890" i="1"/>
  <c r="K1891" i="1"/>
  <c r="K1892" i="1"/>
  <c r="K1893" i="1"/>
  <c r="K1894" i="1"/>
  <c r="K1895" i="1"/>
  <c r="K1896" i="1"/>
  <c r="K1897" i="1"/>
  <c r="K1898" i="1"/>
  <c r="K1899" i="1"/>
  <c r="K1900" i="1"/>
  <c r="K1901" i="1"/>
  <c r="K1902" i="1"/>
  <c r="K1903" i="1"/>
  <c r="K1904" i="1"/>
  <c r="K1905" i="1"/>
  <c r="K1906" i="1"/>
  <c r="K1907" i="1"/>
  <c r="K1908" i="1"/>
  <c r="K1909" i="1"/>
  <c r="K1910" i="1"/>
  <c r="K1911" i="1"/>
  <c r="K1912" i="1"/>
  <c r="K1913" i="1"/>
  <c r="K1914" i="1"/>
  <c r="K1915" i="1"/>
  <c r="K1916" i="1"/>
  <c r="K1917" i="1"/>
  <c r="K1918" i="1"/>
  <c r="K1919" i="1"/>
  <c r="K1920" i="1"/>
  <c r="K1921" i="1"/>
  <c r="K1922" i="1"/>
  <c r="K1923" i="1"/>
  <c r="K1924" i="1"/>
  <c r="K1925" i="1"/>
  <c r="K1926" i="1"/>
  <c r="K1927" i="1"/>
  <c r="K1928" i="1"/>
  <c r="K1929" i="1"/>
  <c r="K1930" i="1"/>
  <c r="K1931" i="1"/>
  <c r="K1932" i="1"/>
  <c r="K1933" i="1"/>
  <c r="K1934" i="1"/>
  <c r="K1935" i="1"/>
  <c r="K1936" i="1"/>
  <c r="K1937" i="1"/>
  <c r="K1938" i="1"/>
  <c r="K1939" i="1"/>
  <c r="K1940" i="1"/>
  <c r="K1941" i="1"/>
  <c r="K1942" i="1"/>
  <c r="K1943" i="1"/>
  <c r="K1944" i="1"/>
  <c r="K1945" i="1"/>
  <c r="K1946" i="1"/>
  <c r="K1947" i="1"/>
  <c r="K1948" i="1"/>
  <c r="K1949" i="1"/>
  <c r="K1950" i="1"/>
  <c r="K1951" i="1"/>
  <c r="K1952" i="1"/>
  <c r="K1953" i="1"/>
  <c r="K1954" i="1"/>
  <c r="K1955" i="1"/>
  <c r="K1956" i="1"/>
  <c r="K1957" i="1"/>
  <c r="K1958" i="1"/>
  <c r="K1959" i="1"/>
  <c r="K1960" i="1"/>
  <c r="K1961" i="1"/>
  <c r="K1962" i="1"/>
  <c r="K1963" i="1"/>
  <c r="K1964" i="1"/>
  <c r="K1965" i="1"/>
  <c r="K1966" i="1"/>
  <c r="K1967" i="1"/>
  <c r="K1968" i="1"/>
  <c r="K1969" i="1"/>
  <c r="K1970" i="1"/>
  <c r="K1971" i="1"/>
  <c r="K1972" i="1"/>
  <c r="K1973" i="1"/>
  <c r="K1974" i="1"/>
  <c r="K1975" i="1"/>
  <c r="K1976" i="1"/>
  <c r="K1977" i="1"/>
  <c r="K1978" i="1"/>
  <c r="K1979" i="1"/>
  <c r="K1980" i="1"/>
  <c r="K1981" i="1"/>
  <c r="K1982" i="1"/>
  <c r="K1983" i="1"/>
  <c r="K1984" i="1"/>
  <c r="K1985" i="1"/>
  <c r="K1986" i="1"/>
  <c r="K1987" i="1"/>
  <c r="K1988" i="1"/>
  <c r="K1989" i="1"/>
  <c r="K1990" i="1"/>
  <c r="K1991" i="1"/>
  <c r="K1992" i="1"/>
  <c r="K1993" i="1"/>
  <c r="K1994" i="1"/>
  <c r="K1995" i="1"/>
  <c r="K1996" i="1"/>
  <c r="K1997" i="1"/>
  <c r="K1998" i="1"/>
  <c r="K1999" i="1"/>
  <c r="K2000" i="1"/>
  <c r="K2001" i="1"/>
  <c r="K2002" i="1"/>
  <c r="K2003" i="1"/>
  <c r="K2004" i="1"/>
  <c r="K2005" i="1"/>
  <c r="K2006" i="1"/>
  <c r="K2007" i="1"/>
  <c r="K2008" i="1"/>
  <c r="K2009" i="1"/>
  <c r="K2010" i="1"/>
  <c r="K2011" i="1"/>
  <c r="K2012" i="1"/>
  <c r="K2013" i="1"/>
  <c r="K2014" i="1"/>
  <c r="K2015" i="1"/>
  <c r="K2016" i="1"/>
  <c r="K2017" i="1"/>
  <c r="K2018" i="1"/>
  <c r="K2019" i="1"/>
  <c r="K2020" i="1"/>
  <c r="K2021" i="1"/>
  <c r="K2022" i="1"/>
  <c r="K2023" i="1"/>
  <c r="K2024" i="1"/>
  <c r="K2025" i="1"/>
  <c r="K2026" i="1"/>
  <c r="K2027" i="1"/>
  <c r="K2028" i="1"/>
  <c r="K2029" i="1"/>
  <c r="K2030" i="1"/>
  <c r="K2031" i="1"/>
  <c r="K2032" i="1"/>
  <c r="K2033" i="1"/>
  <c r="K2034" i="1"/>
  <c r="K2035" i="1"/>
  <c r="K2036" i="1"/>
  <c r="K2037" i="1"/>
  <c r="K2038" i="1"/>
  <c r="K2039" i="1"/>
  <c r="K2040" i="1"/>
  <c r="K2041" i="1"/>
  <c r="K2042" i="1"/>
  <c r="K2043" i="1"/>
  <c r="K2044" i="1"/>
  <c r="K2045" i="1"/>
  <c r="K2046" i="1"/>
  <c r="K2047" i="1"/>
  <c r="K2048" i="1"/>
  <c r="K2049" i="1"/>
  <c r="K2050" i="1"/>
  <c r="K2051" i="1"/>
  <c r="K2052" i="1"/>
  <c r="K2053" i="1"/>
  <c r="K2054" i="1"/>
  <c r="K2055" i="1"/>
  <c r="K2056" i="1"/>
  <c r="K2057" i="1"/>
  <c r="K2058" i="1"/>
  <c r="K2059" i="1"/>
  <c r="K2060" i="1"/>
  <c r="K2061" i="1"/>
  <c r="K2062" i="1"/>
  <c r="K2063" i="1"/>
  <c r="K2064" i="1"/>
  <c r="K2065" i="1"/>
  <c r="K2066" i="1"/>
  <c r="K2067" i="1"/>
  <c r="K2068" i="1"/>
  <c r="K2069" i="1"/>
  <c r="K2070" i="1"/>
  <c r="K2071" i="1"/>
  <c r="K2072" i="1"/>
  <c r="K2073" i="1"/>
  <c r="K2074" i="1"/>
  <c r="K2075" i="1"/>
  <c r="K2076" i="1"/>
  <c r="K2077" i="1"/>
  <c r="K2078" i="1"/>
  <c r="K2079" i="1"/>
  <c r="K2080" i="1"/>
  <c r="K2081" i="1"/>
  <c r="K2082" i="1"/>
  <c r="K2083" i="1"/>
  <c r="K2084" i="1"/>
  <c r="K2085" i="1"/>
  <c r="K2086" i="1"/>
  <c r="K2087" i="1"/>
  <c r="K2088" i="1"/>
  <c r="K2089" i="1"/>
  <c r="K2090" i="1"/>
  <c r="K2091" i="1"/>
  <c r="K2092" i="1"/>
  <c r="K2093" i="1"/>
  <c r="K2094" i="1"/>
  <c r="K2095" i="1"/>
  <c r="K2096" i="1"/>
  <c r="K2097" i="1"/>
  <c r="K2098" i="1"/>
  <c r="K2099" i="1"/>
  <c r="K2100" i="1"/>
  <c r="K2101" i="1"/>
  <c r="K2102" i="1"/>
  <c r="K2103" i="1"/>
  <c r="K2104" i="1"/>
  <c r="K2105" i="1"/>
  <c r="K2106" i="1"/>
  <c r="K2107" i="1"/>
  <c r="K2108" i="1"/>
  <c r="K2109" i="1"/>
  <c r="K2110" i="1"/>
  <c r="K2111" i="1"/>
  <c r="K2112" i="1"/>
  <c r="K2113" i="1"/>
  <c r="K2114" i="1"/>
  <c r="K2115" i="1"/>
  <c r="K2116" i="1"/>
  <c r="K2117" i="1"/>
  <c r="K2118" i="1"/>
  <c r="K2119" i="1"/>
  <c r="K2120" i="1"/>
  <c r="K2121" i="1"/>
  <c r="K2122" i="1"/>
  <c r="K2123" i="1"/>
  <c r="K2124" i="1"/>
  <c r="K2125" i="1"/>
  <c r="K2126" i="1"/>
  <c r="K2127" i="1"/>
  <c r="K2128" i="1"/>
  <c r="K2129" i="1"/>
  <c r="K2130" i="1"/>
  <c r="K2131" i="1"/>
  <c r="K2132" i="1"/>
  <c r="K2133" i="1"/>
  <c r="K2134" i="1"/>
  <c r="K2135" i="1"/>
  <c r="K2136" i="1"/>
  <c r="K2137" i="1"/>
  <c r="K2138" i="1"/>
  <c r="K2139" i="1"/>
  <c r="K2140" i="1"/>
  <c r="K2141" i="1"/>
  <c r="K2142" i="1"/>
  <c r="K2143" i="1"/>
  <c r="K2144" i="1"/>
  <c r="K2145" i="1"/>
  <c r="K2146" i="1"/>
  <c r="K2147" i="1"/>
  <c r="K2148" i="1"/>
  <c r="K2149" i="1"/>
  <c r="K2150" i="1"/>
  <c r="K2151" i="1"/>
  <c r="K2152" i="1"/>
  <c r="K2153" i="1"/>
  <c r="K2154" i="1"/>
  <c r="K2155" i="1"/>
  <c r="K2156" i="1"/>
  <c r="K2157" i="1"/>
  <c r="K2158" i="1"/>
  <c r="K2159" i="1"/>
  <c r="K2160" i="1"/>
  <c r="K2161" i="1"/>
  <c r="K2162" i="1"/>
  <c r="K2163" i="1"/>
  <c r="K2164" i="1"/>
  <c r="K2165" i="1"/>
  <c r="K2166" i="1"/>
  <c r="K2167" i="1"/>
  <c r="K2168" i="1"/>
  <c r="K2169" i="1"/>
  <c r="K2170" i="1"/>
  <c r="K2171" i="1"/>
  <c r="K2172" i="1"/>
  <c r="K2173" i="1"/>
  <c r="K2174" i="1"/>
  <c r="K2175" i="1"/>
  <c r="K2176" i="1"/>
  <c r="K2177" i="1"/>
  <c r="K2178" i="1"/>
  <c r="K2179" i="1"/>
  <c r="K2180" i="1"/>
  <c r="K2181" i="1"/>
  <c r="K2182" i="1"/>
  <c r="K2183" i="1"/>
  <c r="K2184" i="1"/>
  <c r="K2185" i="1"/>
  <c r="K2186" i="1"/>
  <c r="K2187" i="1"/>
  <c r="K2188" i="1"/>
  <c r="K2189" i="1"/>
  <c r="K2190" i="1"/>
  <c r="K2191" i="1"/>
  <c r="K2192" i="1"/>
  <c r="K2193" i="1"/>
  <c r="K2194" i="1"/>
  <c r="K2195" i="1"/>
  <c r="K2196" i="1"/>
  <c r="K2197" i="1"/>
  <c r="K2198" i="1"/>
  <c r="K2199" i="1"/>
  <c r="K2200" i="1"/>
  <c r="K2201" i="1"/>
  <c r="K2202" i="1"/>
  <c r="K2203" i="1"/>
  <c r="K2204" i="1"/>
  <c r="K2205" i="1"/>
  <c r="K2206" i="1"/>
  <c r="K2207" i="1"/>
  <c r="K2208" i="1"/>
  <c r="K2209" i="1"/>
  <c r="K2210" i="1"/>
  <c r="K2211" i="1"/>
  <c r="K2212" i="1"/>
  <c r="K2213" i="1"/>
  <c r="K2214" i="1"/>
  <c r="K2215" i="1"/>
  <c r="K2216" i="1"/>
  <c r="K2217" i="1"/>
  <c r="K2218" i="1"/>
  <c r="K2219" i="1"/>
  <c r="K2220" i="1"/>
  <c r="K2221" i="1"/>
  <c r="K2222" i="1"/>
  <c r="K2223" i="1"/>
  <c r="K2224" i="1"/>
  <c r="K2225" i="1"/>
  <c r="K2226" i="1"/>
  <c r="K2227" i="1"/>
  <c r="K2228" i="1"/>
  <c r="K2229" i="1"/>
  <c r="K2230" i="1"/>
  <c r="K2231" i="1"/>
  <c r="K2232" i="1"/>
  <c r="K2233" i="1"/>
  <c r="K2234" i="1"/>
  <c r="K2235" i="1"/>
  <c r="K2236" i="1"/>
  <c r="K2237" i="1"/>
  <c r="K2238" i="1"/>
  <c r="K2239" i="1"/>
  <c r="K2240" i="1"/>
  <c r="K2241" i="1"/>
  <c r="K2242" i="1"/>
  <c r="K2243" i="1"/>
  <c r="K2244" i="1"/>
  <c r="K2245" i="1"/>
  <c r="K2246" i="1"/>
  <c r="K2247" i="1"/>
  <c r="K2248" i="1"/>
  <c r="K2249" i="1"/>
  <c r="K2250" i="1"/>
  <c r="K2251" i="1"/>
  <c r="K2252" i="1"/>
  <c r="K2253" i="1"/>
  <c r="K2254" i="1"/>
  <c r="K2255" i="1"/>
  <c r="K2256" i="1"/>
  <c r="K2257" i="1"/>
  <c r="K2258" i="1"/>
  <c r="K2259" i="1"/>
  <c r="K2260" i="1"/>
  <c r="K2261" i="1"/>
  <c r="K2262" i="1"/>
  <c r="K2263" i="1"/>
  <c r="K2264" i="1"/>
  <c r="K2265" i="1"/>
  <c r="K2266" i="1"/>
  <c r="K2267" i="1"/>
  <c r="K2268" i="1"/>
  <c r="K2269" i="1"/>
  <c r="K2270" i="1"/>
  <c r="K2271" i="1"/>
  <c r="K2272" i="1"/>
  <c r="K2273" i="1"/>
  <c r="K2274" i="1"/>
  <c r="K2275" i="1"/>
  <c r="K2276" i="1"/>
  <c r="K2277" i="1"/>
  <c r="K2278" i="1"/>
  <c r="K2279" i="1"/>
  <c r="K2280" i="1"/>
  <c r="K2281" i="1"/>
  <c r="K2282" i="1"/>
  <c r="K2283" i="1"/>
  <c r="K2284" i="1"/>
  <c r="K2285" i="1"/>
  <c r="K2286" i="1"/>
  <c r="K2287" i="1"/>
  <c r="K2288" i="1"/>
  <c r="K2289" i="1"/>
  <c r="K2290" i="1"/>
  <c r="K2291" i="1"/>
  <c r="K2292" i="1"/>
  <c r="K2293" i="1"/>
  <c r="K2294" i="1"/>
  <c r="K2295" i="1"/>
  <c r="K2296" i="1"/>
  <c r="K2297" i="1"/>
  <c r="K2298" i="1"/>
  <c r="K2299" i="1"/>
  <c r="K2300" i="1"/>
  <c r="K2301" i="1"/>
  <c r="K2302" i="1"/>
  <c r="K2303" i="1"/>
  <c r="K2304" i="1"/>
  <c r="K2305" i="1"/>
  <c r="K2306" i="1"/>
  <c r="K2307" i="1"/>
  <c r="K2308" i="1"/>
  <c r="K2309" i="1"/>
  <c r="K2310" i="1"/>
  <c r="K2311" i="1"/>
  <c r="K2312" i="1"/>
  <c r="K2313" i="1"/>
  <c r="K2314" i="1"/>
  <c r="K2315" i="1"/>
  <c r="K2316" i="1"/>
  <c r="K2317" i="1"/>
  <c r="K2318" i="1"/>
  <c r="K2319" i="1"/>
  <c r="K2320" i="1"/>
  <c r="K2321" i="1"/>
  <c r="K2322" i="1"/>
  <c r="K2323" i="1"/>
  <c r="K2324" i="1"/>
  <c r="K2325" i="1"/>
  <c r="K2326" i="1"/>
  <c r="K2327" i="1"/>
  <c r="K2328" i="1"/>
  <c r="K2329" i="1"/>
  <c r="K2330" i="1"/>
  <c r="K2331" i="1"/>
  <c r="K2332" i="1"/>
  <c r="K2333" i="1"/>
  <c r="K2334" i="1"/>
  <c r="K2335" i="1"/>
  <c r="K2336" i="1"/>
  <c r="K2337" i="1"/>
  <c r="K2338" i="1"/>
  <c r="K2339" i="1"/>
  <c r="K2340" i="1"/>
  <c r="K2341" i="1"/>
  <c r="K2342" i="1"/>
  <c r="K2343" i="1"/>
  <c r="K2344" i="1"/>
  <c r="K2345" i="1"/>
  <c r="K2346" i="1"/>
  <c r="K2347" i="1"/>
  <c r="K2348" i="1"/>
  <c r="K2349" i="1"/>
  <c r="K2350" i="1"/>
  <c r="K2351" i="1"/>
  <c r="K2352" i="1"/>
  <c r="K2353" i="1"/>
  <c r="K2354" i="1"/>
  <c r="K2355" i="1"/>
  <c r="K2356" i="1"/>
  <c r="K2357" i="1"/>
  <c r="K2358" i="1"/>
  <c r="K2359" i="1"/>
  <c r="K2360" i="1"/>
  <c r="K2361" i="1"/>
  <c r="K2362" i="1"/>
  <c r="K2363" i="1"/>
  <c r="K2364" i="1"/>
  <c r="K2365" i="1"/>
  <c r="K2366" i="1"/>
  <c r="K2367" i="1"/>
  <c r="K2368" i="1"/>
  <c r="K2369" i="1"/>
  <c r="K2370" i="1"/>
  <c r="K2371" i="1"/>
  <c r="K2372" i="1"/>
  <c r="K2373" i="1"/>
  <c r="K2374" i="1"/>
  <c r="K2375" i="1"/>
  <c r="K2376" i="1"/>
  <c r="K2377" i="1"/>
  <c r="K2378" i="1"/>
  <c r="K2379" i="1"/>
  <c r="K2380" i="1"/>
  <c r="K2381" i="1"/>
  <c r="K2382" i="1"/>
  <c r="K2383" i="1"/>
  <c r="K2384" i="1"/>
  <c r="K2385" i="1"/>
  <c r="K2386" i="1"/>
  <c r="K2387" i="1"/>
  <c r="K2388" i="1"/>
  <c r="K2389" i="1"/>
  <c r="K2390" i="1"/>
  <c r="K2391" i="1"/>
  <c r="K2392" i="1"/>
  <c r="K2393" i="1"/>
  <c r="K2394" i="1"/>
  <c r="K2395" i="1"/>
  <c r="K2396" i="1"/>
  <c r="K2397" i="1"/>
  <c r="K2398" i="1"/>
  <c r="K2399" i="1"/>
  <c r="K2400" i="1"/>
  <c r="K2401" i="1"/>
  <c r="K2402" i="1"/>
  <c r="K2403" i="1"/>
  <c r="K2404" i="1"/>
  <c r="K2405" i="1"/>
  <c r="K2406" i="1"/>
  <c r="K2407" i="1"/>
  <c r="K2408" i="1"/>
  <c r="K2409" i="1"/>
  <c r="K2410" i="1"/>
  <c r="K2411" i="1"/>
  <c r="K2412" i="1"/>
  <c r="K2413" i="1"/>
  <c r="K2414" i="1"/>
  <c r="K2415" i="1"/>
  <c r="K2416" i="1"/>
  <c r="K2417" i="1"/>
  <c r="K2418" i="1"/>
  <c r="K2419" i="1"/>
  <c r="K2420" i="1"/>
  <c r="K2421" i="1"/>
  <c r="K2422" i="1"/>
  <c r="K2423" i="1"/>
  <c r="K2424" i="1"/>
  <c r="K2425" i="1"/>
  <c r="K2426" i="1"/>
  <c r="K2427" i="1"/>
  <c r="K2428" i="1"/>
  <c r="K2429" i="1"/>
  <c r="K2430" i="1"/>
  <c r="K2431" i="1"/>
  <c r="K2432" i="1"/>
  <c r="K2433" i="1"/>
  <c r="K2434" i="1"/>
  <c r="K2435" i="1"/>
  <c r="K2436" i="1"/>
  <c r="K2437" i="1"/>
  <c r="K2438" i="1"/>
  <c r="K2439" i="1"/>
  <c r="K2440" i="1"/>
  <c r="K2441" i="1"/>
  <c r="K2442" i="1"/>
  <c r="K2443" i="1"/>
  <c r="K2444" i="1"/>
  <c r="K2445" i="1"/>
  <c r="K2446" i="1"/>
  <c r="K2447" i="1"/>
  <c r="K2448" i="1"/>
  <c r="K2449" i="1"/>
  <c r="K2450" i="1"/>
  <c r="K2451" i="1"/>
  <c r="K2452" i="1"/>
  <c r="K2453" i="1"/>
  <c r="K2454" i="1"/>
  <c r="K2455" i="1"/>
  <c r="K2456" i="1"/>
  <c r="K2457" i="1"/>
  <c r="K2458" i="1"/>
  <c r="K2459" i="1"/>
  <c r="K2460" i="1"/>
  <c r="K2461" i="1"/>
  <c r="K2462" i="1"/>
  <c r="K2463" i="1"/>
  <c r="K2464" i="1"/>
  <c r="K2465" i="1"/>
  <c r="K2466" i="1"/>
  <c r="K2467" i="1"/>
  <c r="K2468" i="1"/>
  <c r="K2469" i="1"/>
  <c r="K2470" i="1"/>
  <c r="K2471" i="1"/>
  <c r="K2472" i="1"/>
  <c r="K2473" i="1"/>
  <c r="K2474" i="1"/>
  <c r="K2475" i="1"/>
  <c r="K2476" i="1"/>
  <c r="K2477" i="1"/>
  <c r="K2478" i="1"/>
  <c r="K2479" i="1"/>
  <c r="K2480" i="1"/>
  <c r="K2481" i="1"/>
  <c r="K2482" i="1"/>
  <c r="K2483" i="1"/>
  <c r="K2484" i="1"/>
  <c r="K2485" i="1"/>
  <c r="K2486" i="1"/>
  <c r="K2487" i="1"/>
  <c r="K2488" i="1"/>
  <c r="K2489" i="1"/>
  <c r="K2490" i="1"/>
  <c r="K2491" i="1"/>
  <c r="K2492" i="1"/>
  <c r="K2493" i="1"/>
  <c r="K2494" i="1"/>
  <c r="K2495" i="1"/>
  <c r="K2496" i="1"/>
  <c r="K2497" i="1"/>
  <c r="K2498" i="1"/>
  <c r="K2499" i="1"/>
  <c r="K2500" i="1"/>
  <c r="K2501" i="1"/>
  <c r="K2502" i="1"/>
  <c r="K2503" i="1"/>
  <c r="K2504" i="1"/>
  <c r="K2505" i="1"/>
  <c r="K2506" i="1"/>
  <c r="K2507" i="1"/>
  <c r="K2508" i="1"/>
  <c r="K2509" i="1"/>
  <c r="K2510" i="1"/>
  <c r="K2511" i="1"/>
  <c r="K2512" i="1"/>
  <c r="K2513" i="1"/>
  <c r="K2514" i="1"/>
  <c r="K2515" i="1"/>
  <c r="K2516" i="1"/>
  <c r="K2517" i="1"/>
  <c r="K2518" i="1"/>
  <c r="K2519" i="1"/>
  <c r="K2520" i="1"/>
  <c r="K2521" i="1"/>
  <c r="K2522" i="1"/>
  <c r="K2523" i="1"/>
  <c r="K2524" i="1"/>
  <c r="K2525" i="1"/>
  <c r="K2526" i="1"/>
  <c r="K2527" i="1"/>
  <c r="K2528" i="1"/>
  <c r="K2529" i="1"/>
  <c r="K2530" i="1"/>
  <c r="K2531" i="1"/>
  <c r="K2532" i="1"/>
  <c r="K2533" i="1"/>
  <c r="K2534" i="1"/>
  <c r="K2535" i="1"/>
  <c r="K2536" i="1"/>
  <c r="K2537" i="1"/>
  <c r="K2538" i="1"/>
  <c r="K2539" i="1"/>
  <c r="K2540" i="1"/>
  <c r="K2541" i="1"/>
  <c r="K2542" i="1"/>
  <c r="K2543" i="1"/>
  <c r="K2544" i="1"/>
  <c r="K2545" i="1"/>
  <c r="K2546" i="1"/>
  <c r="K2547" i="1"/>
  <c r="K2548" i="1"/>
  <c r="K2549" i="1"/>
  <c r="K2550" i="1"/>
  <c r="K2551" i="1"/>
  <c r="K2552" i="1"/>
  <c r="K2553" i="1"/>
  <c r="K2554" i="1"/>
  <c r="K2555" i="1"/>
  <c r="K2556" i="1"/>
  <c r="K2557" i="1"/>
  <c r="K2558" i="1"/>
  <c r="K2559" i="1"/>
  <c r="K2560" i="1"/>
  <c r="K2561" i="1"/>
  <c r="K2562" i="1"/>
  <c r="K2563" i="1"/>
  <c r="K2564" i="1"/>
  <c r="K2565" i="1"/>
  <c r="K2566" i="1"/>
  <c r="K2567" i="1"/>
  <c r="K2568" i="1"/>
  <c r="K2569" i="1"/>
  <c r="K2570" i="1"/>
  <c r="K2571" i="1"/>
  <c r="K2572" i="1"/>
  <c r="K2573" i="1"/>
  <c r="K2574" i="1"/>
  <c r="K2575" i="1"/>
  <c r="K2576" i="1"/>
  <c r="K2577" i="1"/>
  <c r="K2578" i="1"/>
  <c r="K2579" i="1"/>
  <c r="K2580" i="1"/>
  <c r="K2581" i="1"/>
  <c r="K2582" i="1"/>
  <c r="K2583" i="1"/>
  <c r="K2584" i="1"/>
  <c r="K2585" i="1"/>
  <c r="K2586" i="1"/>
  <c r="K2587" i="1"/>
  <c r="K2588" i="1"/>
  <c r="K2589" i="1"/>
  <c r="K2590" i="1"/>
  <c r="K2591" i="1"/>
  <c r="K2592" i="1"/>
  <c r="K2593" i="1"/>
  <c r="K2594" i="1"/>
  <c r="K2595" i="1"/>
  <c r="K2596" i="1"/>
  <c r="K2597" i="1"/>
  <c r="K2598" i="1"/>
  <c r="K2599" i="1"/>
  <c r="K2600" i="1"/>
  <c r="K2601" i="1"/>
  <c r="K2602" i="1"/>
  <c r="K2603" i="1"/>
  <c r="K2604" i="1"/>
  <c r="K2605" i="1"/>
  <c r="K2606" i="1"/>
  <c r="K2607" i="1"/>
  <c r="K2608" i="1"/>
  <c r="K2609" i="1"/>
  <c r="K2610" i="1"/>
  <c r="K2611" i="1"/>
  <c r="K2612" i="1"/>
  <c r="K2613" i="1"/>
  <c r="K2614" i="1"/>
  <c r="K2615" i="1"/>
  <c r="K2616" i="1"/>
  <c r="K2617" i="1"/>
  <c r="K2618" i="1"/>
  <c r="K2619" i="1"/>
  <c r="K2620" i="1"/>
  <c r="K2621" i="1"/>
  <c r="K2622" i="1"/>
  <c r="K2623" i="1"/>
  <c r="K2624" i="1"/>
  <c r="K2625" i="1"/>
  <c r="K2626" i="1"/>
  <c r="K2627" i="1"/>
  <c r="K2628" i="1"/>
  <c r="K2629" i="1"/>
  <c r="K2630" i="1"/>
  <c r="K2631" i="1"/>
  <c r="K2632" i="1"/>
  <c r="K2633" i="1"/>
  <c r="K2634" i="1"/>
  <c r="K2635" i="1"/>
  <c r="K2636" i="1"/>
  <c r="K2637" i="1"/>
  <c r="K2638" i="1"/>
  <c r="K2639" i="1"/>
  <c r="K2640" i="1"/>
  <c r="K2641" i="1"/>
  <c r="K2642" i="1"/>
  <c r="K2643" i="1"/>
  <c r="K2644" i="1"/>
  <c r="K2645" i="1"/>
  <c r="K2646" i="1"/>
  <c r="K2647" i="1"/>
  <c r="K2648" i="1"/>
  <c r="K2649" i="1"/>
  <c r="K2650" i="1"/>
  <c r="K2651" i="1"/>
  <c r="K2652" i="1"/>
  <c r="K2653" i="1"/>
  <c r="K2654" i="1"/>
  <c r="K2655" i="1"/>
  <c r="K2656" i="1"/>
  <c r="K2657" i="1"/>
  <c r="K2658" i="1"/>
  <c r="K2659" i="1"/>
  <c r="K2660" i="1"/>
  <c r="K2661" i="1"/>
  <c r="K2662" i="1"/>
  <c r="K2663" i="1"/>
  <c r="K2664" i="1"/>
  <c r="K2665" i="1"/>
  <c r="K2666" i="1"/>
  <c r="K2667" i="1"/>
  <c r="K2668" i="1"/>
  <c r="K2669" i="1"/>
  <c r="K2670" i="1"/>
  <c r="K2671" i="1"/>
  <c r="K2672" i="1"/>
  <c r="K2673" i="1"/>
  <c r="K2674" i="1"/>
  <c r="K2675" i="1"/>
  <c r="K2676" i="1"/>
  <c r="K2677" i="1"/>
  <c r="K2678" i="1"/>
  <c r="K2679" i="1"/>
  <c r="K2680" i="1"/>
  <c r="K2681" i="1"/>
  <c r="K2682" i="1"/>
  <c r="K2683" i="1"/>
  <c r="K2684" i="1"/>
  <c r="K2685" i="1"/>
  <c r="K2686" i="1"/>
  <c r="K2687" i="1"/>
  <c r="K2688" i="1"/>
  <c r="K2689" i="1"/>
  <c r="K2690" i="1"/>
  <c r="K2691" i="1"/>
  <c r="K2692" i="1"/>
  <c r="K2693" i="1"/>
  <c r="K2694" i="1"/>
  <c r="K2695" i="1"/>
  <c r="K2696" i="1"/>
  <c r="K2697" i="1"/>
  <c r="K2698" i="1"/>
  <c r="K2699" i="1"/>
  <c r="K2700" i="1"/>
  <c r="K2701" i="1"/>
  <c r="K2702" i="1"/>
  <c r="K2703" i="1"/>
  <c r="K2704" i="1"/>
  <c r="K2705" i="1"/>
  <c r="K2706" i="1"/>
  <c r="K2707" i="1"/>
  <c r="K2708" i="1"/>
  <c r="K2709" i="1"/>
  <c r="K2710" i="1"/>
  <c r="K2711" i="1"/>
  <c r="K2712" i="1"/>
  <c r="K2713" i="1"/>
  <c r="K2714" i="1"/>
  <c r="K2715" i="1"/>
  <c r="K2716" i="1"/>
  <c r="K2717" i="1"/>
  <c r="K2718" i="1"/>
  <c r="K2719" i="1"/>
  <c r="K2720" i="1"/>
  <c r="K2721" i="1"/>
  <c r="K2722" i="1"/>
  <c r="K2723" i="1"/>
  <c r="K2724" i="1"/>
  <c r="K2725" i="1"/>
  <c r="K2726" i="1"/>
  <c r="K2727" i="1"/>
  <c r="K2728" i="1"/>
  <c r="K2729" i="1"/>
  <c r="K2730" i="1"/>
  <c r="K2731" i="1"/>
  <c r="K2732" i="1"/>
  <c r="K2733" i="1"/>
  <c r="K2734" i="1"/>
  <c r="K2735" i="1"/>
  <c r="K2736" i="1"/>
  <c r="K2737" i="1"/>
  <c r="K2738" i="1"/>
  <c r="K2739" i="1"/>
  <c r="K2740" i="1"/>
  <c r="K2741" i="1"/>
  <c r="K2742" i="1"/>
  <c r="K2743" i="1"/>
  <c r="K2744" i="1"/>
  <c r="K2745" i="1"/>
  <c r="K2746" i="1"/>
  <c r="K2747" i="1"/>
  <c r="K2748" i="1"/>
  <c r="K2749" i="1"/>
  <c r="K2750" i="1"/>
  <c r="K2751" i="1"/>
  <c r="K2752" i="1"/>
  <c r="K2753" i="1"/>
  <c r="K2754" i="1"/>
  <c r="K2755" i="1"/>
  <c r="K2756" i="1"/>
  <c r="K2757" i="1"/>
  <c r="K2758" i="1"/>
  <c r="K2759" i="1"/>
  <c r="K2760" i="1"/>
  <c r="K2761" i="1"/>
  <c r="K2762" i="1"/>
  <c r="K2763" i="1"/>
  <c r="K2764" i="1"/>
  <c r="K2765" i="1"/>
  <c r="K2766" i="1"/>
  <c r="K2767" i="1"/>
  <c r="K2768" i="1"/>
  <c r="K2769" i="1"/>
  <c r="K2770" i="1"/>
  <c r="K2771" i="1"/>
  <c r="K2772" i="1"/>
  <c r="K2773" i="1"/>
  <c r="K2774" i="1"/>
  <c r="K2775" i="1"/>
  <c r="K2776" i="1"/>
  <c r="K2777" i="1"/>
  <c r="K2778" i="1"/>
  <c r="K2779" i="1"/>
  <c r="K2780" i="1"/>
  <c r="K2781" i="1"/>
  <c r="K2782" i="1"/>
  <c r="K2783" i="1"/>
  <c r="K2784" i="1"/>
  <c r="K2785" i="1"/>
  <c r="K2786" i="1"/>
  <c r="K2787" i="1"/>
  <c r="K2788" i="1"/>
  <c r="K2789" i="1"/>
  <c r="K2790" i="1"/>
  <c r="K2791" i="1"/>
  <c r="K2792" i="1"/>
  <c r="K2793" i="1"/>
  <c r="K2794" i="1"/>
  <c r="K2795" i="1"/>
  <c r="K2796" i="1"/>
  <c r="K2797" i="1"/>
  <c r="K2798" i="1"/>
  <c r="K2799" i="1"/>
  <c r="K2800" i="1"/>
  <c r="K2801" i="1"/>
  <c r="K2802" i="1"/>
  <c r="K2803" i="1"/>
  <c r="K2804" i="1"/>
  <c r="K2805" i="1"/>
  <c r="K2806" i="1"/>
  <c r="K2807" i="1"/>
  <c r="K2808" i="1"/>
  <c r="K2809" i="1"/>
  <c r="K2810" i="1"/>
  <c r="K2811" i="1"/>
  <c r="K2812" i="1"/>
  <c r="K2813" i="1"/>
  <c r="K2814" i="1"/>
  <c r="K2815" i="1"/>
  <c r="K2816" i="1"/>
  <c r="K2817" i="1"/>
  <c r="K2818" i="1"/>
  <c r="K2819" i="1"/>
  <c r="K2820" i="1"/>
  <c r="K2821" i="1"/>
  <c r="K2822" i="1"/>
  <c r="K2823" i="1"/>
  <c r="K2824" i="1"/>
  <c r="K2825" i="1"/>
  <c r="K2826" i="1"/>
  <c r="K2827" i="1"/>
  <c r="K2828" i="1"/>
  <c r="K2829" i="1"/>
  <c r="K2830" i="1"/>
  <c r="K2831" i="1"/>
  <c r="K2832" i="1"/>
  <c r="K2833" i="1"/>
  <c r="K2834" i="1"/>
  <c r="K2835" i="1"/>
  <c r="K2836" i="1"/>
  <c r="K2837" i="1"/>
  <c r="K2838" i="1"/>
  <c r="K2839" i="1"/>
  <c r="K2840" i="1"/>
  <c r="K2841" i="1"/>
  <c r="K2842" i="1"/>
  <c r="K2843" i="1"/>
  <c r="K2844" i="1"/>
  <c r="K2845" i="1"/>
  <c r="K2846" i="1"/>
  <c r="K2847" i="1"/>
  <c r="K2848" i="1"/>
  <c r="K2849" i="1"/>
  <c r="K2850" i="1"/>
  <c r="K2851" i="1"/>
  <c r="K2852" i="1"/>
  <c r="K2853" i="1"/>
  <c r="K2854" i="1"/>
  <c r="K2855" i="1"/>
  <c r="K2856" i="1"/>
  <c r="K2857" i="1"/>
  <c r="K2858" i="1"/>
  <c r="K2859" i="1"/>
  <c r="K2860" i="1"/>
  <c r="K2861" i="1"/>
  <c r="K2862" i="1"/>
  <c r="K2863" i="1"/>
  <c r="K2864" i="1"/>
  <c r="K2865" i="1"/>
  <c r="K2866" i="1"/>
  <c r="K2867" i="1"/>
  <c r="K2868" i="1"/>
  <c r="K2869" i="1"/>
  <c r="K2870" i="1"/>
  <c r="K2871" i="1"/>
  <c r="K2872" i="1"/>
  <c r="K2873" i="1"/>
  <c r="K2874" i="1"/>
  <c r="K2875" i="1"/>
  <c r="K2876" i="1"/>
  <c r="K2877" i="1"/>
  <c r="K2878" i="1"/>
  <c r="K2879" i="1"/>
  <c r="K2880" i="1"/>
  <c r="K2881" i="1"/>
  <c r="K2882" i="1"/>
  <c r="K2883" i="1"/>
  <c r="K2884" i="1"/>
  <c r="K2885" i="1"/>
  <c r="K2886" i="1"/>
  <c r="K2887" i="1"/>
  <c r="K2888" i="1"/>
  <c r="K2889" i="1"/>
  <c r="K2890" i="1"/>
  <c r="K2891" i="1"/>
  <c r="K2892" i="1"/>
  <c r="K2893" i="1"/>
  <c r="K2894" i="1"/>
  <c r="K2895" i="1"/>
  <c r="K2896" i="1"/>
  <c r="K2897" i="1"/>
  <c r="K2898" i="1"/>
  <c r="K2899" i="1"/>
  <c r="K2900" i="1"/>
  <c r="K2901" i="1"/>
  <c r="K2902" i="1"/>
  <c r="K2903" i="1"/>
  <c r="K2904" i="1"/>
  <c r="K2905" i="1"/>
  <c r="K2906" i="1"/>
  <c r="K2907" i="1"/>
  <c r="K2908" i="1"/>
  <c r="K2909" i="1"/>
  <c r="K2910" i="1"/>
  <c r="K2911" i="1"/>
  <c r="K2912" i="1"/>
  <c r="K2913" i="1"/>
  <c r="K2914" i="1"/>
  <c r="K2915" i="1"/>
  <c r="K2916" i="1"/>
  <c r="K2917" i="1"/>
  <c r="K2918" i="1"/>
  <c r="K2919" i="1"/>
  <c r="K2920" i="1"/>
  <c r="K2921" i="1"/>
  <c r="K2922" i="1"/>
  <c r="K2923" i="1"/>
  <c r="K2924" i="1"/>
  <c r="K2925" i="1"/>
  <c r="K2926" i="1"/>
  <c r="K2927" i="1"/>
  <c r="K2928" i="1"/>
  <c r="K2929" i="1"/>
  <c r="K2930" i="1"/>
  <c r="K2931" i="1"/>
  <c r="K2932" i="1"/>
  <c r="K2933" i="1"/>
  <c r="K2934" i="1"/>
  <c r="K2935" i="1"/>
  <c r="K2936" i="1"/>
  <c r="K2937" i="1"/>
  <c r="K2938" i="1"/>
  <c r="K2939" i="1"/>
  <c r="K2940" i="1"/>
  <c r="K2941" i="1"/>
  <c r="K2942" i="1"/>
  <c r="K2943" i="1"/>
  <c r="K2944" i="1"/>
  <c r="K2945" i="1"/>
  <c r="K2946" i="1"/>
  <c r="K2947" i="1"/>
  <c r="K2948" i="1"/>
  <c r="K2949" i="1"/>
  <c r="K2950" i="1"/>
  <c r="K2951" i="1"/>
  <c r="K2952" i="1"/>
  <c r="K2953" i="1"/>
  <c r="K2954" i="1"/>
  <c r="K2955" i="1"/>
  <c r="K2956" i="1"/>
  <c r="K2957" i="1"/>
  <c r="K2958" i="1"/>
  <c r="K2959" i="1"/>
  <c r="K2960" i="1"/>
  <c r="K2961" i="1"/>
  <c r="K2962" i="1"/>
  <c r="K2963" i="1"/>
  <c r="K2964" i="1"/>
  <c r="K2965" i="1"/>
  <c r="K2966" i="1"/>
  <c r="K2967" i="1"/>
  <c r="K2968" i="1"/>
  <c r="K2969" i="1"/>
  <c r="K2970" i="1"/>
  <c r="K2971" i="1"/>
  <c r="K2972" i="1"/>
  <c r="K2973" i="1"/>
  <c r="K2974" i="1"/>
  <c r="K2975" i="1"/>
  <c r="K2976" i="1"/>
  <c r="K2977" i="1"/>
  <c r="K2978" i="1"/>
  <c r="K2979" i="1"/>
  <c r="K2980" i="1"/>
  <c r="K2981" i="1"/>
  <c r="K2982" i="1"/>
  <c r="K2983" i="1"/>
  <c r="K2984" i="1"/>
  <c r="K2985" i="1"/>
  <c r="K2986" i="1"/>
  <c r="K2987" i="1"/>
  <c r="K2988" i="1"/>
  <c r="K2989" i="1"/>
  <c r="K2990" i="1"/>
  <c r="K2991" i="1"/>
  <c r="K2992" i="1"/>
  <c r="K2993" i="1"/>
  <c r="K2994" i="1"/>
  <c r="K2995" i="1"/>
  <c r="K2996" i="1"/>
  <c r="K2997" i="1"/>
  <c r="K2998" i="1"/>
  <c r="K2999" i="1"/>
  <c r="K3000" i="1"/>
  <c r="K3001" i="1"/>
  <c r="K3002" i="1"/>
  <c r="K3003" i="1"/>
  <c r="K3004" i="1"/>
  <c r="K3005" i="1"/>
  <c r="K3006" i="1"/>
  <c r="K3007" i="1"/>
  <c r="K3008" i="1"/>
  <c r="K3009" i="1"/>
  <c r="K3010" i="1"/>
  <c r="K3011" i="1"/>
  <c r="K3012" i="1"/>
  <c r="K3013" i="1"/>
  <c r="K3014" i="1"/>
  <c r="K3015" i="1"/>
  <c r="K3016" i="1"/>
  <c r="K3017" i="1"/>
  <c r="K3018" i="1"/>
  <c r="K3019" i="1"/>
  <c r="K3020" i="1"/>
  <c r="K3021" i="1"/>
  <c r="K3022" i="1"/>
  <c r="K3023" i="1"/>
  <c r="K3024" i="1"/>
  <c r="K3025" i="1"/>
  <c r="K3026" i="1"/>
  <c r="K3027" i="1"/>
  <c r="K3028" i="1"/>
  <c r="K3029" i="1"/>
  <c r="K3030" i="1"/>
  <c r="K3031" i="1"/>
  <c r="K3032" i="1"/>
  <c r="K3033" i="1"/>
  <c r="K3034" i="1"/>
  <c r="K3035" i="1"/>
  <c r="K3036" i="1"/>
  <c r="K3037" i="1"/>
  <c r="K3038" i="1"/>
  <c r="K3039" i="1"/>
  <c r="K3040" i="1"/>
  <c r="K3041" i="1"/>
  <c r="K3042" i="1"/>
  <c r="K3043" i="1"/>
  <c r="K3044" i="1"/>
  <c r="K3045" i="1"/>
  <c r="K3046" i="1"/>
  <c r="K3047" i="1"/>
  <c r="K3048" i="1"/>
  <c r="K3049" i="1"/>
  <c r="K3050" i="1"/>
  <c r="K3051" i="1"/>
  <c r="K3052" i="1"/>
  <c r="K3053" i="1"/>
  <c r="K3054" i="1"/>
  <c r="K3055" i="1"/>
  <c r="K3056" i="1"/>
  <c r="K3057" i="1"/>
  <c r="K3058" i="1"/>
  <c r="K3059" i="1"/>
  <c r="K3060" i="1"/>
  <c r="K3061" i="1"/>
  <c r="K3062" i="1"/>
  <c r="K3063" i="1"/>
  <c r="K3064" i="1"/>
  <c r="K3065" i="1"/>
  <c r="K3066" i="1"/>
  <c r="K3067" i="1"/>
  <c r="K3068" i="1"/>
  <c r="K3069" i="1"/>
  <c r="K3070" i="1"/>
  <c r="K3071" i="1"/>
  <c r="K3072" i="1"/>
  <c r="K3073" i="1"/>
  <c r="K3074" i="1"/>
  <c r="K3075" i="1"/>
  <c r="K3076" i="1"/>
  <c r="K3077" i="1"/>
  <c r="K3078" i="1"/>
  <c r="K3079" i="1"/>
  <c r="K3080" i="1"/>
  <c r="K3081" i="1"/>
  <c r="K3082" i="1"/>
  <c r="K3083" i="1"/>
  <c r="K3084" i="1"/>
  <c r="K3085" i="1"/>
  <c r="K3086" i="1"/>
  <c r="K3087" i="1"/>
  <c r="K3088" i="1"/>
  <c r="K3089" i="1"/>
  <c r="K3090" i="1"/>
  <c r="K3091" i="1"/>
  <c r="K3092" i="1"/>
  <c r="K3093" i="1"/>
  <c r="K3094" i="1"/>
  <c r="K3095" i="1"/>
  <c r="K3096" i="1"/>
  <c r="K3097" i="1"/>
  <c r="K3098" i="1"/>
  <c r="K3099" i="1"/>
  <c r="K3100" i="1"/>
  <c r="K3101" i="1"/>
  <c r="K3102" i="1"/>
  <c r="K3103" i="1"/>
  <c r="K3104" i="1"/>
  <c r="K3105" i="1"/>
  <c r="K3106" i="1"/>
  <c r="K3107" i="1"/>
  <c r="K3108" i="1"/>
  <c r="K3109" i="1"/>
  <c r="K3110" i="1"/>
  <c r="K3111" i="1"/>
  <c r="K3112" i="1"/>
  <c r="K3113" i="1"/>
  <c r="K3114" i="1"/>
  <c r="K3115" i="1"/>
  <c r="K3116" i="1"/>
  <c r="K3117" i="1"/>
  <c r="K3118" i="1"/>
  <c r="K3119" i="1"/>
  <c r="K3120" i="1"/>
  <c r="K3121" i="1"/>
  <c r="K3122" i="1"/>
  <c r="K3123" i="1"/>
  <c r="K3124" i="1"/>
  <c r="K3125" i="1"/>
  <c r="K3126" i="1"/>
  <c r="K3127" i="1"/>
  <c r="K3128" i="1"/>
  <c r="K3129" i="1"/>
  <c r="K3130" i="1"/>
  <c r="K3131" i="1"/>
  <c r="K3132" i="1"/>
  <c r="K3133" i="1"/>
  <c r="K3134" i="1"/>
  <c r="K3135" i="1"/>
  <c r="K3136" i="1"/>
  <c r="K3137" i="1"/>
  <c r="K3138" i="1"/>
  <c r="K3139" i="1"/>
  <c r="K3140" i="1"/>
  <c r="K3141" i="1"/>
  <c r="K3142" i="1"/>
  <c r="K3143" i="1"/>
  <c r="K3144" i="1"/>
  <c r="K3145" i="1"/>
  <c r="K3146" i="1"/>
  <c r="K3147" i="1"/>
  <c r="K3148" i="1"/>
  <c r="K3149" i="1"/>
  <c r="K3150" i="1"/>
  <c r="K3151" i="1"/>
  <c r="K3152" i="1"/>
  <c r="K3153" i="1"/>
  <c r="K3154" i="1"/>
  <c r="K3155" i="1"/>
  <c r="K2" i="1"/>
  <c r="L3" i="1"/>
  <c r="L4" i="1"/>
  <c r="L5" i="1"/>
  <c r="L6" i="1"/>
  <c r="L7" i="1"/>
  <c r="L8" i="1"/>
  <c r="L9" i="1"/>
  <c r="L10" i="1"/>
  <c r="L11" i="1"/>
  <c r="L12" i="1"/>
  <c r="L13" i="1"/>
  <c r="L14" i="1"/>
  <c r="L15" i="1"/>
  <c r="L16" i="1"/>
  <c r="L17" i="1"/>
  <c r="L18" i="1"/>
  <c r="L19" i="1"/>
  <c r="L20" i="1"/>
  <c r="L21" i="1"/>
  <c r="L22" i="1"/>
  <c r="L23" i="1"/>
  <c r="L24" i="1"/>
  <c r="L25" i="1"/>
  <c r="L26" i="1"/>
  <c r="L27" i="1"/>
  <c r="L28" i="1"/>
  <c r="L29" i="1"/>
  <c r="L30" i="1"/>
  <c r="L31" i="1"/>
  <c r="L32" i="1"/>
  <c r="L33" i="1"/>
  <c r="L34" i="1"/>
  <c r="L35" i="1"/>
  <c r="L36" i="1"/>
  <c r="L37" i="1"/>
  <c r="L38" i="1"/>
  <c r="L39" i="1"/>
  <c r="L40" i="1"/>
  <c r="L41" i="1"/>
  <c r="L42" i="1"/>
  <c r="L43" i="1"/>
  <c r="L44" i="1"/>
  <c r="L45" i="1"/>
  <c r="L46" i="1"/>
  <c r="L47" i="1"/>
  <c r="L48" i="1"/>
  <c r="L49" i="1"/>
  <c r="L50" i="1"/>
  <c r="L51" i="1"/>
  <c r="L52" i="1"/>
  <c r="L53" i="1"/>
  <c r="L54" i="1"/>
  <c r="L55" i="1"/>
  <c r="L56" i="1"/>
  <c r="L57" i="1"/>
  <c r="L58" i="1"/>
  <c r="L59" i="1"/>
  <c r="L60" i="1"/>
  <c r="L61" i="1"/>
  <c r="L62" i="1"/>
  <c r="L63" i="1"/>
  <c r="L64" i="1"/>
  <c r="L65" i="1"/>
  <c r="L66" i="1"/>
  <c r="L67" i="1"/>
  <c r="L68" i="1"/>
  <c r="L69" i="1"/>
  <c r="L70" i="1"/>
  <c r="L71" i="1"/>
  <c r="L72" i="1"/>
  <c r="L73" i="1"/>
  <c r="L74" i="1"/>
  <c r="L75" i="1"/>
  <c r="L76" i="1"/>
  <c r="L77" i="1"/>
  <c r="L78" i="1"/>
  <c r="L79" i="1"/>
  <c r="L80" i="1"/>
  <c r="L81" i="1"/>
  <c r="L82" i="1"/>
  <c r="L83" i="1"/>
  <c r="L84" i="1"/>
  <c r="L85" i="1"/>
  <c r="L86" i="1"/>
  <c r="L87" i="1"/>
  <c r="L88" i="1"/>
  <c r="L89" i="1"/>
  <c r="L90" i="1"/>
  <c r="L91" i="1"/>
  <c r="L92" i="1"/>
  <c r="L93" i="1"/>
  <c r="L94" i="1"/>
  <c r="L95" i="1"/>
  <c r="L96" i="1"/>
  <c r="L97" i="1"/>
  <c r="L98" i="1"/>
  <c r="L99" i="1"/>
  <c r="L100" i="1"/>
  <c r="L101" i="1"/>
  <c r="L102" i="1"/>
  <c r="L103" i="1"/>
  <c r="L104" i="1"/>
  <c r="L105" i="1"/>
  <c r="L106" i="1"/>
  <c r="L107" i="1"/>
  <c r="L108" i="1"/>
  <c r="L109" i="1"/>
  <c r="L110" i="1"/>
  <c r="L111" i="1"/>
  <c r="L112" i="1"/>
  <c r="L113" i="1"/>
  <c r="L114" i="1"/>
  <c r="L115" i="1"/>
  <c r="L116" i="1"/>
  <c r="L117" i="1"/>
  <c r="L118" i="1"/>
  <c r="L119" i="1"/>
  <c r="L120" i="1"/>
  <c r="L121" i="1"/>
  <c r="L122" i="1"/>
  <c r="L123" i="1"/>
  <c r="L124" i="1"/>
  <c r="L125" i="1"/>
  <c r="L126" i="1"/>
  <c r="L127" i="1"/>
  <c r="L128" i="1"/>
  <c r="L129" i="1"/>
  <c r="L130" i="1"/>
  <c r="L131" i="1"/>
  <c r="L132" i="1"/>
  <c r="L133" i="1"/>
  <c r="L134" i="1"/>
  <c r="L135" i="1"/>
  <c r="L136" i="1"/>
  <c r="L137" i="1"/>
  <c r="L138" i="1"/>
  <c r="L139" i="1"/>
  <c r="L140" i="1"/>
  <c r="L141" i="1"/>
  <c r="L142" i="1"/>
  <c r="L143" i="1"/>
  <c r="L144" i="1"/>
  <c r="L145" i="1"/>
  <c r="L146" i="1"/>
  <c r="L147" i="1"/>
  <c r="L148" i="1"/>
  <c r="L149" i="1"/>
  <c r="L150" i="1"/>
  <c r="L151" i="1"/>
  <c r="L152" i="1"/>
  <c r="L153" i="1"/>
  <c r="L154" i="1"/>
  <c r="L155" i="1"/>
  <c r="L156" i="1"/>
  <c r="L157" i="1"/>
  <c r="L158" i="1"/>
  <c r="L159" i="1"/>
  <c r="L160" i="1"/>
  <c r="L161" i="1"/>
  <c r="L162" i="1"/>
  <c r="L163" i="1"/>
  <c r="L164" i="1"/>
  <c r="L165" i="1"/>
  <c r="L166" i="1"/>
  <c r="L167" i="1"/>
  <c r="L168" i="1"/>
  <c r="L169" i="1"/>
  <c r="L170" i="1"/>
  <c r="L171" i="1"/>
  <c r="L172" i="1"/>
  <c r="L173" i="1"/>
  <c r="L174" i="1"/>
  <c r="L175" i="1"/>
  <c r="L176" i="1"/>
  <c r="L177" i="1"/>
  <c r="L178" i="1"/>
  <c r="L179" i="1"/>
  <c r="L180" i="1"/>
  <c r="L181" i="1"/>
  <c r="L182" i="1"/>
  <c r="L183" i="1"/>
  <c r="L184" i="1"/>
  <c r="L185" i="1"/>
  <c r="L186" i="1"/>
  <c r="L187" i="1"/>
  <c r="L188" i="1"/>
  <c r="L189" i="1"/>
  <c r="L190" i="1"/>
  <c r="L191" i="1"/>
  <c r="L192" i="1"/>
  <c r="L193" i="1"/>
  <c r="L194" i="1"/>
  <c r="L195" i="1"/>
  <c r="L196" i="1"/>
  <c r="L197" i="1"/>
  <c r="L198" i="1"/>
  <c r="L199" i="1"/>
  <c r="L200" i="1"/>
  <c r="L201" i="1"/>
  <c r="L202" i="1"/>
  <c r="L203" i="1"/>
  <c r="L204" i="1"/>
  <c r="L205" i="1"/>
  <c r="L206" i="1"/>
  <c r="L207" i="1"/>
  <c r="L208" i="1"/>
  <c r="L209" i="1"/>
  <c r="L210" i="1"/>
  <c r="L211" i="1"/>
  <c r="L212" i="1"/>
  <c r="L213" i="1"/>
  <c r="L214" i="1"/>
  <c r="L215" i="1"/>
  <c r="L216" i="1"/>
  <c r="L217" i="1"/>
  <c r="L218" i="1"/>
  <c r="L219" i="1"/>
  <c r="L220" i="1"/>
  <c r="L221" i="1"/>
  <c r="L222" i="1"/>
  <c r="L223" i="1"/>
  <c r="L224" i="1"/>
  <c r="L225" i="1"/>
  <c r="L226" i="1"/>
  <c r="L227" i="1"/>
  <c r="L228" i="1"/>
  <c r="L229" i="1"/>
  <c r="L230" i="1"/>
  <c r="L231" i="1"/>
  <c r="L232" i="1"/>
  <c r="L233" i="1"/>
  <c r="L234" i="1"/>
  <c r="L235" i="1"/>
  <c r="L236" i="1"/>
  <c r="L237" i="1"/>
  <c r="L238" i="1"/>
  <c r="L239" i="1"/>
  <c r="L240" i="1"/>
  <c r="L241" i="1"/>
  <c r="L242" i="1"/>
  <c r="L243" i="1"/>
  <c r="L244" i="1"/>
  <c r="L245" i="1"/>
  <c r="L246" i="1"/>
  <c r="L247" i="1"/>
  <c r="L248" i="1"/>
  <c r="L249" i="1"/>
  <c r="L250" i="1"/>
  <c r="L251" i="1"/>
  <c r="L252" i="1"/>
  <c r="L253" i="1"/>
  <c r="L254" i="1"/>
  <c r="L255" i="1"/>
  <c r="L256" i="1"/>
  <c r="L257" i="1"/>
  <c r="L258" i="1"/>
  <c r="L259" i="1"/>
  <c r="L260" i="1"/>
  <c r="L261" i="1"/>
  <c r="L262" i="1"/>
  <c r="L263" i="1"/>
  <c r="L264" i="1"/>
  <c r="L265" i="1"/>
  <c r="L266" i="1"/>
  <c r="L267" i="1"/>
  <c r="L268" i="1"/>
  <c r="L269" i="1"/>
  <c r="L270" i="1"/>
  <c r="L271" i="1"/>
  <c r="L272" i="1"/>
  <c r="L273" i="1"/>
  <c r="L274" i="1"/>
  <c r="L275" i="1"/>
  <c r="L276" i="1"/>
  <c r="L277" i="1"/>
  <c r="L278" i="1"/>
  <c r="L279" i="1"/>
  <c r="L280" i="1"/>
  <c r="L281" i="1"/>
  <c r="L282" i="1"/>
  <c r="L283" i="1"/>
  <c r="L284" i="1"/>
  <c r="L285" i="1"/>
  <c r="L286" i="1"/>
  <c r="L287" i="1"/>
  <c r="L288" i="1"/>
  <c r="L289" i="1"/>
  <c r="L290" i="1"/>
  <c r="L291" i="1"/>
  <c r="L292" i="1"/>
  <c r="L293" i="1"/>
  <c r="L294" i="1"/>
  <c r="L295" i="1"/>
  <c r="L296" i="1"/>
  <c r="L297" i="1"/>
  <c r="L298" i="1"/>
  <c r="L299" i="1"/>
  <c r="L300" i="1"/>
  <c r="L301" i="1"/>
  <c r="L302" i="1"/>
  <c r="L303" i="1"/>
  <c r="L304" i="1"/>
  <c r="L305" i="1"/>
  <c r="L306" i="1"/>
  <c r="L307" i="1"/>
  <c r="L308" i="1"/>
  <c r="L309" i="1"/>
  <c r="L310" i="1"/>
  <c r="L311" i="1"/>
  <c r="L312" i="1"/>
  <c r="L313" i="1"/>
  <c r="L314" i="1"/>
  <c r="L315" i="1"/>
  <c r="L316" i="1"/>
  <c r="L317" i="1"/>
  <c r="L318" i="1"/>
  <c r="L319" i="1"/>
  <c r="L320" i="1"/>
  <c r="L321" i="1"/>
  <c r="L322" i="1"/>
  <c r="L323" i="1"/>
  <c r="L324" i="1"/>
  <c r="L325" i="1"/>
  <c r="L326" i="1"/>
  <c r="L327" i="1"/>
  <c r="L328" i="1"/>
  <c r="L329" i="1"/>
  <c r="L330" i="1"/>
  <c r="L331" i="1"/>
  <c r="L332" i="1"/>
  <c r="L333" i="1"/>
  <c r="L334" i="1"/>
  <c r="L335" i="1"/>
  <c r="L336" i="1"/>
  <c r="L337" i="1"/>
  <c r="L338" i="1"/>
  <c r="L339" i="1"/>
  <c r="L340" i="1"/>
  <c r="L341" i="1"/>
  <c r="L342" i="1"/>
  <c r="L343" i="1"/>
  <c r="L344" i="1"/>
  <c r="L345" i="1"/>
  <c r="L346" i="1"/>
  <c r="L347" i="1"/>
  <c r="L348" i="1"/>
  <c r="L349" i="1"/>
  <c r="L350" i="1"/>
  <c r="L351" i="1"/>
  <c r="L352" i="1"/>
  <c r="L353" i="1"/>
  <c r="L354" i="1"/>
  <c r="L355" i="1"/>
  <c r="L356" i="1"/>
  <c r="L357" i="1"/>
  <c r="L358" i="1"/>
  <c r="L359" i="1"/>
  <c r="L360" i="1"/>
  <c r="L361" i="1"/>
  <c r="L362" i="1"/>
  <c r="L363" i="1"/>
  <c r="L364" i="1"/>
  <c r="L365" i="1"/>
  <c r="L366" i="1"/>
  <c r="L367" i="1"/>
  <c r="L368" i="1"/>
  <c r="L369" i="1"/>
  <c r="L370" i="1"/>
  <c r="L371" i="1"/>
  <c r="L372" i="1"/>
  <c r="L373" i="1"/>
  <c r="L374" i="1"/>
  <c r="L375" i="1"/>
  <c r="L376" i="1"/>
  <c r="L377" i="1"/>
  <c r="L378" i="1"/>
  <c r="L379" i="1"/>
  <c r="L380" i="1"/>
  <c r="L381" i="1"/>
  <c r="L382" i="1"/>
  <c r="L383" i="1"/>
  <c r="L384" i="1"/>
  <c r="L385" i="1"/>
  <c r="L386" i="1"/>
  <c r="L387" i="1"/>
  <c r="L388" i="1"/>
  <c r="L389" i="1"/>
  <c r="L390" i="1"/>
  <c r="L391" i="1"/>
  <c r="L392" i="1"/>
  <c r="L393" i="1"/>
  <c r="L394" i="1"/>
  <c r="L395" i="1"/>
  <c r="L396" i="1"/>
  <c r="L397" i="1"/>
  <c r="L398" i="1"/>
  <c r="L399" i="1"/>
  <c r="L400" i="1"/>
  <c r="L401" i="1"/>
  <c r="L402" i="1"/>
  <c r="L403" i="1"/>
  <c r="L404" i="1"/>
  <c r="L405" i="1"/>
  <c r="L406" i="1"/>
  <c r="L407" i="1"/>
  <c r="L408" i="1"/>
  <c r="L409" i="1"/>
  <c r="L410" i="1"/>
  <c r="L411" i="1"/>
  <c r="L412" i="1"/>
  <c r="L413" i="1"/>
  <c r="L414" i="1"/>
  <c r="L415" i="1"/>
  <c r="L416" i="1"/>
  <c r="L417" i="1"/>
  <c r="L418" i="1"/>
  <c r="L419" i="1"/>
  <c r="L420" i="1"/>
  <c r="L421" i="1"/>
  <c r="L422" i="1"/>
  <c r="L423" i="1"/>
  <c r="L424" i="1"/>
  <c r="L425" i="1"/>
  <c r="L426" i="1"/>
  <c r="L427" i="1"/>
  <c r="L428" i="1"/>
  <c r="L429" i="1"/>
  <c r="L430" i="1"/>
  <c r="L431" i="1"/>
  <c r="L432" i="1"/>
  <c r="L433" i="1"/>
  <c r="L434" i="1"/>
  <c r="L435" i="1"/>
  <c r="L436" i="1"/>
  <c r="L437" i="1"/>
  <c r="L438" i="1"/>
  <c r="L439" i="1"/>
  <c r="L440" i="1"/>
  <c r="L441" i="1"/>
  <c r="L442" i="1"/>
  <c r="L443" i="1"/>
  <c r="L444" i="1"/>
  <c r="L445" i="1"/>
  <c r="L446" i="1"/>
  <c r="L447" i="1"/>
  <c r="L448" i="1"/>
  <c r="L449" i="1"/>
  <c r="L450" i="1"/>
  <c r="L451" i="1"/>
  <c r="L452" i="1"/>
  <c r="L453" i="1"/>
  <c r="L454" i="1"/>
  <c r="L455" i="1"/>
  <c r="L456" i="1"/>
  <c r="L457" i="1"/>
  <c r="L458" i="1"/>
  <c r="L459" i="1"/>
  <c r="L460" i="1"/>
  <c r="L461" i="1"/>
  <c r="L462" i="1"/>
  <c r="L463" i="1"/>
  <c r="L464" i="1"/>
  <c r="L465" i="1"/>
  <c r="L466" i="1"/>
  <c r="L467" i="1"/>
  <c r="L468" i="1"/>
  <c r="L469" i="1"/>
  <c r="L470" i="1"/>
  <c r="L471" i="1"/>
  <c r="L472" i="1"/>
  <c r="L473" i="1"/>
  <c r="L474" i="1"/>
  <c r="L475" i="1"/>
  <c r="L476" i="1"/>
  <c r="L477" i="1"/>
  <c r="L478" i="1"/>
  <c r="L479" i="1"/>
  <c r="L480" i="1"/>
  <c r="L481" i="1"/>
  <c r="L482" i="1"/>
  <c r="L483" i="1"/>
  <c r="L484" i="1"/>
  <c r="L485" i="1"/>
  <c r="L486" i="1"/>
  <c r="L487" i="1"/>
  <c r="L488" i="1"/>
  <c r="L489" i="1"/>
  <c r="L490" i="1"/>
  <c r="L491" i="1"/>
  <c r="L492" i="1"/>
  <c r="L493" i="1"/>
  <c r="L494" i="1"/>
  <c r="L495" i="1"/>
  <c r="L496" i="1"/>
  <c r="L497" i="1"/>
  <c r="L498" i="1"/>
  <c r="L499" i="1"/>
  <c r="L500" i="1"/>
  <c r="L501" i="1"/>
  <c r="L502" i="1"/>
  <c r="L503" i="1"/>
  <c r="L504" i="1"/>
  <c r="L505" i="1"/>
  <c r="L506" i="1"/>
  <c r="L507" i="1"/>
  <c r="L508" i="1"/>
  <c r="L509" i="1"/>
  <c r="L510" i="1"/>
  <c r="L511" i="1"/>
  <c r="L512" i="1"/>
  <c r="L513" i="1"/>
  <c r="L514" i="1"/>
  <c r="L515" i="1"/>
  <c r="L516" i="1"/>
  <c r="L517" i="1"/>
  <c r="L518" i="1"/>
  <c r="L519" i="1"/>
  <c r="L520" i="1"/>
  <c r="L521" i="1"/>
  <c r="L522" i="1"/>
  <c r="L523" i="1"/>
  <c r="L524" i="1"/>
  <c r="L525" i="1"/>
  <c r="L526" i="1"/>
  <c r="L527" i="1"/>
  <c r="L528" i="1"/>
  <c r="L529" i="1"/>
  <c r="L530" i="1"/>
  <c r="L531" i="1"/>
  <c r="L532" i="1"/>
  <c r="L533" i="1"/>
  <c r="L534" i="1"/>
  <c r="L535" i="1"/>
  <c r="L536" i="1"/>
  <c r="L537" i="1"/>
  <c r="L538" i="1"/>
  <c r="L539" i="1"/>
  <c r="L540" i="1"/>
  <c r="L541" i="1"/>
  <c r="L542" i="1"/>
  <c r="L543" i="1"/>
  <c r="L544" i="1"/>
  <c r="L545" i="1"/>
  <c r="L546" i="1"/>
  <c r="L547" i="1"/>
  <c r="L548" i="1"/>
  <c r="L549" i="1"/>
  <c r="L550" i="1"/>
  <c r="L551" i="1"/>
  <c r="L552" i="1"/>
  <c r="L553" i="1"/>
  <c r="L554" i="1"/>
  <c r="L555" i="1"/>
  <c r="L556" i="1"/>
  <c r="L557" i="1"/>
  <c r="L558" i="1"/>
  <c r="L559" i="1"/>
  <c r="L560" i="1"/>
  <c r="L561" i="1"/>
  <c r="L562" i="1"/>
  <c r="L563" i="1"/>
  <c r="L564" i="1"/>
  <c r="L565" i="1"/>
  <c r="L566" i="1"/>
  <c r="L567" i="1"/>
  <c r="L568" i="1"/>
  <c r="L569" i="1"/>
  <c r="L570" i="1"/>
  <c r="L571" i="1"/>
  <c r="L572" i="1"/>
  <c r="L573" i="1"/>
  <c r="L574" i="1"/>
  <c r="L575" i="1"/>
  <c r="L576" i="1"/>
  <c r="L577" i="1"/>
  <c r="L578" i="1"/>
  <c r="L579" i="1"/>
  <c r="L580" i="1"/>
  <c r="L581" i="1"/>
  <c r="L582" i="1"/>
  <c r="L583" i="1"/>
  <c r="L584" i="1"/>
  <c r="L585" i="1"/>
  <c r="L586" i="1"/>
  <c r="L587" i="1"/>
  <c r="L588" i="1"/>
  <c r="L589" i="1"/>
  <c r="L590" i="1"/>
  <c r="L591" i="1"/>
  <c r="L592" i="1"/>
  <c r="L593" i="1"/>
  <c r="L594" i="1"/>
  <c r="L595" i="1"/>
  <c r="L596" i="1"/>
  <c r="L597" i="1"/>
  <c r="L598" i="1"/>
  <c r="L599" i="1"/>
  <c r="L600" i="1"/>
  <c r="L601" i="1"/>
  <c r="L602" i="1"/>
  <c r="L603" i="1"/>
  <c r="L604" i="1"/>
  <c r="L605" i="1"/>
  <c r="L606" i="1"/>
  <c r="L607" i="1"/>
  <c r="L608" i="1"/>
  <c r="L609" i="1"/>
  <c r="L610" i="1"/>
  <c r="L611" i="1"/>
  <c r="L612" i="1"/>
  <c r="L613" i="1"/>
  <c r="L614" i="1"/>
  <c r="L615" i="1"/>
  <c r="L616" i="1"/>
  <c r="L617" i="1"/>
  <c r="L618" i="1"/>
  <c r="L619" i="1"/>
  <c r="L620" i="1"/>
  <c r="L621" i="1"/>
  <c r="L622" i="1"/>
  <c r="L623" i="1"/>
  <c r="L624" i="1"/>
  <c r="L625" i="1"/>
  <c r="L626" i="1"/>
  <c r="L627" i="1"/>
  <c r="L628" i="1"/>
  <c r="L629" i="1"/>
  <c r="L630" i="1"/>
  <c r="L631" i="1"/>
  <c r="L632" i="1"/>
  <c r="L633" i="1"/>
  <c r="L634" i="1"/>
  <c r="L635" i="1"/>
  <c r="L636" i="1"/>
  <c r="L637" i="1"/>
  <c r="L638" i="1"/>
  <c r="L639" i="1"/>
  <c r="L640" i="1"/>
  <c r="L641" i="1"/>
  <c r="L642" i="1"/>
  <c r="L643" i="1"/>
  <c r="L644" i="1"/>
  <c r="L645" i="1"/>
  <c r="L646" i="1"/>
  <c r="L647" i="1"/>
  <c r="L648" i="1"/>
  <c r="L649" i="1"/>
  <c r="L650" i="1"/>
  <c r="L651" i="1"/>
  <c r="L652" i="1"/>
  <c r="L653" i="1"/>
  <c r="L654" i="1"/>
  <c r="L655" i="1"/>
  <c r="L656" i="1"/>
  <c r="L657" i="1"/>
  <c r="L658" i="1"/>
  <c r="L659" i="1"/>
  <c r="L660" i="1"/>
  <c r="L661" i="1"/>
  <c r="L662" i="1"/>
  <c r="L663" i="1"/>
  <c r="L664" i="1"/>
  <c r="L665" i="1"/>
  <c r="L666" i="1"/>
  <c r="L667" i="1"/>
  <c r="L668" i="1"/>
  <c r="L669" i="1"/>
  <c r="L670" i="1"/>
  <c r="L671" i="1"/>
  <c r="L672" i="1"/>
  <c r="L673" i="1"/>
  <c r="L674" i="1"/>
  <c r="L675" i="1"/>
  <c r="L676" i="1"/>
  <c r="L677" i="1"/>
  <c r="L678" i="1"/>
  <c r="L679" i="1"/>
  <c r="L680" i="1"/>
  <c r="L681" i="1"/>
  <c r="L682" i="1"/>
  <c r="L683" i="1"/>
  <c r="L684" i="1"/>
  <c r="L685" i="1"/>
  <c r="L686" i="1"/>
  <c r="L687" i="1"/>
  <c r="L688" i="1"/>
  <c r="L689" i="1"/>
  <c r="L690" i="1"/>
  <c r="L691" i="1"/>
  <c r="L692" i="1"/>
  <c r="L693" i="1"/>
  <c r="L694" i="1"/>
  <c r="L695" i="1"/>
  <c r="L696" i="1"/>
  <c r="L697" i="1"/>
  <c r="L698" i="1"/>
  <c r="L699" i="1"/>
  <c r="L700" i="1"/>
  <c r="L701" i="1"/>
  <c r="L702" i="1"/>
  <c r="L703" i="1"/>
  <c r="L704" i="1"/>
  <c r="L705" i="1"/>
  <c r="L706" i="1"/>
  <c r="L707" i="1"/>
  <c r="L708" i="1"/>
  <c r="L709" i="1"/>
  <c r="L710" i="1"/>
  <c r="L711" i="1"/>
  <c r="L712" i="1"/>
  <c r="L713" i="1"/>
  <c r="L714" i="1"/>
  <c r="L715" i="1"/>
  <c r="L716" i="1"/>
  <c r="L717" i="1"/>
  <c r="L718" i="1"/>
  <c r="L719" i="1"/>
  <c r="L720" i="1"/>
  <c r="L721" i="1"/>
  <c r="L722" i="1"/>
  <c r="L723" i="1"/>
  <c r="L724" i="1"/>
  <c r="L725" i="1"/>
  <c r="L726" i="1"/>
  <c r="L727" i="1"/>
  <c r="L728" i="1"/>
  <c r="L729" i="1"/>
  <c r="L730" i="1"/>
  <c r="L731" i="1"/>
  <c r="L732" i="1"/>
  <c r="L733" i="1"/>
  <c r="L734" i="1"/>
  <c r="L735" i="1"/>
  <c r="L736" i="1"/>
  <c r="L737" i="1"/>
  <c r="L738" i="1"/>
  <c r="L739" i="1"/>
  <c r="L740" i="1"/>
  <c r="L741" i="1"/>
  <c r="L742" i="1"/>
  <c r="L743" i="1"/>
  <c r="L744" i="1"/>
  <c r="L745" i="1"/>
  <c r="L746" i="1"/>
  <c r="L747" i="1"/>
  <c r="L748" i="1"/>
  <c r="L749" i="1"/>
  <c r="L750" i="1"/>
  <c r="L751" i="1"/>
  <c r="L752" i="1"/>
  <c r="L753" i="1"/>
  <c r="L754" i="1"/>
  <c r="L755" i="1"/>
  <c r="L756" i="1"/>
  <c r="L757" i="1"/>
  <c r="L758" i="1"/>
  <c r="L759" i="1"/>
  <c r="L760" i="1"/>
  <c r="L761" i="1"/>
  <c r="L762" i="1"/>
  <c r="L763" i="1"/>
  <c r="L764" i="1"/>
  <c r="L765" i="1"/>
  <c r="L766" i="1"/>
  <c r="L767" i="1"/>
  <c r="L768" i="1"/>
  <c r="L769" i="1"/>
  <c r="L770" i="1"/>
  <c r="L771" i="1"/>
  <c r="L772" i="1"/>
  <c r="L773" i="1"/>
  <c r="L774" i="1"/>
  <c r="L775" i="1"/>
  <c r="L776" i="1"/>
  <c r="L777" i="1"/>
  <c r="L778" i="1"/>
  <c r="L779" i="1"/>
  <c r="L780" i="1"/>
  <c r="L781" i="1"/>
  <c r="L782" i="1"/>
  <c r="L783" i="1"/>
  <c r="L784" i="1"/>
  <c r="L785" i="1"/>
  <c r="L786" i="1"/>
  <c r="L787" i="1"/>
  <c r="L788" i="1"/>
  <c r="L789" i="1"/>
  <c r="L790" i="1"/>
  <c r="L791" i="1"/>
  <c r="L792" i="1"/>
  <c r="L793" i="1"/>
  <c r="L794" i="1"/>
  <c r="L795" i="1"/>
  <c r="L796" i="1"/>
  <c r="L797" i="1"/>
  <c r="L798" i="1"/>
  <c r="L799" i="1"/>
  <c r="L800" i="1"/>
  <c r="L801" i="1"/>
  <c r="L802" i="1"/>
  <c r="L803" i="1"/>
  <c r="L804" i="1"/>
  <c r="L805" i="1"/>
  <c r="L806" i="1"/>
  <c r="L807" i="1"/>
  <c r="L808" i="1"/>
  <c r="L809" i="1"/>
  <c r="L810" i="1"/>
  <c r="L811" i="1"/>
  <c r="L812" i="1"/>
  <c r="L813" i="1"/>
  <c r="L814" i="1"/>
  <c r="L815" i="1"/>
  <c r="L816" i="1"/>
  <c r="L817" i="1"/>
  <c r="L818" i="1"/>
  <c r="L819" i="1"/>
  <c r="L820" i="1"/>
  <c r="L821" i="1"/>
  <c r="L822" i="1"/>
  <c r="L823" i="1"/>
  <c r="L824" i="1"/>
  <c r="L825" i="1"/>
  <c r="L826" i="1"/>
  <c r="L827" i="1"/>
  <c r="L828" i="1"/>
  <c r="L829" i="1"/>
  <c r="L830" i="1"/>
  <c r="L831" i="1"/>
  <c r="L832" i="1"/>
  <c r="L833" i="1"/>
  <c r="L834" i="1"/>
  <c r="L835" i="1"/>
  <c r="L836" i="1"/>
  <c r="L837" i="1"/>
  <c r="L838" i="1"/>
  <c r="L839" i="1"/>
  <c r="L840" i="1"/>
  <c r="L841" i="1"/>
  <c r="L842" i="1"/>
  <c r="L843" i="1"/>
  <c r="L844" i="1"/>
  <c r="L845" i="1"/>
  <c r="L846" i="1"/>
  <c r="L847" i="1"/>
  <c r="L848" i="1"/>
  <c r="L849" i="1"/>
  <c r="L850" i="1"/>
  <c r="L851" i="1"/>
  <c r="L852" i="1"/>
  <c r="L853" i="1"/>
  <c r="L854" i="1"/>
  <c r="L855" i="1"/>
  <c r="L856" i="1"/>
  <c r="L857" i="1"/>
  <c r="L858" i="1"/>
  <c r="L859" i="1"/>
  <c r="L860" i="1"/>
  <c r="L861" i="1"/>
  <c r="L862" i="1"/>
  <c r="L863" i="1"/>
  <c r="L864" i="1"/>
  <c r="L865" i="1"/>
  <c r="L866" i="1"/>
  <c r="L867" i="1"/>
  <c r="L868" i="1"/>
  <c r="L869" i="1"/>
  <c r="L870" i="1"/>
  <c r="L871" i="1"/>
  <c r="L872" i="1"/>
  <c r="L873" i="1"/>
  <c r="L874" i="1"/>
  <c r="L875" i="1"/>
  <c r="L876" i="1"/>
  <c r="L877" i="1"/>
  <c r="L878" i="1"/>
  <c r="L879" i="1"/>
  <c r="L880" i="1"/>
  <c r="L881" i="1"/>
  <c r="L882" i="1"/>
  <c r="L883" i="1"/>
  <c r="L884" i="1"/>
  <c r="L885" i="1"/>
  <c r="L886" i="1"/>
  <c r="L887" i="1"/>
  <c r="L888" i="1"/>
  <c r="L889" i="1"/>
  <c r="L890" i="1"/>
  <c r="L891" i="1"/>
  <c r="L892" i="1"/>
  <c r="L893" i="1"/>
  <c r="L894" i="1"/>
  <c r="L895" i="1"/>
  <c r="L896" i="1"/>
  <c r="L897" i="1"/>
  <c r="L898" i="1"/>
  <c r="L899" i="1"/>
  <c r="L900" i="1"/>
  <c r="L901" i="1"/>
  <c r="L902" i="1"/>
  <c r="L903" i="1"/>
  <c r="L904" i="1"/>
  <c r="L905" i="1"/>
  <c r="L906" i="1"/>
  <c r="L907" i="1"/>
  <c r="L908" i="1"/>
  <c r="L909" i="1"/>
  <c r="L910" i="1"/>
  <c r="L911" i="1"/>
  <c r="L912" i="1"/>
  <c r="L913" i="1"/>
  <c r="L914" i="1"/>
  <c r="L915" i="1"/>
  <c r="L916" i="1"/>
  <c r="L917" i="1"/>
  <c r="L918" i="1"/>
  <c r="L919" i="1"/>
  <c r="L920" i="1"/>
  <c r="L921" i="1"/>
  <c r="L922" i="1"/>
  <c r="L923" i="1"/>
  <c r="L924" i="1"/>
  <c r="L925" i="1"/>
  <c r="L926" i="1"/>
  <c r="L927" i="1"/>
  <c r="L928" i="1"/>
  <c r="L929" i="1"/>
  <c r="L930" i="1"/>
  <c r="L931" i="1"/>
  <c r="L932" i="1"/>
  <c r="L933" i="1"/>
  <c r="L934" i="1"/>
  <c r="L935" i="1"/>
  <c r="L936" i="1"/>
  <c r="L937" i="1"/>
  <c r="L938" i="1"/>
  <c r="L939" i="1"/>
  <c r="L940" i="1"/>
  <c r="L941" i="1"/>
  <c r="L942" i="1"/>
  <c r="L943" i="1"/>
  <c r="L944" i="1"/>
  <c r="L945" i="1"/>
  <c r="L946" i="1"/>
  <c r="L947" i="1"/>
  <c r="L948" i="1"/>
  <c r="L949" i="1"/>
  <c r="L950" i="1"/>
  <c r="L951" i="1"/>
  <c r="L952" i="1"/>
  <c r="L953" i="1"/>
  <c r="L954" i="1"/>
  <c r="L955" i="1"/>
  <c r="L956" i="1"/>
  <c r="L957" i="1"/>
  <c r="L958" i="1"/>
  <c r="L959" i="1"/>
  <c r="L960" i="1"/>
  <c r="L961" i="1"/>
  <c r="L962" i="1"/>
  <c r="L963" i="1"/>
  <c r="L964" i="1"/>
  <c r="L965" i="1"/>
  <c r="L966" i="1"/>
  <c r="L967" i="1"/>
  <c r="L968" i="1"/>
  <c r="L969" i="1"/>
  <c r="L970" i="1"/>
  <c r="L971" i="1"/>
  <c r="L972" i="1"/>
  <c r="L973" i="1"/>
  <c r="L974" i="1"/>
  <c r="L975" i="1"/>
  <c r="L976" i="1"/>
  <c r="L977" i="1"/>
  <c r="L978" i="1"/>
  <c r="L979" i="1"/>
  <c r="L980" i="1"/>
  <c r="L981" i="1"/>
  <c r="L982" i="1"/>
  <c r="L983" i="1"/>
  <c r="L984" i="1"/>
  <c r="L985" i="1"/>
  <c r="L986" i="1"/>
  <c r="L987" i="1"/>
  <c r="L988" i="1"/>
  <c r="L989" i="1"/>
  <c r="L990" i="1"/>
  <c r="L991" i="1"/>
  <c r="L992" i="1"/>
  <c r="L993" i="1"/>
  <c r="L994" i="1"/>
  <c r="L995" i="1"/>
  <c r="L996" i="1"/>
  <c r="L997" i="1"/>
  <c r="L998" i="1"/>
  <c r="L999" i="1"/>
  <c r="L1000" i="1"/>
  <c r="L1001" i="1"/>
  <c r="L1002" i="1"/>
  <c r="L1003" i="1"/>
  <c r="L1004" i="1"/>
  <c r="L1005" i="1"/>
  <c r="L1006" i="1"/>
  <c r="L1007" i="1"/>
  <c r="L1008" i="1"/>
  <c r="L1009" i="1"/>
  <c r="L1010" i="1"/>
  <c r="L1011" i="1"/>
  <c r="L1012" i="1"/>
  <c r="L1013" i="1"/>
  <c r="L1014" i="1"/>
  <c r="L1015" i="1"/>
  <c r="L1016" i="1"/>
  <c r="L1017" i="1"/>
  <c r="L1018" i="1"/>
  <c r="L1019" i="1"/>
  <c r="L1020" i="1"/>
  <c r="L1021" i="1"/>
  <c r="L1022" i="1"/>
  <c r="L1023" i="1"/>
  <c r="L1024" i="1"/>
  <c r="L1025" i="1"/>
  <c r="L1026" i="1"/>
  <c r="L1027" i="1"/>
  <c r="L1028" i="1"/>
  <c r="L1029" i="1"/>
  <c r="L1030" i="1"/>
  <c r="L1031" i="1"/>
  <c r="L1032" i="1"/>
  <c r="L1033" i="1"/>
  <c r="L1034" i="1"/>
  <c r="L1035" i="1"/>
  <c r="L1036" i="1"/>
  <c r="L1037" i="1"/>
  <c r="L1038" i="1"/>
  <c r="L1039" i="1"/>
  <c r="L1040" i="1"/>
  <c r="L1041" i="1"/>
  <c r="L1042" i="1"/>
  <c r="L1043" i="1"/>
  <c r="L1044" i="1"/>
  <c r="L1045" i="1"/>
  <c r="L1046" i="1"/>
  <c r="L1047" i="1"/>
  <c r="L1048" i="1"/>
  <c r="L1049" i="1"/>
  <c r="L1050" i="1"/>
  <c r="L1051" i="1"/>
  <c r="L1052" i="1"/>
  <c r="L1053" i="1"/>
  <c r="L1054" i="1"/>
  <c r="L1055" i="1"/>
  <c r="L1056" i="1"/>
  <c r="L1057" i="1"/>
  <c r="L1058" i="1"/>
  <c r="L1059" i="1"/>
  <c r="L1060" i="1"/>
  <c r="L1061" i="1"/>
  <c r="L1062" i="1"/>
  <c r="L1063" i="1"/>
  <c r="L1064" i="1"/>
  <c r="L1065" i="1"/>
  <c r="L1066" i="1"/>
  <c r="L1067" i="1"/>
  <c r="L1068" i="1"/>
  <c r="L1069" i="1"/>
  <c r="L1070" i="1"/>
  <c r="L1071" i="1"/>
  <c r="L1072" i="1"/>
  <c r="L1073" i="1"/>
  <c r="L1074" i="1"/>
  <c r="L1075" i="1"/>
  <c r="L1076" i="1"/>
  <c r="L1077" i="1"/>
  <c r="L1078" i="1"/>
  <c r="L1079" i="1"/>
  <c r="L1080" i="1"/>
  <c r="L1081" i="1"/>
  <c r="L1082" i="1"/>
  <c r="L1083" i="1"/>
  <c r="L1084" i="1"/>
  <c r="L1085" i="1"/>
  <c r="L1086" i="1"/>
  <c r="L1087" i="1"/>
  <c r="L1088" i="1"/>
  <c r="L1089" i="1"/>
  <c r="L1090" i="1"/>
  <c r="L1091" i="1"/>
  <c r="L1092" i="1"/>
  <c r="L1093" i="1"/>
  <c r="L1094" i="1"/>
  <c r="L1095" i="1"/>
  <c r="L1096" i="1"/>
  <c r="L1097" i="1"/>
  <c r="L1098" i="1"/>
  <c r="L1099" i="1"/>
  <c r="L1100" i="1"/>
  <c r="L1101" i="1"/>
  <c r="L1102" i="1"/>
  <c r="L1103" i="1"/>
  <c r="L1104" i="1"/>
  <c r="L1105" i="1"/>
  <c r="L1106" i="1"/>
  <c r="L1107" i="1"/>
  <c r="L1108" i="1"/>
  <c r="L1109" i="1"/>
  <c r="L1110" i="1"/>
  <c r="L1111" i="1"/>
  <c r="L1112" i="1"/>
  <c r="L1113" i="1"/>
  <c r="L1114" i="1"/>
  <c r="L1115" i="1"/>
  <c r="L1116" i="1"/>
  <c r="L1117" i="1"/>
  <c r="L1118" i="1"/>
  <c r="L1119" i="1"/>
  <c r="L1120" i="1"/>
  <c r="L1121" i="1"/>
  <c r="L1122" i="1"/>
  <c r="L1123" i="1"/>
  <c r="L1124" i="1"/>
  <c r="L1125" i="1"/>
  <c r="L1126" i="1"/>
  <c r="L1127" i="1"/>
  <c r="L1128" i="1"/>
  <c r="L1129" i="1"/>
  <c r="L1130" i="1"/>
  <c r="L1131" i="1"/>
  <c r="L1132" i="1"/>
  <c r="L1133" i="1"/>
  <c r="L1134" i="1"/>
  <c r="L1135" i="1"/>
  <c r="L1136" i="1"/>
  <c r="L1137" i="1"/>
  <c r="L1138" i="1"/>
  <c r="L1139" i="1"/>
  <c r="L1140" i="1"/>
  <c r="L1141" i="1"/>
  <c r="L1142" i="1"/>
  <c r="L1143" i="1"/>
  <c r="L1144" i="1"/>
  <c r="L1145" i="1"/>
  <c r="L1146" i="1"/>
  <c r="L1147" i="1"/>
  <c r="L1148" i="1"/>
  <c r="L1149" i="1"/>
  <c r="L1150" i="1"/>
  <c r="L1151" i="1"/>
  <c r="L1152" i="1"/>
  <c r="L1153" i="1"/>
  <c r="L1154" i="1"/>
  <c r="L1155" i="1"/>
  <c r="L1156" i="1"/>
  <c r="L1157" i="1"/>
  <c r="L1158" i="1"/>
  <c r="L1159" i="1"/>
  <c r="L1160" i="1"/>
  <c r="L1161" i="1"/>
  <c r="L1162" i="1"/>
  <c r="L1163" i="1"/>
  <c r="L1164" i="1"/>
  <c r="L1165" i="1"/>
  <c r="L1166" i="1"/>
  <c r="L1167" i="1"/>
  <c r="L1168" i="1"/>
  <c r="L1169" i="1"/>
  <c r="L1170" i="1"/>
  <c r="L1171" i="1"/>
  <c r="L1172" i="1"/>
  <c r="L1173" i="1"/>
  <c r="L1174" i="1"/>
  <c r="L1175" i="1"/>
  <c r="L1176" i="1"/>
  <c r="L1177" i="1"/>
  <c r="L1178" i="1"/>
  <c r="L1179" i="1"/>
  <c r="L1180" i="1"/>
  <c r="L1181" i="1"/>
  <c r="L1182" i="1"/>
  <c r="L1183" i="1"/>
  <c r="L1184" i="1"/>
  <c r="L1185" i="1"/>
  <c r="L1186" i="1"/>
  <c r="L1187" i="1"/>
  <c r="L1188" i="1"/>
  <c r="L1189" i="1"/>
  <c r="L1190" i="1"/>
  <c r="L1191" i="1"/>
  <c r="L1192" i="1"/>
  <c r="L1193" i="1"/>
  <c r="L1194" i="1"/>
  <c r="L1195" i="1"/>
  <c r="L1196" i="1"/>
  <c r="L1197" i="1"/>
  <c r="L1198" i="1"/>
  <c r="L1199" i="1"/>
  <c r="L1200" i="1"/>
  <c r="L1201" i="1"/>
  <c r="L1202" i="1"/>
  <c r="L1203" i="1"/>
  <c r="L1204" i="1"/>
  <c r="L1205" i="1"/>
  <c r="L1206" i="1"/>
  <c r="L1207" i="1"/>
  <c r="L1208" i="1"/>
  <c r="L1209" i="1"/>
  <c r="L1210" i="1"/>
  <c r="L1211" i="1"/>
  <c r="L1212" i="1"/>
  <c r="L1213" i="1"/>
  <c r="L1214" i="1"/>
  <c r="L1215" i="1"/>
  <c r="L1216" i="1"/>
  <c r="L1217" i="1"/>
  <c r="L1218" i="1"/>
  <c r="L1219" i="1"/>
  <c r="L1220" i="1"/>
  <c r="L1221" i="1"/>
  <c r="L1222" i="1"/>
  <c r="L1223" i="1"/>
  <c r="L1224" i="1"/>
  <c r="L1225" i="1"/>
  <c r="L1226" i="1"/>
  <c r="L1227" i="1"/>
  <c r="L1228" i="1"/>
  <c r="L1229" i="1"/>
  <c r="L1230" i="1"/>
  <c r="L1231" i="1"/>
  <c r="L1232" i="1"/>
  <c r="L1233" i="1"/>
  <c r="L1234" i="1"/>
  <c r="L1235" i="1"/>
  <c r="L1236" i="1"/>
  <c r="L1237" i="1"/>
  <c r="L1238" i="1"/>
  <c r="L1239" i="1"/>
  <c r="L1240" i="1"/>
  <c r="L1241" i="1"/>
  <c r="L1242" i="1"/>
  <c r="L1243" i="1"/>
  <c r="L1244" i="1"/>
  <c r="L1245" i="1"/>
  <c r="L1246" i="1"/>
  <c r="L1247" i="1"/>
  <c r="L1248" i="1"/>
  <c r="L1249" i="1"/>
  <c r="L1250" i="1"/>
  <c r="L1251" i="1"/>
  <c r="L1252" i="1"/>
  <c r="L1253" i="1"/>
  <c r="L1254" i="1"/>
  <c r="L1255" i="1"/>
  <c r="L1256" i="1"/>
  <c r="L1257" i="1"/>
  <c r="L1258" i="1"/>
  <c r="L1259" i="1"/>
  <c r="L1260" i="1"/>
  <c r="L1261" i="1"/>
  <c r="L1262" i="1"/>
  <c r="L1263" i="1"/>
  <c r="L1264" i="1"/>
  <c r="L1265" i="1"/>
  <c r="L1266" i="1"/>
  <c r="L1267" i="1"/>
  <c r="L1268" i="1"/>
  <c r="L1269" i="1"/>
  <c r="L1270" i="1"/>
  <c r="L1271" i="1"/>
  <c r="L1272" i="1"/>
  <c r="L1273" i="1"/>
  <c r="L1274" i="1"/>
  <c r="L1275" i="1"/>
  <c r="L1276" i="1"/>
  <c r="L1277" i="1"/>
  <c r="L1278" i="1"/>
  <c r="L1279" i="1"/>
  <c r="L1280" i="1"/>
  <c r="L1281" i="1"/>
  <c r="L1282" i="1"/>
  <c r="L1283" i="1"/>
  <c r="L1284" i="1"/>
  <c r="L1285" i="1"/>
  <c r="L1286" i="1"/>
  <c r="L1287" i="1"/>
  <c r="L1288" i="1"/>
  <c r="L1289" i="1"/>
  <c r="L1290" i="1"/>
  <c r="L1291" i="1"/>
  <c r="L1292" i="1"/>
  <c r="L1293" i="1"/>
  <c r="L1294" i="1"/>
  <c r="L1295" i="1"/>
  <c r="L1296" i="1"/>
  <c r="L1297" i="1"/>
  <c r="L1298" i="1"/>
  <c r="L1299" i="1"/>
  <c r="L1300" i="1"/>
  <c r="L1301" i="1"/>
  <c r="L1302" i="1"/>
  <c r="L1303" i="1"/>
  <c r="L1304" i="1"/>
  <c r="L1305" i="1"/>
  <c r="L1306" i="1"/>
  <c r="L1307" i="1"/>
  <c r="L1308" i="1"/>
  <c r="L1309" i="1"/>
  <c r="L1310" i="1"/>
  <c r="L1311" i="1"/>
  <c r="L1312" i="1"/>
  <c r="L1313" i="1"/>
  <c r="L1314" i="1"/>
  <c r="L1315" i="1"/>
  <c r="L1316" i="1"/>
  <c r="L1317" i="1"/>
  <c r="L1318" i="1"/>
  <c r="L1319" i="1"/>
  <c r="L1320" i="1"/>
  <c r="L1321" i="1"/>
  <c r="L1322" i="1"/>
  <c r="L1323" i="1"/>
  <c r="L1324" i="1"/>
  <c r="L1325" i="1"/>
  <c r="L1326" i="1"/>
  <c r="L1327" i="1"/>
  <c r="L1328" i="1"/>
  <c r="L1329" i="1"/>
  <c r="L1330" i="1"/>
  <c r="L1331" i="1"/>
  <c r="L1332" i="1"/>
  <c r="L1333" i="1"/>
  <c r="L1334" i="1"/>
  <c r="L1335" i="1"/>
  <c r="L1336" i="1"/>
  <c r="L1337" i="1"/>
  <c r="L1338" i="1"/>
  <c r="L1339" i="1"/>
  <c r="L1340" i="1"/>
  <c r="L1341" i="1"/>
  <c r="L1342" i="1"/>
  <c r="L1343" i="1"/>
  <c r="L1344" i="1"/>
  <c r="L1345" i="1"/>
  <c r="L1346" i="1"/>
  <c r="L1347" i="1"/>
  <c r="L1348" i="1"/>
  <c r="L1349" i="1"/>
  <c r="L1350" i="1"/>
  <c r="L1351" i="1"/>
  <c r="L1352" i="1"/>
  <c r="L1353" i="1"/>
  <c r="L1354" i="1"/>
  <c r="L1355" i="1"/>
  <c r="L1356" i="1"/>
  <c r="L1357" i="1"/>
  <c r="L1358" i="1"/>
  <c r="L1359" i="1"/>
  <c r="L1360" i="1"/>
  <c r="L1361" i="1"/>
  <c r="L1362" i="1"/>
  <c r="L1363" i="1"/>
  <c r="L1364" i="1"/>
  <c r="L1365" i="1"/>
  <c r="L1366" i="1"/>
  <c r="L1367" i="1"/>
  <c r="L1368" i="1"/>
  <c r="L1369" i="1"/>
  <c r="L1370" i="1"/>
  <c r="L1371" i="1"/>
  <c r="L1372" i="1"/>
  <c r="L1373" i="1"/>
  <c r="L1374" i="1"/>
  <c r="L1375" i="1"/>
  <c r="L1376" i="1"/>
  <c r="L1377" i="1"/>
  <c r="L1378" i="1"/>
  <c r="L1379" i="1"/>
  <c r="L1380" i="1"/>
  <c r="L1381" i="1"/>
  <c r="L1382" i="1"/>
  <c r="L1383" i="1"/>
  <c r="L1384" i="1"/>
  <c r="L1385" i="1"/>
  <c r="L1386" i="1"/>
  <c r="L1387" i="1"/>
  <c r="L1388" i="1"/>
  <c r="L1389" i="1"/>
  <c r="L1390" i="1"/>
  <c r="L1391" i="1"/>
  <c r="L1392" i="1"/>
  <c r="L1393" i="1"/>
  <c r="L1394" i="1"/>
  <c r="L1395" i="1"/>
  <c r="L1396" i="1"/>
  <c r="L1397" i="1"/>
  <c r="L1398" i="1"/>
  <c r="L1399" i="1"/>
  <c r="L1400" i="1"/>
  <c r="L1401" i="1"/>
  <c r="L1402" i="1"/>
  <c r="L1403" i="1"/>
  <c r="L1404" i="1"/>
  <c r="L1405" i="1"/>
  <c r="L1406" i="1"/>
  <c r="L1407" i="1"/>
  <c r="L1408" i="1"/>
  <c r="L1409" i="1"/>
  <c r="L1410" i="1"/>
  <c r="L1411" i="1"/>
  <c r="L1412" i="1"/>
  <c r="L1413" i="1"/>
  <c r="L1414" i="1"/>
  <c r="L1415" i="1"/>
  <c r="L1416" i="1"/>
  <c r="L1417" i="1"/>
  <c r="L1418" i="1"/>
  <c r="L1419" i="1"/>
  <c r="L1420" i="1"/>
  <c r="L1421" i="1"/>
  <c r="L1422" i="1"/>
  <c r="L1423" i="1"/>
  <c r="L1424" i="1"/>
  <c r="L1425" i="1"/>
  <c r="L1426" i="1"/>
  <c r="L1427" i="1"/>
  <c r="L1428" i="1"/>
  <c r="L1429" i="1"/>
  <c r="L1430" i="1"/>
  <c r="L1431" i="1"/>
  <c r="L1432" i="1"/>
  <c r="L1433" i="1"/>
  <c r="L1434" i="1"/>
  <c r="L1435" i="1"/>
  <c r="L1436" i="1"/>
  <c r="L1437" i="1"/>
  <c r="L1438" i="1"/>
  <c r="L1439" i="1"/>
  <c r="L1440" i="1"/>
  <c r="L1441" i="1"/>
  <c r="L1442" i="1"/>
  <c r="L1443" i="1"/>
  <c r="L1444" i="1"/>
  <c r="L1445" i="1"/>
  <c r="L1446" i="1"/>
  <c r="L1447" i="1"/>
  <c r="L1448" i="1"/>
  <c r="L1449" i="1"/>
  <c r="L1450" i="1"/>
  <c r="L1451" i="1"/>
  <c r="L1452" i="1"/>
  <c r="L1453" i="1"/>
  <c r="L1454" i="1"/>
  <c r="L1455" i="1"/>
  <c r="L1456" i="1"/>
  <c r="L1457" i="1"/>
  <c r="L1458" i="1"/>
  <c r="L1459" i="1"/>
  <c r="L1460" i="1"/>
  <c r="L1461" i="1"/>
  <c r="L1462" i="1"/>
  <c r="L1463" i="1"/>
  <c r="L1464" i="1"/>
  <c r="L1465" i="1"/>
  <c r="L1466" i="1"/>
  <c r="L1467" i="1"/>
  <c r="L1468" i="1"/>
  <c r="L1469" i="1"/>
  <c r="L1470" i="1"/>
  <c r="L1471" i="1"/>
  <c r="L1472" i="1"/>
  <c r="L1473" i="1"/>
  <c r="L1474" i="1"/>
  <c r="L1475" i="1"/>
  <c r="L1476" i="1"/>
  <c r="L1477" i="1"/>
  <c r="L1478" i="1"/>
  <c r="L1479" i="1"/>
  <c r="L1480" i="1"/>
  <c r="L1481" i="1"/>
  <c r="L1482" i="1"/>
  <c r="L1483" i="1"/>
  <c r="L1484" i="1"/>
  <c r="L1485" i="1"/>
  <c r="L1486" i="1"/>
  <c r="L1487" i="1"/>
  <c r="L1488" i="1"/>
  <c r="L1489" i="1"/>
  <c r="L1490" i="1"/>
  <c r="L1491" i="1"/>
  <c r="L1492" i="1"/>
  <c r="L1493" i="1"/>
  <c r="L1494" i="1"/>
  <c r="L1495" i="1"/>
  <c r="L1496" i="1"/>
  <c r="L1497" i="1"/>
  <c r="L1498" i="1"/>
  <c r="L1499" i="1"/>
  <c r="L1500" i="1"/>
  <c r="L1501" i="1"/>
  <c r="L1502" i="1"/>
  <c r="L1503" i="1"/>
  <c r="L1504" i="1"/>
  <c r="L1505" i="1"/>
  <c r="L1506" i="1"/>
  <c r="L1507" i="1"/>
  <c r="L1508" i="1"/>
  <c r="L1509" i="1"/>
  <c r="L1510" i="1"/>
  <c r="L1511" i="1"/>
  <c r="L1512" i="1"/>
  <c r="L1513" i="1"/>
  <c r="L1514" i="1"/>
  <c r="L1515" i="1"/>
  <c r="L1516" i="1"/>
  <c r="L1517" i="1"/>
  <c r="L1518" i="1"/>
  <c r="L1519" i="1"/>
  <c r="L1520" i="1"/>
  <c r="L1521" i="1"/>
  <c r="L1522" i="1"/>
  <c r="L1523" i="1"/>
  <c r="L1524" i="1"/>
  <c r="L1525" i="1"/>
  <c r="L1526" i="1"/>
  <c r="L1527" i="1"/>
  <c r="L1528" i="1"/>
  <c r="L1529" i="1"/>
  <c r="L1530" i="1"/>
  <c r="L1531" i="1"/>
  <c r="L1532" i="1"/>
  <c r="L1533" i="1"/>
  <c r="L1534" i="1"/>
  <c r="L1535" i="1"/>
  <c r="L1536" i="1"/>
  <c r="L1537" i="1"/>
  <c r="L1538" i="1"/>
  <c r="L1539" i="1"/>
  <c r="L1540" i="1"/>
  <c r="L1541" i="1"/>
  <c r="L1542" i="1"/>
  <c r="L1543" i="1"/>
  <c r="L1544" i="1"/>
  <c r="L1545" i="1"/>
  <c r="L1546" i="1"/>
  <c r="L1547" i="1"/>
  <c r="L1548" i="1"/>
  <c r="L1549" i="1"/>
  <c r="L1550" i="1"/>
  <c r="L1551" i="1"/>
  <c r="L1552" i="1"/>
  <c r="L1553" i="1"/>
  <c r="L1554" i="1"/>
  <c r="L1555" i="1"/>
  <c r="L1556" i="1"/>
  <c r="L1557" i="1"/>
  <c r="L1558" i="1"/>
  <c r="L1559" i="1"/>
  <c r="L1560" i="1"/>
  <c r="L1561" i="1"/>
  <c r="L1562" i="1"/>
  <c r="L1563" i="1"/>
  <c r="L1564" i="1"/>
  <c r="L1565" i="1"/>
  <c r="L1566" i="1"/>
  <c r="L1567" i="1"/>
  <c r="L1568" i="1"/>
  <c r="L1569" i="1"/>
  <c r="L1570" i="1"/>
  <c r="L1571" i="1"/>
  <c r="L1572" i="1"/>
  <c r="L1573" i="1"/>
  <c r="L1574" i="1"/>
  <c r="L1575" i="1"/>
  <c r="L1576" i="1"/>
  <c r="L1577" i="1"/>
  <c r="L1578" i="1"/>
  <c r="L1579" i="1"/>
  <c r="L1580" i="1"/>
  <c r="L1581" i="1"/>
  <c r="L1582" i="1"/>
  <c r="L1583" i="1"/>
  <c r="L1584" i="1"/>
  <c r="L1585" i="1"/>
  <c r="L1586" i="1"/>
  <c r="L1587" i="1"/>
  <c r="L1588" i="1"/>
  <c r="L1589" i="1"/>
  <c r="L1590" i="1"/>
  <c r="L1591" i="1"/>
  <c r="L1592" i="1"/>
  <c r="L1593" i="1"/>
  <c r="L1594" i="1"/>
  <c r="L1595" i="1"/>
  <c r="L1596" i="1"/>
  <c r="L1597" i="1"/>
  <c r="L1598" i="1"/>
  <c r="L1599" i="1"/>
  <c r="L1600" i="1"/>
  <c r="L1601" i="1"/>
  <c r="L1602" i="1"/>
  <c r="L1603" i="1"/>
  <c r="L1604" i="1"/>
  <c r="L1605" i="1"/>
  <c r="L1606" i="1"/>
  <c r="L1607" i="1"/>
  <c r="L1608" i="1"/>
  <c r="L1609" i="1"/>
  <c r="L1610" i="1"/>
  <c r="L1611" i="1"/>
  <c r="L1612" i="1"/>
  <c r="L1613" i="1"/>
  <c r="L1614" i="1"/>
  <c r="L1615" i="1"/>
  <c r="L1616" i="1"/>
  <c r="L1617" i="1"/>
  <c r="L1618" i="1"/>
  <c r="L1619" i="1"/>
  <c r="L1620" i="1"/>
  <c r="L1621" i="1"/>
  <c r="L1622" i="1"/>
  <c r="L1623" i="1"/>
  <c r="L1624" i="1"/>
  <c r="L1625" i="1"/>
  <c r="L1626" i="1"/>
  <c r="L1627" i="1"/>
  <c r="L1628" i="1"/>
  <c r="L1629" i="1"/>
  <c r="L1630" i="1"/>
  <c r="L1631" i="1"/>
  <c r="L1632" i="1"/>
  <c r="L1633" i="1"/>
  <c r="L1634" i="1"/>
  <c r="L1635" i="1"/>
  <c r="L1636" i="1"/>
  <c r="L1637" i="1"/>
  <c r="L1638" i="1"/>
  <c r="L1639" i="1"/>
  <c r="L1640" i="1"/>
  <c r="L1641" i="1"/>
  <c r="L1642" i="1"/>
  <c r="L1643" i="1"/>
  <c r="L1644" i="1"/>
  <c r="L1645" i="1"/>
  <c r="L1646" i="1"/>
  <c r="L1647" i="1"/>
  <c r="L1648" i="1"/>
  <c r="L1649" i="1"/>
  <c r="L1650" i="1"/>
  <c r="L1651" i="1"/>
  <c r="L1652" i="1"/>
  <c r="L1653" i="1"/>
  <c r="L1654" i="1"/>
  <c r="L1655" i="1"/>
  <c r="L1656" i="1"/>
  <c r="L1657" i="1"/>
  <c r="L1658" i="1"/>
  <c r="L1659" i="1"/>
  <c r="L1660" i="1"/>
  <c r="L1661" i="1"/>
  <c r="L1662" i="1"/>
  <c r="L1663" i="1"/>
  <c r="L1664" i="1"/>
  <c r="L1665" i="1"/>
  <c r="L1666" i="1"/>
  <c r="L1667" i="1"/>
  <c r="L1668" i="1"/>
  <c r="L1669" i="1"/>
  <c r="L1670" i="1"/>
  <c r="L1671" i="1"/>
  <c r="L1672" i="1"/>
  <c r="L1673" i="1"/>
  <c r="L1674" i="1"/>
  <c r="L1675" i="1"/>
  <c r="L1676" i="1"/>
  <c r="L1677" i="1"/>
  <c r="L1678" i="1"/>
  <c r="L1679" i="1"/>
  <c r="L1680" i="1"/>
  <c r="L1681" i="1"/>
  <c r="L1682" i="1"/>
  <c r="L1683" i="1"/>
  <c r="L1684" i="1"/>
  <c r="L1685" i="1"/>
  <c r="L1686" i="1"/>
  <c r="L1687" i="1"/>
  <c r="L1688" i="1"/>
  <c r="L1689" i="1"/>
  <c r="L1690" i="1"/>
  <c r="L1691" i="1"/>
  <c r="L1692" i="1"/>
  <c r="L1693" i="1"/>
  <c r="L1694" i="1"/>
  <c r="L1695" i="1"/>
  <c r="L1696" i="1"/>
  <c r="L1697" i="1"/>
  <c r="L1698" i="1"/>
  <c r="L1699" i="1"/>
  <c r="L1700" i="1"/>
  <c r="L1701" i="1"/>
  <c r="L1702" i="1"/>
  <c r="L1703" i="1"/>
  <c r="L1704" i="1"/>
  <c r="L1705" i="1"/>
  <c r="L1706" i="1"/>
  <c r="L1707" i="1"/>
  <c r="L1708" i="1"/>
  <c r="L1709" i="1"/>
  <c r="L1710" i="1"/>
  <c r="L1711" i="1"/>
  <c r="L1712" i="1"/>
  <c r="L1713" i="1"/>
  <c r="L1714" i="1"/>
  <c r="L1715" i="1"/>
  <c r="L1716" i="1"/>
  <c r="L1717" i="1"/>
  <c r="L1718" i="1"/>
  <c r="L1719" i="1"/>
  <c r="L1720" i="1"/>
  <c r="L1721" i="1"/>
  <c r="L1722" i="1"/>
  <c r="L1723" i="1"/>
  <c r="L1724" i="1"/>
  <c r="L1725" i="1"/>
  <c r="L1726" i="1"/>
  <c r="L1727" i="1"/>
  <c r="L1728" i="1"/>
  <c r="L1729" i="1"/>
  <c r="L1730" i="1"/>
  <c r="L1731" i="1"/>
  <c r="L1732" i="1"/>
  <c r="L1733" i="1"/>
  <c r="L1734" i="1"/>
  <c r="L1735" i="1"/>
  <c r="L1736" i="1"/>
  <c r="L1737" i="1"/>
  <c r="L1738" i="1"/>
  <c r="L1739" i="1"/>
  <c r="L1740" i="1"/>
  <c r="L1741" i="1"/>
  <c r="L1742" i="1"/>
  <c r="L1743" i="1"/>
  <c r="L1744" i="1"/>
  <c r="L1745" i="1"/>
  <c r="L1746" i="1"/>
  <c r="L1747" i="1"/>
  <c r="L1748" i="1"/>
  <c r="L1749" i="1"/>
  <c r="L1750" i="1"/>
  <c r="L1751" i="1"/>
  <c r="L1752" i="1"/>
  <c r="L1753" i="1"/>
  <c r="L1754" i="1"/>
  <c r="L1755" i="1"/>
  <c r="L1756" i="1"/>
  <c r="L1757" i="1"/>
  <c r="L1758" i="1"/>
  <c r="L1759" i="1"/>
  <c r="L1760" i="1"/>
  <c r="L1761" i="1"/>
  <c r="L1762" i="1"/>
  <c r="L1763" i="1"/>
  <c r="L1764" i="1"/>
  <c r="L1765" i="1"/>
  <c r="L1766" i="1"/>
  <c r="L1767" i="1"/>
  <c r="L1768" i="1"/>
  <c r="L1769" i="1"/>
  <c r="L1770" i="1"/>
  <c r="L1771" i="1"/>
  <c r="L1772" i="1"/>
  <c r="L1773" i="1"/>
  <c r="L1774" i="1"/>
  <c r="L1775" i="1"/>
  <c r="L1776" i="1"/>
  <c r="L1777" i="1"/>
  <c r="L1778" i="1"/>
  <c r="L1779" i="1"/>
  <c r="L1780" i="1"/>
  <c r="L1781" i="1"/>
  <c r="L1782" i="1"/>
  <c r="L1783" i="1"/>
  <c r="L1784" i="1"/>
  <c r="L1785" i="1"/>
  <c r="L1786" i="1"/>
  <c r="L1787" i="1"/>
  <c r="L1788" i="1"/>
  <c r="L1789" i="1"/>
  <c r="L1790" i="1"/>
  <c r="L1791" i="1"/>
  <c r="L1792" i="1"/>
  <c r="L1793" i="1"/>
  <c r="L1794" i="1"/>
  <c r="L1795" i="1"/>
  <c r="L1796" i="1"/>
  <c r="L1797" i="1"/>
  <c r="L1798" i="1"/>
  <c r="L1799" i="1"/>
  <c r="L1800" i="1"/>
  <c r="L1801" i="1"/>
  <c r="L1802" i="1"/>
  <c r="L1803" i="1"/>
  <c r="L1804" i="1"/>
  <c r="L1805" i="1"/>
  <c r="L1806" i="1"/>
  <c r="L1807" i="1"/>
  <c r="L1808" i="1"/>
  <c r="L1809" i="1"/>
  <c r="L1810" i="1"/>
  <c r="L1811" i="1"/>
  <c r="L1812" i="1"/>
  <c r="L1813" i="1"/>
  <c r="L1814" i="1"/>
  <c r="L1815" i="1"/>
  <c r="L1816" i="1"/>
  <c r="L1817" i="1"/>
  <c r="L1818" i="1"/>
  <c r="L1819" i="1"/>
  <c r="L1820" i="1"/>
  <c r="L1821" i="1"/>
  <c r="L1822" i="1"/>
  <c r="L1823" i="1"/>
  <c r="L1824" i="1"/>
  <c r="L1825" i="1"/>
  <c r="L1826" i="1"/>
  <c r="L1827" i="1"/>
  <c r="L1828" i="1"/>
  <c r="L1829" i="1"/>
  <c r="L1830" i="1"/>
  <c r="L1831" i="1"/>
  <c r="L1832" i="1"/>
  <c r="L1833" i="1"/>
  <c r="L1834" i="1"/>
  <c r="L1835" i="1"/>
  <c r="L1836" i="1"/>
  <c r="L1837" i="1"/>
  <c r="L1838" i="1"/>
  <c r="L1839" i="1"/>
  <c r="L1840" i="1"/>
  <c r="L1841" i="1"/>
  <c r="L1842" i="1"/>
  <c r="L1843" i="1"/>
  <c r="L1844" i="1"/>
  <c r="L1845" i="1"/>
  <c r="L1846" i="1"/>
  <c r="L1847" i="1"/>
  <c r="L1848" i="1"/>
  <c r="L1849" i="1"/>
  <c r="L1850" i="1"/>
  <c r="L1851" i="1"/>
  <c r="L1852" i="1"/>
  <c r="L1853" i="1"/>
  <c r="L1854" i="1"/>
  <c r="L1855" i="1"/>
  <c r="L1856" i="1"/>
  <c r="L1857" i="1"/>
  <c r="L1858" i="1"/>
  <c r="L1859" i="1"/>
  <c r="L1860" i="1"/>
  <c r="L1861" i="1"/>
  <c r="L1862" i="1"/>
  <c r="L1863" i="1"/>
  <c r="L1864" i="1"/>
  <c r="L1865" i="1"/>
  <c r="L1866" i="1"/>
  <c r="L1867" i="1"/>
  <c r="L1868" i="1"/>
  <c r="L1869" i="1"/>
  <c r="L1870" i="1"/>
  <c r="L1871" i="1"/>
  <c r="L1872" i="1"/>
  <c r="L1873" i="1"/>
  <c r="L1874" i="1"/>
  <c r="L1875" i="1"/>
  <c r="L1876" i="1"/>
  <c r="L1877" i="1"/>
  <c r="L1878" i="1"/>
  <c r="L1879" i="1"/>
  <c r="L1880" i="1"/>
  <c r="L1881" i="1"/>
  <c r="L1882" i="1"/>
  <c r="L1883" i="1"/>
  <c r="L1884" i="1"/>
  <c r="L1885" i="1"/>
  <c r="L1886" i="1"/>
  <c r="L1887" i="1"/>
  <c r="L1888" i="1"/>
  <c r="L1889" i="1"/>
  <c r="L1890" i="1"/>
  <c r="L1891" i="1"/>
  <c r="L1892" i="1"/>
  <c r="L1893" i="1"/>
  <c r="L1894" i="1"/>
  <c r="L1895" i="1"/>
  <c r="L1896" i="1"/>
  <c r="L1897" i="1"/>
  <c r="L1898" i="1"/>
  <c r="L1899" i="1"/>
  <c r="L1900" i="1"/>
  <c r="L1901" i="1"/>
  <c r="L1902" i="1"/>
  <c r="L1903" i="1"/>
  <c r="L1904" i="1"/>
  <c r="L1905" i="1"/>
  <c r="L1906" i="1"/>
  <c r="L1907" i="1"/>
  <c r="L1908" i="1"/>
  <c r="L1909" i="1"/>
  <c r="L1910" i="1"/>
  <c r="L1911" i="1"/>
  <c r="L1912" i="1"/>
  <c r="L1913" i="1"/>
  <c r="L1914" i="1"/>
  <c r="L1915" i="1"/>
  <c r="L1916" i="1"/>
  <c r="L1917" i="1"/>
  <c r="L1918" i="1"/>
  <c r="L1919" i="1"/>
  <c r="L1920" i="1"/>
  <c r="L1921" i="1"/>
  <c r="L1922" i="1"/>
  <c r="L1923" i="1"/>
  <c r="L1924" i="1"/>
  <c r="L1925" i="1"/>
  <c r="L1926" i="1"/>
  <c r="L1927" i="1"/>
  <c r="L1928" i="1"/>
  <c r="L1929" i="1"/>
  <c r="L1930" i="1"/>
  <c r="L1931" i="1"/>
  <c r="L1932" i="1"/>
  <c r="L1933" i="1"/>
  <c r="L1934" i="1"/>
  <c r="L1935" i="1"/>
  <c r="L1936" i="1"/>
  <c r="L1937" i="1"/>
  <c r="L1938" i="1"/>
  <c r="L1939" i="1"/>
  <c r="L1940" i="1"/>
  <c r="L1941" i="1"/>
  <c r="L1942" i="1"/>
  <c r="L1943" i="1"/>
  <c r="L1944" i="1"/>
  <c r="L1945" i="1"/>
  <c r="L1946" i="1"/>
  <c r="L1947" i="1"/>
  <c r="L1948" i="1"/>
  <c r="L1949" i="1"/>
  <c r="L1950" i="1"/>
  <c r="L1951" i="1"/>
  <c r="L1952" i="1"/>
  <c r="L1953" i="1"/>
  <c r="L1954" i="1"/>
  <c r="L1955" i="1"/>
  <c r="L1956" i="1"/>
  <c r="L1957" i="1"/>
  <c r="L1958" i="1"/>
  <c r="L1959" i="1"/>
  <c r="L1960" i="1"/>
  <c r="L1961" i="1"/>
  <c r="L1962" i="1"/>
  <c r="L1963" i="1"/>
  <c r="L1964" i="1"/>
  <c r="L1965" i="1"/>
  <c r="L1966" i="1"/>
  <c r="L1967" i="1"/>
  <c r="L1968" i="1"/>
  <c r="L1969" i="1"/>
  <c r="L1970" i="1"/>
  <c r="L1971" i="1"/>
  <c r="L1972" i="1"/>
  <c r="L1973" i="1"/>
  <c r="L1974" i="1"/>
  <c r="L1975" i="1"/>
  <c r="L1976" i="1"/>
  <c r="L1977" i="1"/>
  <c r="L1978" i="1"/>
  <c r="L1979" i="1"/>
  <c r="L1980" i="1"/>
  <c r="L1981" i="1"/>
  <c r="L1982" i="1"/>
  <c r="L1983" i="1"/>
  <c r="L1984" i="1"/>
  <c r="L1985" i="1"/>
  <c r="L1986" i="1"/>
  <c r="L1987" i="1"/>
  <c r="L1988" i="1"/>
  <c r="L1989" i="1"/>
  <c r="L1990" i="1"/>
  <c r="L1991" i="1"/>
  <c r="L1992" i="1"/>
  <c r="L1993" i="1"/>
  <c r="L1994" i="1"/>
  <c r="L1995" i="1"/>
  <c r="L1996" i="1"/>
  <c r="L1997" i="1"/>
  <c r="L1998" i="1"/>
  <c r="L1999" i="1"/>
  <c r="L2000" i="1"/>
  <c r="L2001" i="1"/>
  <c r="L2002" i="1"/>
  <c r="L2003" i="1"/>
  <c r="L2004" i="1"/>
  <c r="L2005" i="1"/>
  <c r="L2006" i="1"/>
  <c r="L2007" i="1"/>
  <c r="L2008" i="1"/>
  <c r="L2009" i="1"/>
  <c r="L2010" i="1"/>
  <c r="L2011" i="1"/>
  <c r="L2012" i="1"/>
  <c r="L2013" i="1"/>
  <c r="L2014" i="1"/>
  <c r="L2015" i="1"/>
  <c r="L2016" i="1"/>
  <c r="L2017" i="1"/>
  <c r="L2018" i="1"/>
  <c r="L2019" i="1"/>
  <c r="L2020" i="1"/>
  <c r="L2021" i="1"/>
  <c r="L2022" i="1"/>
  <c r="L2023" i="1"/>
  <c r="L2024" i="1"/>
  <c r="L2025" i="1"/>
  <c r="L2026" i="1"/>
  <c r="L2027" i="1"/>
  <c r="L2028" i="1"/>
  <c r="L2029" i="1"/>
  <c r="L2030" i="1"/>
  <c r="L2031" i="1"/>
  <c r="L2032" i="1"/>
  <c r="L2033" i="1"/>
  <c r="L2034" i="1"/>
  <c r="L2035" i="1"/>
  <c r="L2036" i="1"/>
  <c r="L2037" i="1"/>
  <c r="L2038" i="1"/>
  <c r="L2039" i="1"/>
  <c r="L2040" i="1"/>
  <c r="L2041" i="1"/>
  <c r="L2042" i="1"/>
  <c r="L2043" i="1"/>
  <c r="L2044" i="1"/>
  <c r="L2045" i="1"/>
  <c r="L2046" i="1"/>
  <c r="L2047" i="1"/>
  <c r="L2048" i="1"/>
  <c r="L2049" i="1"/>
  <c r="L2050" i="1"/>
  <c r="L2051" i="1"/>
  <c r="L2052" i="1"/>
  <c r="L2053" i="1"/>
  <c r="L2054" i="1"/>
  <c r="L2055" i="1"/>
  <c r="L2056" i="1"/>
  <c r="L2057" i="1"/>
  <c r="L2058" i="1"/>
  <c r="L2059" i="1"/>
  <c r="L2060" i="1"/>
  <c r="L2061" i="1"/>
  <c r="L2062" i="1"/>
  <c r="L2063" i="1"/>
  <c r="L2064" i="1"/>
  <c r="L2065" i="1"/>
  <c r="L2066" i="1"/>
  <c r="L2067" i="1"/>
  <c r="L2068" i="1"/>
  <c r="L2069" i="1"/>
  <c r="L2070" i="1"/>
  <c r="L2071" i="1"/>
  <c r="L2072" i="1"/>
  <c r="L2073" i="1"/>
  <c r="L2074" i="1"/>
  <c r="L2075" i="1"/>
  <c r="L2076" i="1"/>
  <c r="L2077" i="1"/>
  <c r="L2078" i="1"/>
  <c r="L2079" i="1"/>
  <c r="L2080" i="1"/>
  <c r="L2081" i="1"/>
  <c r="L2082" i="1"/>
  <c r="L2083" i="1"/>
  <c r="L2084" i="1"/>
  <c r="L2085" i="1"/>
  <c r="L2086" i="1"/>
  <c r="L2087" i="1"/>
  <c r="L2088" i="1"/>
  <c r="L2089" i="1"/>
  <c r="L2090" i="1"/>
  <c r="L2091" i="1"/>
  <c r="L2092" i="1"/>
  <c r="L2093" i="1"/>
  <c r="L2094" i="1"/>
  <c r="L2095" i="1"/>
  <c r="L2096" i="1"/>
  <c r="L2097" i="1"/>
  <c r="L2098" i="1"/>
  <c r="L2099" i="1"/>
  <c r="L2100" i="1"/>
  <c r="L2101" i="1"/>
  <c r="L2102" i="1"/>
  <c r="L2103" i="1"/>
  <c r="L2104" i="1"/>
  <c r="L2105" i="1"/>
  <c r="L2106" i="1"/>
  <c r="L2107" i="1"/>
  <c r="L2108" i="1"/>
  <c r="L2109" i="1"/>
  <c r="L2110" i="1"/>
  <c r="L2111" i="1"/>
  <c r="L2112" i="1"/>
  <c r="L2113" i="1"/>
  <c r="L2114" i="1"/>
  <c r="L2115" i="1"/>
  <c r="L2116" i="1"/>
  <c r="L2117" i="1"/>
  <c r="L2118" i="1"/>
  <c r="L2119" i="1"/>
  <c r="L2120" i="1"/>
  <c r="L2121" i="1"/>
  <c r="L2122" i="1"/>
  <c r="L2123" i="1"/>
  <c r="L2124" i="1"/>
  <c r="L2125" i="1"/>
  <c r="L2126" i="1"/>
  <c r="L2127" i="1"/>
  <c r="L2128" i="1"/>
  <c r="L2129" i="1"/>
  <c r="L2130" i="1"/>
  <c r="L2131" i="1"/>
  <c r="L2132" i="1"/>
  <c r="L2133" i="1"/>
  <c r="L2134" i="1"/>
  <c r="L2135" i="1"/>
  <c r="L2136" i="1"/>
  <c r="L2137" i="1"/>
  <c r="L2138" i="1"/>
  <c r="L2139" i="1"/>
  <c r="L2140" i="1"/>
  <c r="L2141" i="1"/>
  <c r="L2142" i="1"/>
  <c r="L2143" i="1"/>
  <c r="L2144" i="1"/>
  <c r="L2145" i="1"/>
  <c r="L2146" i="1"/>
  <c r="L2147" i="1"/>
  <c r="L2148" i="1"/>
  <c r="L2149" i="1"/>
  <c r="L2150" i="1"/>
  <c r="L2151" i="1"/>
  <c r="L2152" i="1"/>
  <c r="L2153" i="1"/>
  <c r="L2154" i="1"/>
  <c r="L2155" i="1"/>
  <c r="L2156" i="1"/>
  <c r="L2157" i="1"/>
  <c r="L2158" i="1"/>
  <c r="L2159" i="1"/>
  <c r="L2160" i="1"/>
  <c r="L2161" i="1"/>
  <c r="L2162" i="1"/>
  <c r="L2163" i="1"/>
  <c r="L2164" i="1"/>
  <c r="L2165" i="1"/>
  <c r="L2166" i="1"/>
  <c r="L2167" i="1"/>
  <c r="L2168" i="1"/>
  <c r="L2169" i="1"/>
  <c r="L2170" i="1"/>
  <c r="L2171" i="1"/>
  <c r="L2172" i="1"/>
  <c r="L2173" i="1"/>
  <c r="L2174" i="1"/>
  <c r="L2175" i="1"/>
  <c r="L2176" i="1"/>
  <c r="L2177" i="1"/>
  <c r="L2178" i="1"/>
  <c r="L2179" i="1"/>
  <c r="L2180" i="1"/>
  <c r="L2181" i="1"/>
  <c r="L2182" i="1"/>
  <c r="L2183" i="1"/>
  <c r="L2184" i="1"/>
  <c r="L2185" i="1"/>
  <c r="L2186" i="1"/>
  <c r="L2187" i="1"/>
  <c r="L2188" i="1"/>
  <c r="L2189" i="1"/>
  <c r="L2190" i="1"/>
  <c r="L2191" i="1"/>
  <c r="L2192" i="1"/>
  <c r="L2193" i="1"/>
  <c r="L2194" i="1"/>
  <c r="L2195" i="1"/>
  <c r="L2196" i="1"/>
  <c r="L2197" i="1"/>
  <c r="L2198" i="1"/>
  <c r="L2199" i="1"/>
  <c r="L2200" i="1"/>
  <c r="L2201" i="1"/>
  <c r="L2202" i="1"/>
  <c r="L2203" i="1"/>
  <c r="L2204" i="1"/>
  <c r="L2205" i="1"/>
  <c r="L2206" i="1"/>
  <c r="L2207" i="1"/>
  <c r="L2208" i="1"/>
  <c r="L2209" i="1"/>
  <c r="L2210" i="1"/>
  <c r="L2211" i="1"/>
  <c r="L2212" i="1"/>
  <c r="L2213" i="1"/>
  <c r="L2214" i="1"/>
  <c r="L2215" i="1"/>
  <c r="L2216" i="1"/>
  <c r="L2217" i="1"/>
  <c r="L2218" i="1"/>
  <c r="L2219" i="1"/>
  <c r="L2220" i="1"/>
  <c r="L2221" i="1"/>
  <c r="L2222" i="1"/>
  <c r="L2223" i="1"/>
  <c r="L2224" i="1"/>
  <c r="L2225" i="1"/>
  <c r="L2226" i="1"/>
  <c r="L2227" i="1"/>
  <c r="L2228" i="1"/>
  <c r="L2229" i="1"/>
  <c r="L2230" i="1"/>
  <c r="L2231" i="1"/>
  <c r="L2232" i="1"/>
  <c r="L2233" i="1"/>
  <c r="L2234" i="1"/>
  <c r="L2235" i="1"/>
  <c r="L2236" i="1"/>
  <c r="L2237" i="1"/>
  <c r="L2238" i="1"/>
  <c r="L2239" i="1"/>
  <c r="L2240" i="1"/>
  <c r="L2241" i="1"/>
  <c r="L2242" i="1"/>
  <c r="L2243" i="1"/>
  <c r="L2244" i="1"/>
  <c r="L2245" i="1"/>
  <c r="L2246" i="1"/>
  <c r="L2247" i="1"/>
  <c r="L2248" i="1"/>
  <c r="L2249" i="1"/>
  <c r="L2250" i="1"/>
  <c r="L2251" i="1"/>
  <c r="L2252" i="1"/>
  <c r="L2253" i="1"/>
  <c r="L2254" i="1"/>
  <c r="L2255" i="1"/>
  <c r="L2256" i="1"/>
  <c r="L2257" i="1"/>
  <c r="L2258" i="1"/>
  <c r="L2259" i="1"/>
  <c r="L2260" i="1"/>
  <c r="L2261" i="1"/>
  <c r="L2262" i="1"/>
  <c r="L2263" i="1"/>
  <c r="L2264" i="1"/>
  <c r="L2265" i="1"/>
  <c r="L2266" i="1"/>
  <c r="L2267" i="1"/>
  <c r="L2268" i="1"/>
  <c r="L2269" i="1"/>
  <c r="L2270" i="1"/>
  <c r="L2271" i="1"/>
  <c r="L2272" i="1"/>
  <c r="L2273" i="1"/>
  <c r="L2274" i="1"/>
  <c r="L2275" i="1"/>
  <c r="L2276" i="1"/>
  <c r="L2277" i="1"/>
  <c r="L2278" i="1"/>
  <c r="L2279" i="1"/>
  <c r="L2280" i="1"/>
  <c r="L2281" i="1"/>
  <c r="L2282" i="1"/>
  <c r="L2283" i="1"/>
  <c r="L2284" i="1"/>
  <c r="L2285" i="1"/>
  <c r="L2286" i="1"/>
  <c r="L2287" i="1"/>
  <c r="L2288" i="1"/>
  <c r="L2289" i="1"/>
  <c r="L2290" i="1"/>
  <c r="L2291" i="1"/>
  <c r="L2292" i="1"/>
  <c r="L2293" i="1"/>
  <c r="L2294" i="1"/>
  <c r="L2295" i="1"/>
  <c r="L2296" i="1"/>
  <c r="L2297" i="1"/>
  <c r="L2298" i="1"/>
  <c r="L2299" i="1"/>
  <c r="L2300" i="1"/>
  <c r="L2301" i="1"/>
  <c r="L2302" i="1"/>
  <c r="L2303" i="1"/>
  <c r="L2304" i="1"/>
  <c r="L2305" i="1"/>
  <c r="L2306" i="1"/>
  <c r="L2307" i="1"/>
  <c r="L2308" i="1"/>
  <c r="L2309" i="1"/>
  <c r="L2310" i="1"/>
  <c r="L2311" i="1"/>
  <c r="L2312" i="1"/>
  <c r="L2313" i="1"/>
  <c r="L2314" i="1"/>
  <c r="L2315" i="1"/>
  <c r="L2316" i="1"/>
  <c r="L2317" i="1"/>
  <c r="L2318" i="1"/>
  <c r="L2319" i="1"/>
  <c r="L2320" i="1"/>
  <c r="L2321" i="1"/>
  <c r="L2322" i="1"/>
  <c r="L2323" i="1"/>
  <c r="L2324" i="1"/>
  <c r="L2325" i="1"/>
  <c r="L2326" i="1"/>
  <c r="L2327" i="1"/>
  <c r="L2328" i="1"/>
  <c r="L2329" i="1"/>
  <c r="L2330" i="1"/>
  <c r="L2331" i="1"/>
  <c r="L2332" i="1"/>
  <c r="L2333" i="1"/>
  <c r="L2334" i="1"/>
  <c r="L2335" i="1"/>
  <c r="L2336" i="1"/>
  <c r="L2337" i="1"/>
  <c r="L2338" i="1"/>
  <c r="L2339" i="1"/>
  <c r="L2340" i="1"/>
  <c r="L2341" i="1"/>
  <c r="L2342" i="1"/>
  <c r="L2343" i="1"/>
  <c r="L2344" i="1"/>
  <c r="L2345" i="1"/>
  <c r="L2346" i="1"/>
  <c r="L2347" i="1"/>
  <c r="L2348" i="1"/>
  <c r="L2349" i="1"/>
  <c r="L2350" i="1"/>
  <c r="L2351" i="1"/>
  <c r="L2352" i="1"/>
  <c r="L2353" i="1"/>
  <c r="L2354" i="1"/>
  <c r="L2355" i="1"/>
  <c r="L2356" i="1"/>
  <c r="L2357" i="1"/>
  <c r="L2358" i="1"/>
  <c r="L2359" i="1"/>
  <c r="L2360" i="1"/>
  <c r="L2361" i="1"/>
  <c r="L2362" i="1"/>
  <c r="L2363" i="1"/>
  <c r="L2364" i="1"/>
  <c r="L2365" i="1"/>
  <c r="L2366" i="1"/>
  <c r="L2367" i="1"/>
  <c r="L2368" i="1"/>
  <c r="L2369" i="1"/>
  <c r="L2370" i="1"/>
  <c r="L2371" i="1"/>
  <c r="L2372" i="1"/>
  <c r="L2373" i="1"/>
  <c r="L2374" i="1"/>
  <c r="L2375" i="1"/>
  <c r="L2376" i="1"/>
  <c r="L2377" i="1"/>
  <c r="L2378" i="1"/>
  <c r="L2379" i="1"/>
  <c r="L2380" i="1"/>
  <c r="L2381" i="1"/>
  <c r="L2382" i="1"/>
  <c r="L2383" i="1"/>
  <c r="L2384" i="1"/>
  <c r="L2385" i="1"/>
  <c r="L2386" i="1"/>
  <c r="L2387" i="1"/>
  <c r="L2388" i="1"/>
  <c r="L2389" i="1"/>
  <c r="L2390" i="1"/>
  <c r="L2391" i="1"/>
  <c r="L2392" i="1"/>
  <c r="L2393" i="1"/>
  <c r="L2394" i="1"/>
  <c r="L2395" i="1"/>
  <c r="L2396" i="1"/>
  <c r="L2397" i="1"/>
  <c r="L2398" i="1"/>
  <c r="L2399" i="1"/>
  <c r="L2400" i="1"/>
  <c r="L2401" i="1"/>
  <c r="L2402" i="1"/>
  <c r="L2403" i="1"/>
  <c r="L2404" i="1"/>
  <c r="L2405" i="1"/>
  <c r="L2406" i="1"/>
  <c r="L2407" i="1"/>
  <c r="L2408" i="1"/>
  <c r="L2409" i="1"/>
  <c r="L2410" i="1"/>
  <c r="L2411" i="1"/>
  <c r="L2412" i="1"/>
  <c r="L2413" i="1"/>
  <c r="L2414" i="1"/>
  <c r="L2415" i="1"/>
  <c r="L2416" i="1"/>
  <c r="L2417" i="1"/>
  <c r="L2418" i="1"/>
  <c r="L2419" i="1"/>
  <c r="L2420" i="1"/>
  <c r="L2421" i="1"/>
  <c r="L2422" i="1"/>
  <c r="L2423" i="1"/>
  <c r="L2424" i="1"/>
  <c r="L2425" i="1"/>
  <c r="L2426" i="1"/>
  <c r="L2427" i="1"/>
  <c r="L2428" i="1"/>
  <c r="L2429" i="1"/>
  <c r="L2430" i="1"/>
  <c r="L2431" i="1"/>
  <c r="L2432" i="1"/>
  <c r="L2433" i="1"/>
  <c r="L2434" i="1"/>
  <c r="L2435" i="1"/>
  <c r="L2436" i="1"/>
  <c r="L2437" i="1"/>
  <c r="L2438" i="1"/>
  <c r="L2439" i="1"/>
  <c r="L2440" i="1"/>
  <c r="L2441" i="1"/>
  <c r="L2442" i="1"/>
  <c r="L2443" i="1"/>
  <c r="L2444" i="1"/>
  <c r="L2445" i="1"/>
  <c r="L2446" i="1"/>
  <c r="L2447" i="1"/>
  <c r="L2448" i="1"/>
  <c r="L2449" i="1"/>
  <c r="L2450" i="1"/>
  <c r="L2451" i="1"/>
  <c r="L2452" i="1"/>
  <c r="L2453" i="1"/>
  <c r="L2454" i="1"/>
  <c r="L2455" i="1"/>
  <c r="L2456" i="1"/>
  <c r="L2457" i="1"/>
  <c r="L2458" i="1"/>
  <c r="L2459" i="1"/>
  <c r="L2460" i="1"/>
  <c r="L2461" i="1"/>
  <c r="L2462" i="1"/>
  <c r="L2463" i="1"/>
  <c r="L2464" i="1"/>
  <c r="L2465" i="1"/>
  <c r="L2466" i="1"/>
  <c r="L2467" i="1"/>
  <c r="L2468" i="1"/>
  <c r="L2469" i="1"/>
  <c r="L2470" i="1"/>
  <c r="L2471" i="1"/>
  <c r="L2472" i="1"/>
  <c r="L2473" i="1"/>
  <c r="L2474" i="1"/>
  <c r="L2475" i="1"/>
  <c r="L2476" i="1"/>
  <c r="L2477" i="1"/>
  <c r="L2478" i="1"/>
  <c r="L2479" i="1"/>
  <c r="L2480" i="1"/>
  <c r="L2481" i="1"/>
  <c r="L2482" i="1"/>
  <c r="L2483" i="1"/>
  <c r="L2484" i="1"/>
  <c r="L2485" i="1"/>
  <c r="L2486" i="1"/>
  <c r="L2487" i="1"/>
  <c r="L2488" i="1"/>
  <c r="L2489" i="1"/>
  <c r="L2490" i="1"/>
  <c r="L2491" i="1"/>
  <c r="L2492" i="1"/>
  <c r="L2493" i="1"/>
  <c r="L2494" i="1"/>
  <c r="L2495" i="1"/>
  <c r="L2496" i="1"/>
  <c r="L2497" i="1"/>
  <c r="L2498" i="1"/>
  <c r="L2499" i="1"/>
  <c r="L2500" i="1"/>
  <c r="L2501" i="1"/>
  <c r="L2502" i="1"/>
  <c r="L2503" i="1"/>
  <c r="L2504" i="1"/>
  <c r="L2505" i="1"/>
  <c r="L2506" i="1"/>
  <c r="L2507" i="1"/>
  <c r="L2508" i="1"/>
  <c r="L2509" i="1"/>
  <c r="L2510" i="1"/>
  <c r="L2511" i="1"/>
  <c r="L2512" i="1"/>
  <c r="L2513" i="1"/>
  <c r="L2514" i="1"/>
  <c r="L2515" i="1"/>
  <c r="L2516" i="1"/>
  <c r="L2517" i="1"/>
  <c r="L2518" i="1"/>
  <c r="L2519" i="1"/>
  <c r="L2520" i="1"/>
  <c r="L2521" i="1"/>
  <c r="L2522" i="1"/>
  <c r="L2523" i="1"/>
  <c r="L2524" i="1"/>
  <c r="L2525" i="1"/>
  <c r="L2526" i="1"/>
  <c r="L2527" i="1"/>
  <c r="L2528" i="1"/>
  <c r="L2529" i="1"/>
  <c r="L2530" i="1"/>
  <c r="L2531" i="1"/>
  <c r="L2532" i="1"/>
  <c r="L2533" i="1"/>
  <c r="L2534" i="1"/>
  <c r="L2535" i="1"/>
  <c r="L2536" i="1"/>
  <c r="L2537" i="1"/>
  <c r="L2538" i="1"/>
  <c r="L2539" i="1"/>
  <c r="L2540" i="1"/>
  <c r="L2541" i="1"/>
  <c r="L2542" i="1"/>
  <c r="L2543" i="1"/>
  <c r="L2544" i="1"/>
  <c r="L2545" i="1"/>
  <c r="L2546" i="1"/>
  <c r="L2547" i="1"/>
  <c r="L2548" i="1"/>
  <c r="L2549" i="1"/>
  <c r="L2550" i="1"/>
  <c r="L2551" i="1"/>
  <c r="L2552" i="1"/>
  <c r="L2553" i="1"/>
  <c r="L2554" i="1"/>
  <c r="L2555" i="1"/>
  <c r="L2556" i="1"/>
  <c r="L2557" i="1"/>
  <c r="L2558" i="1"/>
  <c r="L2559" i="1"/>
  <c r="L2560" i="1"/>
  <c r="L2561" i="1"/>
  <c r="L2562" i="1"/>
  <c r="L2563" i="1"/>
  <c r="L2564" i="1"/>
  <c r="L2565" i="1"/>
  <c r="L2566" i="1"/>
  <c r="L2567" i="1"/>
  <c r="L2568" i="1"/>
  <c r="L2569" i="1"/>
  <c r="L2570" i="1"/>
  <c r="L2571" i="1"/>
  <c r="L2572" i="1"/>
  <c r="L2573" i="1"/>
  <c r="L2574" i="1"/>
  <c r="L2575" i="1"/>
  <c r="L2576" i="1"/>
  <c r="L2577" i="1"/>
  <c r="L2578" i="1"/>
  <c r="L2579" i="1"/>
  <c r="L2580" i="1"/>
  <c r="L2581" i="1"/>
  <c r="L2582" i="1"/>
  <c r="L2583" i="1"/>
  <c r="L2584" i="1"/>
  <c r="L2585" i="1"/>
  <c r="L2586" i="1"/>
  <c r="L2587" i="1"/>
  <c r="L2588" i="1"/>
  <c r="L2589" i="1"/>
  <c r="L2590" i="1"/>
  <c r="L2591" i="1"/>
  <c r="L2592" i="1"/>
  <c r="L2593" i="1"/>
  <c r="L2594" i="1"/>
  <c r="L2595" i="1"/>
  <c r="L2596" i="1"/>
  <c r="L2597" i="1"/>
  <c r="L2598" i="1"/>
  <c r="L2599" i="1"/>
  <c r="L2600" i="1"/>
  <c r="L2601" i="1"/>
  <c r="L2602" i="1"/>
  <c r="L2603" i="1"/>
  <c r="L2604" i="1"/>
  <c r="L2605" i="1"/>
  <c r="L2606" i="1"/>
  <c r="L2607" i="1"/>
  <c r="L2608" i="1"/>
  <c r="L2609" i="1"/>
  <c r="L2610" i="1"/>
  <c r="L2611" i="1"/>
  <c r="L2612" i="1"/>
  <c r="L2613" i="1"/>
  <c r="L2614" i="1"/>
  <c r="L2615" i="1"/>
  <c r="L2616" i="1"/>
  <c r="L2617" i="1"/>
  <c r="L2618" i="1"/>
  <c r="L2619" i="1"/>
  <c r="L2620" i="1"/>
  <c r="L2621" i="1"/>
  <c r="L2622" i="1"/>
  <c r="L2623" i="1"/>
  <c r="L2624" i="1"/>
  <c r="L2625" i="1"/>
  <c r="L2626" i="1"/>
  <c r="L2627" i="1"/>
  <c r="L2628" i="1"/>
  <c r="L2629" i="1"/>
  <c r="L2630" i="1"/>
  <c r="L2631" i="1"/>
  <c r="L2632" i="1"/>
  <c r="L2633" i="1"/>
  <c r="L2634" i="1"/>
  <c r="L2635" i="1"/>
  <c r="L2636" i="1"/>
  <c r="L2637" i="1"/>
  <c r="L2638" i="1"/>
  <c r="L2639" i="1"/>
  <c r="L2640" i="1"/>
  <c r="L2641" i="1"/>
  <c r="L2642" i="1"/>
  <c r="L2643" i="1"/>
  <c r="L2644" i="1"/>
  <c r="L2645" i="1"/>
  <c r="L2646" i="1"/>
  <c r="L2647" i="1"/>
  <c r="L2648" i="1"/>
  <c r="L2649" i="1"/>
  <c r="L2650" i="1"/>
  <c r="L2651" i="1"/>
  <c r="L2652" i="1"/>
  <c r="L2653" i="1"/>
  <c r="L2654" i="1"/>
  <c r="L2655" i="1"/>
  <c r="L2656" i="1"/>
  <c r="L2657" i="1"/>
  <c r="L2658" i="1"/>
  <c r="L2659" i="1"/>
  <c r="L2660" i="1"/>
  <c r="L2661" i="1"/>
  <c r="L2662" i="1"/>
  <c r="L2663" i="1"/>
  <c r="L2664" i="1"/>
  <c r="L2665" i="1"/>
  <c r="L2666" i="1"/>
  <c r="L2667" i="1"/>
  <c r="L2668" i="1"/>
  <c r="L2669" i="1"/>
  <c r="L2670" i="1"/>
  <c r="L2671" i="1"/>
  <c r="L2672" i="1"/>
  <c r="L2673" i="1"/>
  <c r="L2674" i="1"/>
  <c r="L2675" i="1"/>
  <c r="L2676" i="1"/>
  <c r="L2677" i="1"/>
  <c r="L2678" i="1"/>
  <c r="L2679" i="1"/>
  <c r="L2680" i="1"/>
  <c r="L2681" i="1"/>
  <c r="L2682" i="1"/>
  <c r="L2683" i="1"/>
  <c r="L2684" i="1"/>
  <c r="L2685" i="1"/>
  <c r="L2686" i="1"/>
  <c r="L2687" i="1"/>
  <c r="L2688" i="1"/>
  <c r="L2689" i="1"/>
  <c r="L2690" i="1"/>
  <c r="L2691" i="1"/>
  <c r="L2692" i="1"/>
  <c r="L2693" i="1"/>
  <c r="L2694" i="1"/>
  <c r="L2695" i="1"/>
  <c r="L2696" i="1"/>
  <c r="L2697" i="1"/>
  <c r="L2698" i="1"/>
  <c r="L2699" i="1"/>
  <c r="L2700" i="1"/>
  <c r="L2701" i="1"/>
  <c r="L2702" i="1"/>
  <c r="L2703" i="1"/>
  <c r="L2704" i="1"/>
  <c r="L2705" i="1"/>
  <c r="L2706" i="1"/>
  <c r="L2707" i="1"/>
  <c r="L2708" i="1"/>
  <c r="L2709" i="1"/>
  <c r="L2710" i="1"/>
  <c r="L2711" i="1"/>
  <c r="L2712" i="1"/>
  <c r="L2713" i="1"/>
  <c r="L2714" i="1"/>
  <c r="L2715" i="1"/>
  <c r="L2716" i="1"/>
  <c r="L2717" i="1"/>
  <c r="L2718" i="1"/>
  <c r="L2719" i="1"/>
  <c r="L2720" i="1"/>
  <c r="L2721" i="1"/>
  <c r="L2722" i="1"/>
  <c r="L2723" i="1"/>
  <c r="L2724" i="1"/>
  <c r="L2725" i="1"/>
  <c r="L2726" i="1"/>
  <c r="L2727" i="1"/>
  <c r="L2728" i="1"/>
  <c r="L2729" i="1"/>
  <c r="L2730" i="1"/>
  <c r="L2731" i="1"/>
  <c r="L2732" i="1"/>
  <c r="L2733" i="1"/>
  <c r="L2734" i="1"/>
  <c r="L2735" i="1"/>
  <c r="L2736" i="1"/>
  <c r="L2737" i="1"/>
  <c r="L2738" i="1"/>
  <c r="L2739" i="1"/>
  <c r="L2740" i="1"/>
  <c r="L2741" i="1"/>
  <c r="L2742" i="1"/>
  <c r="L2743" i="1"/>
  <c r="L2744" i="1"/>
  <c r="L2745" i="1"/>
  <c r="L2746" i="1"/>
  <c r="L2747" i="1"/>
  <c r="L2748" i="1"/>
  <c r="L2749" i="1"/>
  <c r="L2750" i="1"/>
  <c r="L2751" i="1"/>
  <c r="L2752" i="1"/>
  <c r="L2753" i="1"/>
  <c r="L2754" i="1"/>
  <c r="L2755" i="1"/>
  <c r="L2756" i="1"/>
  <c r="L2757" i="1"/>
  <c r="L2758" i="1"/>
  <c r="L2759" i="1"/>
  <c r="L2760" i="1"/>
  <c r="L2761" i="1"/>
  <c r="L2762" i="1"/>
  <c r="L2763" i="1"/>
  <c r="L2764" i="1"/>
  <c r="L2765" i="1"/>
  <c r="L2766" i="1"/>
  <c r="L2767" i="1"/>
  <c r="L2768" i="1"/>
  <c r="L2769" i="1"/>
  <c r="L2770" i="1"/>
  <c r="L2771" i="1"/>
  <c r="L2772" i="1"/>
  <c r="L2773" i="1"/>
  <c r="L2774" i="1"/>
  <c r="L2775" i="1"/>
  <c r="L2776" i="1"/>
  <c r="L2777" i="1"/>
  <c r="L2778" i="1"/>
  <c r="L2779" i="1"/>
  <c r="L2780" i="1"/>
  <c r="L2781" i="1"/>
  <c r="L2782" i="1"/>
  <c r="L2783" i="1"/>
  <c r="L2784" i="1"/>
  <c r="L2785" i="1"/>
  <c r="L2786" i="1"/>
  <c r="L2787" i="1"/>
  <c r="L2788" i="1"/>
  <c r="L2789" i="1"/>
  <c r="L2790" i="1"/>
  <c r="L2791" i="1"/>
  <c r="L2792" i="1"/>
  <c r="L2793" i="1"/>
  <c r="L2794" i="1"/>
  <c r="L2795" i="1"/>
  <c r="L2796" i="1"/>
  <c r="L2797" i="1"/>
  <c r="L2798" i="1"/>
  <c r="L2799" i="1"/>
  <c r="L2800" i="1"/>
  <c r="L2801" i="1"/>
  <c r="L2802" i="1"/>
  <c r="L2803" i="1"/>
  <c r="L2804" i="1"/>
  <c r="L2805" i="1"/>
  <c r="L2806" i="1"/>
  <c r="L2807" i="1"/>
  <c r="L2808" i="1"/>
  <c r="L2809" i="1"/>
  <c r="L2810" i="1"/>
  <c r="L2811" i="1"/>
  <c r="L2812" i="1"/>
  <c r="L2813" i="1"/>
  <c r="L2814" i="1"/>
  <c r="L2815" i="1"/>
  <c r="L2816" i="1"/>
  <c r="L2817" i="1"/>
  <c r="L2818" i="1"/>
  <c r="L2819" i="1"/>
  <c r="L2820" i="1"/>
  <c r="L2821" i="1"/>
  <c r="L2822" i="1"/>
  <c r="L2823" i="1"/>
  <c r="L2824" i="1"/>
  <c r="L2825" i="1"/>
  <c r="L2826" i="1"/>
  <c r="L2827" i="1"/>
  <c r="L2828" i="1"/>
  <c r="L2829" i="1"/>
  <c r="L2830" i="1"/>
  <c r="L2831" i="1"/>
  <c r="L2832" i="1"/>
  <c r="L2833" i="1"/>
  <c r="L2834" i="1"/>
  <c r="L2835" i="1"/>
  <c r="L2836" i="1"/>
  <c r="L2837" i="1"/>
  <c r="L2838" i="1"/>
  <c r="L2839" i="1"/>
  <c r="L2840" i="1"/>
  <c r="L2841" i="1"/>
  <c r="L2842" i="1"/>
  <c r="L2843" i="1"/>
  <c r="L2844" i="1"/>
  <c r="L2845" i="1"/>
  <c r="L2846" i="1"/>
  <c r="L2847" i="1"/>
  <c r="L2848" i="1"/>
  <c r="L2849" i="1"/>
  <c r="L2850" i="1"/>
  <c r="L2851" i="1"/>
  <c r="L2852" i="1"/>
  <c r="L2853" i="1"/>
  <c r="L2854" i="1"/>
  <c r="L2855" i="1"/>
  <c r="L2856" i="1"/>
  <c r="L2857" i="1"/>
  <c r="L2858" i="1"/>
  <c r="L2859" i="1"/>
  <c r="L2860" i="1"/>
  <c r="L2861" i="1"/>
  <c r="L2862" i="1"/>
  <c r="L2863" i="1"/>
  <c r="L2864" i="1"/>
  <c r="L2865" i="1"/>
  <c r="L2866" i="1"/>
  <c r="L2867" i="1"/>
  <c r="L2868" i="1"/>
  <c r="L2869" i="1"/>
  <c r="L2870" i="1"/>
  <c r="L2871" i="1"/>
  <c r="L2872" i="1"/>
  <c r="L2873" i="1"/>
  <c r="L2874" i="1"/>
  <c r="L2875" i="1"/>
  <c r="L2876" i="1"/>
  <c r="L2877" i="1"/>
  <c r="L2878" i="1"/>
  <c r="L2879" i="1"/>
  <c r="L2880" i="1"/>
  <c r="L2881" i="1"/>
  <c r="L2882" i="1"/>
  <c r="L2883" i="1"/>
  <c r="L2884" i="1"/>
  <c r="L2885" i="1"/>
  <c r="L2886" i="1"/>
  <c r="L2887" i="1"/>
  <c r="L2888" i="1"/>
  <c r="L2889" i="1"/>
  <c r="L2890" i="1"/>
  <c r="L2891" i="1"/>
  <c r="L2892" i="1"/>
  <c r="L2893" i="1"/>
  <c r="L2894" i="1"/>
  <c r="L2895" i="1"/>
  <c r="L2896" i="1"/>
  <c r="L2897" i="1"/>
  <c r="L2898" i="1"/>
  <c r="L2899" i="1"/>
  <c r="L2900" i="1"/>
  <c r="L2901" i="1"/>
  <c r="L2902" i="1"/>
  <c r="L2903" i="1"/>
  <c r="L2904" i="1"/>
  <c r="L2905" i="1"/>
  <c r="L2906" i="1"/>
  <c r="L2907" i="1"/>
  <c r="L2908" i="1"/>
  <c r="L2909" i="1"/>
  <c r="L2910" i="1"/>
  <c r="L2911" i="1"/>
  <c r="L2912" i="1"/>
  <c r="L2913" i="1"/>
  <c r="L2914" i="1"/>
  <c r="L2915" i="1"/>
  <c r="L2916" i="1"/>
  <c r="L2917" i="1"/>
  <c r="L2918" i="1"/>
  <c r="L2919" i="1"/>
  <c r="L2920" i="1"/>
  <c r="L2921" i="1"/>
  <c r="L2922" i="1"/>
  <c r="L2923" i="1"/>
  <c r="L2924" i="1"/>
  <c r="L2925" i="1"/>
  <c r="L2926" i="1"/>
  <c r="L2927" i="1"/>
  <c r="L2928" i="1"/>
  <c r="L2929" i="1"/>
  <c r="L2930" i="1"/>
  <c r="L2931" i="1"/>
  <c r="L2932" i="1"/>
  <c r="L2933" i="1"/>
  <c r="L2934" i="1"/>
  <c r="L2935" i="1"/>
  <c r="L2936" i="1"/>
  <c r="L2937" i="1"/>
  <c r="L2938" i="1"/>
  <c r="L2939" i="1"/>
  <c r="L2940" i="1"/>
  <c r="L2941" i="1"/>
  <c r="L2942" i="1"/>
  <c r="L2943" i="1"/>
  <c r="L2944" i="1"/>
  <c r="L2945" i="1"/>
  <c r="L2946" i="1"/>
  <c r="L2947" i="1"/>
  <c r="L2948" i="1"/>
  <c r="L2949" i="1"/>
  <c r="L2950" i="1"/>
  <c r="L2951" i="1"/>
  <c r="L2952" i="1"/>
  <c r="L2953" i="1"/>
  <c r="L2954" i="1"/>
  <c r="L2955" i="1"/>
  <c r="L2956" i="1"/>
  <c r="L2957" i="1"/>
  <c r="L2958" i="1"/>
  <c r="L2959" i="1"/>
  <c r="L2960" i="1"/>
  <c r="L2961" i="1"/>
  <c r="L2962" i="1"/>
  <c r="L2963" i="1"/>
  <c r="L2964" i="1"/>
  <c r="L2965" i="1"/>
  <c r="L2966" i="1"/>
  <c r="L2967" i="1"/>
  <c r="L2968" i="1"/>
  <c r="L2969" i="1"/>
  <c r="L2970" i="1"/>
  <c r="L2971" i="1"/>
  <c r="L2972" i="1"/>
  <c r="L2973" i="1"/>
  <c r="L2974" i="1"/>
  <c r="L2975" i="1"/>
  <c r="L2976" i="1"/>
  <c r="L2977" i="1"/>
  <c r="L2978" i="1"/>
  <c r="L2979" i="1"/>
  <c r="L2980" i="1"/>
  <c r="L2981" i="1"/>
  <c r="L2982" i="1"/>
  <c r="L2983" i="1"/>
  <c r="L2984" i="1"/>
  <c r="L2985" i="1"/>
  <c r="L2986" i="1"/>
  <c r="L2987" i="1"/>
  <c r="L2988" i="1"/>
  <c r="L2989" i="1"/>
  <c r="L2990" i="1"/>
  <c r="L2991" i="1"/>
  <c r="L2992" i="1"/>
  <c r="L2993" i="1"/>
  <c r="L2994" i="1"/>
  <c r="L2995" i="1"/>
  <c r="L2996" i="1"/>
  <c r="L2997" i="1"/>
  <c r="L2998" i="1"/>
  <c r="L2999" i="1"/>
  <c r="L3000" i="1"/>
  <c r="L3001" i="1"/>
  <c r="L3002" i="1"/>
  <c r="L3003" i="1"/>
  <c r="L3004" i="1"/>
  <c r="L3005" i="1"/>
  <c r="L3006" i="1"/>
  <c r="L3007" i="1"/>
  <c r="L3008" i="1"/>
  <c r="L3009" i="1"/>
  <c r="L3010" i="1"/>
  <c r="L3011" i="1"/>
  <c r="L3012" i="1"/>
  <c r="L3013" i="1"/>
  <c r="L3014" i="1"/>
  <c r="L3015" i="1"/>
  <c r="L3016" i="1"/>
  <c r="L3017" i="1"/>
  <c r="L3018" i="1"/>
  <c r="L3019" i="1"/>
  <c r="L3020" i="1"/>
  <c r="L3021" i="1"/>
  <c r="L3022" i="1"/>
  <c r="L3023" i="1"/>
  <c r="L3024" i="1"/>
  <c r="L3025" i="1"/>
  <c r="L3026" i="1"/>
  <c r="L3027" i="1"/>
  <c r="L3028" i="1"/>
  <c r="L3029" i="1"/>
  <c r="L3030" i="1"/>
  <c r="L3031" i="1"/>
  <c r="L3032" i="1"/>
  <c r="L3033" i="1"/>
  <c r="L3034" i="1"/>
  <c r="L3035" i="1"/>
  <c r="L3036" i="1"/>
  <c r="L3037" i="1"/>
  <c r="L3038" i="1"/>
  <c r="L3039" i="1"/>
  <c r="L3040" i="1"/>
  <c r="L3041" i="1"/>
  <c r="L3042" i="1"/>
  <c r="L3043" i="1"/>
  <c r="L3044" i="1"/>
  <c r="L3045" i="1"/>
  <c r="L3046" i="1"/>
  <c r="L3047" i="1"/>
  <c r="L3048" i="1"/>
  <c r="L3049" i="1"/>
  <c r="L3050" i="1"/>
  <c r="L3051" i="1"/>
  <c r="L3052" i="1"/>
  <c r="L3053" i="1"/>
  <c r="L3054" i="1"/>
  <c r="L3055" i="1"/>
  <c r="L3056" i="1"/>
  <c r="L3057" i="1"/>
  <c r="L3058" i="1"/>
  <c r="L3059" i="1"/>
  <c r="L3060" i="1"/>
  <c r="L3061" i="1"/>
  <c r="L3062" i="1"/>
  <c r="L3063" i="1"/>
  <c r="L3064" i="1"/>
  <c r="L3065" i="1"/>
  <c r="L3066" i="1"/>
  <c r="L3067" i="1"/>
  <c r="L3068" i="1"/>
  <c r="L3069" i="1"/>
  <c r="L3070" i="1"/>
  <c r="L3071" i="1"/>
  <c r="L3072" i="1"/>
  <c r="L3073" i="1"/>
  <c r="L3074" i="1"/>
  <c r="L3075" i="1"/>
  <c r="L3076" i="1"/>
  <c r="L3077" i="1"/>
  <c r="L3078" i="1"/>
  <c r="L3079" i="1"/>
  <c r="L3080" i="1"/>
  <c r="L3081" i="1"/>
  <c r="L3082" i="1"/>
  <c r="L3083" i="1"/>
  <c r="L3084" i="1"/>
  <c r="L3085" i="1"/>
  <c r="L3086" i="1"/>
  <c r="L3087" i="1"/>
  <c r="L3088" i="1"/>
  <c r="L3089" i="1"/>
  <c r="L3090" i="1"/>
  <c r="L3091" i="1"/>
  <c r="L3092" i="1"/>
  <c r="L3093" i="1"/>
  <c r="L3094" i="1"/>
  <c r="L3095" i="1"/>
  <c r="L3096" i="1"/>
  <c r="L3097" i="1"/>
  <c r="L3098" i="1"/>
  <c r="L3099" i="1"/>
  <c r="L3100" i="1"/>
  <c r="L3101" i="1"/>
  <c r="L3102" i="1"/>
  <c r="L3103" i="1"/>
  <c r="L3104" i="1"/>
  <c r="L3105" i="1"/>
  <c r="L3106" i="1"/>
  <c r="L3107" i="1"/>
  <c r="L3108" i="1"/>
  <c r="L3109" i="1"/>
  <c r="L3110" i="1"/>
  <c r="L3111" i="1"/>
  <c r="L3112" i="1"/>
  <c r="L3113" i="1"/>
  <c r="L3114" i="1"/>
  <c r="L3115" i="1"/>
  <c r="L3116" i="1"/>
  <c r="L3117" i="1"/>
  <c r="L3118" i="1"/>
  <c r="L3119" i="1"/>
  <c r="L3120" i="1"/>
  <c r="L3121" i="1"/>
  <c r="L3122" i="1"/>
  <c r="L3123" i="1"/>
  <c r="L3124" i="1"/>
  <c r="L3125" i="1"/>
  <c r="L3126" i="1"/>
  <c r="L3127" i="1"/>
  <c r="L3128" i="1"/>
  <c r="L3129" i="1"/>
  <c r="L3130" i="1"/>
  <c r="L3131" i="1"/>
  <c r="L3132" i="1"/>
  <c r="L3133" i="1"/>
  <c r="L3134" i="1"/>
  <c r="L3135" i="1"/>
  <c r="L3136" i="1"/>
  <c r="L3137" i="1"/>
  <c r="L3138" i="1"/>
  <c r="L3139" i="1"/>
  <c r="L3140" i="1"/>
  <c r="L3141" i="1"/>
  <c r="L3142" i="1"/>
  <c r="L3143" i="1"/>
  <c r="L3144" i="1"/>
  <c r="L3145" i="1"/>
  <c r="L3146" i="1"/>
  <c r="L3147" i="1"/>
  <c r="L3148" i="1"/>
  <c r="L3149" i="1"/>
  <c r="L3150" i="1"/>
  <c r="L3151" i="1"/>
  <c r="L3152" i="1"/>
  <c r="L3153" i="1"/>
  <c r="L3154" i="1"/>
  <c r="L3155" i="1"/>
  <c r="L2" i="1"/>
  <c r="M3" i="1"/>
  <c r="M4" i="1"/>
  <c r="M5" i="1"/>
  <c r="M6" i="1"/>
  <c r="M7" i="1"/>
  <c r="M8" i="1"/>
  <c r="M9" i="1"/>
  <c r="M10" i="1"/>
  <c r="M11" i="1"/>
  <c r="M12" i="1"/>
  <c r="M13" i="1"/>
  <c r="M14" i="1"/>
  <c r="M15" i="1"/>
  <c r="M16" i="1"/>
  <c r="M17" i="1"/>
  <c r="M18" i="1"/>
  <c r="M19" i="1"/>
  <c r="M20" i="1"/>
  <c r="M21" i="1"/>
  <c r="M22" i="1"/>
  <c r="M23" i="1"/>
  <c r="M24" i="1"/>
  <c r="M25" i="1"/>
  <c r="M26" i="1"/>
  <c r="M27" i="1"/>
  <c r="M28" i="1"/>
  <c r="M29" i="1"/>
  <c r="M30" i="1"/>
  <c r="M31" i="1"/>
  <c r="M32" i="1"/>
  <c r="M33" i="1"/>
  <c r="M34" i="1"/>
  <c r="M35" i="1"/>
  <c r="M36" i="1"/>
  <c r="M37" i="1"/>
  <c r="M38" i="1"/>
  <c r="M39" i="1"/>
  <c r="M40" i="1"/>
  <c r="M41" i="1"/>
  <c r="M42" i="1"/>
  <c r="M43" i="1"/>
  <c r="M44" i="1"/>
  <c r="M45" i="1"/>
  <c r="M46" i="1"/>
  <c r="M47" i="1"/>
  <c r="M48" i="1"/>
  <c r="M49" i="1"/>
  <c r="M50" i="1"/>
  <c r="M51" i="1"/>
  <c r="M52" i="1"/>
  <c r="M53" i="1"/>
  <c r="M54" i="1"/>
  <c r="M55" i="1"/>
  <c r="M56" i="1"/>
  <c r="M57" i="1"/>
  <c r="M58" i="1"/>
  <c r="M59" i="1"/>
  <c r="M60" i="1"/>
  <c r="M61" i="1"/>
  <c r="M62" i="1"/>
  <c r="M63" i="1"/>
  <c r="M64" i="1"/>
  <c r="M65" i="1"/>
  <c r="M66" i="1"/>
  <c r="M67" i="1"/>
  <c r="M68" i="1"/>
  <c r="M69" i="1"/>
  <c r="M70" i="1"/>
  <c r="M71" i="1"/>
  <c r="M72" i="1"/>
  <c r="M73" i="1"/>
  <c r="M74" i="1"/>
  <c r="M75" i="1"/>
  <c r="M76" i="1"/>
  <c r="M77" i="1"/>
  <c r="M78" i="1"/>
  <c r="M79" i="1"/>
  <c r="M80" i="1"/>
  <c r="M81" i="1"/>
  <c r="M82" i="1"/>
  <c r="M83" i="1"/>
  <c r="M84" i="1"/>
  <c r="M85" i="1"/>
  <c r="M86" i="1"/>
  <c r="M87" i="1"/>
  <c r="M88" i="1"/>
  <c r="M89" i="1"/>
  <c r="M90" i="1"/>
  <c r="M91" i="1"/>
  <c r="M92" i="1"/>
  <c r="M93" i="1"/>
  <c r="M94" i="1"/>
  <c r="M95" i="1"/>
  <c r="M96" i="1"/>
  <c r="M97" i="1"/>
  <c r="M98" i="1"/>
  <c r="M99" i="1"/>
  <c r="M100" i="1"/>
  <c r="M101" i="1"/>
  <c r="M102" i="1"/>
  <c r="M103" i="1"/>
  <c r="M104" i="1"/>
  <c r="M105" i="1"/>
  <c r="M106" i="1"/>
  <c r="M107" i="1"/>
  <c r="M108" i="1"/>
  <c r="M109" i="1"/>
  <c r="M110" i="1"/>
  <c r="M111" i="1"/>
  <c r="M112" i="1"/>
  <c r="M113" i="1"/>
  <c r="M114" i="1"/>
  <c r="M115" i="1"/>
  <c r="M116" i="1"/>
  <c r="M117" i="1"/>
  <c r="M118" i="1"/>
  <c r="M119" i="1"/>
  <c r="M120" i="1"/>
  <c r="M121" i="1"/>
  <c r="M122" i="1"/>
  <c r="M123" i="1"/>
  <c r="M124" i="1"/>
  <c r="M125" i="1"/>
  <c r="M126" i="1"/>
  <c r="M127" i="1"/>
  <c r="M128" i="1"/>
  <c r="M129" i="1"/>
  <c r="M130" i="1"/>
  <c r="M131" i="1"/>
  <c r="M132" i="1"/>
  <c r="M133" i="1"/>
  <c r="M134" i="1"/>
  <c r="M135" i="1"/>
  <c r="M136" i="1"/>
  <c r="M137" i="1"/>
  <c r="M138" i="1"/>
  <c r="M139" i="1"/>
  <c r="M140" i="1"/>
  <c r="M141" i="1"/>
  <c r="M142" i="1"/>
  <c r="M143" i="1"/>
  <c r="M144" i="1"/>
  <c r="M145" i="1"/>
  <c r="M146" i="1"/>
  <c r="M147" i="1"/>
  <c r="M148" i="1"/>
  <c r="M149" i="1"/>
  <c r="M150" i="1"/>
  <c r="M151" i="1"/>
  <c r="M152" i="1"/>
  <c r="M153" i="1"/>
  <c r="M154" i="1"/>
  <c r="M155" i="1"/>
  <c r="M156" i="1"/>
  <c r="M157" i="1"/>
  <c r="M158" i="1"/>
  <c r="M159" i="1"/>
  <c r="M160" i="1"/>
  <c r="M161" i="1"/>
  <c r="M162" i="1"/>
  <c r="M163" i="1"/>
  <c r="M164" i="1"/>
  <c r="M165" i="1"/>
  <c r="M166" i="1"/>
  <c r="M167" i="1"/>
  <c r="M168" i="1"/>
  <c r="M169" i="1"/>
  <c r="M170" i="1"/>
  <c r="M171" i="1"/>
  <c r="M172" i="1"/>
  <c r="M173" i="1"/>
  <c r="M174" i="1"/>
  <c r="M175" i="1"/>
  <c r="M176" i="1"/>
  <c r="M177" i="1"/>
  <c r="M178" i="1"/>
  <c r="M179" i="1"/>
  <c r="M180" i="1"/>
  <c r="M181" i="1"/>
  <c r="M182" i="1"/>
  <c r="M183" i="1"/>
  <c r="M184" i="1"/>
  <c r="M185" i="1"/>
  <c r="M186" i="1"/>
  <c r="M187" i="1"/>
  <c r="M188" i="1"/>
  <c r="M189" i="1"/>
  <c r="M190" i="1"/>
  <c r="M191" i="1"/>
  <c r="M192" i="1"/>
  <c r="M193" i="1"/>
  <c r="M194" i="1"/>
  <c r="M195" i="1"/>
  <c r="M196" i="1"/>
  <c r="M197" i="1"/>
  <c r="M198" i="1"/>
  <c r="M199" i="1"/>
  <c r="M200" i="1"/>
  <c r="M201" i="1"/>
  <c r="M202" i="1"/>
  <c r="M203" i="1"/>
  <c r="M204" i="1"/>
  <c r="M205" i="1"/>
  <c r="M206" i="1"/>
  <c r="M207" i="1"/>
  <c r="M208" i="1"/>
  <c r="M209" i="1"/>
  <c r="M210" i="1"/>
  <c r="M211" i="1"/>
  <c r="M212" i="1"/>
  <c r="M213" i="1"/>
  <c r="M214" i="1"/>
  <c r="M215" i="1"/>
  <c r="M216" i="1"/>
  <c r="M217" i="1"/>
  <c r="M218" i="1"/>
  <c r="M219" i="1"/>
  <c r="M220" i="1"/>
  <c r="M221" i="1"/>
  <c r="M222" i="1"/>
  <c r="M223" i="1"/>
  <c r="M224" i="1"/>
  <c r="M225" i="1"/>
  <c r="M226" i="1"/>
  <c r="M227" i="1"/>
  <c r="M228" i="1"/>
  <c r="M229" i="1"/>
  <c r="M230" i="1"/>
  <c r="M231" i="1"/>
  <c r="M232" i="1"/>
  <c r="M233" i="1"/>
  <c r="M234" i="1"/>
  <c r="M235" i="1"/>
  <c r="M236" i="1"/>
  <c r="M237" i="1"/>
  <c r="M238" i="1"/>
  <c r="M239" i="1"/>
  <c r="M240" i="1"/>
  <c r="M241" i="1"/>
  <c r="M242" i="1"/>
  <c r="M243" i="1"/>
  <c r="M244" i="1"/>
  <c r="M245" i="1"/>
  <c r="M246" i="1"/>
  <c r="M247" i="1"/>
  <c r="M248" i="1"/>
  <c r="M249" i="1"/>
  <c r="M250" i="1"/>
  <c r="M251" i="1"/>
  <c r="M252" i="1"/>
  <c r="M253" i="1"/>
  <c r="M254" i="1"/>
  <c r="M255" i="1"/>
  <c r="M256" i="1"/>
  <c r="M257" i="1"/>
  <c r="M258" i="1"/>
  <c r="M259" i="1"/>
  <c r="M260" i="1"/>
  <c r="M261" i="1"/>
  <c r="M262" i="1"/>
  <c r="M263" i="1"/>
  <c r="M264" i="1"/>
  <c r="M265" i="1"/>
  <c r="M266" i="1"/>
  <c r="M267" i="1"/>
  <c r="M268" i="1"/>
  <c r="M269" i="1"/>
  <c r="M270" i="1"/>
  <c r="M271" i="1"/>
  <c r="M272" i="1"/>
  <c r="M273" i="1"/>
  <c r="M274" i="1"/>
  <c r="M275" i="1"/>
  <c r="M276" i="1"/>
  <c r="M277" i="1"/>
  <c r="M278" i="1"/>
  <c r="M279" i="1"/>
  <c r="M280" i="1"/>
  <c r="M281" i="1"/>
  <c r="M282" i="1"/>
  <c r="M283" i="1"/>
  <c r="M284" i="1"/>
  <c r="M285" i="1"/>
  <c r="M286" i="1"/>
  <c r="M287" i="1"/>
  <c r="M288" i="1"/>
  <c r="M289" i="1"/>
  <c r="M290" i="1"/>
  <c r="M291" i="1"/>
  <c r="M292" i="1"/>
  <c r="M293" i="1"/>
  <c r="M294" i="1"/>
  <c r="M295" i="1"/>
  <c r="M296" i="1"/>
  <c r="M297" i="1"/>
  <c r="M298" i="1"/>
  <c r="M299" i="1"/>
  <c r="M300" i="1"/>
  <c r="M301" i="1"/>
  <c r="M302" i="1"/>
  <c r="M303" i="1"/>
  <c r="M304" i="1"/>
  <c r="M305" i="1"/>
  <c r="M306" i="1"/>
  <c r="M307" i="1"/>
  <c r="M308" i="1"/>
  <c r="M309" i="1"/>
  <c r="M310" i="1"/>
  <c r="M311" i="1"/>
  <c r="M312" i="1"/>
  <c r="M313" i="1"/>
  <c r="M314" i="1"/>
  <c r="M315" i="1"/>
  <c r="M316" i="1"/>
  <c r="M317" i="1"/>
  <c r="M318" i="1"/>
  <c r="M319" i="1"/>
  <c r="M320" i="1"/>
  <c r="M321" i="1"/>
  <c r="M322" i="1"/>
  <c r="M323" i="1"/>
  <c r="M324" i="1"/>
  <c r="M325" i="1"/>
  <c r="M326" i="1"/>
  <c r="M327" i="1"/>
  <c r="M328" i="1"/>
  <c r="M329" i="1"/>
  <c r="M330" i="1"/>
  <c r="M331" i="1"/>
  <c r="M332" i="1"/>
  <c r="M333" i="1"/>
  <c r="M334" i="1"/>
  <c r="M335" i="1"/>
  <c r="M336" i="1"/>
  <c r="M337" i="1"/>
  <c r="M338" i="1"/>
  <c r="M339" i="1"/>
  <c r="M340" i="1"/>
  <c r="M341" i="1"/>
  <c r="M342" i="1"/>
  <c r="M343" i="1"/>
  <c r="M344" i="1"/>
  <c r="M345" i="1"/>
  <c r="M346" i="1"/>
  <c r="M347" i="1"/>
  <c r="M348" i="1"/>
  <c r="M349" i="1"/>
  <c r="M350" i="1"/>
  <c r="M351" i="1"/>
  <c r="M352" i="1"/>
  <c r="M353" i="1"/>
  <c r="M354" i="1"/>
  <c r="M355" i="1"/>
  <c r="M356" i="1"/>
  <c r="M357" i="1"/>
  <c r="M358" i="1"/>
  <c r="M359" i="1"/>
  <c r="M360" i="1"/>
  <c r="M361" i="1"/>
  <c r="M362" i="1"/>
  <c r="M363" i="1"/>
  <c r="M364" i="1"/>
  <c r="M365" i="1"/>
  <c r="M366" i="1"/>
  <c r="M367" i="1"/>
  <c r="M368" i="1"/>
  <c r="M369" i="1"/>
  <c r="M370" i="1"/>
  <c r="M371" i="1"/>
  <c r="M372" i="1"/>
  <c r="M373" i="1"/>
  <c r="M374" i="1"/>
  <c r="M375" i="1"/>
  <c r="M376" i="1"/>
  <c r="M377" i="1"/>
  <c r="M378" i="1"/>
  <c r="M379" i="1"/>
  <c r="M380" i="1"/>
  <c r="M381" i="1"/>
  <c r="M382" i="1"/>
  <c r="M383" i="1"/>
  <c r="M384" i="1"/>
  <c r="M385" i="1"/>
  <c r="M386" i="1"/>
  <c r="M387" i="1"/>
  <c r="M388" i="1"/>
  <c r="M389" i="1"/>
  <c r="M390" i="1"/>
  <c r="M391" i="1"/>
  <c r="M392" i="1"/>
  <c r="M393" i="1"/>
  <c r="M394" i="1"/>
  <c r="M395" i="1"/>
  <c r="M396" i="1"/>
  <c r="M397" i="1"/>
  <c r="M398" i="1"/>
  <c r="M399" i="1"/>
  <c r="M400" i="1"/>
  <c r="M401" i="1"/>
  <c r="M402" i="1"/>
  <c r="M403" i="1"/>
  <c r="M404" i="1"/>
  <c r="M405" i="1"/>
  <c r="M406" i="1"/>
  <c r="M407" i="1"/>
  <c r="M408" i="1"/>
  <c r="M409" i="1"/>
  <c r="M410" i="1"/>
  <c r="M411" i="1"/>
  <c r="M412" i="1"/>
  <c r="M413" i="1"/>
  <c r="M414" i="1"/>
  <c r="M415" i="1"/>
  <c r="M416" i="1"/>
  <c r="M417" i="1"/>
  <c r="M418" i="1"/>
  <c r="M419" i="1"/>
  <c r="M420" i="1"/>
  <c r="M421" i="1"/>
  <c r="M422" i="1"/>
  <c r="M423" i="1"/>
  <c r="M424" i="1"/>
  <c r="M425" i="1"/>
  <c r="M426" i="1"/>
  <c r="M427" i="1"/>
  <c r="M428" i="1"/>
  <c r="M429" i="1"/>
  <c r="M430" i="1"/>
  <c r="M431" i="1"/>
  <c r="M432" i="1"/>
  <c r="M433" i="1"/>
  <c r="M434" i="1"/>
  <c r="M435" i="1"/>
  <c r="M436" i="1"/>
  <c r="M437" i="1"/>
  <c r="M438" i="1"/>
  <c r="M439" i="1"/>
  <c r="M440" i="1"/>
  <c r="M441" i="1"/>
  <c r="M442" i="1"/>
  <c r="M443" i="1"/>
  <c r="M444" i="1"/>
  <c r="M445" i="1"/>
  <c r="M446" i="1"/>
  <c r="M447" i="1"/>
  <c r="M448" i="1"/>
  <c r="M449" i="1"/>
  <c r="M450" i="1"/>
  <c r="M451" i="1"/>
  <c r="M452" i="1"/>
  <c r="M453" i="1"/>
  <c r="M454" i="1"/>
  <c r="M455" i="1"/>
  <c r="M456" i="1"/>
  <c r="M457" i="1"/>
  <c r="M458" i="1"/>
  <c r="M459" i="1"/>
  <c r="M460" i="1"/>
  <c r="M461" i="1"/>
  <c r="M462" i="1"/>
  <c r="M463" i="1"/>
  <c r="M464" i="1"/>
  <c r="M465" i="1"/>
  <c r="M466" i="1"/>
  <c r="M467" i="1"/>
  <c r="M468" i="1"/>
  <c r="M469" i="1"/>
  <c r="M470" i="1"/>
  <c r="M471" i="1"/>
  <c r="M472" i="1"/>
  <c r="M473" i="1"/>
  <c r="M474" i="1"/>
  <c r="M475" i="1"/>
  <c r="M476" i="1"/>
  <c r="M477" i="1"/>
  <c r="M478" i="1"/>
  <c r="M479" i="1"/>
  <c r="M480" i="1"/>
  <c r="M481" i="1"/>
  <c r="M482" i="1"/>
  <c r="M483" i="1"/>
  <c r="M484" i="1"/>
  <c r="M485" i="1"/>
  <c r="M486" i="1"/>
  <c r="M487" i="1"/>
  <c r="M488" i="1"/>
  <c r="M489" i="1"/>
  <c r="M490" i="1"/>
  <c r="M491" i="1"/>
  <c r="M492" i="1"/>
  <c r="M493" i="1"/>
  <c r="M494" i="1"/>
  <c r="M495" i="1"/>
  <c r="M496" i="1"/>
  <c r="M497" i="1"/>
  <c r="M498" i="1"/>
  <c r="M499" i="1"/>
  <c r="M500" i="1"/>
  <c r="M501" i="1"/>
  <c r="M502" i="1"/>
  <c r="M503" i="1"/>
  <c r="M504" i="1"/>
  <c r="M505" i="1"/>
  <c r="M506" i="1"/>
  <c r="M507" i="1"/>
  <c r="M508" i="1"/>
  <c r="M509" i="1"/>
  <c r="M510" i="1"/>
  <c r="M511" i="1"/>
  <c r="M512" i="1"/>
  <c r="M513" i="1"/>
  <c r="M514" i="1"/>
  <c r="M515" i="1"/>
  <c r="M516" i="1"/>
  <c r="M517" i="1"/>
  <c r="M518" i="1"/>
  <c r="M519" i="1"/>
  <c r="M520" i="1"/>
  <c r="M521" i="1"/>
  <c r="M522" i="1"/>
  <c r="M523" i="1"/>
  <c r="M524" i="1"/>
  <c r="M525" i="1"/>
  <c r="M526" i="1"/>
  <c r="M527" i="1"/>
  <c r="M528" i="1"/>
  <c r="M529" i="1"/>
  <c r="M530" i="1"/>
  <c r="M531" i="1"/>
  <c r="M532" i="1"/>
  <c r="M533" i="1"/>
  <c r="M534" i="1"/>
  <c r="M535" i="1"/>
  <c r="M536" i="1"/>
  <c r="M537" i="1"/>
  <c r="M538" i="1"/>
  <c r="M539" i="1"/>
  <c r="M540" i="1"/>
  <c r="M541" i="1"/>
  <c r="M542" i="1"/>
  <c r="M543" i="1"/>
  <c r="M544" i="1"/>
  <c r="M545" i="1"/>
  <c r="M546" i="1"/>
  <c r="M547" i="1"/>
  <c r="M548" i="1"/>
  <c r="M549" i="1"/>
  <c r="M550" i="1"/>
  <c r="M551" i="1"/>
  <c r="M552" i="1"/>
  <c r="M553" i="1"/>
  <c r="M554" i="1"/>
  <c r="M555" i="1"/>
  <c r="M556" i="1"/>
  <c r="M557" i="1"/>
  <c r="M558" i="1"/>
  <c r="M559" i="1"/>
  <c r="M560" i="1"/>
  <c r="M561" i="1"/>
  <c r="M562" i="1"/>
  <c r="M563" i="1"/>
  <c r="M564" i="1"/>
  <c r="M565" i="1"/>
  <c r="M566" i="1"/>
  <c r="M567" i="1"/>
  <c r="M568" i="1"/>
  <c r="M569" i="1"/>
  <c r="M570" i="1"/>
  <c r="M571" i="1"/>
  <c r="M572" i="1"/>
  <c r="M573" i="1"/>
  <c r="M574" i="1"/>
  <c r="M575" i="1"/>
  <c r="M576" i="1"/>
  <c r="M577" i="1"/>
  <c r="M578" i="1"/>
  <c r="M579" i="1"/>
  <c r="M580" i="1"/>
  <c r="M581" i="1"/>
  <c r="M582" i="1"/>
  <c r="M583" i="1"/>
  <c r="M584" i="1"/>
  <c r="M585" i="1"/>
  <c r="M586" i="1"/>
  <c r="M587" i="1"/>
  <c r="M588" i="1"/>
  <c r="M589" i="1"/>
  <c r="M590" i="1"/>
  <c r="M591" i="1"/>
  <c r="M592" i="1"/>
  <c r="M593" i="1"/>
  <c r="M594" i="1"/>
  <c r="M595" i="1"/>
  <c r="M596" i="1"/>
  <c r="M597" i="1"/>
  <c r="M598" i="1"/>
  <c r="M599" i="1"/>
  <c r="M600" i="1"/>
  <c r="M601" i="1"/>
  <c r="M602" i="1"/>
  <c r="M603" i="1"/>
  <c r="M604" i="1"/>
  <c r="M605" i="1"/>
  <c r="M606" i="1"/>
  <c r="M607" i="1"/>
  <c r="M608" i="1"/>
  <c r="M609" i="1"/>
  <c r="M610" i="1"/>
  <c r="M611" i="1"/>
  <c r="M612" i="1"/>
  <c r="M613" i="1"/>
  <c r="M614" i="1"/>
  <c r="M615" i="1"/>
  <c r="M616" i="1"/>
  <c r="M617" i="1"/>
  <c r="M618" i="1"/>
  <c r="M619" i="1"/>
  <c r="M620" i="1"/>
  <c r="M621" i="1"/>
  <c r="M622" i="1"/>
  <c r="M623" i="1"/>
  <c r="M624" i="1"/>
  <c r="M625" i="1"/>
  <c r="M626" i="1"/>
  <c r="M627" i="1"/>
  <c r="M628" i="1"/>
  <c r="M629" i="1"/>
  <c r="M630" i="1"/>
  <c r="M631" i="1"/>
  <c r="M632" i="1"/>
  <c r="M633" i="1"/>
  <c r="M634" i="1"/>
  <c r="M635" i="1"/>
  <c r="M636" i="1"/>
  <c r="M637" i="1"/>
  <c r="M638" i="1"/>
  <c r="M639" i="1"/>
  <c r="M640" i="1"/>
  <c r="M641" i="1"/>
  <c r="M642" i="1"/>
  <c r="M643" i="1"/>
  <c r="M644" i="1"/>
  <c r="M645" i="1"/>
  <c r="M646" i="1"/>
  <c r="M647" i="1"/>
  <c r="M648" i="1"/>
  <c r="M649" i="1"/>
  <c r="M650" i="1"/>
  <c r="M651" i="1"/>
  <c r="M652" i="1"/>
  <c r="M653" i="1"/>
  <c r="M654" i="1"/>
  <c r="M655" i="1"/>
  <c r="M656" i="1"/>
  <c r="M657" i="1"/>
  <c r="M658" i="1"/>
  <c r="M659" i="1"/>
  <c r="M660" i="1"/>
  <c r="M661" i="1"/>
  <c r="M662" i="1"/>
  <c r="M663" i="1"/>
  <c r="M664" i="1"/>
  <c r="M665" i="1"/>
  <c r="M666" i="1"/>
  <c r="M667" i="1"/>
  <c r="M668" i="1"/>
  <c r="M669" i="1"/>
  <c r="M670" i="1"/>
  <c r="M671" i="1"/>
  <c r="M672" i="1"/>
  <c r="M673" i="1"/>
  <c r="M674" i="1"/>
  <c r="M675" i="1"/>
  <c r="M676" i="1"/>
  <c r="M677" i="1"/>
  <c r="M678" i="1"/>
  <c r="M679" i="1"/>
  <c r="M680" i="1"/>
  <c r="M681" i="1"/>
  <c r="M682" i="1"/>
  <c r="M683" i="1"/>
  <c r="M684" i="1"/>
  <c r="M685" i="1"/>
  <c r="M686" i="1"/>
  <c r="M687" i="1"/>
  <c r="M688" i="1"/>
  <c r="M689" i="1"/>
  <c r="M690" i="1"/>
  <c r="M691" i="1"/>
  <c r="M692" i="1"/>
  <c r="M693" i="1"/>
  <c r="M694" i="1"/>
  <c r="M695" i="1"/>
  <c r="M696" i="1"/>
  <c r="M697" i="1"/>
  <c r="M698" i="1"/>
  <c r="M699" i="1"/>
  <c r="M700" i="1"/>
  <c r="M701" i="1"/>
  <c r="M702" i="1"/>
  <c r="M703" i="1"/>
  <c r="M704" i="1"/>
  <c r="M705" i="1"/>
  <c r="M706" i="1"/>
  <c r="M707" i="1"/>
  <c r="M708" i="1"/>
  <c r="M709" i="1"/>
  <c r="M710" i="1"/>
  <c r="M711" i="1"/>
  <c r="M712" i="1"/>
  <c r="M713" i="1"/>
  <c r="M714" i="1"/>
  <c r="M715" i="1"/>
  <c r="M716" i="1"/>
  <c r="M717" i="1"/>
  <c r="M718" i="1"/>
  <c r="M719" i="1"/>
  <c r="M720" i="1"/>
  <c r="M721" i="1"/>
  <c r="M722" i="1"/>
  <c r="M723" i="1"/>
  <c r="M724" i="1"/>
  <c r="M725" i="1"/>
  <c r="M726" i="1"/>
  <c r="M727" i="1"/>
  <c r="M728" i="1"/>
  <c r="M729" i="1"/>
  <c r="M730" i="1"/>
  <c r="M731" i="1"/>
  <c r="M732" i="1"/>
  <c r="M733" i="1"/>
  <c r="M734" i="1"/>
  <c r="M735" i="1"/>
  <c r="M736" i="1"/>
  <c r="M737" i="1"/>
  <c r="M738" i="1"/>
  <c r="M739" i="1"/>
  <c r="M740" i="1"/>
  <c r="M741" i="1"/>
  <c r="M742" i="1"/>
  <c r="M743" i="1"/>
  <c r="M744" i="1"/>
  <c r="M745" i="1"/>
  <c r="M746" i="1"/>
  <c r="M747" i="1"/>
  <c r="M748" i="1"/>
  <c r="M749" i="1"/>
  <c r="M750" i="1"/>
  <c r="M751" i="1"/>
  <c r="M752" i="1"/>
  <c r="M753" i="1"/>
  <c r="M754" i="1"/>
  <c r="M755" i="1"/>
  <c r="M756" i="1"/>
  <c r="M757" i="1"/>
  <c r="M758" i="1"/>
  <c r="M759" i="1"/>
  <c r="M760" i="1"/>
  <c r="M761" i="1"/>
  <c r="M762" i="1"/>
  <c r="M763" i="1"/>
  <c r="M764" i="1"/>
  <c r="M765" i="1"/>
  <c r="M766" i="1"/>
  <c r="M767" i="1"/>
  <c r="M768" i="1"/>
  <c r="M769" i="1"/>
  <c r="M770" i="1"/>
  <c r="M771" i="1"/>
  <c r="M772" i="1"/>
  <c r="M773" i="1"/>
  <c r="M774" i="1"/>
  <c r="M775" i="1"/>
  <c r="M776" i="1"/>
  <c r="M777" i="1"/>
  <c r="M778" i="1"/>
  <c r="M779" i="1"/>
  <c r="M780" i="1"/>
  <c r="M781" i="1"/>
  <c r="M782" i="1"/>
  <c r="M783" i="1"/>
  <c r="M784" i="1"/>
  <c r="M785" i="1"/>
  <c r="M786" i="1"/>
  <c r="M787" i="1"/>
  <c r="M788" i="1"/>
  <c r="M789" i="1"/>
  <c r="M790" i="1"/>
  <c r="M791" i="1"/>
  <c r="M792" i="1"/>
  <c r="M793" i="1"/>
  <c r="M794" i="1"/>
  <c r="M795" i="1"/>
  <c r="M796" i="1"/>
  <c r="M797" i="1"/>
  <c r="M798" i="1"/>
  <c r="M799" i="1"/>
  <c r="M800" i="1"/>
  <c r="M801" i="1"/>
  <c r="M802" i="1"/>
  <c r="M803" i="1"/>
  <c r="M804" i="1"/>
  <c r="M805" i="1"/>
  <c r="M806" i="1"/>
  <c r="M807" i="1"/>
  <c r="M808" i="1"/>
  <c r="M809" i="1"/>
  <c r="M810" i="1"/>
  <c r="M811" i="1"/>
  <c r="M812" i="1"/>
  <c r="M813" i="1"/>
  <c r="M814" i="1"/>
  <c r="M815" i="1"/>
  <c r="M816" i="1"/>
  <c r="M817" i="1"/>
  <c r="M818" i="1"/>
  <c r="M819" i="1"/>
  <c r="M820" i="1"/>
  <c r="M821" i="1"/>
  <c r="M822" i="1"/>
  <c r="M823" i="1"/>
  <c r="M824" i="1"/>
  <c r="M825" i="1"/>
  <c r="M826" i="1"/>
  <c r="M827" i="1"/>
  <c r="M828" i="1"/>
  <c r="M829" i="1"/>
  <c r="M830" i="1"/>
  <c r="M831" i="1"/>
  <c r="M832" i="1"/>
  <c r="M833" i="1"/>
  <c r="M834" i="1"/>
  <c r="M835" i="1"/>
  <c r="M836" i="1"/>
  <c r="M837" i="1"/>
  <c r="M838" i="1"/>
  <c r="M839" i="1"/>
  <c r="M840" i="1"/>
  <c r="M841" i="1"/>
  <c r="M842" i="1"/>
  <c r="M843" i="1"/>
  <c r="M844" i="1"/>
  <c r="M845" i="1"/>
  <c r="M846" i="1"/>
  <c r="M847" i="1"/>
  <c r="M848" i="1"/>
  <c r="M849" i="1"/>
  <c r="M850" i="1"/>
  <c r="M851" i="1"/>
  <c r="M852" i="1"/>
  <c r="M853" i="1"/>
  <c r="M854" i="1"/>
  <c r="M855" i="1"/>
  <c r="M856" i="1"/>
  <c r="M857" i="1"/>
  <c r="M858" i="1"/>
  <c r="M859" i="1"/>
  <c r="M860" i="1"/>
  <c r="M861" i="1"/>
  <c r="M862" i="1"/>
  <c r="M863" i="1"/>
  <c r="M864" i="1"/>
  <c r="M865" i="1"/>
  <c r="M866" i="1"/>
  <c r="M867" i="1"/>
  <c r="M868" i="1"/>
  <c r="M869" i="1"/>
  <c r="M870" i="1"/>
  <c r="M871" i="1"/>
  <c r="M872" i="1"/>
  <c r="M873" i="1"/>
  <c r="M874" i="1"/>
  <c r="M875" i="1"/>
  <c r="M876" i="1"/>
  <c r="M877" i="1"/>
  <c r="M878" i="1"/>
  <c r="M879" i="1"/>
  <c r="M880" i="1"/>
  <c r="M881" i="1"/>
  <c r="M882" i="1"/>
  <c r="M883" i="1"/>
  <c r="M884" i="1"/>
  <c r="M885" i="1"/>
  <c r="M886" i="1"/>
  <c r="M887" i="1"/>
  <c r="M888" i="1"/>
  <c r="M889" i="1"/>
  <c r="M890" i="1"/>
  <c r="M891" i="1"/>
  <c r="M892" i="1"/>
  <c r="M893" i="1"/>
  <c r="M894" i="1"/>
  <c r="M895" i="1"/>
  <c r="M896" i="1"/>
  <c r="M897" i="1"/>
  <c r="M898" i="1"/>
  <c r="M899" i="1"/>
  <c r="M900" i="1"/>
  <c r="M901" i="1"/>
  <c r="M902" i="1"/>
  <c r="M903" i="1"/>
  <c r="M904" i="1"/>
  <c r="M905" i="1"/>
  <c r="M906" i="1"/>
  <c r="M907" i="1"/>
  <c r="M908" i="1"/>
  <c r="M909" i="1"/>
  <c r="M910" i="1"/>
  <c r="M911" i="1"/>
  <c r="M912" i="1"/>
  <c r="M913" i="1"/>
  <c r="M914" i="1"/>
  <c r="M915" i="1"/>
  <c r="M916" i="1"/>
  <c r="M917" i="1"/>
  <c r="M918" i="1"/>
  <c r="M919" i="1"/>
  <c r="M920" i="1"/>
  <c r="M921" i="1"/>
  <c r="M922" i="1"/>
  <c r="M923" i="1"/>
  <c r="M924" i="1"/>
  <c r="M925" i="1"/>
  <c r="M926" i="1"/>
  <c r="M927" i="1"/>
  <c r="M928" i="1"/>
  <c r="M929" i="1"/>
  <c r="M930" i="1"/>
  <c r="M931" i="1"/>
  <c r="M932" i="1"/>
  <c r="M933" i="1"/>
  <c r="M934" i="1"/>
  <c r="M935" i="1"/>
  <c r="M936" i="1"/>
  <c r="M937" i="1"/>
  <c r="M938" i="1"/>
  <c r="M939" i="1"/>
  <c r="M940" i="1"/>
  <c r="M941" i="1"/>
  <c r="M942" i="1"/>
  <c r="M943" i="1"/>
  <c r="M944" i="1"/>
  <c r="M945" i="1"/>
  <c r="M946" i="1"/>
  <c r="M947" i="1"/>
  <c r="M948" i="1"/>
  <c r="M949" i="1"/>
  <c r="M950" i="1"/>
  <c r="M951" i="1"/>
  <c r="M952" i="1"/>
  <c r="M953" i="1"/>
  <c r="M954" i="1"/>
  <c r="M955" i="1"/>
  <c r="M956" i="1"/>
  <c r="M957" i="1"/>
  <c r="M958" i="1"/>
  <c r="M959" i="1"/>
  <c r="M960" i="1"/>
  <c r="M961" i="1"/>
  <c r="M962" i="1"/>
  <c r="M963" i="1"/>
  <c r="M964" i="1"/>
  <c r="M965" i="1"/>
  <c r="M966" i="1"/>
  <c r="M967" i="1"/>
  <c r="M968" i="1"/>
  <c r="M969" i="1"/>
  <c r="M970" i="1"/>
  <c r="M971" i="1"/>
  <c r="M972" i="1"/>
  <c r="M973" i="1"/>
  <c r="M974" i="1"/>
  <c r="M975" i="1"/>
  <c r="M976" i="1"/>
  <c r="M977" i="1"/>
  <c r="M978" i="1"/>
  <c r="M979" i="1"/>
  <c r="M980" i="1"/>
  <c r="M981" i="1"/>
  <c r="M982" i="1"/>
  <c r="M983" i="1"/>
  <c r="M984" i="1"/>
  <c r="M985" i="1"/>
  <c r="M986" i="1"/>
  <c r="M987" i="1"/>
  <c r="M988" i="1"/>
  <c r="M989" i="1"/>
  <c r="M990" i="1"/>
  <c r="M991" i="1"/>
  <c r="M992" i="1"/>
  <c r="M993" i="1"/>
  <c r="M994" i="1"/>
  <c r="M995" i="1"/>
  <c r="M996" i="1"/>
  <c r="M997" i="1"/>
  <c r="M998" i="1"/>
  <c r="M999" i="1"/>
  <c r="M1000" i="1"/>
  <c r="M1001" i="1"/>
  <c r="M1002" i="1"/>
  <c r="M1003" i="1"/>
  <c r="M1004" i="1"/>
  <c r="M1005" i="1"/>
  <c r="M1006" i="1"/>
  <c r="M1007" i="1"/>
  <c r="M1008" i="1"/>
  <c r="M1009" i="1"/>
  <c r="M1010" i="1"/>
  <c r="M1011" i="1"/>
  <c r="M1012" i="1"/>
  <c r="M1013" i="1"/>
  <c r="M1014" i="1"/>
  <c r="M1015" i="1"/>
  <c r="M1016" i="1"/>
  <c r="M1017" i="1"/>
  <c r="M1018" i="1"/>
  <c r="M1019" i="1"/>
  <c r="M1020" i="1"/>
  <c r="M1021" i="1"/>
  <c r="M1022" i="1"/>
  <c r="M1023" i="1"/>
  <c r="M1024" i="1"/>
  <c r="M1025" i="1"/>
  <c r="M1026" i="1"/>
  <c r="M1027" i="1"/>
  <c r="M1028" i="1"/>
  <c r="M1029" i="1"/>
  <c r="M1030" i="1"/>
  <c r="M1031" i="1"/>
  <c r="M1032" i="1"/>
  <c r="M1033" i="1"/>
  <c r="M1034" i="1"/>
  <c r="M1035" i="1"/>
  <c r="M1036" i="1"/>
  <c r="M1037" i="1"/>
  <c r="M1038" i="1"/>
  <c r="M1039" i="1"/>
  <c r="M1040" i="1"/>
  <c r="M1041" i="1"/>
  <c r="M1042" i="1"/>
  <c r="M1043" i="1"/>
  <c r="M1044" i="1"/>
  <c r="M1045" i="1"/>
  <c r="M1046" i="1"/>
  <c r="M1047" i="1"/>
  <c r="M1048" i="1"/>
  <c r="M1049" i="1"/>
  <c r="M1050" i="1"/>
  <c r="M1051" i="1"/>
  <c r="M1052" i="1"/>
  <c r="M1053" i="1"/>
  <c r="M1054" i="1"/>
  <c r="M1055" i="1"/>
  <c r="M1056" i="1"/>
  <c r="M1057" i="1"/>
  <c r="M1058" i="1"/>
  <c r="M1059" i="1"/>
  <c r="M1060" i="1"/>
  <c r="M1061" i="1"/>
  <c r="M1062" i="1"/>
  <c r="M1063" i="1"/>
  <c r="M1064" i="1"/>
  <c r="M1065" i="1"/>
  <c r="M1066" i="1"/>
  <c r="M1067" i="1"/>
  <c r="M1068" i="1"/>
  <c r="M1069" i="1"/>
  <c r="M1070" i="1"/>
  <c r="M1071" i="1"/>
  <c r="M1072" i="1"/>
  <c r="M1073" i="1"/>
  <c r="M1074" i="1"/>
  <c r="M1075" i="1"/>
  <c r="M1076" i="1"/>
  <c r="M1077" i="1"/>
  <c r="M1078" i="1"/>
  <c r="M1079" i="1"/>
  <c r="M1080" i="1"/>
  <c r="M1081" i="1"/>
  <c r="M1082" i="1"/>
  <c r="M1083" i="1"/>
  <c r="M1084" i="1"/>
  <c r="M1085" i="1"/>
  <c r="M1086" i="1"/>
  <c r="M1087" i="1"/>
  <c r="M1088" i="1"/>
  <c r="M1089" i="1"/>
  <c r="M1090" i="1"/>
  <c r="M1091" i="1"/>
  <c r="M1092" i="1"/>
  <c r="M1093" i="1"/>
  <c r="M1094" i="1"/>
  <c r="M1095" i="1"/>
  <c r="M1096" i="1"/>
  <c r="M1097" i="1"/>
  <c r="M1098" i="1"/>
  <c r="M1099" i="1"/>
  <c r="M1100" i="1"/>
  <c r="M1101" i="1"/>
  <c r="M1102" i="1"/>
  <c r="M1103" i="1"/>
  <c r="M1104" i="1"/>
  <c r="M1105" i="1"/>
  <c r="M1106" i="1"/>
  <c r="M1107" i="1"/>
  <c r="M1108" i="1"/>
  <c r="M1109" i="1"/>
  <c r="M1110" i="1"/>
  <c r="M1111" i="1"/>
  <c r="M1112" i="1"/>
  <c r="M1113" i="1"/>
  <c r="M1114" i="1"/>
  <c r="M1115" i="1"/>
  <c r="M1116" i="1"/>
  <c r="M1117" i="1"/>
  <c r="M1118" i="1"/>
  <c r="M1119" i="1"/>
  <c r="M1120" i="1"/>
  <c r="M1121" i="1"/>
  <c r="M1122" i="1"/>
  <c r="M1123" i="1"/>
  <c r="M1124" i="1"/>
  <c r="M1125" i="1"/>
  <c r="M1126" i="1"/>
  <c r="M1127" i="1"/>
  <c r="M1128" i="1"/>
  <c r="M1129" i="1"/>
  <c r="M1130" i="1"/>
  <c r="M1131" i="1"/>
  <c r="M1132" i="1"/>
  <c r="M1133" i="1"/>
  <c r="M1134" i="1"/>
  <c r="M1135" i="1"/>
  <c r="M1136" i="1"/>
  <c r="M1137" i="1"/>
  <c r="M1138" i="1"/>
  <c r="M1139" i="1"/>
  <c r="M1140" i="1"/>
  <c r="M1141" i="1"/>
  <c r="M1142" i="1"/>
  <c r="M1143" i="1"/>
  <c r="M1144" i="1"/>
  <c r="M1145" i="1"/>
  <c r="M1146" i="1"/>
  <c r="M1147" i="1"/>
  <c r="M1148" i="1"/>
  <c r="M1149" i="1"/>
  <c r="M1150" i="1"/>
  <c r="M1151" i="1"/>
  <c r="M1152" i="1"/>
  <c r="M1153" i="1"/>
  <c r="M1154" i="1"/>
  <c r="M1155" i="1"/>
  <c r="M1156" i="1"/>
  <c r="M1157" i="1"/>
  <c r="M1158" i="1"/>
  <c r="M1159" i="1"/>
  <c r="M1160" i="1"/>
  <c r="M1161" i="1"/>
  <c r="M1162" i="1"/>
  <c r="M1163" i="1"/>
  <c r="M1164" i="1"/>
  <c r="M1165" i="1"/>
  <c r="M1166" i="1"/>
  <c r="M1167" i="1"/>
  <c r="M1168" i="1"/>
  <c r="M1169" i="1"/>
  <c r="M1170" i="1"/>
  <c r="M1171" i="1"/>
  <c r="M1172" i="1"/>
  <c r="M1173" i="1"/>
  <c r="M1174" i="1"/>
  <c r="M1175" i="1"/>
  <c r="M1176" i="1"/>
  <c r="M1177" i="1"/>
  <c r="M1178" i="1"/>
  <c r="M1179" i="1"/>
  <c r="M1180" i="1"/>
  <c r="M1181" i="1"/>
  <c r="M1182" i="1"/>
  <c r="M1183" i="1"/>
  <c r="M1184" i="1"/>
  <c r="M1185" i="1"/>
  <c r="M1186" i="1"/>
  <c r="M1187" i="1"/>
  <c r="M1188" i="1"/>
  <c r="M1189" i="1"/>
  <c r="M1190" i="1"/>
  <c r="M1191" i="1"/>
  <c r="M1192" i="1"/>
  <c r="M1193" i="1"/>
  <c r="M1194" i="1"/>
  <c r="M1195" i="1"/>
  <c r="M1196" i="1"/>
  <c r="M1197" i="1"/>
  <c r="M1198" i="1"/>
  <c r="M1199" i="1"/>
  <c r="M1200" i="1"/>
  <c r="M1201" i="1"/>
  <c r="M1202" i="1"/>
  <c r="M1203" i="1"/>
  <c r="M1204" i="1"/>
  <c r="M1205" i="1"/>
  <c r="M1206" i="1"/>
  <c r="M1207" i="1"/>
  <c r="M1208" i="1"/>
  <c r="M1209" i="1"/>
  <c r="M1210" i="1"/>
  <c r="M1211" i="1"/>
  <c r="M1212" i="1"/>
  <c r="M1213" i="1"/>
  <c r="M1214" i="1"/>
  <c r="M1215" i="1"/>
  <c r="M1216" i="1"/>
  <c r="M1217" i="1"/>
  <c r="M1218" i="1"/>
  <c r="M1219" i="1"/>
  <c r="M1220" i="1"/>
  <c r="M1221" i="1"/>
  <c r="M1222" i="1"/>
  <c r="M1223" i="1"/>
  <c r="M1224" i="1"/>
  <c r="M1225" i="1"/>
  <c r="M1226" i="1"/>
  <c r="M1227" i="1"/>
  <c r="M1228" i="1"/>
  <c r="M1229" i="1"/>
  <c r="M1230" i="1"/>
  <c r="M1231" i="1"/>
  <c r="M1232" i="1"/>
  <c r="M1233" i="1"/>
  <c r="M1234" i="1"/>
  <c r="M1235" i="1"/>
  <c r="M1236" i="1"/>
  <c r="M1237" i="1"/>
  <c r="M1238" i="1"/>
  <c r="M1239" i="1"/>
  <c r="M1240" i="1"/>
  <c r="M1241" i="1"/>
  <c r="M1242" i="1"/>
  <c r="M1243" i="1"/>
  <c r="M1244" i="1"/>
  <c r="M1245" i="1"/>
  <c r="M1246" i="1"/>
  <c r="M1247" i="1"/>
  <c r="M1248" i="1"/>
  <c r="M1249" i="1"/>
  <c r="M1250" i="1"/>
  <c r="M1251" i="1"/>
  <c r="M1252" i="1"/>
  <c r="M1253" i="1"/>
  <c r="M1254" i="1"/>
  <c r="M1255" i="1"/>
  <c r="M1256" i="1"/>
  <c r="M1257" i="1"/>
  <c r="M1258" i="1"/>
  <c r="M1259" i="1"/>
  <c r="M1260" i="1"/>
  <c r="M1261" i="1"/>
  <c r="M1262" i="1"/>
  <c r="M1263" i="1"/>
  <c r="M1264" i="1"/>
  <c r="M1265" i="1"/>
  <c r="M1266" i="1"/>
  <c r="M1267" i="1"/>
  <c r="M1268" i="1"/>
  <c r="M1269" i="1"/>
  <c r="M1270" i="1"/>
  <c r="M1271" i="1"/>
  <c r="M1272" i="1"/>
  <c r="M1273" i="1"/>
  <c r="M1274" i="1"/>
  <c r="M1275" i="1"/>
  <c r="M1276" i="1"/>
  <c r="M1277" i="1"/>
  <c r="M1278" i="1"/>
  <c r="M1279" i="1"/>
  <c r="M1280" i="1"/>
  <c r="M1281" i="1"/>
  <c r="M1282" i="1"/>
  <c r="M1283" i="1"/>
  <c r="M1284" i="1"/>
  <c r="M1285" i="1"/>
  <c r="M1286" i="1"/>
  <c r="M1287" i="1"/>
  <c r="M1288" i="1"/>
  <c r="M1289" i="1"/>
  <c r="M1290" i="1"/>
  <c r="M1291" i="1"/>
  <c r="M1292" i="1"/>
  <c r="M1293" i="1"/>
  <c r="M1294" i="1"/>
  <c r="M1295" i="1"/>
  <c r="M1296" i="1"/>
  <c r="M1297" i="1"/>
  <c r="M1298" i="1"/>
  <c r="M1299" i="1"/>
  <c r="M1300" i="1"/>
  <c r="M1301" i="1"/>
  <c r="M1302" i="1"/>
  <c r="M1303" i="1"/>
  <c r="M1304" i="1"/>
  <c r="M1305" i="1"/>
  <c r="M1306" i="1"/>
  <c r="M1307" i="1"/>
  <c r="M1308" i="1"/>
  <c r="M1309" i="1"/>
  <c r="M1310" i="1"/>
  <c r="M1311" i="1"/>
  <c r="M1312" i="1"/>
  <c r="M1313" i="1"/>
  <c r="M1314" i="1"/>
  <c r="M1315" i="1"/>
  <c r="M1316" i="1"/>
  <c r="M1317" i="1"/>
  <c r="M1318" i="1"/>
  <c r="M1319" i="1"/>
  <c r="M1320" i="1"/>
  <c r="M1321" i="1"/>
  <c r="M1322" i="1"/>
  <c r="M1323" i="1"/>
  <c r="M1324" i="1"/>
  <c r="M1325" i="1"/>
  <c r="M1326" i="1"/>
  <c r="M1327" i="1"/>
  <c r="M1328" i="1"/>
  <c r="M1329" i="1"/>
  <c r="M1330" i="1"/>
  <c r="M1331" i="1"/>
  <c r="M1332" i="1"/>
  <c r="M1333" i="1"/>
  <c r="M1334" i="1"/>
  <c r="M1335" i="1"/>
  <c r="M1336" i="1"/>
  <c r="M1337" i="1"/>
  <c r="M1338" i="1"/>
  <c r="M1339" i="1"/>
  <c r="M1340" i="1"/>
  <c r="M1341" i="1"/>
  <c r="M1342" i="1"/>
  <c r="M1343" i="1"/>
  <c r="M1344" i="1"/>
  <c r="M1345" i="1"/>
  <c r="M1346" i="1"/>
  <c r="M1347" i="1"/>
  <c r="M1348" i="1"/>
  <c r="M1349" i="1"/>
  <c r="M1350" i="1"/>
  <c r="M1351" i="1"/>
  <c r="M1352" i="1"/>
  <c r="M1353" i="1"/>
  <c r="M1354" i="1"/>
  <c r="M1355" i="1"/>
  <c r="M1356" i="1"/>
  <c r="M1357" i="1"/>
  <c r="M1358" i="1"/>
  <c r="M1359" i="1"/>
  <c r="M1360" i="1"/>
  <c r="M1361" i="1"/>
  <c r="M1362" i="1"/>
  <c r="M1363" i="1"/>
  <c r="M1364" i="1"/>
  <c r="M1365" i="1"/>
  <c r="M1366" i="1"/>
  <c r="M1367" i="1"/>
  <c r="M1368" i="1"/>
  <c r="M1369" i="1"/>
  <c r="M1370" i="1"/>
  <c r="M1371" i="1"/>
  <c r="M1372" i="1"/>
  <c r="M1373" i="1"/>
  <c r="M1374" i="1"/>
  <c r="M1375" i="1"/>
  <c r="M1376" i="1"/>
  <c r="M1377" i="1"/>
  <c r="M1378" i="1"/>
  <c r="M1379" i="1"/>
  <c r="M1380" i="1"/>
  <c r="M1381" i="1"/>
  <c r="M1382" i="1"/>
  <c r="M1383" i="1"/>
  <c r="M1384" i="1"/>
  <c r="M1385" i="1"/>
  <c r="M1386" i="1"/>
  <c r="M1387" i="1"/>
  <c r="M1388" i="1"/>
  <c r="M1389" i="1"/>
  <c r="M1390" i="1"/>
  <c r="M1391" i="1"/>
  <c r="M1392" i="1"/>
  <c r="M1393" i="1"/>
  <c r="M1394" i="1"/>
  <c r="M1395" i="1"/>
  <c r="M1396" i="1"/>
  <c r="M1397" i="1"/>
  <c r="M1398" i="1"/>
  <c r="M1399" i="1"/>
  <c r="M1400" i="1"/>
  <c r="M1401" i="1"/>
  <c r="M1402" i="1"/>
  <c r="M1403" i="1"/>
  <c r="M1404" i="1"/>
  <c r="M1405" i="1"/>
  <c r="M1406" i="1"/>
  <c r="M1407" i="1"/>
  <c r="M1408" i="1"/>
  <c r="M1409" i="1"/>
  <c r="M1410" i="1"/>
  <c r="M1411" i="1"/>
  <c r="M1412" i="1"/>
  <c r="M1413" i="1"/>
  <c r="M1414" i="1"/>
  <c r="M1415" i="1"/>
  <c r="M1416" i="1"/>
  <c r="M1417" i="1"/>
  <c r="M1418" i="1"/>
  <c r="M1419" i="1"/>
  <c r="M1420" i="1"/>
  <c r="M1421" i="1"/>
  <c r="M1422" i="1"/>
  <c r="M1423" i="1"/>
  <c r="M1424" i="1"/>
  <c r="M1425" i="1"/>
  <c r="M1426" i="1"/>
  <c r="M1427" i="1"/>
  <c r="M1428" i="1"/>
  <c r="M1429" i="1"/>
  <c r="M1430" i="1"/>
  <c r="M1431" i="1"/>
  <c r="M1432" i="1"/>
  <c r="M1433" i="1"/>
  <c r="M1434" i="1"/>
  <c r="M1435" i="1"/>
  <c r="M1436" i="1"/>
  <c r="M1437" i="1"/>
  <c r="M1438" i="1"/>
  <c r="M1439" i="1"/>
  <c r="M1440" i="1"/>
  <c r="M1441" i="1"/>
  <c r="M1442" i="1"/>
  <c r="M1443" i="1"/>
  <c r="M1444" i="1"/>
  <c r="M1445" i="1"/>
  <c r="M1446" i="1"/>
  <c r="M1447" i="1"/>
  <c r="M1448" i="1"/>
  <c r="M1449" i="1"/>
  <c r="M1450" i="1"/>
  <c r="M1451" i="1"/>
  <c r="M1452" i="1"/>
  <c r="M1453" i="1"/>
  <c r="M1454" i="1"/>
  <c r="M1455" i="1"/>
  <c r="M1456" i="1"/>
  <c r="M1457" i="1"/>
  <c r="M1458" i="1"/>
  <c r="M1459" i="1"/>
  <c r="M1460" i="1"/>
  <c r="M1461" i="1"/>
  <c r="M1462" i="1"/>
  <c r="M1463" i="1"/>
  <c r="M1464" i="1"/>
  <c r="M1465" i="1"/>
  <c r="M1466" i="1"/>
  <c r="M1467" i="1"/>
  <c r="M1468" i="1"/>
  <c r="M1469" i="1"/>
  <c r="M1470" i="1"/>
  <c r="M1471" i="1"/>
  <c r="M1472" i="1"/>
  <c r="M1473" i="1"/>
  <c r="M1474" i="1"/>
  <c r="M1475" i="1"/>
  <c r="M1476" i="1"/>
  <c r="M1477" i="1"/>
  <c r="M1478" i="1"/>
  <c r="M1479" i="1"/>
  <c r="M1480" i="1"/>
  <c r="M1481" i="1"/>
  <c r="M1482" i="1"/>
  <c r="M1483" i="1"/>
  <c r="M1484" i="1"/>
  <c r="M1485" i="1"/>
  <c r="M1486" i="1"/>
  <c r="M1487" i="1"/>
  <c r="M1488" i="1"/>
  <c r="M1489" i="1"/>
  <c r="M1490" i="1"/>
  <c r="M1491" i="1"/>
  <c r="M1492" i="1"/>
  <c r="M1493" i="1"/>
  <c r="M1494" i="1"/>
  <c r="M1495" i="1"/>
  <c r="M1496" i="1"/>
  <c r="M1497" i="1"/>
  <c r="M1498" i="1"/>
  <c r="M1499" i="1"/>
  <c r="M1500" i="1"/>
  <c r="M1501" i="1"/>
  <c r="M1502" i="1"/>
  <c r="M1503" i="1"/>
  <c r="M1504" i="1"/>
  <c r="M1505" i="1"/>
  <c r="M1506" i="1"/>
  <c r="M1507" i="1"/>
  <c r="M1508" i="1"/>
  <c r="M1509" i="1"/>
  <c r="M1510" i="1"/>
  <c r="M1511" i="1"/>
  <c r="M1512" i="1"/>
  <c r="M1513" i="1"/>
  <c r="M1514" i="1"/>
  <c r="M1515" i="1"/>
  <c r="M1516" i="1"/>
  <c r="M1517" i="1"/>
  <c r="M1518" i="1"/>
  <c r="M1519" i="1"/>
  <c r="M1520" i="1"/>
  <c r="M1521" i="1"/>
  <c r="M1522" i="1"/>
  <c r="M1523" i="1"/>
  <c r="M1524" i="1"/>
  <c r="M1525" i="1"/>
  <c r="M1526" i="1"/>
  <c r="M1527" i="1"/>
  <c r="M1528" i="1"/>
  <c r="M1529" i="1"/>
  <c r="M1530" i="1"/>
  <c r="M1531" i="1"/>
  <c r="M1532" i="1"/>
  <c r="M1533" i="1"/>
  <c r="M1534" i="1"/>
  <c r="M1535" i="1"/>
  <c r="M1536" i="1"/>
  <c r="M1537" i="1"/>
  <c r="M1538" i="1"/>
  <c r="M1539" i="1"/>
  <c r="M1540" i="1"/>
  <c r="M1541" i="1"/>
  <c r="M1542" i="1"/>
  <c r="M1543" i="1"/>
  <c r="M1544" i="1"/>
  <c r="M1545" i="1"/>
  <c r="M1546" i="1"/>
  <c r="M1547" i="1"/>
  <c r="M1548" i="1"/>
  <c r="M1549" i="1"/>
  <c r="M1550" i="1"/>
  <c r="M1551" i="1"/>
  <c r="M1552" i="1"/>
  <c r="M1553" i="1"/>
  <c r="M1554" i="1"/>
  <c r="M1555" i="1"/>
  <c r="M1556" i="1"/>
  <c r="M1557" i="1"/>
  <c r="M1558" i="1"/>
  <c r="M1559" i="1"/>
  <c r="M1560" i="1"/>
  <c r="M1561" i="1"/>
  <c r="M1562" i="1"/>
  <c r="M1563" i="1"/>
  <c r="M1564" i="1"/>
  <c r="M1565" i="1"/>
  <c r="M1566" i="1"/>
  <c r="M1567" i="1"/>
  <c r="M1568" i="1"/>
  <c r="M1569" i="1"/>
  <c r="M1570" i="1"/>
  <c r="M1571" i="1"/>
  <c r="M1572" i="1"/>
  <c r="M1573" i="1"/>
  <c r="M1574" i="1"/>
  <c r="M1575" i="1"/>
  <c r="M1576" i="1"/>
  <c r="M1577" i="1"/>
  <c r="M1578" i="1"/>
  <c r="M1579" i="1"/>
  <c r="M1580" i="1"/>
  <c r="M1581" i="1"/>
  <c r="M1582" i="1"/>
  <c r="M1583" i="1"/>
  <c r="M1584" i="1"/>
  <c r="M1585" i="1"/>
  <c r="M1586" i="1"/>
  <c r="M1587" i="1"/>
  <c r="M1588" i="1"/>
  <c r="M1589" i="1"/>
  <c r="M1590" i="1"/>
  <c r="M1591" i="1"/>
  <c r="M1592" i="1"/>
  <c r="M1593" i="1"/>
  <c r="M1594" i="1"/>
  <c r="M1595" i="1"/>
  <c r="M1596" i="1"/>
  <c r="M1597" i="1"/>
  <c r="M1598" i="1"/>
  <c r="M1599" i="1"/>
  <c r="M1600" i="1"/>
  <c r="M1601" i="1"/>
  <c r="M1602" i="1"/>
  <c r="M1603" i="1"/>
  <c r="M1604" i="1"/>
  <c r="M1605" i="1"/>
  <c r="M1606" i="1"/>
  <c r="M1607" i="1"/>
  <c r="M1608" i="1"/>
  <c r="M1609" i="1"/>
  <c r="M1610" i="1"/>
  <c r="M1611" i="1"/>
  <c r="M1612" i="1"/>
  <c r="M1613" i="1"/>
  <c r="M1614" i="1"/>
  <c r="M1615" i="1"/>
  <c r="M1616" i="1"/>
  <c r="M1617" i="1"/>
  <c r="M1618" i="1"/>
  <c r="M1619" i="1"/>
  <c r="M1620" i="1"/>
  <c r="M1621" i="1"/>
  <c r="M1622" i="1"/>
  <c r="M1623" i="1"/>
  <c r="M1624" i="1"/>
  <c r="M1625" i="1"/>
  <c r="M1626" i="1"/>
  <c r="M1627" i="1"/>
  <c r="M1628" i="1"/>
  <c r="M1629" i="1"/>
  <c r="M1630" i="1"/>
  <c r="M1631" i="1"/>
  <c r="M1632" i="1"/>
  <c r="M1633" i="1"/>
  <c r="M1634" i="1"/>
  <c r="M1635" i="1"/>
  <c r="M1636" i="1"/>
  <c r="M1637" i="1"/>
  <c r="M1638" i="1"/>
  <c r="M1639" i="1"/>
  <c r="M1640" i="1"/>
  <c r="M1641" i="1"/>
  <c r="M1642" i="1"/>
  <c r="M1643" i="1"/>
  <c r="M1644" i="1"/>
  <c r="M1645" i="1"/>
  <c r="M1646" i="1"/>
  <c r="M1647" i="1"/>
  <c r="M1648" i="1"/>
  <c r="M1649" i="1"/>
  <c r="M1650" i="1"/>
  <c r="M1651" i="1"/>
  <c r="M1652" i="1"/>
  <c r="M1653" i="1"/>
  <c r="M1654" i="1"/>
  <c r="M1655" i="1"/>
  <c r="M1656" i="1"/>
  <c r="M1657" i="1"/>
  <c r="M1658" i="1"/>
  <c r="M1659" i="1"/>
  <c r="M1660" i="1"/>
  <c r="M1661" i="1"/>
  <c r="M1662" i="1"/>
  <c r="M1663" i="1"/>
  <c r="M1664" i="1"/>
  <c r="M1665" i="1"/>
  <c r="M1666" i="1"/>
  <c r="M1667" i="1"/>
  <c r="M1668" i="1"/>
  <c r="M1669" i="1"/>
  <c r="M1670" i="1"/>
  <c r="M1671" i="1"/>
  <c r="M1672" i="1"/>
  <c r="M1673" i="1"/>
  <c r="M1674" i="1"/>
  <c r="M1675" i="1"/>
  <c r="M1676" i="1"/>
  <c r="M1677" i="1"/>
  <c r="M1678" i="1"/>
  <c r="M1679" i="1"/>
  <c r="M1680" i="1"/>
  <c r="M1681" i="1"/>
  <c r="M1682" i="1"/>
  <c r="M1683" i="1"/>
  <c r="M1684" i="1"/>
  <c r="M1685" i="1"/>
  <c r="M1686" i="1"/>
  <c r="M1687" i="1"/>
  <c r="M1688" i="1"/>
  <c r="M1689" i="1"/>
  <c r="M1690" i="1"/>
  <c r="M1691" i="1"/>
  <c r="M1692" i="1"/>
  <c r="M1693" i="1"/>
  <c r="M1694" i="1"/>
  <c r="M1695" i="1"/>
  <c r="M1696" i="1"/>
  <c r="M1697" i="1"/>
  <c r="M1698" i="1"/>
  <c r="M1699" i="1"/>
  <c r="M1700" i="1"/>
  <c r="M1701" i="1"/>
  <c r="M1702" i="1"/>
  <c r="M1703" i="1"/>
  <c r="M1704" i="1"/>
  <c r="M1705" i="1"/>
  <c r="M1706" i="1"/>
  <c r="M1707" i="1"/>
  <c r="M1708" i="1"/>
  <c r="M1709" i="1"/>
  <c r="M1710" i="1"/>
  <c r="M1711" i="1"/>
  <c r="M1712" i="1"/>
  <c r="M1713" i="1"/>
  <c r="M1714" i="1"/>
  <c r="M1715" i="1"/>
  <c r="M1716" i="1"/>
  <c r="M1717" i="1"/>
  <c r="M1718" i="1"/>
  <c r="M1719" i="1"/>
  <c r="M1720" i="1"/>
  <c r="M1721" i="1"/>
  <c r="M1722" i="1"/>
  <c r="M1723" i="1"/>
  <c r="M1724" i="1"/>
  <c r="M1725" i="1"/>
  <c r="M1726" i="1"/>
  <c r="M1727" i="1"/>
  <c r="M1728" i="1"/>
  <c r="M1729" i="1"/>
  <c r="M1730" i="1"/>
  <c r="M1731" i="1"/>
  <c r="M1732" i="1"/>
  <c r="M1733" i="1"/>
  <c r="M1734" i="1"/>
  <c r="M1735" i="1"/>
  <c r="M1736" i="1"/>
  <c r="M1737" i="1"/>
  <c r="M1738" i="1"/>
  <c r="M1739" i="1"/>
  <c r="M1740" i="1"/>
  <c r="M1741" i="1"/>
  <c r="M1742" i="1"/>
  <c r="M1743" i="1"/>
  <c r="M1744" i="1"/>
  <c r="M1745" i="1"/>
  <c r="M1746" i="1"/>
  <c r="M1747" i="1"/>
  <c r="M1748" i="1"/>
  <c r="M1749" i="1"/>
  <c r="M1750" i="1"/>
  <c r="M1751" i="1"/>
  <c r="M1752" i="1"/>
  <c r="M1753" i="1"/>
  <c r="M1754" i="1"/>
  <c r="M1755" i="1"/>
  <c r="M1756" i="1"/>
  <c r="M1757" i="1"/>
  <c r="M1758" i="1"/>
  <c r="M1759" i="1"/>
  <c r="M1760" i="1"/>
  <c r="M1761" i="1"/>
  <c r="M1762" i="1"/>
  <c r="M1763" i="1"/>
  <c r="M1764" i="1"/>
  <c r="M1765" i="1"/>
  <c r="M1766" i="1"/>
  <c r="M1767" i="1"/>
  <c r="M1768" i="1"/>
  <c r="M1769" i="1"/>
  <c r="M1770" i="1"/>
  <c r="M1771" i="1"/>
  <c r="M1772" i="1"/>
  <c r="M1773" i="1"/>
  <c r="M1774" i="1"/>
  <c r="M1775" i="1"/>
  <c r="M1776" i="1"/>
  <c r="M1777" i="1"/>
  <c r="M1778" i="1"/>
  <c r="M1779" i="1"/>
  <c r="M1780" i="1"/>
  <c r="M1781" i="1"/>
  <c r="M1782" i="1"/>
  <c r="M1783" i="1"/>
  <c r="M1784" i="1"/>
  <c r="M1785" i="1"/>
  <c r="M1786" i="1"/>
  <c r="M1787" i="1"/>
  <c r="M1788" i="1"/>
  <c r="M1789" i="1"/>
  <c r="M1790" i="1"/>
  <c r="M1791" i="1"/>
  <c r="M1792" i="1"/>
  <c r="M1793" i="1"/>
  <c r="M1794" i="1"/>
  <c r="M1795" i="1"/>
  <c r="M1796" i="1"/>
  <c r="M1797" i="1"/>
  <c r="M1798" i="1"/>
  <c r="M1799" i="1"/>
  <c r="M1800" i="1"/>
  <c r="M1801" i="1"/>
  <c r="M1802" i="1"/>
  <c r="M1803" i="1"/>
  <c r="M1804" i="1"/>
  <c r="M1805" i="1"/>
  <c r="M1806" i="1"/>
  <c r="M1807" i="1"/>
  <c r="M1808" i="1"/>
  <c r="M1809" i="1"/>
  <c r="M1810" i="1"/>
  <c r="M1811" i="1"/>
  <c r="M1812" i="1"/>
  <c r="M1813" i="1"/>
  <c r="M1814" i="1"/>
  <c r="M1815" i="1"/>
  <c r="M1816" i="1"/>
  <c r="M1817" i="1"/>
  <c r="M1818" i="1"/>
  <c r="M1819" i="1"/>
  <c r="M1820" i="1"/>
  <c r="M1821" i="1"/>
  <c r="M1822" i="1"/>
  <c r="M1823" i="1"/>
  <c r="M1824" i="1"/>
  <c r="M1825" i="1"/>
  <c r="M1826" i="1"/>
  <c r="M1827" i="1"/>
  <c r="M1828" i="1"/>
  <c r="M1829" i="1"/>
  <c r="M1830" i="1"/>
  <c r="M1831" i="1"/>
  <c r="M1832" i="1"/>
  <c r="M1833" i="1"/>
  <c r="M1834" i="1"/>
  <c r="M1835" i="1"/>
  <c r="M1836" i="1"/>
  <c r="M1837" i="1"/>
  <c r="M1838" i="1"/>
  <c r="M1839" i="1"/>
  <c r="M1840" i="1"/>
  <c r="M1841" i="1"/>
  <c r="M1842" i="1"/>
  <c r="M1843" i="1"/>
  <c r="M1844" i="1"/>
  <c r="M1845" i="1"/>
  <c r="M1846" i="1"/>
  <c r="M1847" i="1"/>
  <c r="M1848" i="1"/>
  <c r="M1849" i="1"/>
  <c r="M1850" i="1"/>
  <c r="M1851" i="1"/>
  <c r="M1852" i="1"/>
  <c r="M1853" i="1"/>
  <c r="M1854" i="1"/>
  <c r="M1855" i="1"/>
  <c r="M1856" i="1"/>
  <c r="M1857" i="1"/>
  <c r="M1858" i="1"/>
  <c r="M1859" i="1"/>
  <c r="M1860" i="1"/>
  <c r="M1861" i="1"/>
  <c r="M1862" i="1"/>
  <c r="M1863" i="1"/>
  <c r="M1864" i="1"/>
  <c r="M1865" i="1"/>
  <c r="M1866" i="1"/>
  <c r="M1867" i="1"/>
  <c r="M1868" i="1"/>
  <c r="M1869" i="1"/>
  <c r="M1870" i="1"/>
  <c r="M1871" i="1"/>
  <c r="M1872" i="1"/>
  <c r="M1873" i="1"/>
  <c r="M1874" i="1"/>
  <c r="M1875" i="1"/>
  <c r="M1876" i="1"/>
  <c r="M1877" i="1"/>
  <c r="M1878" i="1"/>
  <c r="M1879" i="1"/>
  <c r="M1880" i="1"/>
  <c r="M1881" i="1"/>
  <c r="M1882" i="1"/>
  <c r="M1883" i="1"/>
  <c r="M1884" i="1"/>
  <c r="M1885" i="1"/>
  <c r="M1886" i="1"/>
  <c r="M1887" i="1"/>
  <c r="M1888" i="1"/>
  <c r="M1889" i="1"/>
  <c r="M1890" i="1"/>
  <c r="M1891" i="1"/>
  <c r="M1892" i="1"/>
  <c r="M1893" i="1"/>
  <c r="M1894" i="1"/>
  <c r="M1895" i="1"/>
  <c r="M1896" i="1"/>
  <c r="M1897" i="1"/>
  <c r="M1898" i="1"/>
  <c r="M1899" i="1"/>
  <c r="M1900" i="1"/>
  <c r="M1901" i="1"/>
  <c r="M1902" i="1"/>
  <c r="M1903" i="1"/>
  <c r="M1904" i="1"/>
  <c r="M1905" i="1"/>
  <c r="M1906" i="1"/>
  <c r="M1907" i="1"/>
  <c r="M1908" i="1"/>
  <c r="M1909" i="1"/>
  <c r="M1910" i="1"/>
  <c r="M1911" i="1"/>
  <c r="M1912" i="1"/>
  <c r="M1913" i="1"/>
  <c r="M1914" i="1"/>
  <c r="M1915" i="1"/>
  <c r="M1916" i="1"/>
  <c r="M1917" i="1"/>
  <c r="M1918" i="1"/>
  <c r="M1919" i="1"/>
  <c r="M1920" i="1"/>
  <c r="M1921" i="1"/>
  <c r="M1922" i="1"/>
  <c r="M1923" i="1"/>
  <c r="M1924" i="1"/>
  <c r="M1925" i="1"/>
  <c r="M1926" i="1"/>
  <c r="M1927" i="1"/>
  <c r="M1928" i="1"/>
  <c r="M1929" i="1"/>
  <c r="M1930" i="1"/>
  <c r="M1931" i="1"/>
  <c r="M1932" i="1"/>
  <c r="M1933" i="1"/>
  <c r="M1934" i="1"/>
  <c r="M1935" i="1"/>
  <c r="M1936" i="1"/>
  <c r="M1937" i="1"/>
  <c r="M1938" i="1"/>
  <c r="M1939" i="1"/>
  <c r="M1940" i="1"/>
  <c r="M1941" i="1"/>
  <c r="M1942" i="1"/>
  <c r="M1943" i="1"/>
  <c r="M1944" i="1"/>
  <c r="M1945" i="1"/>
  <c r="M1946" i="1"/>
  <c r="M1947" i="1"/>
  <c r="M1948" i="1"/>
  <c r="M1949" i="1"/>
  <c r="M1950" i="1"/>
  <c r="M1951" i="1"/>
  <c r="M1952" i="1"/>
  <c r="M1953" i="1"/>
  <c r="M1954" i="1"/>
  <c r="M1955" i="1"/>
  <c r="M1956" i="1"/>
  <c r="M1957" i="1"/>
  <c r="M1958" i="1"/>
  <c r="M1959" i="1"/>
  <c r="M1960" i="1"/>
  <c r="M1961" i="1"/>
  <c r="M1962" i="1"/>
  <c r="M1963" i="1"/>
  <c r="M1964" i="1"/>
  <c r="M1965" i="1"/>
  <c r="M1966" i="1"/>
  <c r="M1967" i="1"/>
  <c r="M1968" i="1"/>
  <c r="M1969" i="1"/>
  <c r="M1970" i="1"/>
  <c r="M1971" i="1"/>
  <c r="M1972" i="1"/>
  <c r="M1973" i="1"/>
  <c r="M1974" i="1"/>
  <c r="M1975" i="1"/>
  <c r="M1976" i="1"/>
  <c r="M1977" i="1"/>
  <c r="M1978" i="1"/>
  <c r="M1979" i="1"/>
  <c r="M1980" i="1"/>
  <c r="M1981" i="1"/>
  <c r="M1982" i="1"/>
  <c r="M1983" i="1"/>
  <c r="M1984" i="1"/>
  <c r="M1985" i="1"/>
  <c r="M1986" i="1"/>
  <c r="M1987" i="1"/>
  <c r="M1988" i="1"/>
  <c r="M1989" i="1"/>
  <c r="M1990" i="1"/>
  <c r="M1991" i="1"/>
  <c r="M1992" i="1"/>
  <c r="M1993" i="1"/>
  <c r="M1994" i="1"/>
  <c r="M1995" i="1"/>
  <c r="M1996" i="1"/>
  <c r="M1997" i="1"/>
  <c r="M1998" i="1"/>
  <c r="M1999" i="1"/>
  <c r="M2000" i="1"/>
  <c r="M2001" i="1"/>
  <c r="M2002" i="1"/>
  <c r="M2003" i="1"/>
  <c r="M2004" i="1"/>
  <c r="M2005" i="1"/>
  <c r="M2006" i="1"/>
  <c r="M2007" i="1"/>
  <c r="M2008" i="1"/>
  <c r="M2009" i="1"/>
  <c r="M2010" i="1"/>
  <c r="M2011" i="1"/>
  <c r="M2012" i="1"/>
  <c r="M2013" i="1"/>
  <c r="M2014" i="1"/>
  <c r="M2015" i="1"/>
  <c r="M2016" i="1"/>
  <c r="M2017" i="1"/>
  <c r="M2018" i="1"/>
  <c r="M2019" i="1"/>
  <c r="M2020" i="1"/>
  <c r="M2021" i="1"/>
  <c r="M2022" i="1"/>
  <c r="M2023" i="1"/>
  <c r="M2024" i="1"/>
  <c r="M2025" i="1"/>
  <c r="M2026" i="1"/>
  <c r="M2027" i="1"/>
  <c r="M2028" i="1"/>
  <c r="M2029" i="1"/>
  <c r="M2030" i="1"/>
  <c r="M2031" i="1"/>
  <c r="M2032" i="1"/>
  <c r="M2033" i="1"/>
  <c r="M2034" i="1"/>
  <c r="M2035" i="1"/>
  <c r="M2036" i="1"/>
  <c r="M2037" i="1"/>
  <c r="M2038" i="1"/>
  <c r="M2039" i="1"/>
  <c r="M2040" i="1"/>
  <c r="M2041" i="1"/>
  <c r="M2042" i="1"/>
  <c r="M2043" i="1"/>
  <c r="M2044" i="1"/>
  <c r="M2045" i="1"/>
  <c r="M2046" i="1"/>
  <c r="M2047" i="1"/>
  <c r="M2048" i="1"/>
  <c r="M2049" i="1"/>
  <c r="M2050" i="1"/>
  <c r="M2051" i="1"/>
  <c r="M2052" i="1"/>
  <c r="M2053" i="1"/>
  <c r="M2054" i="1"/>
  <c r="M2055" i="1"/>
  <c r="M2056" i="1"/>
  <c r="M2057" i="1"/>
  <c r="M2058" i="1"/>
  <c r="M2059" i="1"/>
  <c r="M2060" i="1"/>
  <c r="M2061" i="1"/>
  <c r="M2062" i="1"/>
  <c r="M2063" i="1"/>
  <c r="M2064" i="1"/>
  <c r="M2065" i="1"/>
  <c r="M2066" i="1"/>
  <c r="M2067" i="1"/>
  <c r="M2068" i="1"/>
  <c r="M2069" i="1"/>
  <c r="M2070" i="1"/>
  <c r="M2071" i="1"/>
  <c r="M2072" i="1"/>
  <c r="M2073" i="1"/>
  <c r="M2074" i="1"/>
  <c r="M2075" i="1"/>
  <c r="M2076" i="1"/>
  <c r="M2077" i="1"/>
  <c r="M2078" i="1"/>
  <c r="M2079" i="1"/>
  <c r="M2080" i="1"/>
  <c r="M2081" i="1"/>
  <c r="M2082" i="1"/>
  <c r="M2083" i="1"/>
  <c r="M2084" i="1"/>
  <c r="M2085" i="1"/>
  <c r="M2086" i="1"/>
  <c r="M2087" i="1"/>
  <c r="M2088" i="1"/>
  <c r="M2089" i="1"/>
  <c r="M2090" i="1"/>
  <c r="M2091" i="1"/>
  <c r="M2092" i="1"/>
  <c r="M2093" i="1"/>
  <c r="M2094" i="1"/>
  <c r="M2095" i="1"/>
  <c r="M2096" i="1"/>
  <c r="M2097" i="1"/>
  <c r="M2098" i="1"/>
  <c r="M2099" i="1"/>
  <c r="M2100" i="1"/>
  <c r="M2101" i="1"/>
  <c r="M2102" i="1"/>
  <c r="M2103" i="1"/>
  <c r="M2104" i="1"/>
  <c r="M2105" i="1"/>
  <c r="M2106" i="1"/>
  <c r="M2107" i="1"/>
  <c r="M2108" i="1"/>
  <c r="M2109" i="1"/>
  <c r="M2110" i="1"/>
  <c r="M2111" i="1"/>
  <c r="M2112" i="1"/>
  <c r="M2113" i="1"/>
  <c r="M2114" i="1"/>
  <c r="M2115" i="1"/>
  <c r="M2116" i="1"/>
  <c r="M2117" i="1"/>
  <c r="M2118" i="1"/>
  <c r="M2119" i="1"/>
  <c r="M2120" i="1"/>
  <c r="M2121" i="1"/>
  <c r="M2122" i="1"/>
  <c r="M2123" i="1"/>
  <c r="M2124" i="1"/>
  <c r="M2125" i="1"/>
  <c r="M2126" i="1"/>
  <c r="M2127" i="1"/>
  <c r="M2128" i="1"/>
  <c r="M2129" i="1"/>
  <c r="M2130" i="1"/>
  <c r="M2131" i="1"/>
  <c r="M2132" i="1"/>
  <c r="M2133" i="1"/>
  <c r="M2134" i="1"/>
  <c r="M2135" i="1"/>
  <c r="M2136" i="1"/>
  <c r="M2137" i="1"/>
  <c r="M2138" i="1"/>
  <c r="M2139" i="1"/>
  <c r="M2140" i="1"/>
  <c r="M2141" i="1"/>
  <c r="M2142" i="1"/>
  <c r="M2143" i="1"/>
  <c r="M2144" i="1"/>
  <c r="M2145" i="1"/>
  <c r="M2146" i="1"/>
  <c r="M2147" i="1"/>
  <c r="M2148" i="1"/>
  <c r="M2149" i="1"/>
  <c r="M2150" i="1"/>
  <c r="M2151" i="1"/>
  <c r="M2152" i="1"/>
  <c r="M2153" i="1"/>
  <c r="M2154" i="1"/>
  <c r="M2155" i="1"/>
  <c r="M2156" i="1"/>
  <c r="M2157" i="1"/>
  <c r="M2158" i="1"/>
  <c r="M2159" i="1"/>
  <c r="M2160" i="1"/>
  <c r="M2161" i="1"/>
  <c r="M2162" i="1"/>
  <c r="M2163" i="1"/>
  <c r="M2164" i="1"/>
  <c r="M2165" i="1"/>
  <c r="M2166" i="1"/>
  <c r="M2167" i="1"/>
  <c r="M2168" i="1"/>
  <c r="M2169" i="1"/>
  <c r="M2170" i="1"/>
  <c r="M2171" i="1"/>
  <c r="M2172" i="1"/>
  <c r="M2173" i="1"/>
  <c r="M2174" i="1"/>
  <c r="M2175" i="1"/>
  <c r="M2176" i="1"/>
  <c r="M2177" i="1"/>
  <c r="M2178" i="1"/>
  <c r="M2179" i="1"/>
  <c r="M2180" i="1"/>
  <c r="M2181" i="1"/>
  <c r="M2182" i="1"/>
  <c r="M2183" i="1"/>
  <c r="M2184" i="1"/>
  <c r="M2185" i="1"/>
  <c r="M2186" i="1"/>
  <c r="M2187" i="1"/>
  <c r="M2188" i="1"/>
  <c r="M2189" i="1"/>
  <c r="M2190" i="1"/>
  <c r="M2191" i="1"/>
  <c r="M2192" i="1"/>
  <c r="M2193" i="1"/>
  <c r="M2194" i="1"/>
  <c r="M2195" i="1"/>
  <c r="M2196" i="1"/>
  <c r="M2197" i="1"/>
  <c r="M2198" i="1"/>
  <c r="M2199" i="1"/>
  <c r="M2200" i="1"/>
  <c r="M2201" i="1"/>
  <c r="M2202" i="1"/>
  <c r="M2203" i="1"/>
  <c r="M2204" i="1"/>
  <c r="M2205" i="1"/>
  <c r="M2206" i="1"/>
  <c r="M2207" i="1"/>
  <c r="M2208" i="1"/>
  <c r="M2209" i="1"/>
  <c r="M2210" i="1"/>
  <c r="M2211" i="1"/>
  <c r="M2212" i="1"/>
  <c r="M2213" i="1"/>
  <c r="M2214" i="1"/>
  <c r="M2215" i="1"/>
  <c r="M2216" i="1"/>
  <c r="M2217" i="1"/>
  <c r="M2218" i="1"/>
  <c r="M2219" i="1"/>
  <c r="M2220" i="1"/>
  <c r="M2221" i="1"/>
  <c r="M2222" i="1"/>
  <c r="M2223" i="1"/>
  <c r="M2224" i="1"/>
  <c r="M2225" i="1"/>
  <c r="M2226" i="1"/>
  <c r="M2227" i="1"/>
  <c r="M2228" i="1"/>
  <c r="M2229" i="1"/>
  <c r="M2230" i="1"/>
  <c r="M2231" i="1"/>
  <c r="M2232" i="1"/>
  <c r="M2233" i="1"/>
  <c r="M2234" i="1"/>
  <c r="M2235" i="1"/>
  <c r="M2236" i="1"/>
  <c r="M2237" i="1"/>
  <c r="M2238" i="1"/>
  <c r="M2239" i="1"/>
  <c r="M2240" i="1"/>
  <c r="M2241" i="1"/>
  <c r="M2242" i="1"/>
  <c r="M2243" i="1"/>
  <c r="M2244" i="1"/>
  <c r="M2245" i="1"/>
  <c r="M2246" i="1"/>
  <c r="M2247" i="1"/>
  <c r="M2248" i="1"/>
  <c r="M2249" i="1"/>
  <c r="M2250" i="1"/>
  <c r="M2251" i="1"/>
  <c r="M2252" i="1"/>
  <c r="M2253" i="1"/>
  <c r="M2254" i="1"/>
  <c r="M2255" i="1"/>
  <c r="M2256" i="1"/>
  <c r="M2257" i="1"/>
  <c r="M2258" i="1"/>
  <c r="M2259" i="1"/>
  <c r="M2260" i="1"/>
  <c r="M2261" i="1"/>
  <c r="M2262" i="1"/>
  <c r="M2263" i="1"/>
  <c r="M2264" i="1"/>
  <c r="M2265" i="1"/>
  <c r="M2266" i="1"/>
  <c r="M2267" i="1"/>
  <c r="M2268" i="1"/>
  <c r="M2269" i="1"/>
  <c r="M2270" i="1"/>
  <c r="M2271" i="1"/>
  <c r="M2272" i="1"/>
  <c r="M2273" i="1"/>
  <c r="M2274" i="1"/>
  <c r="M2275" i="1"/>
  <c r="M2276" i="1"/>
  <c r="M2277" i="1"/>
  <c r="M2278" i="1"/>
  <c r="M2279" i="1"/>
  <c r="M2280" i="1"/>
  <c r="M2281" i="1"/>
  <c r="M2282" i="1"/>
  <c r="M2283" i="1"/>
  <c r="M2284" i="1"/>
  <c r="M2285" i="1"/>
  <c r="M2286" i="1"/>
  <c r="M2287" i="1"/>
  <c r="M2288" i="1"/>
  <c r="M2289" i="1"/>
  <c r="M2290" i="1"/>
  <c r="M2291" i="1"/>
  <c r="M2292" i="1"/>
  <c r="M2293" i="1"/>
  <c r="M2294" i="1"/>
  <c r="M2295" i="1"/>
  <c r="M2296" i="1"/>
  <c r="M2297" i="1"/>
  <c r="M2298" i="1"/>
  <c r="M2299" i="1"/>
  <c r="M2300" i="1"/>
  <c r="M2301" i="1"/>
  <c r="M2302" i="1"/>
  <c r="M2303" i="1"/>
  <c r="M2304" i="1"/>
  <c r="M2305" i="1"/>
  <c r="M2306" i="1"/>
  <c r="M2307" i="1"/>
  <c r="M2308" i="1"/>
  <c r="M2309" i="1"/>
  <c r="M2310" i="1"/>
  <c r="M2311" i="1"/>
  <c r="M2312" i="1"/>
  <c r="M2313" i="1"/>
  <c r="M2314" i="1"/>
  <c r="M2315" i="1"/>
  <c r="M2316" i="1"/>
  <c r="M2317" i="1"/>
  <c r="M2318" i="1"/>
  <c r="M2319" i="1"/>
  <c r="M2320" i="1"/>
  <c r="M2321" i="1"/>
  <c r="M2322" i="1"/>
  <c r="M2323" i="1"/>
  <c r="M2324" i="1"/>
  <c r="M2325" i="1"/>
  <c r="M2326" i="1"/>
  <c r="M2327" i="1"/>
  <c r="M2328" i="1"/>
  <c r="M2329" i="1"/>
  <c r="M2330" i="1"/>
  <c r="M2331" i="1"/>
  <c r="M2332" i="1"/>
  <c r="M2333" i="1"/>
  <c r="M2334" i="1"/>
  <c r="M2335" i="1"/>
  <c r="M2336" i="1"/>
  <c r="M2337" i="1"/>
  <c r="M2338" i="1"/>
  <c r="M2339" i="1"/>
  <c r="M2340" i="1"/>
  <c r="M2341" i="1"/>
  <c r="M2342" i="1"/>
  <c r="M2343" i="1"/>
  <c r="M2344" i="1"/>
  <c r="M2345" i="1"/>
  <c r="M2346" i="1"/>
  <c r="M2347" i="1"/>
  <c r="M2348" i="1"/>
  <c r="M2349" i="1"/>
  <c r="M2350" i="1"/>
  <c r="M2351" i="1"/>
  <c r="M2352" i="1"/>
  <c r="M2353" i="1"/>
  <c r="M2354" i="1"/>
  <c r="M2355" i="1"/>
  <c r="M2356" i="1"/>
  <c r="M2357" i="1"/>
  <c r="M2358" i="1"/>
  <c r="M2359" i="1"/>
  <c r="M2360" i="1"/>
  <c r="M2361" i="1"/>
  <c r="M2362" i="1"/>
  <c r="M2363" i="1"/>
  <c r="M2364" i="1"/>
  <c r="M2365" i="1"/>
  <c r="M2366" i="1"/>
  <c r="M2367" i="1"/>
  <c r="M2368" i="1"/>
  <c r="M2369" i="1"/>
  <c r="M2370" i="1"/>
  <c r="M2371" i="1"/>
  <c r="M2372" i="1"/>
  <c r="M2373" i="1"/>
  <c r="M2374" i="1"/>
  <c r="M2375" i="1"/>
  <c r="M2376" i="1"/>
  <c r="M2377" i="1"/>
  <c r="M2378" i="1"/>
  <c r="M2379" i="1"/>
  <c r="M2380" i="1"/>
  <c r="M2381" i="1"/>
  <c r="M2382" i="1"/>
  <c r="M2383" i="1"/>
  <c r="M2384" i="1"/>
  <c r="M2385" i="1"/>
  <c r="M2386" i="1"/>
  <c r="M2387" i="1"/>
  <c r="M2388" i="1"/>
  <c r="M2389" i="1"/>
  <c r="M2390" i="1"/>
  <c r="M2391" i="1"/>
  <c r="M2392" i="1"/>
  <c r="M2393" i="1"/>
  <c r="M2394" i="1"/>
  <c r="M2395" i="1"/>
  <c r="M2396" i="1"/>
  <c r="M2397" i="1"/>
  <c r="M2398" i="1"/>
  <c r="M2399" i="1"/>
  <c r="M2400" i="1"/>
  <c r="M2401" i="1"/>
  <c r="M2402" i="1"/>
  <c r="M2403" i="1"/>
  <c r="M2404" i="1"/>
  <c r="M2405" i="1"/>
  <c r="M2406" i="1"/>
  <c r="M2407" i="1"/>
  <c r="M2408" i="1"/>
  <c r="M2409" i="1"/>
  <c r="M2410" i="1"/>
  <c r="M2411" i="1"/>
  <c r="M2412" i="1"/>
  <c r="M2413" i="1"/>
  <c r="M2414" i="1"/>
  <c r="M2415" i="1"/>
  <c r="M2416" i="1"/>
  <c r="M2417" i="1"/>
  <c r="M2418" i="1"/>
  <c r="M2419" i="1"/>
  <c r="M2420" i="1"/>
  <c r="M2421" i="1"/>
  <c r="M2422" i="1"/>
  <c r="M2423" i="1"/>
  <c r="M2424" i="1"/>
  <c r="M2425" i="1"/>
  <c r="M2426" i="1"/>
  <c r="M2427" i="1"/>
  <c r="M2428" i="1"/>
  <c r="M2429" i="1"/>
  <c r="M2430" i="1"/>
  <c r="M2431" i="1"/>
  <c r="M2432" i="1"/>
  <c r="M2433" i="1"/>
  <c r="M2434" i="1"/>
  <c r="M2435" i="1"/>
  <c r="M2436" i="1"/>
  <c r="M2437" i="1"/>
  <c r="M2438" i="1"/>
  <c r="M2439" i="1"/>
  <c r="M2440" i="1"/>
  <c r="M2441" i="1"/>
  <c r="M2442" i="1"/>
  <c r="M2443" i="1"/>
  <c r="M2444" i="1"/>
  <c r="M2445" i="1"/>
  <c r="M2446" i="1"/>
  <c r="M2447" i="1"/>
  <c r="M2448" i="1"/>
  <c r="M2449" i="1"/>
  <c r="M2450" i="1"/>
  <c r="M2451" i="1"/>
  <c r="M2452" i="1"/>
  <c r="M2453" i="1"/>
  <c r="M2454" i="1"/>
  <c r="M2455" i="1"/>
  <c r="M2456" i="1"/>
  <c r="M2457" i="1"/>
  <c r="M2458" i="1"/>
  <c r="M2459" i="1"/>
  <c r="M2460" i="1"/>
  <c r="M2461" i="1"/>
  <c r="M2462" i="1"/>
  <c r="M2463" i="1"/>
  <c r="M2464" i="1"/>
  <c r="M2465" i="1"/>
  <c r="M2466" i="1"/>
  <c r="M2467" i="1"/>
  <c r="M2468" i="1"/>
  <c r="M2469" i="1"/>
  <c r="M2470" i="1"/>
  <c r="M2471" i="1"/>
  <c r="M2472" i="1"/>
  <c r="M2473" i="1"/>
  <c r="M2474" i="1"/>
  <c r="M2475" i="1"/>
  <c r="M2476" i="1"/>
  <c r="M2477" i="1"/>
  <c r="M2478" i="1"/>
  <c r="M2479" i="1"/>
  <c r="M2480" i="1"/>
  <c r="M2481" i="1"/>
  <c r="M2482" i="1"/>
  <c r="M2483" i="1"/>
  <c r="M2484" i="1"/>
  <c r="M2485" i="1"/>
  <c r="M2486" i="1"/>
  <c r="M2487" i="1"/>
  <c r="M2488" i="1"/>
  <c r="M2489" i="1"/>
  <c r="M2490" i="1"/>
  <c r="M2491" i="1"/>
  <c r="M2492" i="1"/>
  <c r="M2493" i="1"/>
  <c r="M2494" i="1"/>
  <c r="M2495" i="1"/>
  <c r="M2496" i="1"/>
  <c r="M2497" i="1"/>
  <c r="M2498" i="1"/>
  <c r="M2499" i="1"/>
  <c r="M2500" i="1"/>
  <c r="M2501" i="1"/>
  <c r="M2502" i="1"/>
  <c r="M2503" i="1"/>
  <c r="M2504" i="1"/>
  <c r="M2505" i="1"/>
  <c r="M2506" i="1"/>
  <c r="M2507" i="1"/>
  <c r="M2508" i="1"/>
  <c r="M2509" i="1"/>
  <c r="M2510" i="1"/>
  <c r="M2511" i="1"/>
  <c r="M2512" i="1"/>
  <c r="M2513" i="1"/>
  <c r="M2514" i="1"/>
  <c r="M2515" i="1"/>
  <c r="M2516" i="1"/>
  <c r="M2517" i="1"/>
  <c r="M2518" i="1"/>
  <c r="M2519" i="1"/>
  <c r="M2520" i="1"/>
  <c r="M2521" i="1"/>
  <c r="M2522" i="1"/>
  <c r="M2523" i="1"/>
  <c r="M2524" i="1"/>
  <c r="M2525" i="1"/>
  <c r="M2526" i="1"/>
  <c r="M2527" i="1"/>
  <c r="M2528" i="1"/>
  <c r="M2529" i="1"/>
  <c r="M2530" i="1"/>
  <c r="M2531" i="1"/>
  <c r="M2532" i="1"/>
  <c r="M2533" i="1"/>
  <c r="M2534" i="1"/>
  <c r="M2535" i="1"/>
  <c r="M2536" i="1"/>
  <c r="M2537" i="1"/>
  <c r="M2538" i="1"/>
  <c r="M2539" i="1"/>
  <c r="M2540" i="1"/>
  <c r="M2541" i="1"/>
  <c r="M2542" i="1"/>
  <c r="M2543" i="1"/>
  <c r="M2544" i="1"/>
  <c r="M2545" i="1"/>
  <c r="M2546" i="1"/>
  <c r="M2547" i="1"/>
  <c r="M2548" i="1"/>
  <c r="M2549" i="1"/>
  <c r="M2550" i="1"/>
  <c r="M2551" i="1"/>
  <c r="M2552" i="1"/>
  <c r="M2553" i="1"/>
  <c r="M2554" i="1"/>
  <c r="M2555" i="1"/>
  <c r="M2556" i="1"/>
  <c r="M2557" i="1"/>
  <c r="M2558" i="1"/>
  <c r="M2559" i="1"/>
  <c r="M2560" i="1"/>
  <c r="M2561" i="1"/>
  <c r="M2562" i="1"/>
  <c r="M2563" i="1"/>
  <c r="M2564" i="1"/>
  <c r="M2565" i="1"/>
  <c r="M2566" i="1"/>
  <c r="M2567" i="1"/>
  <c r="M2568" i="1"/>
  <c r="M2569" i="1"/>
  <c r="M2570" i="1"/>
  <c r="M2571" i="1"/>
  <c r="M2572" i="1"/>
  <c r="M2573" i="1"/>
  <c r="M2574" i="1"/>
  <c r="M2575" i="1"/>
  <c r="M2576" i="1"/>
  <c r="M2577" i="1"/>
  <c r="M2578" i="1"/>
  <c r="M2579" i="1"/>
  <c r="M2580" i="1"/>
  <c r="M2581" i="1"/>
  <c r="M2582" i="1"/>
  <c r="M2583" i="1"/>
  <c r="M2584" i="1"/>
  <c r="M2585" i="1"/>
  <c r="M2586" i="1"/>
  <c r="M2587" i="1"/>
  <c r="M2588" i="1"/>
  <c r="M2589" i="1"/>
  <c r="M2590" i="1"/>
  <c r="M2591" i="1"/>
  <c r="M2592" i="1"/>
  <c r="M2593" i="1"/>
  <c r="M2594" i="1"/>
  <c r="M2595" i="1"/>
  <c r="M2596" i="1"/>
  <c r="M2597" i="1"/>
  <c r="M2598" i="1"/>
  <c r="M2599" i="1"/>
  <c r="M2600" i="1"/>
  <c r="M2601" i="1"/>
  <c r="M2602" i="1"/>
  <c r="M2603" i="1"/>
  <c r="M2604" i="1"/>
  <c r="M2605" i="1"/>
  <c r="M2606" i="1"/>
  <c r="M2607" i="1"/>
  <c r="M2608" i="1"/>
  <c r="M2609" i="1"/>
  <c r="M2610" i="1"/>
  <c r="M2611" i="1"/>
  <c r="M2612" i="1"/>
  <c r="M2613" i="1"/>
  <c r="M2614" i="1"/>
  <c r="M2615" i="1"/>
  <c r="M2616" i="1"/>
  <c r="M2617" i="1"/>
  <c r="M2618" i="1"/>
  <c r="M2619" i="1"/>
  <c r="M2620" i="1"/>
  <c r="M2621" i="1"/>
  <c r="M2622" i="1"/>
  <c r="M2623" i="1"/>
  <c r="M2624" i="1"/>
  <c r="M2625" i="1"/>
  <c r="M2626" i="1"/>
  <c r="M2627" i="1"/>
  <c r="M2628" i="1"/>
  <c r="M2629" i="1"/>
  <c r="M2630" i="1"/>
  <c r="M2631" i="1"/>
  <c r="M2632" i="1"/>
  <c r="M2633" i="1"/>
  <c r="M2634" i="1"/>
  <c r="M2635" i="1"/>
  <c r="M2636" i="1"/>
  <c r="M2637" i="1"/>
  <c r="M2638" i="1"/>
  <c r="M2639" i="1"/>
  <c r="M2640" i="1"/>
  <c r="M2641" i="1"/>
  <c r="M2642" i="1"/>
  <c r="M2643" i="1"/>
  <c r="M2644" i="1"/>
  <c r="M2645" i="1"/>
  <c r="M2646" i="1"/>
  <c r="M2647" i="1"/>
  <c r="M2648" i="1"/>
  <c r="M2649" i="1"/>
  <c r="M2650" i="1"/>
  <c r="M2651" i="1"/>
  <c r="M2652" i="1"/>
  <c r="M2653" i="1"/>
  <c r="M2654" i="1"/>
  <c r="M2655" i="1"/>
  <c r="M2656" i="1"/>
  <c r="M2657" i="1"/>
  <c r="M2658" i="1"/>
  <c r="M2659" i="1"/>
  <c r="M2660" i="1"/>
  <c r="M2661" i="1"/>
  <c r="M2662" i="1"/>
  <c r="M2663" i="1"/>
  <c r="M2664" i="1"/>
  <c r="M2665" i="1"/>
  <c r="M2666" i="1"/>
  <c r="M2667" i="1"/>
  <c r="M2668" i="1"/>
  <c r="M2669" i="1"/>
  <c r="M2670" i="1"/>
  <c r="M2671" i="1"/>
  <c r="M2672" i="1"/>
  <c r="M2673" i="1"/>
  <c r="M2674" i="1"/>
  <c r="M2675" i="1"/>
  <c r="M2676" i="1"/>
  <c r="M2677" i="1"/>
  <c r="M2678" i="1"/>
  <c r="M2679" i="1"/>
  <c r="M2680" i="1"/>
  <c r="M2681" i="1"/>
  <c r="M2682" i="1"/>
  <c r="M2683" i="1"/>
  <c r="M2684" i="1"/>
  <c r="M2685" i="1"/>
  <c r="M2686" i="1"/>
  <c r="M2687" i="1"/>
  <c r="M2688" i="1"/>
  <c r="M2689" i="1"/>
  <c r="M2690" i="1"/>
  <c r="M2691" i="1"/>
  <c r="M2692" i="1"/>
  <c r="M2693" i="1"/>
  <c r="M2694" i="1"/>
  <c r="M2695" i="1"/>
  <c r="M2696" i="1"/>
  <c r="M2697" i="1"/>
  <c r="M2698" i="1"/>
  <c r="M2699" i="1"/>
  <c r="M2700" i="1"/>
  <c r="M2701" i="1"/>
  <c r="M2702" i="1"/>
  <c r="M2703" i="1"/>
  <c r="M2704" i="1"/>
  <c r="M2705" i="1"/>
  <c r="M2706" i="1"/>
  <c r="M2707" i="1"/>
  <c r="M2708" i="1"/>
  <c r="M2709" i="1"/>
  <c r="M2710" i="1"/>
  <c r="M2711" i="1"/>
  <c r="M2712" i="1"/>
  <c r="M2713" i="1"/>
  <c r="M2714" i="1"/>
  <c r="M2715" i="1"/>
  <c r="M2716" i="1"/>
  <c r="M2717" i="1"/>
  <c r="M2718" i="1"/>
  <c r="M2719" i="1"/>
  <c r="M2720" i="1"/>
  <c r="M2721" i="1"/>
  <c r="M2722" i="1"/>
  <c r="M2723" i="1"/>
  <c r="M2724" i="1"/>
  <c r="M2725" i="1"/>
  <c r="M2726" i="1"/>
  <c r="M2727" i="1"/>
  <c r="M2728" i="1"/>
  <c r="M2729" i="1"/>
  <c r="M2730" i="1"/>
  <c r="M2731" i="1"/>
  <c r="M2732" i="1"/>
  <c r="M2733" i="1"/>
  <c r="M2734" i="1"/>
  <c r="M2735" i="1"/>
  <c r="M2736" i="1"/>
  <c r="M2737" i="1"/>
  <c r="M2738" i="1"/>
  <c r="M2739" i="1"/>
  <c r="M2740" i="1"/>
  <c r="M2741" i="1"/>
  <c r="M2742" i="1"/>
  <c r="M2743" i="1"/>
  <c r="M2744" i="1"/>
  <c r="M2745" i="1"/>
  <c r="M2746" i="1"/>
  <c r="M2747" i="1"/>
  <c r="M2748" i="1"/>
  <c r="M2749" i="1"/>
  <c r="M2750" i="1"/>
  <c r="M2751" i="1"/>
  <c r="M2752" i="1"/>
  <c r="M2753" i="1"/>
  <c r="M2754" i="1"/>
  <c r="M2755" i="1"/>
  <c r="M2756" i="1"/>
  <c r="M2757" i="1"/>
  <c r="M2758" i="1"/>
  <c r="M2759" i="1"/>
  <c r="M2760" i="1"/>
  <c r="M2761" i="1"/>
  <c r="M2762" i="1"/>
  <c r="M2763" i="1"/>
  <c r="M2764" i="1"/>
  <c r="M2765" i="1"/>
  <c r="M2766" i="1"/>
  <c r="M2767" i="1"/>
  <c r="M2768" i="1"/>
  <c r="M2769" i="1"/>
  <c r="M2770" i="1"/>
  <c r="M2771" i="1"/>
  <c r="M2772" i="1"/>
  <c r="M2773" i="1"/>
  <c r="M2774" i="1"/>
  <c r="M2775" i="1"/>
  <c r="M2776" i="1"/>
  <c r="M2777" i="1"/>
  <c r="M2778" i="1"/>
  <c r="M2779" i="1"/>
  <c r="M2780" i="1"/>
  <c r="M2781" i="1"/>
  <c r="M2782" i="1"/>
  <c r="M2783" i="1"/>
  <c r="M2784" i="1"/>
  <c r="M2785" i="1"/>
  <c r="M2786" i="1"/>
  <c r="M2787" i="1"/>
  <c r="M2788" i="1"/>
  <c r="M2789" i="1"/>
  <c r="M2790" i="1"/>
  <c r="M2791" i="1"/>
  <c r="M2792" i="1"/>
  <c r="M2793" i="1"/>
  <c r="M2794" i="1"/>
  <c r="M2795" i="1"/>
  <c r="M2796" i="1"/>
  <c r="M2797" i="1"/>
  <c r="M2798" i="1"/>
  <c r="M2799" i="1"/>
  <c r="M2800" i="1"/>
  <c r="M2801" i="1"/>
  <c r="M2802" i="1"/>
  <c r="M2803" i="1"/>
  <c r="M2804" i="1"/>
  <c r="M2805" i="1"/>
  <c r="M2806" i="1"/>
  <c r="M2807" i="1"/>
  <c r="M2808" i="1"/>
  <c r="M2809" i="1"/>
  <c r="M2810" i="1"/>
  <c r="M2811" i="1"/>
  <c r="M2812" i="1"/>
  <c r="M2813" i="1"/>
  <c r="M2814" i="1"/>
  <c r="M2815" i="1"/>
  <c r="M2816" i="1"/>
  <c r="M2817" i="1"/>
  <c r="M2818" i="1"/>
  <c r="M2819" i="1"/>
  <c r="M2820" i="1"/>
  <c r="M2821" i="1"/>
  <c r="M2822" i="1"/>
  <c r="M2823" i="1"/>
  <c r="M2824" i="1"/>
  <c r="M2825" i="1"/>
  <c r="M2826" i="1"/>
  <c r="M2827" i="1"/>
  <c r="M2828" i="1"/>
  <c r="M2829" i="1"/>
  <c r="M2830" i="1"/>
  <c r="M2831" i="1"/>
  <c r="M2832" i="1"/>
  <c r="M2833" i="1"/>
  <c r="M2834" i="1"/>
  <c r="M2835" i="1"/>
  <c r="M2836" i="1"/>
  <c r="M2837" i="1"/>
  <c r="M2838" i="1"/>
  <c r="M2839" i="1"/>
  <c r="M2840" i="1"/>
  <c r="M2841" i="1"/>
  <c r="M2842" i="1"/>
  <c r="M2843" i="1"/>
  <c r="M2844" i="1"/>
  <c r="M2845" i="1"/>
  <c r="M2846" i="1"/>
  <c r="M2847" i="1"/>
  <c r="M2848" i="1"/>
  <c r="M2849" i="1"/>
  <c r="M2850" i="1"/>
  <c r="M2851" i="1"/>
  <c r="M2852" i="1"/>
  <c r="M2853" i="1"/>
  <c r="M2854" i="1"/>
  <c r="M2855" i="1"/>
  <c r="M2856" i="1"/>
  <c r="M2857" i="1"/>
  <c r="M2858" i="1"/>
  <c r="M2859" i="1"/>
  <c r="M2860" i="1"/>
  <c r="M2861" i="1"/>
  <c r="M2862" i="1"/>
  <c r="M2863" i="1"/>
  <c r="M2864" i="1"/>
  <c r="M2865" i="1"/>
  <c r="M2866" i="1"/>
  <c r="M2867" i="1"/>
  <c r="M2868" i="1"/>
  <c r="M2869" i="1"/>
  <c r="M2870" i="1"/>
  <c r="M2871" i="1"/>
  <c r="M2872" i="1"/>
  <c r="M2873" i="1"/>
  <c r="M2874" i="1"/>
  <c r="M2875" i="1"/>
  <c r="M2876" i="1"/>
  <c r="M2877" i="1"/>
  <c r="M2878" i="1"/>
  <c r="M2879" i="1"/>
  <c r="M2880" i="1"/>
  <c r="M2881" i="1"/>
  <c r="M2882" i="1"/>
  <c r="M2883" i="1"/>
  <c r="M2884" i="1"/>
  <c r="M2885" i="1"/>
  <c r="M2886" i="1"/>
  <c r="M2887" i="1"/>
  <c r="M2888" i="1"/>
  <c r="M2889" i="1"/>
  <c r="M2890" i="1"/>
  <c r="M2891" i="1"/>
  <c r="M2892" i="1"/>
  <c r="M2893" i="1"/>
  <c r="M2894" i="1"/>
  <c r="M2895" i="1"/>
  <c r="M2896" i="1"/>
  <c r="M2897" i="1"/>
  <c r="M2898" i="1"/>
  <c r="M2899" i="1"/>
  <c r="M2900" i="1"/>
  <c r="M2901" i="1"/>
  <c r="M2902" i="1"/>
  <c r="M2903" i="1"/>
  <c r="M2904" i="1"/>
  <c r="M2905" i="1"/>
  <c r="M2906" i="1"/>
  <c r="M2907" i="1"/>
  <c r="M2908" i="1"/>
  <c r="M2909" i="1"/>
  <c r="M2910" i="1"/>
  <c r="M2911" i="1"/>
  <c r="M2912" i="1"/>
  <c r="M2913" i="1"/>
  <c r="M2914" i="1"/>
  <c r="M2915" i="1"/>
  <c r="M2916" i="1"/>
  <c r="M2917" i="1"/>
  <c r="M2918" i="1"/>
  <c r="M2919" i="1"/>
  <c r="M2920" i="1"/>
  <c r="M2921" i="1"/>
  <c r="M2922" i="1"/>
  <c r="M2923" i="1"/>
  <c r="M2924" i="1"/>
  <c r="M2925" i="1"/>
  <c r="M2926" i="1"/>
  <c r="M2927" i="1"/>
  <c r="M2928" i="1"/>
  <c r="M2929" i="1"/>
  <c r="M2930" i="1"/>
  <c r="M2931" i="1"/>
  <c r="M2932" i="1"/>
  <c r="M2933" i="1"/>
  <c r="M2934" i="1"/>
  <c r="M2935" i="1"/>
  <c r="M2936" i="1"/>
  <c r="M2937" i="1"/>
  <c r="M2938" i="1"/>
  <c r="M2939" i="1"/>
  <c r="M2940" i="1"/>
  <c r="M2941" i="1"/>
  <c r="M2942" i="1"/>
  <c r="M2943" i="1"/>
  <c r="M2944" i="1"/>
  <c r="M2945" i="1"/>
  <c r="M2946" i="1"/>
  <c r="M2947" i="1"/>
  <c r="M2948" i="1"/>
  <c r="M2949" i="1"/>
  <c r="M2950" i="1"/>
  <c r="M2951" i="1"/>
  <c r="M2952" i="1"/>
  <c r="M2953" i="1"/>
  <c r="M2954" i="1"/>
  <c r="M2955" i="1"/>
  <c r="M2956" i="1"/>
  <c r="M2957" i="1"/>
  <c r="M2958" i="1"/>
  <c r="M2959" i="1"/>
  <c r="M2960" i="1"/>
  <c r="M2961" i="1"/>
  <c r="M2962" i="1"/>
  <c r="M2963" i="1"/>
  <c r="M2964" i="1"/>
  <c r="M2965" i="1"/>
  <c r="M2966" i="1"/>
  <c r="M2967" i="1"/>
  <c r="M2968" i="1"/>
  <c r="M2969" i="1"/>
  <c r="M2970" i="1"/>
  <c r="M2971" i="1"/>
  <c r="M2972" i="1"/>
  <c r="M2973" i="1"/>
  <c r="M2974" i="1"/>
  <c r="M2975" i="1"/>
  <c r="M2976" i="1"/>
  <c r="M2977" i="1"/>
  <c r="M2978" i="1"/>
  <c r="M2979" i="1"/>
  <c r="M2980" i="1"/>
  <c r="M2981" i="1"/>
  <c r="M2982" i="1"/>
  <c r="M2983" i="1"/>
  <c r="M2984" i="1"/>
  <c r="M2985" i="1"/>
  <c r="M2986" i="1"/>
  <c r="M2987" i="1"/>
  <c r="M2988" i="1"/>
  <c r="M2989" i="1"/>
  <c r="M2990" i="1"/>
  <c r="M2991" i="1"/>
  <c r="M2992" i="1"/>
  <c r="M2993" i="1"/>
  <c r="M2994" i="1"/>
  <c r="M2995" i="1"/>
  <c r="M2996" i="1"/>
  <c r="M2997" i="1"/>
  <c r="M2998" i="1"/>
  <c r="M2999" i="1"/>
  <c r="M3000" i="1"/>
  <c r="M3001" i="1"/>
  <c r="M3002" i="1"/>
  <c r="M3003" i="1"/>
  <c r="M3004" i="1"/>
  <c r="M3005" i="1"/>
  <c r="M3006" i="1"/>
  <c r="M3007" i="1"/>
  <c r="M3008" i="1"/>
  <c r="M3009" i="1"/>
  <c r="M3010" i="1"/>
  <c r="M3011" i="1"/>
  <c r="M3012" i="1"/>
  <c r="M3013" i="1"/>
  <c r="M3014" i="1"/>
  <c r="M3015" i="1"/>
  <c r="M3016" i="1"/>
  <c r="M3017" i="1"/>
  <c r="M3018" i="1"/>
  <c r="M3019" i="1"/>
  <c r="M3020" i="1"/>
  <c r="M3021" i="1"/>
  <c r="M3022" i="1"/>
  <c r="M3023" i="1"/>
  <c r="M3024" i="1"/>
  <c r="M3025" i="1"/>
  <c r="M3026" i="1"/>
  <c r="M3027" i="1"/>
  <c r="M3028" i="1"/>
  <c r="M3029" i="1"/>
  <c r="M3030" i="1"/>
  <c r="M3031" i="1"/>
  <c r="M3032" i="1"/>
  <c r="M3033" i="1"/>
  <c r="M3034" i="1"/>
  <c r="M3035" i="1"/>
  <c r="M3036" i="1"/>
  <c r="M3037" i="1"/>
  <c r="M3038" i="1"/>
  <c r="M3039" i="1"/>
  <c r="M3040" i="1"/>
  <c r="M3041" i="1"/>
  <c r="M3042" i="1"/>
  <c r="M3043" i="1"/>
  <c r="M3044" i="1"/>
  <c r="M3045" i="1"/>
  <c r="M3046" i="1"/>
  <c r="M3047" i="1"/>
  <c r="M3048" i="1"/>
  <c r="M3049" i="1"/>
  <c r="M3050" i="1"/>
  <c r="M3051" i="1"/>
  <c r="M3052" i="1"/>
  <c r="M3053" i="1"/>
  <c r="M3054" i="1"/>
  <c r="M3055" i="1"/>
  <c r="M3056" i="1"/>
  <c r="M3057" i="1"/>
  <c r="M3058" i="1"/>
  <c r="M3059" i="1"/>
  <c r="M3060" i="1"/>
  <c r="M3061" i="1"/>
  <c r="M3062" i="1"/>
  <c r="M3063" i="1"/>
  <c r="M3064" i="1"/>
  <c r="M3065" i="1"/>
  <c r="M3066" i="1"/>
  <c r="M3067" i="1"/>
  <c r="M3068" i="1"/>
  <c r="M3069" i="1"/>
  <c r="M3070" i="1"/>
  <c r="M3071" i="1"/>
  <c r="M3072" i="1"/>
  <c r="M3073" i="1"/>
  <c r="M3074" i="1"/>
  <c r="M3075" i="1"/>
  <c r="M3076" i="1"/>
  <c r="M3077" i="1"/>
  <c r="M3078" i="1"/>
  <c r="M3079" i="1"/>
  <c r="M3080" i="1"/>
  <c r="M3081" i="1"/>
  <c r="M3082" i="1"/>
  <c r="M3083" i="1"/>
  <c r="M3084" i="1"/>
  <c r="M3085" i="1"/>
  <c r="M3086" i="1"/>
  <c r="M3087" i="1"/>
  <c r="M3088" i="1"/>
  <c r="M3089" i="1"/>
  <c r="M3090" i="1"/>
  <c r="M3091" i="1"/>
  <c r="M3092" i="1"/>
  <c r="M3093" i="1"/>
  <c r="M3094" i="1"/>
  <c r="M3095" i="1"/>
  <c r="M3096" i="1"/>
  <c r="M3097" i="1"/>
  <c r="M3098" i="1"/>
  <c r="M3099" i="1"/>
  <c r="M3100" i="1"/>
  <c r="M3101" i="1"/>
  <c r="M3102" i="1"/>
  <c r="M3103" i="1"/>
  <c r="M3104" i="1"/>
  <c r="M3105" i="1"/>
  <c r="M3106" i="1"/>
  <c r="M3107" i="1"/>
  <c r="M3108" i="1"/>
  <c r="M3109" i="1"/>
  <c r="M3110" i="1"/>
  <c r="M3111" i="1"/>
  <c r="M3112" i="1"/>
  <c r="M3113" i="1"/>
  <c r="M3114" i="1"/>
  <c r="M3115" i="1"/>
  <c r="M3116" i="1"/>
  <c r="M3117" i="1"/>
  <c r="M3118" i="1"/>
  <c r="M3119" i="1"/>
  <c r="M3120" i="1"/>
  <c r="M3121" i="1"/>
  <c r="M3122" i="1"/>
  <c r="M3123" i="1"/>
  <c r="M3124" i="1"/>
  <c r="M3125" i="1"/>
  <c r="M3126" i="1"/>
  <c r="M3127" i="1"/>
  <c r="M3128" i="1"/>
  <c r="M3129" i="1"/>
  <c r="M3130" i="1"/>
  <c r="M3131" i="1"/>
  <c r="M3132" i="1"/>
  <c r="M3133" i="1"/>
  <c r="M3134" i="1"/>
  <c r="M3135" i="1"/>
  <c r="M3136" i="1"/>
  <c r="M3137" i="1"/>
  <c r="M3138" i="1"/>
  <c r="M3139" i="1"/>
  <c r="M3140" i="1"/>
  <c r="M3141" i="1"/>
  <c r="M3142" i="1"/>
  <c r="M3143" i="1"/>
  <c r="M3144" i="1"/>
  <c r="M3145" i="1"/>
  <c r="M3146" i="1"/>
  <c r="M3147" i="1"/>
  <c r="M3148" i="1"/>
  <c r="M3149" i="1"/>
  <c r="M3150" i="1"/>
  <c r="M3151" i="1"/>
  <c r="M3152" i="1"/>
  <c r="M3153" i="1"/>
  <c r="M3154" i="1"/>
  <c r="M3155" i="1"/>
  <c r="M2" i="1"/>
  <c r="G1994" i="1"/>
  <c r="N1994" i="1" s="1"/>
  <c r="G2152" i="1"/>
  <c r="N2152" i="1" s="1"/>
  <c r="G3041" i="1"/>
  <c r="N3041" i="1" s="1"/>
  <c r="G3099" i="1"/>
  <c r="N3099" i="1" s="1"/>
  <c r="G1192" i="1"/>
  <c r="N1192" i="1" s="1"/>
  <c r="N3119" i="1"/>
  <c r="N3120" i="1"/>
  <c r="N3121" i="1"/>
  <c r="N3122" i="1"/>
  <c r="N3123" i="1"/>
  <c r="N3124" i="1"/>
  <c r="N3125" i="1"/>
  <c r="N3126" i="1"/>
  <c r="N3127" i="1"/>
  <c r="N3128" i="1"/>
  <c r="N3129" i="1"/>
  <c r="N3130" i="1"/>
  <c r="N3131" i="1"/>
  <c r="N3132" i="1"/>
  <c r="N3133" i="1"/>
  <c r="N3134" i="1"/>
  <c r="N3135" i="1"/>
  <c r="N3136" i="1"/>
  <c r="N3137" i="1"/>
  <c r="N3138" i="1"/>
  <c r="N3139" i="1"/>
  <c r="N3140" i="1"/>
  <c r="N3141" i="1"/>
  <c r="N3142" i="1"/>
  <c r="N3143" i="1"/>
  <c r="N3144" i="1"/>
  <c r="N3145" i="1"/>
  <c r="N3146" i="1"/>
  <c r="N3147" i="1"/>
  <c r="N3148" i="1"/>
  <c r="N3149" i="1"/>
  <c r="N3150" i="1"/>
  <c r="N3151" i="1"/>
  <c r="N3152" i="1"/>
  <c r="N3153" i="1"/>
  <c r="N3154" i="1"/>
  <c r="N3155" i="1"/>
  <c r="N2905" i="1"/>
  <c r="N2906" i="1"/>
  <c r="N2907" i="1"/>
  <c r="N2908" i="1"/>
  <c r="N2909" i="1"/>
  <c r="N2910" i="1"/>
  <c r="N2911" i="1"/>
  <c r="N2912" i="1"/>
  <c r="N2913" i="1"/>
  <c r="N2914" i="1"/>
  <c r="N2915" i="1"/>
  <c r="N2916" i="1"/>
  <c r="N2917" i="1"/>
  <c r="N2918" i="1"/>
  <c r="N2919" i="1"/>
  <c r="N2920" i="1"/>
  <c r="N2921" i="1"/>
  <c r="N2922" i="1"/>
  <c r="N2923" i="1"/>
  <c r="N2924" i="1"/>
  <c r="N2925" i="1"/>
  <c r="N2926" i="1"/>
  <c r="N2927" i="1"/>
  <c r="N2928" i="1"/>
  <c r="N2929" i="1"/>
  <c r="N2930" i="1"/>
  <c r="N2931" i="1"/>
  <c r="N2932" i="1"/>
  <c r="N2933" i="1"/>
  <c r="N2934" i="1"/>
  <c r="N2935" i="1"/>
  <c r="N2936" i="1"/>
  <c r="N2937" i="1"/>
  <c r="N2938" i="1"/>
  <c r="N2939" i="1"/>
  <c r="N2940" i="1"/>
  <c r="N2941" i="1"/>
  <c r="N2942" i="1"/>
  <c r="N2943" i="1"/>
  <c r="N2944" i="1"/>
  <c r="N2945" i="1"/>
  <c r="N2946" i="1"/>
  <c r="N2947" i="1"/>
  <c r="N2948" i="1"/>
  <c r="N2949" i="1"/>
  <c r="N2950" i="1"/>
  <c r="N2951" i="1"/>
  <c r="N2952" i="1"/>
  <c r="N2953" i="1"/>
  <c r="N2954" i="1"/>
  <c r="N2955" i="1"/>
  <c r="N2956" i="1"/>
  <c r="N2957" i="1"/>
  <c r="N2958" i="1"/>
  <c r="N2959" i="1"/>
  <c r="N2960" i="1"/>
  <c r="N2961" i="1"/>
  <c r="N2962" i="1"/>
  <c r="N2963" i="1"/>
  <c r="N2964" i="1"/>
  <c r="N2965" i="1"/>
  <c r="N2966" i="1"/>
  <c r="N2967" i="1"/>
  <c r="N2968" i="1"/>
  <c r="N2969" i="1"/>
  <c r="N2970" i="1"/>
  <c r="N2971" i="1"/>
  <c r="N2972" i="1"/>
  <c r="N2973" i="1"/>
  <c r="N2974" i="1"/>
  <c r="N2975" i="1"/>
  <c r="N2976" i="1"/>
  <c r="N2977" i="1"/>
  <c r="N2978" i="1"/>
  <c r="N2979" i="1"/>
  <c r="N2980" i="1"/>
  <c r="N2981" i="1"/>
  <c r="N2982" i="1"/>
  <c r="N2983" i="1"/>
  <c r="N2984" i="1"/>
  <c r="N2985" i="1"/>
  <c r="N2986" i="1"/>
  <c r="N2987" i="1"/>
  <c r="N2988" i="1"/>
  <c r="N2989" i="1"/>
  <c r="N2990" i="1"/>
  <c r="N2991" i="1"/>
  <c r="N2992" i="1"/>
  <c r="N2993" i="1"/>
  <c r="N2994" i="1"/>
  <c r="N2995" i="1"/>
  <c r="N2996" i="1"/>
  <c r="N2997" i="1"/>
  <c r="N2998" i="1"/>
  <c r="N2999" i="1"/>
  <c r="N3000" i="1"/>
  <c r="N3001" i="1"/>
  <c r="N3002" i="1"/>
  <c r="N3003" i="1"/>
  <c r="N3004" i="1"/>
  <c r="N3005" i="1"/>
  <c r="N3006" i="1"/>
  <c r="N3007" i="1"/>
  <c r="N3008" i="1"/>
  <c r="N3009" i="1"/>
  <c r="N3010" i="1"/>
  <c r="N3011" i="1"/>
  <c r="N3012" i="1"/>
  <c r="N3013" i="1"/>
  <c r="N3014" i="1"/>
  <c r="N3015" i="1"/>
  <c r="N3016" i="1"/>
  <c r="N3017" i="1"/>
  <c r="N3018" i="1"/>
  <c r="N3019" i="1"/>
  <c r="N3020" i="1"/>
  <c r="N3021" i="1"/>
  <c r="N3022" i="1"/>
  <c r="N3023" i="1"/>
  <c r="N3024" i="1"/>
  <c r="N3025" i="1"/>
  <c r="N3026" i="1"/>
  <c r="N3027" i="1"/>
  <c r="N3028" i="1"/>
  <c r="N3029" i="1"/>
  <c r="N3030" i="1"/>
  <c r="N3031" i="1"/>
  <c r="N3032" i="1"/>
  <c r="N3033" i="1"/>
  <c r="N3034" i="1"/>
  <c r="N3035" i="1"/>
  <c r="N3036" i="1"/>
  <c r="N3037" i="1"/>
  <c r="N3038" i="1"/>
  <c r="N3039" i="1"/>
  <c r="N3040" i="1"/>
  <c r="N3042" i="1"/>
  <c r="N3043" i="1"/>
  <c r="N3044" i="1"/>
  <c r="N3045" i="1"/>
  <c r="N3046" i="1"/>
  <c r="N3047" i="1"/>
  <c r="N3048" i="1"/>
  <c r="N3049" i="1"/>
  <c r="N3050" i="1"/>
  <c r="N3051" i="1"/>
  <c r="N3052" i="1"/>
  <c r="N3053" i="1"/>
  <c r="N3054" i="1"/>
  <c r="N3055" i="1"/>
  <c r="N3056" i="1"/>
  <c r="N3057" i="1"/>
  <c r="N3058" i="1"/>
  <c r="N3059" i="1"/>
  <c r="N3060" i="1"/>
  <c r="N3061" i="1"/>
  <c r="N3062" i="1"/>
  <c r="N3063" i="1"/>
  <c r="N3064" i="1"/>
  <c r="N3065" i="1"/>
  <c r="N3066" i="1"/>
  <c r="N3067" i="1"/>
  <c r="N3068" i="1"/>
  <c r="N3069" i="1"/>
  <c r="N3070" i="1"/>
  <c r="N3071" i="1"/>
  <c r="N3072" i="1"/>
  <c r="N3073" i="1"/>
  <c r="N3074" i="1"/>
  <c r="N3075" i="1"/>
  <c r="N3076" i="1"/>
  <c r="N3077" i="1"/>
  <c r="N3078" i="1"/>
  <c r="N3079" i="1"/>
  <c r="N3080" i="1"/>
  <c r="N3081" i="1"/>
  <c r="N3082" i="1"/>
  <c r="N3083" i="1"/>
  <c r="N3084" i="1"/>
  <c r="N3085" i="1"/>
  <c r="N3086" i="1"/>
  <c r="N3087" i="1"/>
  <c r="N3088" i="1"/>
  <c r="N3089" i="1"/>
  <c r="N3090" i="1"/>
  <c r="N3091" i="1"/>
  <c r="N3092" i="1"/>
  <c r="N3093" i="1"/>
  <c r="N3094" i="1"/>
  <c r="N3095" i="1"/>
  <c r="N3096" i="1"/>
  <c r="N3097" i="1"/>
  <c r="N3098" i="1"/>
  <c r="N3100" i="1"/>
  <c r="N3101" i="1"/>
  <c r="N3102" i="1"/>
  <c r="N3103" i="1"/>
  <c r="N3104" i="1"/>
  <c r="N3105" i="1"/>
  <c r="N3106" i="1"/>
  <c r="N3107" i="1"/>
  <c r="N3108" i="1"/>
  <c r="N3109" i="1"/>
  <c r="N3110" i="1"/>
  <c r="N3111" i="1"/>
  <c r="N3112" i="1"/>
  <c r="N3113" i="1"/>
  <c r="N3114" i="1"/>
  <c r="N3115" i="1"/>
  <c r="N3116" i="1"/>
  <c r="N3117" i="1"/>
  <c r="N1311" i="1"/>
  <c r="N1312" i="1"/>
  <c r="N1313" i="1"/>
  <c r="N1314" i="1"/>
  <c r="N1315" i="1"/>
  <c r="N1316" i="1"/>
  <c r="N1317" i="1"/>
  <c r="N1318" i="1"/>
  <c r="N1319" i="1"/>
  <c r="N1320" i="1"/>
  <c r="N1321" i="1"/>
  <c r="N1322" i="1"/>
  <c r="N1323" i="1"/>
  <c r="N1324" i="1"/>
  <c r="N1325" i="1"/>
  <c r="N1326" i="1"/>
  <c r="N1327" i="1"/>
  <c r="N1328" i="1"/>
  <c r="N1329" i="1"/>
  <c r="N1330" i="1"/>
  <c r="N1331" i="1"/>
  <c r="N1332" i="1"/>
  <c r="N1333" i="1"/>
  <c r="N1334" i="1"/>
  <c r="N1335" i="1"/>
  <c r="N1336" i="1"/>
  <c r="N1337" i="1"/>
  <c r="N1338" i="1"/>
  <c r="N1339" i="1"/>
  <c r="N1340" i="1"/>
  <c r="N1341" i="1"/>
  <c r="N1342" i="1"/>
  <c r="N1343" i="1"/>
  <c r="N1344" i="1"/>
  <c r="N1345" i="1"/>
  <c r="N1346" i="1"/>
  <c r="N1347" i="1"/>
  <c r="N1348" i="1"/>
  <c r="N1349" i="1"/>
  <c r="N1350" i="1"/>
  <c r="N1351" i="1"/>
  <c r="N1352" i="1"/>
  <c r="N1353" i="1"/>
  <c r="N1354" i="1"/>
  <c r="N1355" i="1"/>
  <c r="N1356" i="1"/>
  <c r="N1357" i="1"/>
  <c r="N1358" i="1"/>
  <c r="N1359" i="1"/>
  <c r="N1360" i="1"/>
  <c r="N1361" i="1"/>
  <c r="N1362" i="1"/>
  <c r="N1363" i="1"/>
  <c r="N1364" i="1"/>
  <c r="N1365" i="1"/>
  <c r="N1366" i="1"/>
  <c r="N1367" i="1"/>
  <c r="N1368" i="1"/>
  <c r="N1369" i="1"/>
  <c r="N1370" i="1"/>
  <c r="N1371" i="1"/>
  <c r="N1372" i="1"/>
  <c r="N1373" i="1"/>
  <c r="N1374" i="1"/>
  <c r="N1375" i="1"/>
  <c r="N1376" i="1"/>
  <c r="N1377" i="1"/>
  <c r="N1378" i="1"/>
  <c r="N1379" i="1"/>
  <c r="N1380" i="1"/>
  <c r="N1381" i="1"/>
  <c r="N1382" i="1"/>
  <c r="N1383" i="1"/>
  <c r="N1384" i="1"/>
  <c r="N1385" i="1"/>
  <c r="N1386" i="1"/>
  <c r="N1387" i="1"/>
  <c r="N1388" i="1"/>
  <c r="N1389" i="1"/>
  <c r="N1390" i="1"/>
  <c r="N1391" i="1"/>
  <c r="N1392" i="1"/>
  <c r="N1393" i="1"/>
  <c r="N1394" i="1"/>
  <c r="N1395" i="1"/>
  <c r="N1396" i="1"/>
  <c r="N1397" i="1"/>
  <c r="N1398" i="1"/>
  <c r="N1399" i="1"/>
  <c r="N1400" i="1"/>
  <c r="N1401" i="1"/>
  <c r="N1402" i="1"/>
  <c r="N1403" i="1"/>
  <c r="N1404" i="1"/>
  <c r="N1405" i="1"/>
  <c r="N1406" i="1"/>
  <c r="N1407" i="1"/>
  <c r="N1408" i="1"/>
  <c r="N1409" i="1"/>
  <c r="N1410" i="1"/>
  <c r="N1411" i="1"/>
  <c r="N1412" i="1"/>
  <c r="N1413" i="1"/>
  <c r="N1414" i="1"/>
  <c r="N1415" i="1"/>
  <c r="N1416" i="1"/>
  <c r="N1417" i="1"/>
  <c r="N1418" i="1"/>
  <c r="N1419" i="1"/>
  <c r="N1420" i="1"/>
  <c r="N1421" i="1"/>
  <c r="N1422" i="1"/>
  <c r="N1423" i="1"/>
  <c r="N1424" i="1"/>
  <c r="N1425" i="1"/>
  <c r="N1426" i="1"/>
  <c r="N1427" i="1"/>
  <c r="N1428" i="1"/>
  <c r="N1429" i="1"/>
  <c r="N1430" i="1"/>
  <c r="N1431" i="1"/>
  <c r="N1432" i="1"/>
  <c r="N1433" i="1"/>
  <c r="N1434" i="1"/>
  <c r="N1435" i="1"/>
  <c r="N1436" i="1"/>
  <c r="N1437" i="1"/>
  <c r="N1438" i="1"/>
  <c r="N1439" i="1"/>
  <c r="N1440" i="1"/>
  <c r="N1441" i="1"/>
  <c r="N1442" i="1"/>
  <c r="N1443" i="1"/>
  <c r="N1444" i="1"/>
  <c r="N1445" i="1"/>
  <c r="N1446" i="1"/>
  <c r="N1447" i="1"/>
  <c r="N1448" i="1"/>
  <c r="N1449" i="1"/>
  <c r="N1450" i="1"/>
  <c r="N1452" i="1"/>
  <c r="N1453" i="1"/>
  <c r="N1454" i="1"/>
  <c r="N1455" i="1"/>
  <c r="N1456" i="1"/>
  <c r="N1457" i="1"/>
  <c r="N1458" i="1"/>
  <c r="N1459" i="1"/>
  <c r="N1460" i="1"/>
  <c r="N1461" i="1"/>
  <c r="N1462" i="1"/>
  <c r="N1463" i="1"/>
  <c r="N1464" i="1"/>
  <c r="N1465" i="1"/>
  <c r="N1466" i="1"/>
  <c r="N1467" i="1"/>
  <c r="N1468" i="1"/>
  <c r="N1469" i="1"/>
  <c r="N1470" i="1"/>
  <c r="N1471" i="1"/>
  <c r="N1472" i="1"/>
  <c r="N1473" i="1"/>
  <c r="N1474" i="1"/>
  <c r="N1475" i="1"/>
  <c r="N1476" i="1"/>
  <c r="N1477" i="1"/>
  <c r="N1478" i="1"/>
  <c r="N1479" i="1"/>
  <c r="N1480" i="1"/>
  <c r="N1481" i="1"/>
  <c r="N1482" i="1"/>
  <c r="N1483" i="1"/>
  <c r="N1484" i="1"/>
  <c r="N1485" i="1"/>
  <c r="N1486" i="1"/>
  <c r="N1487" i="1"/>
  <c r="N1488" i="1"/>
  <c r="N1489" i="1"/>
  <c r="N1490" i="1"/>
  <c r="N1491" i="1"/>
  <c r="N1492" i="1"/>
  <c r="N1493" i="1"/>
  <c r="N1494" i="1"/>
  <c r="N1495" i="1"/>
  <c r="N1496" i="1"/>
  <c r="N1497" i="1"/>
  <c r="N1498" i="1"/>
  <c r="N1499" i="1"/>
  <c r="N1500" i="1"/>
  <c r="N1501" i="1"/>
  <c r="N1502" i="1"/>
  <c r="N1503" i="1"/>
  <c r="N1504" i="1"/>
  <c r="N1505" i="1"/>
  <c r="N1506" i="1"/>
  <c r="N1507" i="1"/>
  <c r="N1508" i="1"/>
  <c r="N1509" i="1"/>
  <c r="N1510" i="1"/>
  <c r="N1511" i="1"/>
  <c r="N1512" i="1"/>
  <c r="N1513" i="1"/>
  <c r="N1514" i="1"/>
  <c r="N1515" i="1"/>
  <c r="N1516" i="1"/>
  <c r="N1517" i="1"/>
  <c r="N1518" i="1"/>
  <c r="N1519" i="1"/>
  <c r="N1520" i="1"/>
  <c r="N1521" i="1"/>
  <c r="N1522" i="1"/>
  <c r="N1523" i="1"/>
  <c r="N1524" i="1"/>
  <c r="N1525" i="1"/>
  <c r="N1526" i="1"/>
  <c r="N1527" i="1"/>
  <c r="N1528" i="1"/>
  <c r="N1529" i="1"/>
  <c r="N1530" i="1"/>
  <c r="N1531" i="1"/>
  <c r="N1532" i="1"/>
  <c r="N1533" i="1"/>
  <c r="N1534" i="1"/>
  <c r="N1535" i="1"/>
  <c r="N1536" i="1"/>
  <c r="N1537" i="1"/>
  <c r="N1538" i="1"/>
  <c r="N1539" i="1"/>
  <c r="N1540" i="1"/>
  <c r="N1541" i="1"/>
  <c r="N1542" i="1"/>
  <c r="N1543" i="1"/>
  <c r="N1544" i="1"/>
  <c r="N1545" i="1"/>
  <c r="N1546" i="1"/>
  <c r="N1547" i="1"/>
  <c r="N1548" i="1"/>
  <c r="N1549" i="1"/>
  <c r="N1550" i="1"/>
  <c r="N1551" i="1"/>
  <c r="N1552" i="1"/>
  <c r="N1553" i="1"/>
  <c r="N1554" i="1"/>
  <c r="N1555" i="1"/>
  <c r="N1556" i="1"/>
  <c r="N1557" i="1"/>
  <c r="N1558" i="1"/>
  <c r="N1559" i="1"/>
  <c r="N1560" i="1"/>
  <c r="N1561" i="1"/>
  <c r="N1562" i="1"/>
  <c r="N1563" i="1"/>
  <c r="N1564" i="1"/>
  <c r="N1565" i="1"/>
  <c r="N1566" i="1"/>
  <c r="N1567" i="1"/>
  <c r="N1568" i="1"/>
  <c r="N1569" i="1"/>
  <c r="N1570" i="1"/>
  <c r="N1571" i="1"/>
  <c r="N1572" i="1"/>
  <c r="N1573" i="1"/>
  <c r="N1574" i="1"/>
  <c r="N1575" i="1"/>
  <c r="N1576" i="1"/>
  <c r="N1577" i="1"/>
  <c r="N1578" i="1"/>
  <c r="N1579" i="1"/>
  <c r="N1580" i="1"/>
  <c r="N1581" i="1"/>
  <c r="N1582" i="1"/>
  <c r="N1583" i="1"/>
  <c r="N1584" i="1"/>
  <c r="N1585" i="1"/>
  <c r="N1586" i="1"/>
  <c r="N1587" i="1"/>
  <c r="N1588" i="1"/>
  <c r="N1589" i="1"/>
  <c r="N1590" i="1"/>
  <c r="N1591" i="1"/>
  <c r="N1592" i="1"/>
  <c r="N1593" i="1"/>
  <c r="N1594" i="1"/>
  <c r="N1596" i="1"/>
  <c r="N1597" i="1"/>
  <c r="N1598" i="1"/>
  <c r="N1599" i="1"/>
  <c r="N1600" i="1"/>
  <c r="N1601" i="1"/>
  <c r="N1602" i="1"/>
  <c r="N1603" i="1"/>
  <c r="N1604" i="1"/>
  <c r="N1605" i="1"/>
  <c r="N1606" i="1"/>
  <c r="N1607" i="1"/>
  <c r="N1608" i="1"/>
  <c r="N1609" i="1"/>
  <c r="N1610" i="1"/>
  <c r="N1611" i="1"/>
  <c r="N1612" i="1"/>
  <c r="N1614" i="1"/>
  <c r="N1615" i="1"/>
  <c r="N1616" i="1"/>
  <c r="N1617" i="1"/>
  <c r="N1618" i="1"/>
  <c r="N1619" i="1"/>
  <c r="N1620" i="1"/>
  <c r="N1621" i="1"/>
  <c r="N1623" i="1"/>
  <c r="N1624" i="1"/>
  <c r="N1625" i="1"/>
  <c r="N1626" i="1"/>
  <c r="N1627" i="1"/>
  <c r="N1628" i="1"/>
  <c r="N1629" i="1"/>
  <c r="N1630" i="1"/>
  <c r="N1631" i="1"/>
  <c r="N1632" i="1"/>
  <c r="N1633" i="1"/>
  <c r="N1634" i="1"/>
  <c r="N1635" i="1"/>
  <c r="N1636" i="1"/>
  <c r="N1637" i="1"/>
  <c r="N1638" i="1"/>
  <c r="N1639" i="1"/>
  <c r="N1640" i="1"/>
  <c r="N1641" i="1"/>
  <c r="N1642" i="1"/>
  <c r="N1643" i="1"/>
  <c r="N1644" i="1"/>
  <c r="N1645" i="1"/>
  <c r="N1646" i="1"/>
  <c r="N1647" i="1"/>
  <c r="N1648" i="1"/>
  <c r="N1649" i="1"/>
  <c r="N1650" i="1"/>
  <c r="N1651" i="1"/>
  <c r="N1652" i="1"/>
  <c r="N1653" i="1"/>
  <c r="N1654" i="1"/>
  <c r="N1655" i="1"/>
  <c r="N1656" i="1"/>
  <c r="N1657" i="1"/>
  <c r="N1658" i="1"/>
  <c r="N1659" i="1"/>
  <c r="N1660" i="1"/>
  <c r="N1661" i="1"/>
  <c r="N1662" i="1"/>
  <c r="N1663" i="1"/>
  <c r="N1664" i="1"/>
  <c r="N1665" i="1"/>
  <c r="N1666" i="1"/>
  <c r="N1667" i="1"/>
  <c r="N1668" i="1"/>
  <c r="N1669" i="1"/>
  <c r="N1670" i="1"/>
  <c r="N1671" i="1"/>
  <c r="N1672" i="1"/>
  <c r="N1673" i="1"/>
  <c r="N1674" i="1"/>
  <c r="N1675" i="1"/>
  <c r="N1676" i="1"/>
  <c r="N1677" i="1"/>
  <c r="N1678" i="1"/>
  <c r="N1679" i="1"/>
  <c r="N1680" i="1"/>
  <c r="N1681" i="1"/>
  <c r="N1682" i="1"/>
  <c r="N1683" i="1"/>
  <c r="N1684" i="1"/>
  <c r="N1685" i="1"/>
  <c r="N1686" i="1"/>
  <c r="N1687" i="1"/>
  <c r="N1688" i="1"/>
  <c r="N1689" i="1"/>
  <c r="N1690" i="1"/>
  <c r="N1691" i="1"/>
  <c r="N1692" i="1"/>
  <c r="N1693" i="1"/>
  <c r="N1694" i="1"/>
  <c r="N1695" i="1"/>
  <c r="N1696" i="1"/>
  <c r="N1697" i="1"/>
  <c r="N1698" i="1"/>
  <c r="N1699" i="1"/>
  <c r="N1700" i="1"/>
  <c r="N1701" i="1"/>
  <c r="N1702" i="1"/>
  <c r="N1703" i="1"/>
  <c r="N1704" i="1"/>
  <c r="N1705" i="1"/>
  <c r="N1706" i="1"/>
  <c r="N1707" i="1"/>
  <c r="N1708" i="1"/>
  <c r="N1709" i="1"/>
  <c r="N1710" i="1"/>
  <c r="N1711" i="1"/>
  <c r="N1712" i="1"/>
  <c r="N1713" i="1"/>
  <c r="N1714" i="1"/>
  <c r="N1715" i="1"/>
  <c r="N1716" i="1"/>
  <c r="N1717" i="1"/>
  <c r="N1718" i="1"/>
  <c r="N1719" i="1"/>
  <c r="N1720" i="1"/>
  <c r="N1721" i="1"/>
  <c r="N1722" i="1"/>
  <c r="N1723" i="1"/>
  <c r="N1724" i="1"/>
  <c r="N1725" i="1"/>
  <c r="N1726" i="1"/>
  <c r="N1727" i="1"/>
  <c r="N1728" i="1"/>
  <c r="N1729" i="1"/>
  <c r="N1730" i="1"/>
  <c r="N1731" i="1"/>
  <c r="N1732" i="1"/>
  <c r="N1733" i="1"/>
  <c r="N1734" i="1"/>
  <c r="N1735" i="1"/>
  <c r="N1736" i="1"/>
  <c r="N1737" i="1"/>
  <c r="N1738" i="1"/>
  <c r="N1739" i="1"/>
  <c r="N1740" i="1"/>
  <c r="N1741" i="1"/>
  <c r="N1742" i="1"/>
  <c r="N1743" i="1"/>
  <c r="N1744" i="1"/>
  <c r="N1745" i="1"/>
  <c r="N1746" i="1"/>
  <c r="N1747" i="1"/>
  <c r="N1748" i="1"/>
  <c r="N1749" i="1"/>
  <c r="N1750" i="1"/>
  <c r="N1751" i="1"/>
  <c r="N1752" i="1"/>
  <c r="N1753" i="1"/>
  <c r="N1754" i="1"/>
  <c r="N1755" i="1"/>
  <c r="N1756" i="1"/>
  <c r="N1757" i="1"/>
  <c r="N1758" i="1"/>
  <c r="N1759" i="1"/>
  <c r="N1760" i="1"/>
  <c r="N1761" i="1"/>
  <c r="N1762" i="1"/>
  <c r="N1763" i="1"/>
  <c r="N1764" i="1"/>
  <c r="N1765" i="1"/>
  <c r="N1766" i="1"/>
  <c r="N1767" i="1"/>
  <c r="N1768" i="1"/>
  <c r="N1769" i="1"/>
  <c r="N1770" i="1"/>
  <c r="N1771" i="1"/>
  <c r="N1772" i="1"/>
  <c r="N1773" i="1"/>
  <c r="N1774" i="1"/>
  <c r="N1775" i="1"/>
  <c r="N1776" i="1"/>
  <c r="N1777" i="1"/>
  <c r="N1778" i="1"/>
  <c r="N1779" i="1"/>
  <c r="N1780" i="1"/>
  <c r="N1781" i="1"/>
  <c r="N1782" i="1"/>
  <c r="N1783" i="1"/>
  <c r="N1784" i="1"/>
  <c r="N1785" i="1"/>
  <c r="N1786" i="1"/>
  <c r="N1787" i="1"/>
  <c r="N1788" i="1"/>
  <c r="N1789" i="1"/>
  <c r="N1790" i="1"/>
  <c r="N1791" i="1"/>
  <c r="N1792" i="1"/>
  <c r="N1793" i="1"/>
  <c r="N1794" i="1"/>
  <c r="N1795" i="1"/>
  <c r="N1796" i="1"/>
  <c r="N1797" i="1"/>
  <c r="N1798" i="1"/>
  <c r="N1799" i="1"/>
  <c r="N1800" i="1"/>
  <c r="N1801" i="1"/>
  <c r="N1802" i="1"/>
  <c r="N1803" i="1"/>
  <c r="N1804" i="1"/>
  <c r="N1805" i="1"/>
  <c r="N1806" i="1"/>
  <c r="N1807" i="1"/>
  <c r="N1808" i="1"/>
  <c r="N1809" i="1"/>
  <c r="N1810" i="1"/>
  <c r="N1811" i="1"/>
  <c r="N1812" i="1"/>
  <c r="N1813" i="1"/>
  <c r="N1814" i="1"/>
  <c r="N1815" i="1"/>
  <c r="N1816" i="1"/>
  <c r="N1817" i="1"/>
  <c r="N1818" i="1"/>
  <c r="N1819" i="1"/>
  <c r="N1820" i="1"/>
  <c r="N1821" i="1"/>
  <c r="N1822" i="1"/>
  <c r="N1823" i="1"/>
  <c r="N1824" i="1"/>
  <c r="N1825" i="1"/>
  <c r="N1826" i="1"/>
  <c r="N1827" i="1"/>
  <c r="N1828" i="1"/>
  <c r="N1829" i="1"/>
  <c r="N1830" i="1"/>
  <c r="N1831" i="1"/>
  <c r="N1832" i="1"/>
  <c r="N1833" i="1"/>
  <c r="N1834" i="1"/>
  <c r="N1835" i="1"/>
  <c r="N1836" i="1"/>
  <c r="N1837" i="1"/>
  <c r="N1838" i="1"/>
  <c r="N1839" i="1"/>
  <c r="N1840" i="1"/>
  <c r="N1841" i="1"/>
  <c r="N1842" i="1"/>
  <c r="N1843" i="1"/>
  <c r="N1844" i="1"/>
  <c r="N1845" i="1"/>
  <c r="N1846" i="1"/>
  <c r="N1847" i="1"/>
  <c r="N1848" i="1"/>
  <c r="N1849" i="1"/>
  <c r="N1850" i="1"/>
  <c r="N1851" i="1"/>
  <c r="N1852" i="1"/>
  <c r="N1853" i="1"/>
  <c r="N1854" i="1"/>
  <c r="N1855" i="1"/>
  <c r="N1856" i="1"/>
  <c r="N1857" i="1"/>
  <c r="N1858" i="1"/>
  <c r="N1859" i="1"/>
  <c r="N1860" i="1"/>
  <c r="N1861" i="1"/>
  <c r="N1862" i="1"/>
  <c r="N1863" i="1"/>
  <c r="N1864" i="1"/>
  <c r="N1865" i="1"/>
  <c r="N1866" i="1"/>
  <c r="N1867" i="1"/>
  <c r="N1868" i="1"/>
  <c r="N1869" i="1"/>
  <c r="N1870" i="1"/>
  <c r="N1871" i="1"/>
  <c r="N1872" i="1"/>
  <c r="N1873" i="1"/>
  <c r="N1874" i="1"/>
  <c r="N1875" i="1"/>
  <c r="N1876" i="1"/>
  <c r="N1877" i="1"/>
  <c r="N1878" i="1"/>
  <c r="N1879" i="1"/>
  <c r="N1880" i="1"/>
  <c r="N1881" i="1"/>
  <c r="N1882" i="1"/>
  <c r="N1883" i="1"/>
  <c r="N1884" i="1"/>
  <c r="N1885" i="1"/>
  <c r="N1886" i="1"/>
  <c r="N1887" i="1"/>
  <c r="N1888" i="1"/>
  <c r="N1889" i="1"/>
  <c r="N1890" i="1"/>
  <c r="N1891" i="1"/>
  <c r="N1892" i="1"/>
  <c r="N1893" i="1"/>
  <c r="N1894" i="1"/>
  <c r="N1895" i="1"/>
  <c r="N1896" i="1"/>
  <c r="N1897" i="1"/>
  <c r="N1898" i="1"/>
  <c r="N1899" i="1"/>
  <c r="N1900" i="1"/>
  <c r="N1901" i="1"/>
  <c r="N1902" i="1"/>
  <c r="N1903" i="1"/>
  <c r="N1904" i="1"/>
  <c r="N1905" i="1"/>
  <c r="N1906" i="1"/>
  <c r="N1907" i="1"/>
  <c r="N1908" i="1"/>
  <c r="N1909" i="1"/>
  <c r="N1910" i="1"/>
  <c r="N1911" i="1"/>
  <c r="N1912" i="1"/>
  <c r="N1913" i="1"/>
  <c r="N1914" i="1"/>
  <c r="N1915" i="1"/>
  <c r="N1916" i="1"/>
  <c r="N1917" i="1"/>
  <c r="N1918" i="1"/>
  <c r="N1919" i="1"/>
  <c r="N1920" i="1"/>
  <c r="N1921" i="1"/>
  <c r="N1922" i="1"/>
  <c r="N1923" i="1"/>
  <c r="N1924" i="1"/>
  <c r="N1925" i="1"/>
  <c r="N1926" i="1"/>
  <c r="N1927" i="1"/>
  <c r="N1928" i="1"/>
  <c r="N1929" i="1"/>
  <c r="N1930" i="1"/>
  <c r="N1931" i="1"/>
  <c r="N1932" i="1"/>
  <c r="N1933" i="1"/>
  <c r="N1934" i="1"/>
  <c r="N1935" i="1"/>
  <c r="N1936" i="1"/>
  <c r="N1937" i="1"/>
  <c r="N1938" i="1"/>
  <c r="N1939" i="1"/>
  <c r="N1940" i="1"/>
  <c r="N1941" i="1"/>
  <c r="N1942" i="1"/>
  <c r="N1943" i="1"/>
  <c r="N1944" i="1"/>
  <c r="N1945" i="1"/>
  <c r="N1946" i="1"/>
  <c r="N1947" i="1"/>
  <c r="N1948" i="1"/>
  <c r="N1949" i="1"/>
  <c r="N1950" i="1"/>
  <c r="N1951" i="1"/>
  <c r="N1952" i="1"/>
  <c r="N1953" i="1"/>
  <c r="N1954" i="1"/>
  <c r="N1955" i="1"/>
  <c r="N1956" i="1"/>
  <c r="N1957" i="1"/>
  <c r="N1958" i="1"/>
  <c r="N1959" i="1"/>
  <c r="N1960" i="1"/>
  <c r="N1961" i="1"/>
  <c r="N1962" i="1"/>
  <c r="N1963" i="1"/>
  <c r="N1964" i="1"/>
  <c r="N1965" i="1"/>
  <c r="N1966" i="1"/>
  <c r="N1967" i="1"/>
  <c r="N1968" i="1"/>
  <c r="N1969" i="1"/>
  <c r="N1970" i="1"/>
  <c r="N1971" i="1"/>
  <c r="N1972" i="1"/>
  <c r="N1973" i="1"/>
  <c r="N1974" i="1"/>
  <c r="N1975" i="1"/>
  <c r="N1976" i="1"/>
  <c r="N1977" i="1"/>
  <c r="N1978" i="1"/>
  <c r="N1979" i="1"/>
  <c r="N1980" i="1"/>
  <c r="N1981" i="1"/>
  <c r="N1982" i="1"/>
  <c r="N1983" i="1"/>
  <c r="N1984" i="1"/>
  <c r="N1985" i="1"/>
  <c r="N1986" i="1"/>
  <c r="N1987" i="1"/>
  <c r="N1988" i="1"/>
  <c r="N1989" i="1"/>
  <c r="N1990" i="1"/>
  <c r="N1991" i="1"/>
  <c r="N1992" i="1"/>
  <c r="N1993" i="1"/>
  <c r="N1995" i="1"/>
  <c r="N1996" i="1"/>
  <c r="N1997" i="1"/>
  <c r="N1998" i="1"/>
  <c r="N1999" i="1"/>
  <c r="N2000" i="1"/>
  <c r="N2002" i="1"/>
  <c r="N2003" i="1"/>
  <c r="N2004" i="1"/>
  <c r="N2005" i="1"/>
  <c r="N2006" i="1"/>
  <c r="N2007" i="1"/>
  <c r="N2008" i="1"/>
  <c r="N2009" i="1"/>
  <c r="N2010" i="1"/>
  <c r="N2011" i="1"/>
  <c r="N2012" i="1"/>
  <c r="N2013" i="1"/>
  <c r="N2014" i="1"/>
  <c r="N2015" i="1"/>
  <c r="N2016" i="1"/>
  <c r="N2017" i="1"/>
  <c r="N2018" i="1"/>
  <c r="N2019" i="1"/>
  <c r="N2020" i="1"/>
  <c r="N2021" i="1"/>
  <c r="N2022" i="1"/>
  <c r="N2023" i="1"/>
  <c r="N2024" i="1"/>
  <c r="N2025" i="1"/>
  <c r="N2026" i="1"/>
  <c r="N2027" i="1"/>
  <c r="N2028" i="1"/>
  <c r="N2029" i="1"/>
  <c r="N2030" i="1"/>
  <c r="N2031" i="1"/>
  <c r="N2032" i="1"/>
  <c r="N2033" i="1"/>
  <c r="N2034" i="1"/>
  <c r="N2035" i="1"/>
  <c r="N2036" i="1"/>
  <c r="N2037" i="1"/>
  <c r="N2038" i="1"/>
  <c r="N2039" i="1"/>
  <c r="N2040" i="1"/>
  <c r="N2041" i="1"/>
  <c r="N2042" i="1"/>
  <c r="N2043" i="1"/>
  <c r="N2044" i="1"/>
  <c r="N2045" i="1"/>
  <c r="N2046" i="1"/>
  <c r="N2047" i="1"/>
  <c r="N2048" i="1"/>
  <c r="N2049" i="1"/>
  <c r="N2050" i="1"/>
  <c r="N2051" i="1"/>
  <c r="N2052" i="1"/>
  <c r="N2053" i="1"/>
  <c r="N2054" i="1"/>
  <c r="N2055" i="1"/>
  <c r="N2056" i="1"/>
  <c r="N2057" i="1"/>
  <c r="N2058" i="1"/>
  <c r="N2059" i="1"/>
  <c r="N2060" i="1"/>
  <c r="N2061" i="1"/>
  <c r="N2062" i="1"/>
  <c r="N2063" i="1"/>
  <c r="N2064" i="1"/>
  <c r="N2065" i="1"/>
  <c r="N2066" i="1"/>
  <c r="N2067" i="1"/>
  <c r="N2068" i="1"/>
  <c r="N2069" i="1"/>
  <c r="N2070" i="1"/>
  <c r="N2071" i="1"/>
  <c r="N2072" i="1"/>
  <c r="N2073" i="1"/>
  <c r="N2074" i="1"/>
  <c r="N2075" i="1"/>
  <c r="N2076" i="1"/>
  <c r="N2077" i="1"/>
  <c r="N2078" i="1"/>
  <c r="N2079" i="1"/>
  <c r="N2080" i="1"/>
  <c r="N2081" i="1"/>
  <c r="N2082" i="1"/>
  <c r="N2083" i="1"/>
  <c r="N2084" i="1"/>
  <c r="N2085" i="1"/>
  <c r="N2086" i="1"/>
  <c r="N2087" i="1"/>
  <c r="N2088" i="1"/>
  <c r="N2089" i="1"/>
  <c r="N2090" i="1"/>
  <c r="N2091" i="1"/>
  <c r="N2092" i="1"/>
  <c r="N2093" i="1"/>
  <c r="N2094" i="1"/>
  <c r="N2095" i="1"/>
  <c r="N2096" i="1"/>
  <c r="N2097" i="1"/>
  <c r="N2098" i="1"/>
  <c r="N2099" i="1"/>
  <c r="N2100" i="1"/>
  <c r="N2101" i="1"/>
  <c r="N2102" i="1"/>
  <c r="N2103" i="1"/>
  <c r="N2104" i="1"/>
  <c r="N2105" i="1"/>
  <c r="N2106" i="1"/>
  <c r="N2107" i="1"/>
  <c r="N2108" i="1"/>
  <c r="N2109" i="1"/>
  <c r="N2110" i="1"/>
  <c r="N2111" i="1"/>
  <c r="N2112" i="1"/>
  <c r="N2113" i="1"/>
  <c r="N2114" i="1"/>
  <c r="N2115" i="1"/>
  <c r="N2116" i="1"/>
  <c r="N2117" i="1"/>
  <c r="N2118" i="1"/>
  <c r="N2119" i="1"/>
  <c r="N2120" i="1"/>
  <c r="N2121" i="1"/>
  <c r="N2122" i="1"/>
  <c r="N2123" i="1"/>
  <c r="N2124" i="1"/>
  <c r="N2125" i="1"/>
  <c r="N2126" i="1"/>
  <c r="N2127" i="1"/>
  <c r="N2128" i="1"/>
  <c r="N2129" i="1"/>
  <c r="N2130" i="1"/>
  <c r="N2131" i="1"/>
  <c r="N2132" i="1"/>
  <c r="N2133" i="1"/>
  <c r="N2134" i="1"/>
  <c r="N2135" i="1"/>
  <c r="N2136" i="1"/>
  <c r="N2137" i="1"/>
  <c r="N2138" i="1"/>
  <c r="N2139" i="1"/>
  <c r="N2140" i="1"/>
  <c r="N2141" i="1"/>
  <c r="N2142" i="1"/>
  <c r="N2143" i="1"/>
  <c r="N2144" i="1"/>
  <c r="N2145" i="1"/>
  <c r="N2146" i="1"/>
  <c r="N2147" i="1"/>
  <c r="N2148" i="1"/>
  <c r="N2149" i="1"/>
  <c r="N2150" i="1"/>
  <c r="N2151" i="1"/>
  <c r="N2153" i="1"/>
  <c r="N2154" i="1"/>
  <c r="N2155" i="1"/>
  <c r="N2156" i="1"/>
  <c r="N2157" i="1"/>
  <c r="N2158" i="1"/>
  <c r="N2159" i="1"/>
  <c r="N2160" i="1"/>
  <c r="N2161" i="1"/>
  <c r="N2162" i="1"/>
  <c r="N2163" i="1"/>
  <c r="N2164" i="1"/>
  <c r="N2165" i="1"/>
  <c r="N2166" i="1"/>
  <c r="N2167" i="1"/>
  <c r="N2168" i="1"/>
  <c r="N2169" i="1"/>
  <c r="N2170" i="1"/>
  <c r="N2171" i="1"/>
  <c r="N2172" i="1"/>
  <c r="N2173" i="1"/>
  <c r="N2174" i="1"/>
  <c r="N2175" i="1"/>
  <c r="N2176" i="1"/>
  <c r="N2177" i="1"/>
  <c r="N2178" i="1"/>
  <c r="N2179" i="1"/>
  <c r="N2180" i="1"/>
  <c r="N2181" i="1"/>
  <c r="N2182" i="1"/>
  <c r="N2183" i="1"/>
  <c r="N2184" i="1"/>
  <c r="N2185" i="1"/>
  <c r="N2186" i="1"/>
  <c r="N2187" i="1"/>
  <c r="N2188" i="1"/>
  <c r="N2189" i="1"/>
  <c r="N2190" i="1"/>
  <c r="N2191" i="1"/>
  <c r="N2192" i="1"/>
  <c r="N2193" i="1"/>
  <c r="N2194" i="1"/>
  <c r="N2195" i="1"/>
  <c r="N2196" i="1"/>
  <c r="N2197" i="1"/>
  <c r="N2198" i="1"/>
  <c r="N2199" i="1"/>
  <c r="N2200" i="1"/>
  <c r="N2201" i="1"/>
  <c r="N2202" i="1"/>
  <c r="N2203" i="1"/>
  <c r="N2204" i="1"/>
  <c r="N2205" i="1"/>
  <c r="N2206" i="1"/>
  <c r="N2207" i="1"/>
  <c r="N2208" i="1"/>
  <c r="N2209" i="1"/>
  <c r="N2210" i="1"/>
  <c r="N2211" i="1"/>
  <c r="N2212" i="1"/>
  <c r="N2213" i="1"/>
  <c r="N2214" i="1"/>
  <c r="N2215" i="1"/>
  <c r="N2216" i="1"/>
  <c r="N2217" i="1"/>
  <c r="N2218" i="1"/>
  <c r="N2219" i="1"/>
  <c r="N2220" i="1"/>
  <c r="N2221" i="1"/>
  <c r="N2222" i="1"/>
  <c r="N2223" i="1"/>
  <c r="N2224" i="1"/>
  <c r="N2225" i="1"/>
  <c r="N2226" i="1"/>
  <c r="N2227" i="1"/>
  <c r="N2228" i="1"/>
  <c r="N2229" i="1"/>
  <c r="N2230" i="1"/>
  <c r="N2231" i="1"/>
  <c r="N2232" i="1"/>
  <c r="N2233" i="1"/>
  <c r="N2234" i="1"/>
  <c r="N2235" i="1"/>
  <c r="N2236" i="1"/>
  <c r="N2237" i="1"/>
  <c r="N2238" i="1"/>
  <c r="N2239" i="1"/>
  <c r="N2240" i="1"/>
  <c r="N2241" i="1"/>
  <c r="N2242" i="1"/>
  <c r="N2243" i="1"/>
  <c r="N2244" i="1"/>
  <c r="N2245" i="1"/>
  <c r="N2246" i="1"/>
  <c r="N2247" i="1"/>
  <c r="N2248" i="1"/>
  <c r="N2249" i="1"/>
  <c r="N2250" i="1"/>
  <c r="N2251" i="1"/>
  <c r="N2252" i="1"/>
  <c r="N2253" i="1"/>
  <c r="N2254" i="1"/>
  <c r="N2255" i="1"/>
  <c r="N2256" i="1"/>
  <c r="N2257" i="1"/>
  <c r="N2258" i="1"/>
  <c r="N2259" i="1"/>
  <c r="N2260" i="1"/>
  <c r="N2261" i="1"/>
  <c r="N2262" i="1"/>
  <c r="N2263" i="1"/>
  <c r="N2264" i="1"/>
  <c r="N2265" i="1"/>
  <c r="N2266" i="1"/>
  <c r="N2267" i="1"/>
  <c r="N2268" i="1"/>
  <c r="N2269" i="1"/>
  <c r="N2270" i="1"/>
  <c r="N2271" i="1"/>
  <c r="N2272" i="1"/>
  <c r="N2273" i="1"/>
  <c r="N2274" i="1"/>
  <c r="N2275" i="1"/>
  <c r="N2276" i="1"/>
  <c r="N2277" i="1"/>
  <c r="N2278" i="1"/>
  <c r="N2279" i="1"/>
  <c r="N2280" i="1"/>
  <c r="N2281" i="1"/>
  <c r="N2282" i="1"/>
  <c r="N2283" i="1"/>
  <c r="N2284" i="1"/>
  <c r="N2285" i="1"/>
  <c r="N2286" i="1"/>
  <c r="N2287" i="1"/>
  <c r="N2288" i="1"/>
  <c r="N2289" i="1"/>
  <c r="N2290" i="1"/>
  <c r="N2291" i="1"/>
  <c r="N2292" i="1"/>
  <c r="N2293" i="1"/>
  <c r="N2294" i="1"/>
  <c r="N2295" i="1"/>
  <c r="N2296" i="1"/>
  <c r="N2297" i="1"/>
  <c r="N2298" i="1"/>
  <c r="N2299" i="1"/>
  <c r="N2300" i="1"/>
  <c r="N2301" i="1"/>
  <c r="N2302" i="1"/>
  <c r="N2303" i="1"/>
  <c r="N2304" i="1"/>
  <c r="N2305" i="1"/>
  <c r="N2306" i="1"/>
  <c r="N2307" i="1"/>
  <c r="N2308" i="1"/>
  <c r="N2309" i="1"/>
  <c r="N2310" i="1"/>
  <c r="N2311" i="1"/>
  <c r="N2312" i="1"/>
  <c r="N2313" i="1"/>
  <c r="N2314" i="1"/>
  <c r="N2315" i="1"/>
  <c r="N2316" i="1"/>
  <c r="N2317" i="1"/>
  <c r="N2318" i="1"/>
  <c r="N2319" i="1"/>
  <c r="N2320" i="1"/>
  <c r="N2321" i="1"/>
  <c r="N2322" i="1"/>
  <c r="N2323" i="1"/>
  <c r="N2324" i="1"/>
  <c r="N2325" i="1"/>
  <c r="N2326" i="1"/>
  <c r="N2327" i="1"/>
  <c r="N2328" i="1"/>
  <c r="N2329" i="1"/>
  <c r="N2330" i="1"/>
  <c r="N2331" i="1"/>
  <c r="N2332" i="1"/>
  <c r="N2333" i="1"/>
  <c r="N2334" i="1"/>
  <c r="N2335" i="1"/>
  <c r="N2336" i="1"/>
  <c r="N2337" i="1"/>
  <c r="N2338" i="1"/>
  <c r="N2339" i="1"/>
  <c r="N2340" i="1"/>
  <c r="N2341" i="1"/>
  <c r="N2342" i="1"/>
  <c r="N2343" i="1"/>
  <c r="N2344" i="1"/>
  <c r="N2345" i="1"/>
  <c r="N2346" i="1"/>
  <c r="N2347" i="1"/>
  <c r="N2348" i="1"/>
  <c r="N2349" i="1"/>
  <c r="N2350" i="1"/>
  <c r="N2351" i="1"/>
  <c r="N2352" i="1"/>
  <c r="N2353" i="1"/>
  <c r="N2354" i="1"/>
  <c r="N2355" i="1"/>
  <c r="N2356" i="1"/>
  <c r="N2357" i="1"/>
  <c r="N2358" i="1"/>
  <c r="N2359" i="1"/>
  <c r="N2360" i="1"/>
  <c r="N2361" i="1"/>
  <c r="N2362" i="1"/>
  <c r="N2363" i="1"/>
  <c r="N2364" i="1"/>
  <c r="N2365" i="1"/>
  <c r="N2366" i="1"/>
  <c r="N2367" i="1"/>
  <c r="N2368" i="1"/>
  <c r="N2369" i="1"/>
  <c r="N2370" i="1"/>
  <c r="N2371" i="1"/>
  <c r="N2372" i="1"/>
  <c r="N2373" i="1"/>
  <c r="N2374" i="1"/>
  <c r="N2375" i="1"/>
  <c r="N2376" i="1"/>
  <c r="N2377" i="1"/>
  <c r="N2378" i="1"/>
  <c r="N2379" i="1"/>
  <c r="N2380" i="1"/>
  <c r="N2381" i="1"/>
  <c r="N2382" i="1"/>
  <c r="N2383" i="1"/>
  <c r="N2384" i="1"/>
  <c r="N2385" i="1"/>
  <c r="N2386" i="1"/>
  <c r="N2387" i="1"/>
  <c r="N2388" i="1"/>
  <c r="N2389" i="1"/>
  <c r="N2390" i="1"/>
  <c r="N2391" i="1"/>
  <c r="N2392" i="1"/>
  <c r="N2393" i="1"/>
  <c r="N2394" i="1"/>
  <c r="N2395" i="1"/>
  <c r="N2396" i="1"/>
  <c r="N2397" i="1"/>
  <c r="N2398" i="1"/>
  <c r="N2399" i="1"/>
  <c r="N2400" i="1"/>
  <c r="N2401" i="1"/>
  <c r="N2402" i="1"/>
  <c r="N2403" i="1"/>
  <c r="N2404" i="1"/>
  <c r="N2405" i="1"/>
  <c r="N2406" i="1"/>
  <c r="N2407" i="1"/>
  <c r="N2408" i="1"/>
  <c r="N2409" i="1"/>
  <c r="N2410" i="1"/>
  <c r="N2411" i="1"/>
  <c r="N2412" i="1"/>
  <c r="N2413" i="1"/>
  <c r="N2414" i="1"/>
  <c r="N2415" i="1"/>
  <c r="N2416" i="1"/>
  <c r="N2417" i="1"/>
  <c r="N2418" i="1"/>
  <c r="N2419" i="1"/>
  <c r="N2420" i="1"/>
  <c r="N2421" i="1"/>
  <c r="N2422" i="1"/>
  <c r="N2423" i="1"/>
  <c r="N2424" i="1"/>
  <c r="N2425" i="1"/>
  <c r="N2426" i="1"/>
  <c r="N2427" i="1"/>
  <c r="N2428" i="1"/>
  <c r="N2429" i="1"/>
  <c r="N2430" i="1"/>
  <c r="N2431" i="1"/>
  <c r="N2432" i="1"/>
  <c r="N2433" i="1"/>
  <c r="N2434" i="1"/>
  <c r="N2435" i="1"/>
  <c r="N2436" i="1"/>
  <c r="N2437" i="1"/>
  <c r="N2438" i="1"/>
  <c r="N2439" i="1"/>
  <c r="N2440" i="1"/>
  <c r="N2441" i="1"/>
  <c r="N2442" i="1"/>
  <c r="N2443" i="1"/>
  <c r="N2444" i="1"/>
  <c r="N2445" i="1"/>
  <c r="N2446" i="1"/>
  <c r="N2447" i="1"/>
  <c r="N2448" i="1"/>
  <c r="N2449" i="1"/>
  <c r="N2450" i="1"/>
  <c r="N2451" i="1"/>
  <c r="N2452" i="1"/>
  <c r="N2453" i="1"/>
  <c r="N2454" i="1"/>
  <c r="N2455" i="1"/>
  <c r="N2456" i="1"/>
  <c r="N2457" i="1"/>
  <c r="N2458" i="1"/>
  <c r="N2459" i="1"/>
  <c r="N2460" i="1"/>
  <c r="N2461" i="1"/>
  <c r="N2462" i="1"/>
  <c r="N2463" i="1"/>
  <c r="N2464" i="1"/>
  <c r="N2465" i="1"/>
  <c r="N2466" i="1"/>
  <c r="N2467" i="1"/>
  <c r="N2468" i="1"/>
  <c r="N2469" i="1"/>
  <c r="N2470" i="1"/>
  <c r="N2471" i="1"/>
  <c r="N2472" i="1"/>
  <c r="N2473" i="1"/>
  <c r="N2474" i="1"/>
  <c r="N2475" i="1"/>
  <c r="N2476" i="1"/>
  <c r="N2477" i="1"/>
  <c r="N2478" i="1"/>
  <c r="N2479" i="1"/>
  <c r="N2480" i="1"/>
  <c r="N2481" i="1"/>
  <c r="N2482" i="1"/>
  <c r="N2483" i="1"/>
  <c r="N2484" i="1"/>
  <c r="N2485" i="1"/>
  <c r="N2486" i="1"/>
  <c r="N2487" i="1"/>
  <c r="N2488" i="1"/>
  <c r="N2489" i="1"/>
  <c r="N2490" i="1"/>
  <c r="N2491" i="1"/>
  <c r="N2492" i="1"/>
  <c r="N2493" i="1"/>
  <c r="N2494" i="1"/>
  <c r="N2495" i="1"/>
  <c r="N2496" i="1"/>
  <c r="N2497" i="1"/>
  <c r="N2498" i="1"/>
  <c r="N2499" i="1"/>
  <c r="N2500" i="1"/>
  <c r="N2501" i="1"/>
  <c r="N2502" i="1"/>
  <c r="N2503" i="1"/>
  <c r="N2504" i="1"/>
  <c r="N2505" i="1"/>
  <c r="N2506" i="1"/>
  <c r="N2507" i="1"/>
  <c r="N2508" i="1"/>
  <c r="N2509" i="1"/>
  <c r="N2510" i="1"/>
  <c r="N2511" i="1"/>
  <c r="N2512" i="1"/>
  <c r="N2513" i="1"/>
  <c r="N2514" i="1"/>
  <c r="N2515" i="1"/>
  <c r="N2516" i="1"/>
  <c r="N2517" i="1"/>
  <c r="N2518" i="1"/>
  <c r="N2519" i="1"/>
  <c r="N2520" i="1"/>
  <c r="N2521" i="1"/>
  <c r="N2522" i="1"/>
  <c r="N2523" i="1"/>
  <c r="N2524" i="1"/>
  <c r="N2525" i="1"/>
  <c r="N2526" i="1"/>
  <c r="N2527" i="1"/>
  <c r="N2528" i="1"/>
  <c r="N2529" i="1"/>
  <c r="N2530" i="1"/>
  <c r="N2531" i="1"/>
  <c r="N2532" i="1"/>
  <c r="N2533" i="1"/>
  <c r="N2534" i="1"/>
  <c r="N2535" i="1"/>
  <c r="N2536" i="1"/>
  <c r="N2537" i="1"/>
  <c r="N2538" i="1"/>
  <c r="N2539" i="1"/>
  <c r="N2540" i="1"/>
  <c r="N2541" i="1"/>
  <c r="N2542" i="1"/>
  <c r="N2543" i="1"/>
  <c r="N2544" i="1"/>
  <c r="N2545" i="1"/>
  <c r="N2546" i="1"/>
  <c r="N2547" i="1"/>
  <c r="N2548" i="1"/>
  <c r="N2549" i="1"/>
  <c r="N2550" i="1"/>
  <c r="N2551" i="1"/>
  <c r="N2552" i="1"/>
  <c r="N2553" i="1"/>
  <c r="N2554" i="1"/>
  <c r="N2555" i="1"/>
  <c r="N2556" i="1"/>
  <c r="N2557" i="1"/>
  <c r="N2558" i="1"/>
  <c r="N2559" i="1"/>
  <c r="N2560" i="1"/>
  <c r="N2561" i="1"/>
  <c r="N2562" i="1"/>
  <c r="N2563" i="1"/>
  <c r="N2564" i="1"/>
  <c r="N2565" i="1"/>
  <c r="N2566" i="1"/>
  <c r="N2567" i="1"/>
  <c r="N2568" i="1"/>
  <c r="N2569" i="1"/>
  <c r="N2570" i="1"/>
  <c r="N2571" i="1"/>
  <c r="N2572" i="1"/>
  <c r="N2573" i="1"/>
  <c r="N2574" i="1"/>
  <c r="N2575" i="1"/>
  <c r="N2576" i="1"/>
  <c r="N2577" i="1"/>
  <c r="N2578" i="1"/>
  <c r="N2579" i="1"/>
  <c r="N2580" i="1"/>
  <c r="N2581" i="1"/>
  <c r="N2582" i="1"/>
  <c r="N2583" i="1"/>
  <c r="N2584" i="1"/>
  <c r="N2585" i="1"/>
  <c r="N2586" i="1"/>
  <c r="N2587" i="1"/>
  <c r="N2588" i="1"/>
  <c r="N2589" i="1"/>
  <c r="N2590" i="1"/>
  <c r="N2591" i="1"/>
  <c r="N2592" i="1"/>
  <c r="N2593" i="1"/>
  <c r="N2594" i="1"/>
  <c r="N2595" i="1"/>
  <c r="N2596" i="1"/>
  <c r="N2597" i="1"/>
  <c r="N2598" i="1"/>
  <c r="N2599" i="1"/>
  <c r="N2600" i="1"/>
  <c r="N2601" i="1"/>
  <c r="N2602" i="1"/>
  <c r="N2603" i="1"/>
  <c r="N2604" i="1"/>
  <c r="N2605" i="1"/>
  <c r="N2606" i="1"/>
  <c r="N2607" i="1"/>
  <c r="N2608" i="1"/>
  <c r="N2609" i="1"/>
  <c r="N2610" i="1"/>
  <c r="N2611" i="1"/>
  <c r="N2612" i="1"/>
  <c r="N2613" i="1"/>
  <c r="N2614" i="1"/>
  <c r="N2615" i="1"/>
  <c r="N2616" i="1"/>
  <c r="N2617" i="1"/>
  <c r="N2618" i="1"/>
  <c r="N2619" i="1"/>
  <c r="N2620" i="1"/>
  <c r="N2621" i="1"/>
  <c r="N2622" i="1"/>
  <c r="N2623" i="1"/>
  <c r="N2624" i="1"/>
  <c r="N2625" i="1"/>
  <c r="N2626" i="1"/>
  <c r="N2627" i="1"/>
  <c r="N2628" i="1"/>
  <c r="N2629" i="1"/>
  <c r="N2630" i="1"/>
  <c r="N2631" i="1"/>
  <c r="N2632" i="1"/>
  <c r="N2633" i="1"/>
  <c r="N2634" i="1"/>
  <c r="N2635" i="1"/>
  <c r="N2636" i="1"/>
  <c r="N2637" i="1"/>
  <c r="N2638" i="1"/>
  <c r="N2639" i="1"/>
  <c r="N2640" i="1"/>
  <c r="N2641" i="1"/>
  <c r="N2642" i="1"/>
  <c r="N2643" i="1"/>
  <c r="N2644" i="1"/>
  <c r="N2645" i="1"/>
  <c r="N2646" i="1"/>
  <c r="N2647" i="1"/>
  <c r="N2648" i="1"/>
  <c r="N2649" i="1"/>
  <c r="N2650" i="1"/>
  <c r="N2651" i="1"/>
  <c r="N2652" i="1"/>
  <c r="N2653" i="1"/>
  <c r="N2654" i="1"/>
  <c r="N2655" i="1"/>
  <c r="N2656" i="1"/>
  <c r="N2657" i="1"/>
  <c r="N2658" i="1"/>
  <c r="N2659" i="1"/>
  <c r="N2660" i="1"/>
  <c r="N2661" i="1"/>
  <c r="N2662" i="1"/>
  <c r="N2663" i="1"/>
  <c r="N2664" i="1"/>
  <c r="N2665" i="1"/>
  <c r="N2666" i="1"/>
  <c r="N2667" i="1"/>
  <c r="N2668" i="1"/>
  <c r="N2669" i="1"/>
  <c r="N2670" i="1"/>
  <c r="N2671" i="1"/>
  <c r="N2672" i="1"/>
  <c r="N2673" i="1"/>
  <c r="N2674" i="1"/>
  <c r="N2675" i="1"/>
  <c r="N2676" i="1"/>
  <c r="N2677" i="1"/>
  <c r="N2678" i="1"/>
  <c r="N2679" i="1"/>
  <c r="N2680" i="1"/>
  <c r="N2681" i="1"/>
  <c r="N2682" i="1"/>
  <c r="N2683" i="1"/>
  <c r="N2684" i="1"/>
  <c r="N2685" i="1"/>
  <c r="N2686" i="1"/>
  <c r="N2687" i="1"/>
  <c r="N2688" i="1"/>
  <c r="N2689" i="1"/>
  <c r="N2690" i="1"/>
  <c r="N2691" i="1"/>
  <c r="N2692" i="1"/>
  <c r="N2693" i="1"/>
  <c r="N2694" i="1"/>
  <c r="N2695" i="1"/>
  <c r="N2696" i="1"/>
  <c r="N2697" i="1"/>
  <c r="N2698" i="1"/>
  <c r="N2699" i="1"/>
  <c r="N2700" i="1"/>
  <c r="N2701" i="1"/>
  <c r="N2702" i="1"/>
  <c r="N2703" i="1"/>
  <c r="N2704" i="1"/>
  <c r="N2705" i="1"/>
  <c r="N2706" i="1"/>
  <c r="N2707" i="1"/>
  <c r="N2708" i="1"/>
  <c r="N2709" i="1"/>
  <c r="N2710" i="1"/>
  <c r="N2711" i="1"/>
  <c r="N2712" i="1"/>
  <c r="N2713" i="1"/>
  <c r="N2714" i="1"/>
  <c r="N2715" i="1"/>
  <c r="N2716" i="1"/>
  <c r="N2717" i="1"/>
  <c r="N2718" i="1"/>
  <c r="N2719" i="1"/>
  <c r="N2720" i="1"/>
  <c r="N2721" i="1"/>
  <c r="N2722" i="1"/>
  <c r="N2723" i="1"/>
  <c r="N2724" i="1"/>
  <c r="N2725" i="1"/>
  <c r="N2726" i="1"/>
  <c r="N2727" i="1"/>
  <c r="N2728" i="1"/>
  <c r="N2729" i="1"/>
  <c r="N2730" i="1"/>
  <c r="N2731" i="1"/>
  <c r="N2732" i="1"/>
  <c r="N2733" i="1"/>
  <c r="N2734" i="1"/>
  <c r="N2735" i="1"/>
  <c r="N2736" i="1"/>
  <c r="N2737" i="1"/>
  <c r="N2738" i="1"/>
  <c r="N2739" i="1"/>
  <c r="N2740" i="1"/>
  <c r="N2741" i="1"/>
  <c r="N2742" i="1"/>
  <c r="N2743" i="1"/>
  <c r="N2744" i="1"/>
  <c r="N2745" i="1"/>
  <c r="N2746" i="1"/>
  <c r="N2747" i="1"/>
  <c r="N2748" i="1"/>
  <c r="N2749" i="1"/>
  <c r="N2750" i="1"/>
  <c r="N2751" i="1"/>
  <c r="N2752" i="1"/>
  <c r="N2753" i="1"/>
  <c r="N2754" i="1"/>
  <c r="N2755" i="1"/>
  <c r="N2756" i="1"/>
  <c r="N2757" i="1"/>
  <c r="N2758" i="1"/>
  <c r="N2759" i="1"/>
  <c r="N2760" i="1"/>
  <c r="N2761" i="1"/>
  <c r="N2762" i="1"/>
  <c r="N2763" i="1"/>
  <c r="N2764" i="1"/>
  <c r="N2765" i="1"/>
  <c r="N2766" i="1"/>
  <c r="N2767" i="1"/>
  <c r="N2768" i="1"/>
  <c r="N2769" i="1"/>
  <c r="N2770" i="1"/>
  <c r="N2771" i="1"/>
  <c r="N2772" i="1"/>
  <c r="N2773" i="1"/>
  <c r="N2774" i="1"/>
  <c r="N2775" i="1"/>
  <c r="N2776" i="1"/>
  <c r="N2777" i="1"/>
  <c r="N2778" i="1"/>
  <c r="N2779" i="1"/>
  <c r="N2780" i="1"/>
  <c r="N2781" i="1"/>
  <c r="N2782" i="1"/>
  <c r="N2783" i="1"/>
  <c r="N2784" i="1"/>
  <c r="N2785" i="1"/>
  <c r="N2786" i="1"/>
  <c r="N2787" i="1"/>
  <c r="N2788" i="1"/>
  <c r="N2789" i="1"/>
  <c r="N2790" i="1"/>
  <c r="N2791" i="1"/>
  <c r="N2792" i="1"/>
  <c r="N2793" i="1"/>
  <c r="N2794" i="1"/>
  <c r="N2795" i="1"/>
  <c r="N2796" i="1"/>
  <c r="N2797" i="1"/>
  <c r="N2798" i="1"/>
  <c r="N2799" i="1"/>
  <c r="N2800" i="1"/>
  <c r="N2801" i="1"/>
  <c r="N2802" i="1"/>
  <c r="N2803" i="1"/>
  <c r="N2804" i="1"/>
  <c r="N2805" i="1"/>
  <c r="N2806" i="1"/>
  <c r="N2807" i="1"/>
  <c r="N2808" i="1"/>
  <c r="N2809" i="1"/>
  <c r="N2810" i="1"/>
  <c r="N2811" i="1"/>
  <c r="N2812" i="1"/>
  <c r="N2813" i="1"/>
  <c r="N2814" i="1"/>
  <c r="N2815" i="1"/>
  <c r="N2816" i="1"/>
  <c r="N2817" i="1"/>
  <c r="N2818" i="1"/>
  <c r="N2819" i="1"/>
  <c r="N2820" i="1"/>
  <c r="N2821" i="1"/>
  <c r="N2822" i="1"/>
  <c r="N2823" i="1"/>
  <c r="N2824" i="1"/>
  <c r="N2825" i="1"/>
  <c r="N2826" i="1"/>
  <c r="N2827" i="1"/>
  <c r="N2828" i="1"/>
  <c r="N2829" i="1"/>
  <c r="N2830" i="1"/>
  <c r="N2831" i="1"/>
  <c r="N2832" i="1"/>
  <c r="N2833" i="1"/>
  <c r="N2834" i="1"/>
  <c r="N2835" i="1"/>
  <c r="N2836" i="1"/>
  <c r="N2837" i="1"/>
  <c r="N2838" i="1"/>
  <c r="N2839" i="1"/>
  <c r="N2840" i="1"/>
  <c r="N2841" i="1"/>
  <c r="N2842" i="1"/>
  <c r="N2843" i="1"/>
  <c r="N2844" i="1"/>
  <c r="N2845" i="1"/>
  <c r="N2846" i="1"/>
  <c r="N2847" i="1"/>
  <c r="N2848" i="1"/>
  <c r="N2849" i="1"/>
  <c r="N2850" i="1"/>
  <c r="N2851" i="1"/>
  <c r="N2852" i="1"/>
  <c r="N2853" i="1"/>
  <c r="N2854" i="1"/>
  <c r="N2855" i="1"/>
  <c r="N2856" i="1"/>
  <c r="N2857" i="1"/>
  <c r="N2858" i="1"/>
  <c r="N2859" i="1"/>
  <c r="N2860" i="1"/>
  <c r="N2861" i="1"/>
  <c r="N2862" i="1"/>
  <c r="N2863" i="1"/>
  <c r="N2864" i="1"/>
  <c r="N2865" i="1"/>
  <c r="N2866" i="1"/>
  <c r="N2867" i="1"/>
  <c r="N2868" i="1"/>
  <c r="N2869" i="1"/>
  <c r="N2870" i="1"/>
  <c r="N2871" i="1"/>
  <c r="N2872" i="1"/>
  <c r="N2873" i="1"/>
  <c r="N2874" i="1"/>
  <c r="N2875" i="1"/>
  <c r="N2876" i="1"/>
  <c r="N2877" i="1"/>
  <c r="N2878" i="1"/>
  <c r="N2879" i="1"/>
  <c r="N2880" i="1"/>
  <c r="N2881" i="1"/>
  <c r="N2882" i="1"/>
  <c r="N2883" i="1"/>
  <c r="N2884" i="1"/>
  <c r="N2885" i="1"/>
  <c r="N2886" i="1"/>
  <c r="N2887" i="1"/>
  <c r="N2888" i="1"/>
  <c r="N2889" i="1"/>
  <c r="N2890" i="1"/>
  <c r="N2891" i="1"/>
  <c r="N2892" i="1"/>
  <c r="N2893" i="1"/>
  <c r="N2894" i="1"/>
  <c r="N2895" i="1"/>
  <c r="N2896" i="1"/>
  <c r="N2897" i="1"/>
  <c r="N2898" i="1"/>
  <c r="N2899" i="1"/>
  <c r="N2900" i="1"/>
  <c r="N2901" i="1"/>
  <c r="N2903" i="1"/>
  <c r="N1003" i="1"/>
  <c r="N1004" i="1"/>
  <c r="N1005" i="1"/>
  <c r="N1006" i="1"/>
  <c r="N1007" i="1"/>
  <c r="N1008" i="1"/>
  <c r="N1010" i="1"/>
  <c r="N1011" i="1"/>
  <c r="N1012" i="1"/>
  <c r="N1013" i="1"/>
  <c r="N1014" i="1"/>
  <c r="N1015" i="1"/>
  <c r="N1016" i="1"/>
  <c r="N1017" i="1"/>
  <c r="N1018" i="1"/>
  <c r="N1019" i="1"/>
  <c r="N1020" i="1"/>
  <c r="N1021" i="1"/>
  <c r="N1022" i="1"/>
  <c r="N1023" i="1"/>
  <c r="N1024" i="1"/>
  <c r="N1025" i="1"/>
  <c r="N1026" i="1"/>
  <c r="N1027" i="1"/>
  <c r="N1028" i="1"/>
  <c r="N1029" i="1"/>
  <c r="N1030" i="1"/>
  <c r="N1031" i="1"/>
  <c r="N1032" i="1"/>
  <c r="N1033" i="1"/>
  <c r="N1034" i="1"/>
  <c r="N1035" i="1"/>
  <c r="N1036" i="1"/>
  <c r="N1037" i="1"/>
  <c r="N1038" i="1"/>
  <c r="N1039" i="1"/>
  <c r="N1040" i="1"/>
  <c r="N1041" i="1"/>
  <c r="N1042" i="1"/>
  <c r="N1043" i="1"/>
  <c r="N1044" i="1"/>
  <c r="N1045" i="1"/>
  <c r="N1047" i="1"/>
  <c r="N1048" i="1"/>
  <c r="N1049" i="1"/>
  <c r="N1050" i="1"/>
  <c r="N1051" i="1"/>
  <c r="N1052" i="1"/>
  <c r="N1053" i="1"/>
  <c r="N1054" i="1"/>
  <c r="N1055" i="1"/>
  <c r="N1056" i="1"/>
  <c r="N1057" i="1"/>
  <c r="N1058" i="1"/>
  <c r="N1059" i="1"/>
  <c r="N1060" i="1"/>
  <c r="N1061" i="1"/>
  <c r="N1062" i="1"/>
  <c r="N1063" i="1"/>
  <c r="N1064" i="1"/>
  <c r="N1065" i="1"/>
  <c r="N1066" i="1"/>
  <c r="N1067" i="1"/>
  <c r="N1068" i="1"/>
  <c r="N1069" i="1"/>
  <c r="N1070" i="1"/>
  <c r="N1071" i="1"/>
  <c r="N1072" i="1"/>
  <c r="N1073" i="1"/>
  <c r="N1074" i="1"/>
  <c r="N1075" i="1"/>
  <c r="N1076" i="1"/>
  <c r="N1077" i="1"/>
  <c r="N1078" i="1"/>
  <c r="N1079" i="1"/>
  <c r="N1080" i="1"/>
  <c r="N1081" i="1"/>
  <c r="N1082" i="1"/>
  <c r="N1083" i="1"/>
  <c r="N1084" i="1"/>
  <c r="N1085" i="1"/>
  <c r="N1086" i="1"/>
  <c r="N1087" i="1"/>
  <c r="N1088" i="1"/>
  <c r="N1089" i="1"/>
  <c r="N1090" i="1"/>
  <c r="N1091" i="1"/>
  <c r="N1092" i="1"/>
  <c r="N1093" i="1"/>
  <c r="N1094" i="1"/>
  <c r="N1095" i="1"/>
  <c r="N1096" i="1"/>
  <c r="N1097" i="1"/>
  <c r="N1098" i="1"/>
  <c r="N1099" i="1"/>
  <c r="N1100" i="1"/>
  <c r="N1101" i="1"/>
  <c r="N1102" i="1"/>
  <c r="N1103" i="1"/>
  <c r="N1104" i="1"/>
  <c r="N1105" i="1"/>
  <c r="N1106" i="1"/>
  <c r="N1107" i="1"/>
  <c r="N1108" i="1"/>
  <c r="N1109" i="1"/>
  <c r="N1110" i="1"/>
  <c r="N1111" i="1"/>
  <c r="N1112" i="1"/>
  <c r="N1113" i="1"/>
  <c r="N1114" i="1"/>
  <c r="N1115" i="1"/>
  <c r="N1116" i="1"/>
  <c r="N1117" i="1"/>
  <c r="N1118" i="1"/>
  <c r="N1119" i="1"/>
  <c r="N1120" i="1"/>
  <c r="N1121" i="1"/>
  <c r="N1122" i="1"/>
  <c r="N1123" i="1"/>
  <c r="N1124" i="1"/>
  <c r="N1125" i="1"/>
  <c r="N1126" i="1"/>
  <c r="N1127" i="1"/>
  <c r="N1128" i="1"/>
  <c r="N1129" i="1"/>
  <c r="N1130" i="1"/>
  <c r="N1131" i="1"/>
  <c r="N1132" i="1"/>
  <c r="N1133" i="1"/>
  <c r="N1134" i="1"/>
  <c r="N1135" i="1"/>
  <c r="N1136" i="1"/>
  <c r="N1137" i="1"/>
  <c r="N1138" i="1"/>
  <c r="N1139" i="1"/>
  <c r="N1140" i="1"/>
  <c r="N1141" i="1"/>
  <c r="N1142" i="1"/>
  <c r="N1143" i="1"/>
  <c r="N1144" i="1"/>
  <c r="N1145" i="1"/>
  <c r="N1146" i="1"/>
  <c r="N1147" i="1"/>
  <c r="N1148" i="1"/>
  <c r="N1149" i="1"/>
  <c r="N1150" i="1"/>
  <c r="N1151" i="1"/>
  <c r="N1152" i="1"/>
  <c r="N1153" i="1"/>
  <c r="N1154" i="1"/>
  <c r="N1155" i="1"/>
  <c r="N1156" i="1"/>
  <c r="N1157" i="1"/>
  <c r="N1158" i="1"/>
  <c r="N1159" i="1"/>
  <c r="N1160" i="1"/>
  <c r="N1161" i="1"/>
  <c r="N1162" i="1"/>
  <c r="N1163" i="1"/>
  <c r="N1164" i="1"/>
  <c r="N1165" i="1"/>
  <c r="N1166" i="1"/>
  <c r="N1167" i="1"/>
  <c r="N1168" i="1"/>
  <c r="N1169" i="1"/>
  <c r="N1170" i="1"/>
  <c r="N1171" i="1"/>
  <c r="N1172" i="1"/>
  <c r="N1173" i="1"/>
  <c r="N1174" i="1"/>
  <c r="N1175" i="1"/>
  <c r="N1176" i="1"/>
  <c r="N1177" i="1"/>
  <c r="N1178" i="1"/>
  <c r="N1179" i="1"/>
  <c r="N1180" i="1"/>
  <c r="N1181" i="1"/>
  <c r="N1182" i="1"/>
  <c r="N1183" i="1"/>
  <c r="N1184" i="1"/>
  <c r="N1185" i="1"/>
  <c r="N1186" i="1"/>
  <c r="N1187" i="1"/>
  <c r="N1188" i="1"/>
  <c r="N1189" i="1"/>
  <c r="N1191" i="1"/>
  <c r="N1193" i="1"/>
  <c r="N1194" i="1"/>
  <c r="N1195" i="1"/>
  <c r="N1196" i="1"/>
  <c r="N1197" i="1"/>
  <c r="N1198" i="1"/>
  <c r="N1199" i="1"/>
  <c r="N1200" i="1"/>
  <c r="N1201" i="1"/>
  <c r="N1202" i="1"/>
  <c r="N1203" i="1"/>
  <c r="N1204" i="1"/>
  <c r="N1205" i="1"/>
  <c r="N1206" i="1"/>
  <c r="N1207" i="1"/>
  <c r="N1208" i="1"/>
  <c r="N1209" i="1"/>
  <c r="N1210" i="1"/>
  <c r="N1211" i="1"/>
  <c r="N1212" i="1"/>
  <c r="N1213" i="1"/>
  <c r="N1214" i="1"/>
  <c r="N1215" i="1"/>
  <c r="N1216" i="1"/>
  <c r="N1217" i="1"/>
  <c r="N1218" i="1"/>
  <c r="N1219" i="1"/>
  <c r="N1220" i="1"/>
  <c r="N1221" i="1"/>
  <c r="N1222" i="1"/>
  <c r="N1223" i="1"/>
  <c r="N1224" i="1"/>
  <c r="N1225" i="1"/>
  <c r="N1226" i="1"/>
  <c r="N1227" i="1"/>
  <c r="N1228" i="1"/>
  <c r="N1229" i="1"/>
  <c r="N1230" i="1"/>
  <c r="N1231" i="1"/>
  <c r="N1232" i="1"/>
  <c r="N1233" i="1"/>
  <c r="N1234" i="1"/>
  <c r="N1235" i="1"/>
  <c r="N1236" i="1"/>
  <c r="N1237" i="1"/>
  <c r="N1238" i="1"/>
  <c r="N1239" i="1"/>
  <c r="N1240" i="1"/>
  <c r="N1241" i="1"/>
  <c r="N1242" i="1"/>
  <c r="N1243" i="1"/>
  <c r="N1244" i="1"/>
  <c r="N1245" i="1"/>
  <c r="N1246" i="1"/>
  <c r="N1247" i="1"/>
  <c r="N1248" i="1"/>
  <c r="N1249" i="1"/>
  <c r="N1250" i="1"/>
  <c r="N1251" i="1"/>
  <c r="N1252" i="1"/>
  <c r="N1253" i="1"/>
  <c r="N1254" i="1"/>
  <c r="N1255" i="1"/>
  <c r="N1256" i="1"/>
  <c r="N1257" i="1"/>
  <c r="N1258" i="1"/>
  <c r="N1259" i="1"/>
  <c r="N1260" i="1"/>
  <c r="N1261" i="1"/>
  <c r="N1262" i="1"/>
  <c r="N1263" i="1"/>
  <c r="N1264" i="1"/>
  <c r="N1265" i="1"/>
  <c r="N1266" i="1"/>
  <c r="N1267" i="1"/>
  <c r="N1268" i="1"/>
  <c r="N1269" i="1"/>
  <c r="N1270" i="1"/>
  <c r="N1271" i="1"/>
  <c r="N1272" i="1"/>
  <c r="N1273" i="1"/>
  <c r="N1274" i="1"/>
  <c r="N1275" i="1"/>
  <c r="N1276" i="1"/>
  <c r="N1277" i="1"/>
  <c r="N1278" i="1"/>
  <c r="N1279" i="1"/>
  <c r="N1280" i="1"/>
  <c r="N1281" i="1"/>
  <c r="N1282" i="1"/>
  <c r="N1283" i="1"/>
  <c r="N1284" i="1"/>
  <c r="N1285" i="1"/>
  <c r="N1286" i="1"/>
  <c r="N1287" i="1"/>
  <c r="N1288" i="1"/>
  <c r="N1289" i="1"/>
  <c r="N1290" i="1"/>
  <c r="N1291" i="1"/>
  <c r="N1292" i="1"/>
  <c r="N1293" i="1"/>
  <c r="N1294" i="1"/>
  <c r="N1295" i="1"/>
  <c r="N1296" i="1"/>
  <c r="N1297" i="1"/>
  <c r="N1298" i="1"/>
  <c r="N1299" i="1"/>
  <c r="N1300" i="1"/>
  <c r="N1301" i="1"/>
  <c r="N1302" i="1"/>
  <c r="N1303" i="1"/>
  <c r="N1304" i="1"/>
  <c r="N1305" i="1"/>
  <c r="N1306" i="1"/>
  <c r="N1307" i="1"/>
  <c r="N1308" i="1"/>
  <c r="N1309" i="1"/>
  <c r="N1310" i="1"/>
  <c r="N877" i="1"/>
  <c r="N878" i="1"/>
  <c r="N879" i="1"/>
  <c r="N880" i="1"/>
  <c r="N881" i="1"/>
  <c r="N882" i="1"/>
  <c r="N883" i="1"/>
  <c r="N884" i="1"/>
  <c r="N885" i="1"/>
  <c r="N886" i="1"/>
  <c r="N887" i="1"/>
  <c r="N888" i="1"/>
  <c r="N889" i="1"/>
  <c r="N890" i="1"/>
  <c r="N891" i="1"/>
  <c r="N893" i="1"/>
  <c r="N894" i="1"/>
  <c r="N895" i="1"/>
  <c r="N896" i="1"/>
  <c r="N897" i="1"/>
  <c r="N898" i="1"/>
  <c r="N899" i="1"/>
  <c r="N900" i="1"/>
  <c r="N901" i="1"/>
  <c r="N902" i="1"/>
  <c r="N903" i="1"/>
  <c r="N904" i="1"/>
  <c r="N905" i="1"/>
  <c r="N906" i="1"/>
  <c r="N907" i="1"/>
  <c r="N908" i="1"/>
  <c r="N909" i="1"/>
  <c r="N910" i="1"/>
  <c r="N911" i="1"/>
  <c r="N912" i="1"/>
  <c r="N913" i="1"/>
  <c r="N914" i="1"/>
  <c r="N915" i="1"/>
  <c r="N916" i="1"/>
  <c r="N917" i="1"/>
  <c r="N918" i="1"/>
  <c r="N919" i="1"/>
  <c r="N920" i="1"/>
  <c r="N921" i="1"/>
  <c r="N922" i="1"/>
  <c r="N923" i="1"/>
  <c r="N924" i="1"/>
  <c r="N925" i="1"/>
  <c r="N926" i="1"/>
  <c r="N927" i="1"/>
  <c r="N928" i="1"/>
  <c r="N929" i="1"/>
  <c r="N930" i="1"/>
  <c r="N931" i="1"/>
  <c r="N932" i="1"/>
  <c r="N933" i="1"/>
  <c r="N934" i="1"/>
  <c r="N935" i="1"/>
  <c r="N936" i="1"/>
  <c r="N937" i="1"/>
  <c r="N938" i="1"/>
  <c r="N939" i="1"/>
  <c r="N940" i="1"/>
  <c r="N941" i="1"/>
  <c r="N942" i="1"/>
  <c r="N943" i="1"/>
  <c r="N944" i="1"/>
  <c r="N945" i="1"/>
  <c r="N946" i="1"/>
  <c r="N947" i="1"/>
  <c r="N948" i="1"/>
  <c r="N949" i="1"/>
  <c r="N950" i="1"/>
  <c r="N951" i="1"/>
  <c r="N952" i="1"/>
  <c r="N953" i="1"/>
  <c r="N954" i="1"/>
  <c r="N955" i="1"/>
  <c r="N956" i="1"/>
  <c r="N957" i="1"/>
  <c r="N958" i="1"/>
  <c r="N959" i="1"/>
  <c r="N960" i="1"/>
  <c r="N961" i="1"/>
  <c r="N962" i="1"/>
  <c r="N963" i="1"/>
  <c r="N964" i="1"/>
  <c r="N965" i="1"/>
  <c r="N966" i="1"/>
  <c r="N967" i="1"/>
  <c r="N968" i="1"/>
  <c r="N969" i="1"/>
  <c r="N970" i="1"/>
  <c r="N971" i="1"/>
  <c r="N972" i="1"/>
  <c r="N973" i="1"/>
  <c r="N974" i="1"/>
  <c r="N975" i="1"/>
  <c r="N976" i="1"/>
  <c r="N977" i="1"/>
  <c r="N978" i="1"/>
  <c r="N979" i="1"/>
  <c r="N980" i="1"/>
  <c r="N981" i="1"/>
  <c r="N982" i="1"/>
  <c r="N983" i="1"/>
  <c r="N984" i="1"/>
  <c r="N985" i="1"/>
  <c r="N986" i="1"/>
  <c r="N987" i="1"/>
  <c r="N988" i="1"/>
  <c r="N989" i="1"/>
  <c r="N990" i="1"/>
  <c r="N991" i="1"/>
  <c r="N992" i="1"/>
  <c r="N993" i="1"/>
  <c r="N994" i="1"/>
  <c r="N995" i="1"/>
  <c r="N996" i="1"/>
  <c r="N997" i="1"/>
  <c r="N998" i="1"/>
  <c r="N999" i="1"/>
  <c r="N1000" i="1"/>
  <c r="N858" i="1"/>
  <c r="N859" i="1"/>
  <c r="N860" i="1"/>
  <c r="N861" i="1"/>
  <c r="N862" i="1"/>
  <c r="N863" i="1"/>
  <c r="N864" i="1"/>
  <c r="N865" i="1"/>
  <c r="N866" i="1"/>
  <c r="N867" i="1"/>
  <c r="N868" i="1"/>
  <c r="N869" i="1"/>
  <c r="N870" i="1"/>
  <c r="N871" i="1"/>
  <c r="N872" i="1"/>
  <c r="N873" i="1"/>
  <c r="N874" i="1"/>
  <c r="N875" i="1"/>
  <c r="N1613" i="1"/>
  <c r="N1009" i="1"/>
  <c r="N1002" i="1"/>
  <c r="N892" i="1"/>
  <c r="N685" i="1"/>
  <c r="N645" i="1"/>
  <c r="N410" i="1"/>
  <c r="N408" i="1"/>
  <c r="N181" i="1"/>
  <c r="N2902" i="1"/>
  <c r="N2001" i="1"/>
  <c r="N1622" i="1"/>
  <c r="N1595" i="1"/>
  <c r="N1451" i="1"/>
  <c r="N1190" i="1"/>
  <c r="N1046" i="1"/>
  <c r="N340" i="1"/>
  <c r="N225" i="1"/>
  <c r="N3118" i="1"/>
  <c r="N2904" i="1"/>
  <c r="N1001" i="1"/>
  <c r="N876" i="1"/>
  <c r="N3" i="1"/>
  <c r="N4" i="1"/>
  <c r="N5" i="1"/>
  <c r="N6" i="1"/>
  <c r="N7" i="1"/>
  <c r="N8" i="1"/>
  <c r="N9" i="1"/>
  <c r="N10" i="1"/>
  <c r="N11" i="1"/>
  <c r="N12" i="1"/>
  <c r="N13" i="1"/>
  <c r="N14" i="1"/>
  <c r="N15" i="1"/>
  <c r="N16" i="1"/>
  <c r="N17" i="1"/>
  <c r="N19" i="1"/>
  <c r="N20" i="1"/>
  <c r="N21" i="1"/>
  <c r="N22" i="1"/>
  <c r="N23" i="1"/>
  <c r="N24" i="1"/>
  <c r="N25" i="1"/>
  <c r="N26" i="1"/>
  <c r="N27" i="1"/>
  <c r="N28" i="1"/>
  <c r="N29" i="1"/>
  <c r="N30" i="1"/>
  <c r="N31" i="1"/>
  <c r="N32" i="1"/>
  <c r="N33" i="1"/>
  <c r="N34" i="1"/>
  <c r="N35" i="1"/>
  <c r="N36" i="1"/>
  <c r="N37" i="1"/>
  <c r="N38" i="1"/>
  <c r="N39" i="1"/>
  <c r="N40" i="1"/>
  <c r="N41" i="1"/>
  <c r="N42" i="1"/>
  <c r="N43" i="1"/>
  <c r="N44" i="1"/>
  <c r="N45" i="1"/>
  <c r="N46" i="1"/>
  <c r="N47" i="1"/>
  <c r="N48" i="1"/>
  <c r="N49" i="1"/>
  <c r="N50" i="1"/>
  <c r="N51" i="1"/>
  <c r="N52" i="1"/>
  <c r="N53" i="1"/>
  <c r="N54" i="1"/>
  <c r="N55" i="1"/>
  <c r="N56" i="1"/>
  <c r="N57" i="1"/>
  <c r="N58" i="1"/>
  <c r="N59" i="1"/>
  <c r="N60" i="1"/>
  <c r="N61" i="1"/>
  <c r="N62" i="1"/>
  <c r="N63" i="1"/>
  <c r="N64" i="1"/>
  <c r="N65" i="1"/>
  <c r="N66" i="1"/>
  <c r="N67" i="1"/>
  <c r="N68" i="1"/>
  <c r="N69" i="1"/>
  <c r="N70" i="1"/>
  <c r="N71" i="1"/>
  <c r="N72" i="1"/>
  <c r="N73" i="1"/>
  <c r="N74" i="1"/>
  <c r="N75" i="1"/>
  <c r="N76" i="1"/>
  <c r="N77" i="1"/>
  <c r="N78" i="1"/>
  <c r="N79" i="1"/>
  <c r="N80" i="1"/>
  <c r="N81" i="1"/>
  <c r="N82" i="1"/>
  <c r="N83" i="1"/>
  <c r="N84" i="1"/>
  <c r="N85" i="1"/>
  <c r="N86" i="1"/>
  <c r="N87" i="1"/>
  <c r="N88" i="1"/>
  <c r="N89" i="1"/>
  <c r="N90" i="1"/>
  <c r="N91" i="1"/>
  <c r="N92" i="1"/>
  <c r="N93" i="1"/>
  <c r="N94" i="1"/>
  <c r="N95" i="1"/>
  <c r="N96" i="1"/>
  <c r="N97" i="1"/>
  <c r="N98" i="1"/>
  <c r="N99" i="1"/>
  <c r="N100" i="1"/>
  <c r="N101" i="1"/>
  <c r="N102" i="1"/>
  <c r="N103" i="1"/>
  <c r="N104" i="1"/>
  <c r="N105" i="1"/>
  <c r="N106" i="1"/>
  <c r="N107" i="1"/>
  <c r="N108" i="1"/>
  <c r="N109" i="1"/>
  <c r="N110" i="1"/>
  <c r="N111" i="1"/>
  <c r="N112" i="1"/>
  <c r="N113" i="1"/>
  <c r="N114" i="1"/>
  <c r="N115" i="1"/>
  <c r="N116" i="1"/>
  <c r="N117" i="1"/>
  <c r="N118" i="1"/>
  <c r="N119" i="1"/>
  <c r="N120" i="1"/>
  <c r="N121" i="1"/>
  <c r="N122" i="1"/>
  <c r="N123" i="1"/>
  <c r="N124" i="1"/>
  <c r="N125" i="1"/>
  <c r="N126" i="1"/>
  <c r="N127" i="1"/>
  <c r="N128" i="1"/>
  <c r="N129" i="1"/>
  <c r="N130" i="1"/>
  <c r="N131" i="1"/>
  <c r="N132" i="1"/>
  <c r="N133" i="1"/>
  <c r="N134" i="1"/>
  <c r="N135" i="1"/>
  <c r="N136" i="1"/>
  <c r="N137" i="1"/>
  <c r="N138" i="1"/>
  <c r="N139" i="1"/>
  <c r="N140" i="1"/>
  <c r="N141" i="1"/>
  <c r="N142" i="1"/>
  <c r="N143" i="1"/>
  <c r="N144" i="1"/>
  <c r="N145" i="1"/>
  <c r="N146" i="1"/>
  <c r="N147" i="1"/>
  <c r="N148" i="1"/>
  <c r="N149" i="1"/>
  <c r="N150" i="1"/>
  <c r="N151" i="1"/>
  <c r="N152" i="1"/>
  <c r="N153" i="1"/>
  <c r="N154" i="1"/>
  <c r="N155" i="1"/>
  <c r="N156" i="1"/>
  <c r="N157" i="1"/>
  <c r="N158" i="1"/>
  <c r="N159" i="1"/>
  <c r="N160" i="1"/>
  <c r="N161" i="1"/>
  <c r="N162" i="1"/>
  <c r="N163" i="1"/>
  <c r="N164" i="1"/>
  <c r="N165" i="1"/>
  <c r="N166" i="1"/>
  <c r="N167" i="1"/>
  <c r="N168" i="1"/>
  <c r="N169" i="1"/>
  <c r="N170" i="1"/>
  <c r="N171" i="1"/>
  <c r="N172" i="1"/>
  <c r="N173" i="1"/>
  <c r="N174" i="1"/>
  <c r="N175" i="1"/>
  <c r="N176" i="1"/>
  <c r="N177" i="1"/>
  <c r="N178" i="1"/>
  <c r="N179" i="1"/>
  <c r="N180" i="1"/>
  <c r="N182" i="1"/>
  <c r="N183" i="1"/>
  <c r="N184" i="1"/>
  <c r="N185" i="1"/>
  <c r="N186" i="1"/>
  <c r="N187" i="1"/>
  <c r="N188" i="1"/>
  <c r="N189" i="1"/>
  <c r="N190" i="1"/>
  <c r="N191" i="1"/>
  <c r="N192" i="1"/>
  <c r="N193" i="1"/>
  <c r="N194" i="1"/>
  <c r="N195" i="1"/>
  <c r="N196" i="1"/>
  <c r="N197" i="1"/>
  <c r="N198" i="1"/>
  <c r="N199" i="1"/>
  <c r="N200" i="1"/>
  <c r="N201" i="1"/>
  <c r="N202" i="1"/>
  <c r="N203" i="1"/>
  <c r="N204" i="1"/>
  <c r="N205" i="1"/>
  <c r="N206" i="1"/>
  <c r="N207" i="1"/>
  <c r="N208" i="1"/>
  <c r="N209" i="1"/>
  <c r="N210" i="1"/>
  <c r="N211" i="1"/>
  <c r="N212" i="1"/>
  <c r="N213" i="1"/>
  <c r="N214" i="1"/>
  <c r="N215" i="1"/>
  <c r="N216" i="1"/>
  <c r="N217" i="1"/>
  <c r="N218" i="1"/>
  <c r="N219" i="1"/>
  <c r="N220" i="1"/>
  <c r="N221" i="1"/>
  <c r="N222" i="1"/>
  <c r="N223" i="1"/>
  <c r="N224" i="1"/>
  <c r="N226" i="1"/>
  <c r="N227" i="1"/>
  <c r="N228" i="1"/>
  <c r="N229" i="1"/>
  <c r="N230" i="1"/>
  <c r="N231" i="1"/>
  <c r="N232" i="1"/>
  <c r="N233" i="1"/>
  <c r="N234" i="1"/>
  <c r="N235" i="1"/>
  <c r="N236" i="1"/>
  <c r="N237" i="1"/>
  <c r="N238" i="1"/>
  <c r="N239" i="1"/>
  <c r="N240" i="1"/>
  <c r="N241" i="1"/>
  <c r="N242" i="1"/>
  <c r="N243" i="1"/>
  <c r="N244" i="1"/>
  <c r="N245" i="1"/>
  <c r="N246" i="1"/>
  <c r="N247" i="1"/>
  <c r="N248" i="1"/>
  <c r="N249" i="1"/>
  <c r="N250" i="1"/>
  <c r="N251" i="1"/>
  <c r="N252" i="1"/>
  <c r="N253" i="1"/>
  <c r="N254" i="1"/>
  <c r="N255" i="1"/>
  <c r="N256" i="1"/>
  <c r="N257" i="1"/>
  <c r="N258" i="1"/>
  <c r="N259" i="1"/>
  <c r="N260" i="1"/>
  <c r="N261" i="1"/>
  <c r="N262" i="1"/>
  <c r="N263" i="1"/>
  <c r="N264" i="1"/>
  <c r="N265" i="1"/>
  <c r="N266" i="1"/>
  <c r="N267" i="1"/>
  <c r="N268" i="1"/>
  <c r="N269" i="1"/>
  <c r="N270" i="1"/>
  <c r="N271" i="1"/>
  <c r="N272" i="1"/>
  <c r="N273" i="1"/>
  <c r="N274" i="1"/>
  <c r="N275" i="1"/>
  <c r="N276" i="1"/>
  <c r="N277" i="1"/>
  <c r="N278" i="1"/>
  <c r="N279" i="1"/>
  <c r="N280" i="1"/>
  <c r="N281" i="1"/>
  <c r="N282" i="1"/>
  <c r="N283" i="1"/>
  <c r="N284" i="1"/>
  <c r="N285" i="1"/>
  <c r="N286" i="1"/>
  <c r="N287" i="1"/>
  <c r="N288" i="1"/>
  <c r="N289" i="1"/>
  <c r="N290" i="1"/>
  <c r="N291" i="1"/>
  <c r="N292" i="1"/>
  <c r="N293" i="1"/>
  <c r="N294" i="1"/>
  <c r="N295" i="1"/>
  <c r="N296" i="1"/>
  <c r="N297" i="1"/>
  <c r="N298" i="1"/>
  <c r="N299" i="1"/>
  <c r="N300" i="1"/>
  <c r="N301" i="1"/>
  <c r="N302" i="1"/>
  <c r="N303" i="1"/>
  <c r="N304" i="1"/>
  <c r="N305" i="1"/>
  <c r="N306" i="1"/>
  <c r="N307" i="1"/>
  <c r="N308" i="1"/>
  <c r="N309" i="1"/>
  <c r="N310" i="1"/>
  <c r="N311" i="1"/>
  <c r="N312" i="1"/>
  <c r="N313" i="1"/>
  <c r="N314" i="1"/>
  <c r="N315" i="1"/>
  <c r="N316" i="1"/>
  <c r="N317" i="1"/>
  <c r="N318" i="1"/>
  <c r="N319" i="1"/>
  <c r="N320" i="1"/>
  <c r="N321" i="1"/>
  <c r="N322" i="1"/>
  <c r="N323" i="1"/>
  <c r="N324" i="1"/>
  <c r="N325" i="1"/>
  <c r="N326" i="1"/>
  <c r="N327" i="1"/>
  <c r="N328" i="1"/>
  <c r="N329" i="1"/>
  <c r="N330" i="1"/>
  <c r="N331" i="1"/>
  <c r="N332" i="1"/>
  <c r="N333" i="1"/>
  <c r="N334" i="1"/>
  <c r="N335" i="1"/>
  <c r="N336" i="1"/>
  <c r="N337" i="1"/>
  <c r="N338" i="1"/>
  <c r="N339" i="1"/>
  <c r="N341" i="1"/>
  <c r="N342" i="1"/>
  <c r="N343" i="1"/>
  <c r="N344" i="1"/>
  <c r="N345" i="1"/>
  <c r="N346" i="1"/>
  <c r="N347" i="1"/>
  <c r="N348" i="1"/>
  <c r="N349" i="1"/>
  <c r="N350" i="1"/>
  <c r="N351" i="1"/>
  <c r="N352" i="1"/>
  <c r="N353" i="1"/>
  <c r="N354" i="1"/>
  <c r="N355" i="1"/>
  <c r="N356" i="1"/>
  <c r="N357" i="1"/>
  <c r="N358" i="1"/>
  <c r="N359" i="1"/>
  <c r="N360" i="1"/>
  <c r="N361" i="1"/>
  <c r="N362" i="1"/>
  <c r="N363" i="1"/>
  <c r="N364" i="1"/>
  <c r="N365" i="1"/>
  <c r="N366" i="1"/>
  <c r="N367" i="1"/>
  <c r="N368" i="1"/>
  <c r="N369" i="1"/>
  <c r="N370" i="1"/>
  <c r="N371" i="1"/>
  <c r="N372" i="1"/>
  <c r="N373" i="1"/>
  <c r="N374" i="1"/>
  <c r="N375" i="1"/>
  <c r="N376" i="1"/>
  <c r="N377" i="1"/>
  <c r="N378" i="1"/>
  <c r="N379" i="1"/>
  <c r="N380" i="1"/>
  <c r="N381" i="1"/>
  <c r="N382" i="1"/>
  <c r="N383" i="1"/>
  <c r="N384" i="1"/>
  <c r="N385" i="1"/>
  <c r="N386" i="1"/>
  <c r="N387" i="1"/>
  <c r="N388" i="1"/>
  <c r="N389" i="1"/>
  <c r="N390" i="1"/>
  <c r="N391" i="1"/>
  <c r="N392" i="1"/>
  <c r="N393" i="1"/>
  <c r="N394" i="1"/>
  <c r="N395" i="1"/>
  <c r="N396" i="1"/>
  <c r="N397" i="1"/>
  <c r="N398" i="1"/>
  <c r="N399" i="1"/>
  <c r="N400" i="1"/>
  <c r="N401" i="1"/>
  <c r="N402" i="1"/>
  <c r="N403" i="1"/>
  <c r="N404" i="1"/>
  <c r="N405" i="1"/>
  <c r="N406" i="1"/>
  <c r="N407" i="1"/>
  <c r="N409" i="1"/>
  <c r="N411" i="1"/>
  <c r="N412" i="1"/>
  <c r="N413" i="1"/>
  <c r="N414" i="1"/>
  <c r="N415" i="1"/>
  <c r="N416" i="1"/>
  <c r="N417" i="1"/>
  <c r="N418" i="1"/>
  <c r="N419" i="1"/>
  <c r="N420" i="1"/>
  <c r="N421" i="1"/>
  <c r="N422" i="1"/>
  <c r="N423" i="1"/>
  <c r="N424" i="1"/>
  <c r="N425" i="1"/>
  <c r="N426" i="1"/>
  <c r="N427" i="1"/>
  <c r="N428" i="1"/>
  <c r="N429" i="1"/>
  <c r="N430" i="1"/>
  <c r="N431" i="1"/>
  <c r="N432" i="1"/>
  <c r="N433" i="1"/>
  <c r="N434" i="1"/>
  <c r="N435" i="1"/>
  <c r="N436" i="1"/>
  <c r="N437" i="1"/>
  <c r="N438" i="1"/>
  <c r="N439" i="1"/>
  <c r="N440" i="1"/>
  <c r="N441" i="1"/>
  <c r="N442" i="1"/>
  <c r="N443" i="1"/>
  <c r="N444" i="1"/>
  <c r="N445" i="1"/>
  <c r="N446" i="1"/>
  <c r="N447" i="1"/>
  <c r="N448" i="1"/>
  <c r="N449" i="1"/>
  <c r="N450" i="1"/>
  <c r="N451" i="1"/>
  <c r="N452" i="1"/>
  <c r="N453" i="1"/>
  <c r="N454" i="1"/>
  <c r="N455" i="1"/>
  <c r="N456" i="1"/>
  <c r="N457" i="1"/>
  <c r="N458" i="1"/>
  <c r="N459" i="1"/>
  <c r="N460" i="1"/>
  <c r="N461" i="1"/>
  <c r="N462" i="1"/>
  <c r="N463" i="1"/>
  <c r="N464" i="1"/>
  <c r="N465" i="1"/>
  <c r="N466" i="1"/>
  <c r="N467" i="1"/>
  <c r="N468" i="1"/>
  <c r="N469" i="1"/>
  <c r="N470" i="1"/>
  <c r="N471" i="1"/>
  <c r="N472" i="1"/>
  <c r="N473" i="1"/>
  <c r="N474" i="1"/>
  <c r="N475" i="1"/>
  <c r="N476" i="1"/>
  <c r="N477" i="1"/>
  <c r="N478" i="1"/>
  <c r="N479" i="1"/>
  <c r="N480" i="1"/>
  <c r="N481" i="1"/>
  <c r="N482" i="1"/>
  <c r="N483" i="1"/>
  <c r="N484" i="1"/>
  <c r="N485" i="1"/>
  <c r="N486" i="1"/>
  <c r="N487" i="1"/>
  <c r="N488" i="1"/>
  <c r="N489" i="1"/>
  <c r="N490" i="1"/>
  <c r="N491" i="1"/>
  <c r="N492" i="1"/>
  <c r="N493" i="1"/>
  <c r="N494" i="1"/>
  <c r="N495" i="1"/>
  <c r="N496" i="1"/>
  <c r="N497" i="1"/>
  <c r="N498" i="1"/>
  <c r="N499" i="1"/>
  <c r="N500" i="1"/>
  <c r="N501" i="1"/>
  <c r="N502" i="1"/>
  <c r="N503" i="1"/>
  <c r="N504" i="1"/>
  <c r="N505" i="1"/>
  <c r="N506" i="1"/>
  <c r="N507" i="1"/>
  <c r="N508" i="1"/>
  <c r="N509" i="1"/>
  <c r="N510" i="1"/>
  <c r="N511" i="1"/>
  <c r="N512" i="1"/>
  <c r="N513" i="1"/>
  <c r="N514" i="1"/>
  <c r="N515" i="1"/>
  <c r="N516" i="1"/>
  <c r="N517" i="1"/>
  <c r="N518" i="1"/>
  <c r="N519" i="1"/>
  <c r="N520" i="1"/>
  <c r="N521" i="1"/>
  <c r="N522" i="1"/>
  <c r="N523" i="1"/>
  <c r="N524" i="1"/>
  <c r="N525" i="1"/>
  <c r="N526" i="1"/>
  <c r="N527" i="1"/>
  <c r="N528" i="1"/>
  <c r="N529" i="1"/>
  <c r="N530" i="1"/>
  <c r="N531" i="1"/>
  <c r="N532" i="1"/>
  <c r="N533" i="1"/>
  <c r="N534" i="1"/>
  <c r="N535" i="1"/>
  <c r="N536" i="1"/>
  <c r="N537" i="1"/>
  <c r="N538" i="1"/>
  <c r="N539" i="1"/>
  <c r="N540" i="1"/>
  <c r="N541" i="1"/>
  <c r="N542" i="1"/>
  <c r="N543" i="1"/>
  <c r="N544" i="1"/>
  <c r="N545" i="1"/>
  <c r="N546" i="1"/>
  <c r="N547" i="1"/>
  <c r="N548" i="1"/>
  <c r="N549" i="1"/>
  <c r="N550" i="1"/>
  <c r="N551" i="1"/>
  <c r="N552" i="1"/>
  <c r="N553" i="1"/>
  <c r="N554" i="1"/>
  <c r="N555" i="1"/>
  <c r="N556" i="1"/>
  <c r="N557" i="1"/>
  <c r="N558" i="1"/>
  <c r="N559" i="1"/>
  <c r="N560" i="1"/>
  <c r="N561" i="1"/>
  <c r="N562" i="1"/>
  <c r="N563" i="1"/>
  <c r="N564" i="1"/>
  <c r="N565" i="1"/>
  <c r="N566" i="1"/>
  <c r="N567" i="1"/>
  <c r="N568" i="1"/>
  <c r="N569" i="1"/>
  <c r="N570" i="1"/>
  <c r="N571" i="1"/>
  <c r="N572" i="1"/>
  <c r="N573" i="1"/>
  <c r="N574" i="1"/>
  <c r="N575" i="1"/>
  <c r="N576" i="1"/>
  <c r="N577" i="1"/>
  <c r="N578" i="1"/>
  <c r="N579" i="1"/>
  <c r="N580" i="1"/>
  <c r="N581" i="1"/>
  <c r="N582" i="1"/>
  <c r="N583" i="1"/>
  <c r="N584" i="1"/>
  <c r="N585" i="1"/>
  <c r="N586" i="1"/>
  <c r="N587" i="1"/>
  <c r="N588" i="1"/>
  <c r="N589" i="1"/>
  <c r="N590" i="1"/>
  <c r="N591" i="1"/>
  <c r="N592" i="1"/>
  <c r="N593" i="1"/>
  <c r="N594" i="1"/>
  <c r="N595" i="1"/>
  <c r="N596" i="1"/>
  <c r="N597" i="1"/>
  <c r="N598" i="1"/>
  <c r="N599" i="1"/>
  <c r="N600" i="1"/>
  <c r="N601" i="1"/>
  <c r="N602" i="1"/>
  <c r="N603" i="1"/>
  <c r="N604" i="1"/>
  <c r="N605" i="1"/>
  <c r="N606" i="1"/>
  <c r="N607" i="1"/>
  <c r="N608" i="1"/>
  <c r="N609" i="1"/>
  <c r="N610" i="1"/>
  <c r="N611" i="1"/>
  <c r="N612" i="1"/>
  <c r="N613" i="1"/>
  <c r="N614" i="1"/>
  <c r="N615" i="1"/>
  <c r="N616" i="1"/>
  <c r="N617" i="1"/>
  <c r="N618" i="1"/>
  <c r="N619" i="1"/>
  <c r="N620" i="1"/>
  <c r="N621" i="1"/>
  <c r="N622" i="1"/>
  <c r="N623" i="1"/>
  <c r="N624" i="1"/>
  <c r="N625" i="1"/>
  <c r="N626" i="1"/>
  <c r="N627" i="1"/>
  <c r="N628" i="1"/>
  <c r="N629" i="1"/>
  <c r="N630" i="1"/>
  <c r="N631" i="1"/>
  <c r="N632" i="1"/>
  <c r="N633" i="1"/>
  <c r="N634" i="1"/>
  <c r="N635" i="1"/>
  <c r="N636" i="1"/>
  <c r="N637" i="1"/>
  <c r="N638" i="1"/>
  <c r="N639" i="1"/>
  <c r="N640" i="1"/>
  <c r="N641" i="1"/>
  <c r="N642" i="1"/>
  <c r="N643" i="1"/>
  <c r="N644" i="1"/>
  <c r="N646" i="1"/>
  <c r="N647" i="1"/>
  <c r="N648" i="1"/>
  <c r="N649" i="1"/>
  <c r="N650" i="1"/>
  <c r="N651" i="1"/>
  <c r="N652" i="1"/>
  <c r="N653" i="1"/>
  <c r="N654" i="1"/>
  <c r="N655" i="1"/>
  <c r="N656" i="1"/>
  <c r="N657" i="1"/>
  <c r="N658" i="1"/>
  <c r="N659" i="1"/>
  <c r="N660" i="1"/>
  <c r="N661" i="1"/>
  <c r="N662" i="1"/>
  <c r="N663" i="1"/>
  <c r="N664" i="1"/>
  <c r="N665" i="1"/>
  <c r="N666" i="1"/>
  <c r="N667" i="1"/>
  <c r="N668" i="1"/>
  <c r="N669" i="1"/>
  <c r="N670" i="1"/>
  <c r="N671" i="1"/>
  <c r="N672" i="1"/>
  <c r="N673" i="1"/>
  <c r="N674" i="1"/>
  <c r="N675" i="1"/>
  <c r="N676" i="1"/>
  <c r="N677" i="1"/>
  <c r="N678" i="1"/>
  <c r="N679" i="1"/>
  <c r="N680" i="1"/>
  <c r="N681" i="1"/>
  <c r="N682" i="1"/>
  <c r="N683" i="1"/>
  <c r="N684" i="1"/>
  <c r="N686" i="1"/>
  <c r="N687" i="1"/>
  <c r="N688" i="1"/>
  <c r="N689" i="1"/>
  <c r="N690" i="1"/>
  <c r="N691" i="1"/>
  <c r="N692" i="1"/>
  <c r="N693" i="1"/>
  <c r="N694" i="1"/>
  <c r="N695" i="1"/>
  <c r="N696" i="1"/>
  <c r="N697" i="1"/>
  <c r="N698" i="1"/>
  <c r="N699" i="1"/>
  <c r="N700" i="1"/>
  <c r="N701" i="1"/>
  <c r="N702" i="1"/>
  <c r="N703" i="1"/>
  <c r="N704" i="1"/>
  <c r="N705" i="1"/>
  <c r="N706" i="1"/>
  <c r="N707" i="1"/>
  <c r="N708" i="1"/>
  <c r="N709" i="1"/>
  <c r="N710" i="1"/>
  <c r="N711" i="1"/>
  <c r="N712" i="1"/>
  <c r="N713" i="1"/>
  <c r="N714" i="1"/>
  <c r="N715" i="1"/>
  <c r="N716" i="1"/>
  <c r="N717" i="1"/>
  <c r="N718" i="1"/>
  <c r="N719" i="1"/>
  <c r="N720" i="1"/>
  <c r="N721" i="1"/>
  <c r="N722" i="1"/>
  <c r="N723" i="1"/>
  <c r="N724" i="1"/>
  <c r="N725" i="1"/>
  <c r="N726" i="1"/>
  <c r="N727" i="1"/>
  <c r="N728" i="1"/>
  <c r="N729" i="1"/>
  <c r="N730" i="1"/>
  <c r="N731" i="1"/>
  <c r="N732" i="1"/>
  <c r="N733" i="1"/>
  <c r="N734" i="1"/>
  <c r="N735" i="1"/>
  <c r="N736" i="1"/>
  <c r="N737" i="1"/>
  <c r="N738" i="1"/>
  <c r="N739" i="1"/>
  <c r="N740" i="1"/>
  <c r="N741" i="1"/>
  <c r="N742" i="1"/>
  <c r="N743" i="1"/>
  <c r="N744" i="1"/>
  <c r="N745" i="1"/>
  <c r="N746" i="1"/>
  <c r="N747" i="1"/>
  <c r="N748" i="1"/>
  <c r="N749" i="1"/>
  <c r="N750" i="1"/>
  <c r="N751" i="1"/>
  <c r="N752" i="1"/>
  <c r="N753" i="1"/>
  <c r="N754" i="1"/>
  <c r="N755" i="1"/>
  <c r="N756" i="1"/>
  <c r="N757" i="1"/>
  <c r="N758" i="1"/>
  <c r="N759" i="1"/>
  <c r="N760" i="1"/>
  <c r="N761" i="1"/>
  <c r="N762" i="1"/>
  <c r="N763" i="1"/>
  <c r="N764" i="1"/>
  <c r="N765" i="1"/>
  <c r="N766" i="1"/>
  <c r="N767" i="1"/>
  <c r="N768" i="1"/>
  <c r="N769" i="1"/>
  <c r="N770" i="1"/>
  <c r="N771" i="1"/>
  <c r="N772" i="1"/>
  <c r="N773" i="1"/>
  <c r="N774" i="1"/>
  <c r="N775" i="1"/>
  <c r="N776" i="1"/>
  <c r="N777" i="1"/>
  <c r="N778" i="1"/>
  <c r="N779" i="1"/>
  <c r="N780" i="1"/>
  <c r="N781" i="1"/>
  <c r="N782" i="1"/>
  <c r="N783" i="1"/>
  <c r="N784" i="1"/>
  <c r="N785" i="1"/>
  <c r="N786" i="1"/>
  <c r="N787" i="1"/>
  <c r="N788" i="1"/>
  <c r="N789" i="1"/>
  <c r="N790" i="1"/>
  <c r="N791" i="1"/>
  <c r="N792" i="1"/>
  <c r="N793" i="1"/>
  <c r="N794" i="1"/>
  <c r="N795" i="1"/>
  <c r="N796" i="1"/>
  <c r="N797" i="1"/>
  <c r="N798" i="1"/>
  <c r="N799" i="1"/>
  <c r="N800" i="1"/>
  <c r="N801" i="1"/>
  <c r="N802" i="1"/>
  <c r="N803" i="1"/>
  <c r="N804" i="1"/>
  <c r="N805" i="1"/>
  <c r="N806" i="1"/>
  <c r="N807" i="1"/>
  <c r="N808" i="1"/>
  <c r="N809" i="1"/>
  <c r="N810" i="1"/>
  <c r="N811" i="1"/>
  <c r="N812" i="1"/>
  <c r="N813" i="1"/>
  <c r="N814" i="1"/>
  <c r="N815" i="1"/>
  <c r="N816" i="1"/>
  <c r="N817" i="1"/>
  <c r="N818" i="1"/>
  <c r="N819" i="1"/>
  <c r="N820" i="1"/>
  <c r="N821" i="1"/>
  <c r="N822" i="1"/>
  <c r="N823" i="1"/>
  <c r="N824" i="1"/>
  <c r="N825" i="1"/>
  <c r="N826" i="1"/>
  <c r="N827" i="1"/>
  <c r="N828" i="1"/>
  <c r="N829" i="1"/>
  <c r="N830" i="1"/>
  <c r="N831" i="1"/>
  <c r="N832" i="1"/>
  <c r="N833" i="1"/>
  <c r="N834" i="1"/>
  <c r="N835" i="1"/>
  <c r="N836" i="1"/>
  <c r="N837" i="1"/>
  <c r="N838" i="1"/>
  <c r="N839" i="1"/>
  <c r="N840" i="1"/>
  <c r="N841" i="1"/>
  <c r="N842" i="1"/>
  <c r="N843" i="1"/>
  <c r="N844" i="1"/>
  <c r="N845" i="1"/>
  <c r="N846" i="1"/>
  <c r="N847" i="1"/>
  <c r="N848" i="1"/>
  <c r="N849" i="1"/>
  <c r="N850" i="1"/>
  <c r="N851" i="1"/>
  <c r="N852" i="1"/>
  <c r="N853" i="1"/>
  <c r="N854" i="1"/>
  <c r="N855" i="1"/>
  <c r="N856" i="1"/>
  <c r="N857" i="1"/>
  <c r="N2" i="1"/>
  <c r="E5" i="20"/>
  <c r="C5" i="20"/>
  <c r="A5" i="20"/>
  <c r="G5" i="20" l="1"/>
  <c r="N18" i="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7BE06B20-ED9D-4947-95F6-E59B79BD2752}" keepAlive="1" name="Query - raw_order_lines_messy" description="Connection to the 'raw_order_lines_messy' query in the workbook." type="5" refreshedVersion="8" background="1" saveData="1">
    <dbPr connection="Provider=Microsoft.Mashup.OleDb.1;Data Source=$Workbook$;Location=raw_order_lines_messy;Extended Properties=&quot;&quot;" command="SELECT * FROM [raw_order_lines_messy]"/>
  </connection>
</connections>
</file>

<file path=xl/sharedStrings.xml><?xml version="1.0" encoding="utf-8"?>
<sst xmlns="http://schemas.openxmlformats.org/spreadsheetml/2006/main" count="20191" uniqueCount="1569">
  <si>
    <t>OrderLineID</t>
  </si>
  <si>
    <t>OrderID</t>
  </si>
  <si>
    <t>OrderDate</t>
  </si>
  <si>
    <t>CustomerID</t>
  </si>
  <si>
    <t>ProductID</t>
  </si>
  <si>
    <t>Quantity</t>
  </si>
  <si>
    <t>LineAmount</t>
  </si>
  <si>
    <t>ShipDate</t>
  </si>
  <si>
    <t>DeliveryDate</t>
  </si>
  <si>
    <t>Completed</t>
  </si>
  <si>
    <t>08/19/2025</t>
  </si>
  <si>
    <t>Returned</t>
  </si>
  <si>
    <t>Cancelled</t>
  </si>
  <si>
    <t>03/15/2025</t>
  </si>
  <si>
    <t>07/26/2025</t>
  </si>
  <si>
    <t>07/29/2025</t>
  </si>
  <si>
    <t>Pending</t>
  </si>
  <si>
    <t>10/18/2025</t>
  </si>
  <si>
    <t>07/27/2025</t>
  </si>
  <si>
    <t>08/29/2025</t>
  </si>
  <si>
    <t>07/24/2025</t>
  </si>
  <si>
    <t>03/27/2025</t>
  </si>
  <si>
    <t>06/20/2025</t>
  </si>
  <si>
    <t>10/25/2025</t>
  </si>
  <si>
    <t>05/16/2025</t>
  </si>
  <si>
    <t>05/14/2025</t>
  </si>
  <si>
    <t>05/13/2025</t>
  </si>
  <si>
    <t>01/30/2025</t>
  </si>
  <si>
    <t>01/31/2025</t>
  </si>
  <si>
    <t>08/26/2025</t>
  </si>
  <si>
    <t>04/15/2025</t>
  </si>
  <si>
    <t>04/21/2025</t>
  </si>
  <si>
    <t>04/14/2025</t>
  </si>
  <si>
    <t>04/13/2025</t>
  </si>
  <si>
    <t>04/29/2025</t>
  </si>
  <si>
    <t>04/28/2025</t>
  </si>
  <si>
    <t xml:space="preserve"> Pending </t>
  </si>
  <si>
    <t>08/31/2025</t>
  </si>
  <si>
    <t>12/20/2025</t>
  </si>
  <si>
    <t>12/22/2025</t>
  </si>
  <si>
    <t>09/20/2025</t>
  </si>
  <si>
    <t>09/23/2025</t>
  </si>
  <si>
    <t>10/15/2025</t>
  </si>
  <si>
    <t>09/29/2025</t>
  </si>
  <si>
    <t>01/13/2025</t>
  </si>
  <si>
    <t>10/24/2025</t>
  </si>
  <si>
    <t>08/13/2025</t>
  </si>
  <si>
    <t>01/21/2025</t>
  </si>
  <si>
    <t>01/29/2025</t>
  </si>
  <si>
    <t>07/21/2025</t>
  </si>
  <si>
    <t>12/15/2025</t>
  </si>
  <si>
    <t>10/19/2025</t>
  </si>
  <si>
    <t>03/29/2025</t>
  </si>
  <si>
    <t>08/27/2025</t>
  </si>
  <si>
    <t>05/29/2025</t>
  </si>
  <si>
    <t>09/25/2025</t>
  </si>
  <si>
    <t>02/26/2025</t>
  </si>
  <si>
    <t>02/23/2025</t>
  </si>
  <si>
    <t>09/19/2025</t>
  </si>
  <si>
    <t>07/18/2025</t>
  </si>
  <si>
    <t>07/19/2025</t>
  </si>
  <si>
    <t>07/20/2025</t>
  </si>
  <si>
    <t>12/18/2025</t>
  </si>
  <si>
    <t>12/19/2025</t>
  </si>
  <si>
    <t>12/26/2025</t>
  </si>
  <si>
    <t>12/21/2025</t>
  </si>
  <si>
    <t>09/15/2025</t>
  </si>
  <si>
    <t>02/15/2025</t>
  </si>
  <si>
    <t xml:space="preserve"> Completed </t>
  </si>
  <si>
    <t>04/20/2025</t>
  </si>
  <si>
    <t>02/13/2025</t>
  </si>
  <si>
    <t>03/31/2025</t>
  </si>
  <si>
    <t>09/27/2025</t>
  </si>
  <si>
    <t>09/17/2025</t>
  </si>
  <si>
    <t>09/18/2025</t>
  </si>
  <si>
    <t>09/21/2025</t>
  </si>
  <si>
    <t>03/16/2025</t>
  </si>
  <si>
    <t>08/24/2025</t>
  </si>
  <si>
    <t>07/16/2025</t>
  </si>
  <si>
    <t>08/20/2025</t>
  </si>
  <si>
    <t>12/28/2025</t>
  </si>
  <si>
    <t>12/24/2025</t>
  </si>
  <si>
    <t>12/25/2025</t>
  </si>
  <si>
    <t>11/29/2025</t>
  </si>
  <si>
    <t>10/30/2025</t>
  </si>
  <si>
    <t>05/17/2025</t>
  </si>
  <si>
    <t>05/23/2025</t>
  </si>
  <si>
    <t>07/13/2025</t>
  </si>
  <si>
    <t>07/15/2025</t>
  </si>
  <si>
    <t>12/13/2025</t>
  </si>
  <si>
    <t>12/23/2025</t>
  </si>
  <si>
    <t>12/16/2025</t>
  </si>
  <si>
    <t>04/27/2025</t>
  </si>
  <si>
    <t>04/30/2025</t>
  </si>
  <si>
    <t>01/14/2025</t>
  </si>
  <si>
    <t>01/16/2025</t>
  </si>
  <si>
    <t>09/14/2025</t>
  </si>
  <si>
    <t>03/28/2025</t>
  </si>
  <si>
    <t>09/30/2025</t>
  </si>
  <si>
    <t>02/20/2025</t>
  </si>
  <si>
    <t>05/20/2025</t>
  </si>
  <si>
    <t>05/21/2025</t>
  </si>
  <si>
    <t>10/20/2025</t>
  </si>
  <si>
    <t>10/13/2025</t>
  </si>
  <si>
    <t>05/22/2025</t>
  </si>
  <si>
    <t>05/26/2025</t>
  </si>
  <si>
    <t>08/18/2025</t>
  </si>
  <si>
    <t>03/21/2025</t>
  </si>
  <si>
    <t>03/14/2025</t>
  </si>
  <si>
    <t>08/21/2025</t>
  </si>
  <si>
    <t>11/23/2025</t>
  </si>
  <si>
    <t>05/15/2025</t>
  </si>
  <si>
    <t>11/18/2025</t>
  </si>
  <si>
    <t>06/16/2025</t>
  </si>
  <si>
    <t>06/13/2025</t>
  </si>
  <si>
    <t>04/22/2025</t>
  </si>
  <si>
    <t>11/13/2025</t>
  </si>
  <si>
    <t>11/24/2025</t>
  </si>
  <si>
    <t>06/27/2025</t>
  </si>
  <si>
    <t>06/30/2025</t>
  </si>
  <si>
    <t>10/26/2025</t>
  </si>
  <si>
    <t>10/29/2025</t>
  </si>
  <si>
    <t>06/26/2025</t>
  </si>
  <si>
    <t>06/22/2025</t>
  </si>
  <si>
    <t>09/22/2025</t>
  </si>
  <si>
    <t>04/17/2025</t>
  </si>
  <si>
    <t>04/16/2025</t>
  </si>
  <si>
    <t>07/28/2025</t>
  </si>
  <si>
    <t>10/23/2025</t>
  </si>
  <si>
    <t>08/17/2025</t>
  </si>
  <si>
    <t>06/18/2025</t>
  </si>
  <si>
    <t>03/24/2025</t>
  </si>
  <si>
    <t>03/19/2025</t>
  </si>
  <si>
    <t>04/19/2025</t>
  </si>
  <si>
    <t>02/14/2025</t>
  </si>
  <si>
    <t>04/23/2025</t>
  </si>
  <si>
    <t>10/16/2025</t>
  </si>
  <si>
    <t>06/28/2025</t>
  </si>
  <si>
    <t>02/16/2025</t>
  </si>
  <si>
    <t>11/14/2025</t>
  </si>
  <si>
    <t>01/28/2025</t>
  </si>
  <si>
    <t>03/20/2025</t>
  </si>
  <si>
    <t>11/22/2025</t>
  </si>
  <si>
    <t>12/29/2025</t>
  </si>
  <si>
    <t>12/31/2025</t>
  </si>
  <si>
    <t>06/14/2025</t>
  </si>
  <si>
    <t>11/17/2025</t>
  </si>
  <si>
    <t>02/27/2025</t>
  </si>
  <si>
    <t>05/24/2025</t>
  </si>
  <si>
    <t>08/16/2025</t>
  </si>
  <si>
    <t>08/30/2025</t>
  </si>
  <si>
    <t>04/25/2025</t>
  </si>
  <si>
    <t>06/24/2025</t>
  </si>
  <si>
    <t>02/18/2025</t>
  </si>
  <si>
    <t>03/23/2025</t>
  </si>
  <si>
    <t>11/26/2025</t>
  </si>
  <si>
    <t>03/17/2025</t>
  </si>
  <si>
    <t>01/22/2025</t>
  </si>
  <si>
    <t>11/28/2025</t>
  </si>
  <si>
    <t>07/22/2025</t>
  </si>
  <si>
    <t>08/23/2025</t>
  </si>
  <si>
    <t>01/27/2025</t>
  </si>
  <si>
    <t>03/18/2025</t>
  </si>
  <si>
    <t>03/25/2025</t>
  </si>
  <si>
    <t>03/22/2025</t>
  </si>
  <si>
    <t>07/17/2025</t>
  </si>
  <si>
    <t>09/26/2025</t>
  </si>
  <si>
    <t>04/18/2025</t>
  </si>
  <si>
    <t>05/31/2025</t>
  </si>
  <si>
    <t>07/23/2025</t>
  </si>
  <si>
    <t>06/23/2025</t>
  </si>
  <si>
    <t>06/17/2025</t>
  </si>
  <si>
    <t>03/13/2025</t>
  </si>
  <si>
    <t>06/21/2025</t>
  </si>
  <si>
    <t>01/20/2025</t>
  </si>
  <si>
    <t>08/15/2025</t>
  </si>
  <si>
    <t>09/24/2025</t>
  </si>
  <si>
    <t>04/26/2025</t>
  </si>
  <si>
    <t>04/24/2025</t>
  </si>
  <si>
    <t>08/22/2025</t>
  </si>
  <si>
    <t>12/27/2025</t>
  </si>
  <si>
    <t>11/16/2025</t>
  </si>
  <si>
    <t>01/15/2025</t>
  </si>
  <si>
    <t>06/25/2025</t>
  </si>
  <si>
    <t>02/17/2025</t>
  </si>
  <si>
    <t>02/19/2025</t>
  </si>
  <si>
    <t>01/19/2025</t>
  </si>
  <si>
    <t>01/26/2025</t>
  </si>
  <si>
    <t>02/21/2025</t>
  </si>
  <si>
    <t>08/14/2025</t>
  </si>
  <si>
    <t>12/30/2025</t>
  </si>
  <si>
    <t>09/16/2025</t>
  </si>
  <si>
    <t>11/15/2025</t>
  </si>
  <si>
    <t>01/25/2025</t>
  </si>
  <si>
    <t>12/17/2025</t>
  </si>
  <si>
    <t>10/14/2025</t>
  </si>
  <si>
    <t>06/19/2025</t>
  </si>
  <si>
    <t>02/25/2025</t>
  </si>
  <si>
    <t>06/15/2025</t>
  </si>
  <si>
    <t>cancelled</t>
  </si>
  <si>
    <t>05/19/2025</t>
  </si>
  <si>
    <t>11/27/2025</t>
  </si>
  <si>
    <t>01/17/2025</t>
  </si>
  <si>
    <t>03/26/2025</t>
  </si>
  <si>
    <t>05/28/2025</t>
  </si>
  <si>
    <t>05/30/2025</t>
  </si>
  <si>
    <t>02/24/2025</t>
  </si>
  <si>
    <t>07/14/2025</t>
  </si>
  <si>
    <t>11/21/2025</t>
  </si>
  <si>
    <t>07/30/2025</t>
  </si>
  <si>
    <t>01/24/2025</t>
  </si>
  <si>
    <t>11/30/2025</t>
  </si>
  <si>
    <t>03/30/2025</t>
  </si>
  <si>
    <t>10/31/2025</t>
  </si>
  <si>
    <t>01/23/2025</t>
  </si>
  <si>
    <t>08/28/2025</t>
  </si>
  <si>
    <t>12/14/2025</t>
  </si>
  <si>
    <t>09/28/2025</t>
  </si>
  <si>
    <t>09/13/2025</t>
  </si>
  <si>
    <t>10/28/2025</t>
  </si>
  <si>
    <t>10/27/2025</t>
  </si>
  <si>
    <t>10/17/2025</t>
  </si>
  <si>
    <t>07/25/2025</t>
  </si>
  <si>
    <t>02/28/2025</t>
  </si>
  <si>
    <t>05/27/2025</t>
  </si>
  <si>
    <t>07/31/2025</t>
  </si>
  <si>
    <t>11/19/2025</t>
  </si>
  <si>
    <t>11/25/2025</t>
  </si>
  <si>
    <t xml:space="preserve">Cancelled </t>
  </si>
  <si>
    <t>10/22/2025</t>
  </si>
  <si>
    <t>01/18/2025</t>
  </si>
  <si>
    <t>10/21/2025</t>
  </si>
  <si>
    <t>06/29/2025</t>
  </si>
  <si>
    <t>02/22/2025</t>
  </si>
  <si>
    <t>08/25/2025</t>
  </si>
  <si>
    <t>11/20/2025</t>
  </si>
  <si>
    <t>05/25/2025</t>
  </si>
  <si>
    <t>03/02/2025</t>
  </si>
  <si>
    <t>02/05/2025</t>
  </si>
  <si>
    <t>08.02.2025</t>
  </si>
  <si>
    <t>2025-08-19</t>
  </si>
  <si>
    <t>2025-08-20</t>
  </si>
  <si>
    <t>30/08/2025</t>
  </si>
  <si>
    <t>22/08/2025</t>
  </si>
  <si>
    <t>2025-08-30</t>
  </si>
  <si>
    <t>10/05/2025</t>
  </si>
  <si>
    <t>10/06/2025</t>
  </si>
  <si>
    <t>12/10/2025</t>
  </si>
  <si>
    <t>2025-02-26</t>
  </si>
  <si>
    <t>30/05/2025</t>
  </si>
  <si>
    <t>31/05/2025</t>
  </si>
  <si>
    <t>2025-06-08</t>
  </si>
  <si>
    <t>11.03.2025</t>
  </si>
  <si>
    <t>12.03.2025</t>
  </si>
  <si>
    <t>05.08.2025</t>
  </si>
  <si>
    <t>13.09.2025</t>
  </si>
  <si>
    <t>2025-09-15</t>
  </si>
  <si>
    <t>2025-09-24</t>
  </si>
  <si>
    <t>2025-11-04</t>
  </si>
  <si>
    <t>22/05/2025</t>
  </si>
  <si>
    <t>2025-05-25</t>
  </si>
  <si>
    <t>2025-05-26</t>
  </si>
  <si>
    <t>21/10/2025</t>
  </si>
  <si>
    <t>24/10/2025</t>
  </si>
  <si>
    <t>2025-10-18</t>
  </si>
  <si>
    <t>21.10.2025</t>
  </si>
  <si>
    <t>27.10.2025</t>
  </si>
  <si>
    <t>29/07/2025</t>
  </si>
  <si>
    <t>05/08/2025</t>
  </si>
  <si>
    <t>27.08.2025</t>
  </si>
  <si>
    <t>29.08.2025</t>
  </si>
  <si>
    <t>04/09/2025</t>
  </si>
  <si>
    <t>27/08/2025</t>
  </si>
  <si>
    <t>30.08.2025</t>
  </si>
  <si>
    <t>31/07/2025</t>
  </si>
  <si>
    <t>25/12/2025</t>
  </si>
  <si>
    <t>26.12.2025</t>
  </si>
  <si>
    <t>27/12/2025</t>
  </si>
  <si>
    <t>2025-03-30</t>
  </si>
  <si>
    <t>02/04/2025</t>
  </si>
  <si>
    <t>08.06.2025</t>
  </si>
  <si>
    <t>06/10/2025</t>
  </si>
  <si>
    <t>2025-06-10</t>
  </si>
  <si>
    <t>2025-06-15</t>
  </si>
  <si>
    <t>2025-02-08</t>
  </si>
  <si>
    <t>02/09/2025</t>
  </si>
  <si>
    <t>2025-02-17</t>
  </si>
  <si>
    <t>2025-02-09</t>
  </si>
  <si>
    <t>19/02/2025</t>
  </si>
  <si>
    <t>25.02.2025</t>
  </si>
  <si>
    <t>26/02/2025</t>
  </si>
  <si>
    <t>25/02/2025</t>
  </si>
  <si>
    <t>28.02.2025</t>
  </si>
  <si>
    <t>07.03.2025</t>
  </si>
  <si>
    <t>2025-08-10</t>
  </si>
  <si>
    <t>13/05/2025</t>
  </si>
  <si>
    <t>15.05.2025</t>
  </si>
  <si>
    <t>22.05.2025</t>
  </si>
  <si>
    <t>2025-05-13</t>
  </si>
  <si>
    <t>26.05.2025</t>
  </si>
  <si>
    <t>2025-05-16</t>
  </si>
  <si>
    <t>19/05/2025</t>
  </si>
  <si>
    <t>29/01/2025</t>
  </si>
  <si>
    <t>30/01/2025</t>
  </si>
  <si>
    <t>2025-02-07</t>
  </si>
  <si>
    <t>29.01.2025</t>
  </si>
  <si>
    <t>05.02.2025</t>
  </si>
  <si>
    <t>2025-11-09</t>
  </si>
  <si>
    <t>11/11/2025</t>
  </si>
  <si>
    <t>16.11.2025</t>
  </si>
  <si>
    <t>10.11.2025</t>
  </si>
  <si>
    <t>04/02/2025</t>
  </si>
  <si>
    <t>31/08/2025</t>
  </si>
  <si>
    <t>2025-08-31</t>
  </si>
  <si>
    <t>08.09.2025</t>
  </si>
  <si>
    <t>03/04/2025</t>
  </si>
  <si>
    <t>06.03.2025</t>
  </si>
  <si>
    <t>10.03.2025</t>
  </si>
  <si>
    <t>04/03/2025</t>
  </si>
  <si>
    <t>05.03.2025</t>
  </si>
  <si>
    <t>2025-03-06</t>
  </si>
  <si>
    <t>03/11/2025</t>
  </si>
  <si>
    <t>20.06.2025</t>
  </si>
  <si>
    <t>23.06.2025</t>
  </si>
  <si>
    <t>30/06/2025</t>
  </si>
  <si>
    <t>29/06/2025</t>
  </si>
  <si>
    <t>01.07.2025</t>
  </si>
  <si>
    <t>06.07.2025</t>
  </si>
  <si>
    <t>2025-06-29</t>
  </si>
  <si>
    <t>02/07/2025</t>
  </si>
  <si>
    <t>07/02/2025</t>
  </si>
  <si>
    <t>07/07/2025</t>
  </si>
  <si>
    <t>14.04.2025</t>
  </si>
  <si>
    <t>2025-04-19</t>
  </si>
  <si>
    <t>14/04/2025</t>
  </si>
  <si>
    <t>15.04.2025</t>
  </si>
  <si>
    <t>17.04.2025</t>
  </si>
  <si>
    <t>2025-04-28</t>
  </si>
  <si>
    <t>29.04.2025</t>
  </si>
  <si>
    <t>02.05.2025</t>
  </si>
  <si>
    <t>28.04.2025</t>
  </si>
  <si>
    <t>05.05.2025</t>
  </si>
  <si>
    <t>2025-04-30</t>
  </si>
  <si>
    <t>05/05/2025</t>
  </si>
  <si>
    <t>2025-10-23</t>
  </si>
  <si>
    <t>20/08/2025</t>
  </si>
  <si>
    <t>21/08/2025</t>
  </si>
  <si>
    <t>12/08/2025</t>
  </si>
  <si>
    <t>2025-12-09</t>
  </si>
  <si>
    <t>14/12/2025</t>
  </si>
  <si>
    <t>23.12.2025</t>
  </si>
  <si>
    <t>2026-01-01</t>
  </si>
  <si>
    <t>20/12/2025</t>
  </si>
  <si>
    <t>25.12.2025</t>
  </si>
  <si>
    <t>23/12/2025</t>
  </si>
  <si>
    <t>2025-10-09</t>
  </si>
  <si>
    <t>12.10.2025</t>
  </si>
  <si>
    <t>13.10.2025</t>
  </si>
  <si>
    <t>09/10/2025</t>
  </si>
  <si>
    <t>2025-10-11</t>
  </si>
  <si>
    <t>14/10/2025</t>
  </si>
  <si>
    <t>02/01/2025</t>
  </si>
  <si>
    <t>05/01/2025</t>
  </si>
  <si>
    <t>06/01/2025</t>
  </si>
  <si>
    <t>31.10.2025</t>
  </si>
  <si>
    <t>02/11/2025</t>
  </si>
  <si>
    <t>11/08/2025</t>
  </si>
  <si>
    <t>10/03/2025</t>
  </si>
  <si>
    <t>11/10/2025</t>
  </si>
  <si>
    <t>13/10/2025</t>
  </si>
  <si>
    <t>15.10.2025</t>
  </si>
  <si>
    <t>11.10.2025</t>
  </si>
  <si>
    <t>19/10/2025</t>
  </si>
  <si>
    <t>10/12/2025</t>
  </si>
  <si>
    <t>05.12.2025</t>
  </si>
  <si>
    <t>2025-12-08</t>
  </si>
  <si>
    <t>17/12/2025</t>
  </si>
  <si>
    <t>2025-12-05</t>
  </si>
  <si>
    <t>09.12.2025</t>
  </si>
  <si>
    <t>27/09/2025</t>
  </si>
  <si>
    <t>09.10.2025</t>
  </si>
  <si>
    <t>2025-01-30</t>
  </si>
  <si>
    <t>01/02/2025</t>
  </si>
  <si>
    <t>09/02/2025</t>
  </si>
  <si>
    <t>12/09/2025</t>
  </si>
  <si>
    <t>01.09.2025</t>
  </si>
  <si>
    <t>2025-09-07</t>
  </si>
  <si>
    <t>02.09.2025</t>
  </si>
  <si>
    <t>04.09.2025</t>
  </si>
  <si>
    <t>03/01/2025</t>
  </si>
  <si>
    <t>06.01.2025</t>
  </si>
  <si>
    <t>14.01.2025</t>
  </si>
  <si>
    <t>2025-01-06</t>
  </si>
  <si>
    <t>15/10/2025</t>
  </si>
  <si>
    <t>2025-04-02</t>
  </si>
  <si>
    <t>05/04/2025</t>
  </si>
  <si>
    <t>13.04.2025</t>
  </si>
  <si>
    <t>10.08.2025</t>
  </si>
  <si>
    <t>2025-08-16</t>
  </si>
  <si>
    <t>18.08.2025</t>
  </si>
  <si>
    <t>08/10/2025</t>
  </si>
  <si>
    <t>22.08.2025</t>
  </si>
  <si>
    <t>11/04/2025</t>
  </si>
  <si>
    <t>2025-04-13</t>
  </si>
  <si>
    <t>23.04.2025</t>
  </si>
  <si>
    <t>30/09/2025</t>
  </si>
  <si>
    <t>03/10/2025</t>
  </si>
  <si>
    <t>04.10.2025</t>
  </si>
  <si>
    <t>02/10/2025</t>
  </si>
  <si>
    <t>2025-10-04</t>
  </si>
  <si>
    <t>30.09.2025</t>
  </si>
  <si>
    <t>01/10/2025</t>
  </si>
  <si>
    <t>05.10.2025</t>
  </si>
  <si>
    <t>04/12/2025</t>
  </si>
  <si>
    <t>12/07/2025</t>
  </si>
  <si>
    <t>12/04/2025</t>
  </si>
  <si>
    <t>05/12/2025</t>
  </si>
  <si>
    <t>13/12/2025</t>
  </si>
  <si>
    <t>23/01/2025</t>
  </si>
  <si>
    <t>08.07.2025</t>
  </si>
  <si>
    <t>07/11/2025</t>
  </si>
  <si>
    <t>04/07/2025</t>
  </si>
  <si>
    <t>2025-07-06</t>
  </si>
  <si>
    <t>07/04/2025</t>
  </si>
  <si>
    <t>07.07.2025</t>
  </si>
  <si>
    <t>10.07.2025</t>
  </si>
  <si>
    <t>04.07.2025</t>
  </si>
  <si>
    <t>06/07/2025</t>
  </si>
  <si>
    <t>2025-12-13</t>
  </si>
  <si>
    <t>18/02/2025</t>
  </si>
  <si>
    <t>11.02.2025</t>
  </si>
  <si>
    <t>14/02/2025</t>
  </si>
  <si>
    <t>08/02/2025</t>
  </si>
  <si>
    <t>17.10.2025</t>
  </si>
  <si>
    <t>19.12.2025</t>
  </si>
  <si>
    <t>22.12.2025</t>
  </si>
  <si>
    <t>2025-12-29</t>
  </si>
  <si>
    <t>24.08.2025</t>
  </si>
  <si>
    <t>29/08/2025</t>
  </si>
  <si>
    <t>02/03/2025</t>
  </si>
  <si>
    <t>2025-03-10</t>
  </si>
  <si>
    <t>14.05.2025</t>
  </si>
  <si>
    <t>2025-05-15</t>
  </si>
  <si>
    <t>2025-03-27</t>
  </si>
  <si>
    <t>28.03.2025</t>
  </si>
  <si>
    <t>2025-04-06</t>
  </si>
  <si>
    <t>27.03.2025</t>
  </si>
  <si>
    <t>29/03/2025</t>
  </si>
  <si>
    <t>2025-04-03</t>
  </si>
  <si>
    <t>2025-08-27</t>
  </si>
  <si>
    <t>12/02/2025</t>
  </si>
  <si>
    <t>12/03/2025</t>
  </si>
  <si>
    <t>02.12.2025</t>
  </si>
  <si>
    <t>12/05/2025</t>
  </si>
  <si>
    <t>11.12.2025</t>
  </si>
  <si>
    <t>08.12.2025</t>
  </si>
  <si>
    <t>18/12/2025</t>
  </si>
  <si>
    <t>31.05.2025</t>
  </si>
  <si>
    <t>29.05.2025</t>
  </si>
  <si>
    <t>2025-06-01</t>
  </si>
  <si>
    <t>09/06/2025</t>
  </si>
  <si>
    <t>08/04/2025</t>
  </si>
  <si>
    <t>08/05/2025</t>
  </si>
  <si>
    <t>07.08.2025</t>
  </si>
  <si>
    <t>17.02.2025</t>
  </si>
  <si>
    <t>2025-07-26</t>
  </si>
  <si>
    <t>28.07.2025</t>
  </si>
  <si>
    <t>2025-07-27</t>
  </si>
  <si>
    <t>06/08/2025</t>
  </si>
  <si>
    <t>05/11/2025</t>
  </si>
  <si>
    <t>06/11/2025</t>
  </si>
  <si>
    <t>06.09.2025</t>
  </si>
  <si>
    <t>24/09/2025</t>
  </si>
  <si>
    <t>26/09/2025</t>
  </si>
  <si>
    <t>2025-10-05</t>
  </si>
  <si>
    <t>2025-02-23</t>
  </si>
  <si>
    <t>2025-02-24</t>
  </si>
  <si>
    <t>2025-03-02</t>
  </si>
  <si>
    <t>2025-03-05</t>
  </si>
  <si>
    <t>12.08.2025</t>
  </si>
  <si>
    <t>2025-08-14</t>
  </si>
  <si>
    <t>15/08/2025</t>
  </si>
  <si>
    <t>19.09.2025</t>
  </si>
  <si>
    <t>20/09/2025</t>
  </si>
  <si>
    <t>22.09.2025</t>
  </si>
  <si>
    <t>20.09.2025</t>
  </si>
  <si>
    <t>27.09.2025</t>
  </si>
  <si>
    <t>25/09/2025</t>
  </si>
  <si>
    <t>21.09.2025</t>
  </si>
  <si>
    <t>28/09/2025</t>
  </si>
  <si>
    <t>11.06.2025</t>
  </si>
  <si>
    <t>14/06/2025</t>
  </si>
  <si>
    <t>2025-06-22</t>
  </si>
  <si>
    <t>26/07/2025</t>
  </si>
  <si>
    <t>2025-07-18</t>
  </si>
  <si>
    <t>19.07.2025</t>
  </si>
  <si>
    <t>2025-07-20</t>
  </si>
  <si>
    <t>18.07.2025</t>
  </si>
  <si>
    <t>2025-07-19</t>
  </si>
  <si>
    <t>2025-02-03</t>
  </si>
  <si>
    <t>04.02.2025</t>
  </si>
  <si>
    <t>03.02.2025</t>
  </si>
  <si>
    <t>06/02/2025</t>
  </si>
  <si>
    <t>2025-02-14</t>
  </si>
  <si>
    <t>16/04/2025</t>
  </si>
  <si>
    <t>28.08.2025</t>
  </si>
  <si>
    <t>09.09.2025</t>
  </si>
  <si>
    <t>18.12.2025</t>
  </si>
  <si>
    <t>21.12.2025</t>
  </si>
  <si>
    <t>30/12/2025</t>
  </si>
  <si>
    <t>11/02/2025</t>
  </si>
  <si>
    <t>03.11.2025</t>
  </si>
  <si>
    <t>2025-09-12</t>
  </si>
  <si>
    <t>2025-09-14</t>
  </si>
  <si>
    <t>15/09/2025</t>
  </si>
  <si>
    <t>12.09.2025</t>
  </si>
  <si>
    <t>26.09.2025</t>
  </si>
  <si>
    <t>09.02.2025</t>
  </si>
  <si>
    <t>06.02.2025</t>
  </si>
  <si>
    <t>02/12/2025</t>
  </si>
  <si>
    <t>2025-02-06</t>
  </si>
  <si>
    <t>2025-02-13</t>
  </si>
  <si>
    <t>2025-02-05</t>
  </si>
  <si>
    <t>2025-02-10</t>
  </si>
  <si>
    <t>21.07.2025</t>
  </si>
  <si>
    <t>26.07.2025</t>
  </si>
  <si>
    <t>18/07/2025</t>
  </si>
  <si>
    <t>25/07/2025</t>
  </si>
  <si>
    <t>28/04/2025</t>
  </si>
  <si>
    <t>20.04.2025</t>
  </si>
  <si>
    <t>2025-04-21</t>
  </si>
  <si>
    <t>2025-04-23</t>
  </si>
  <si>
    <t>18/06/2025</t>
  </si>
  <si>
    <t>22.06.2025</t>
  </si>
  <si>
    <t>10/02/2025</t>
  </si>
  <si>
    <t>2025-11-03</t>
  </si>
  <si>
    <t>2025-03-21</t>
  </si>
  <si>
    <t>22/03/2025</t>
  </si>
  <si>
    <t>25/03/2025</t>
  </si>
  <si>
    <t>02/06/2025</t>
  </si>
  <si>
    <t>2025-04-26</t>
  </si>
  <si>
    <t>27.04.2025</t>
  </si>
  <si>
    <t>05/02/2025</t>
  </si>
  <si>
    <t>26/04/2025</t>
  </si>
  <si>
    <t>2025-07-08</t>
  </si>
  <si>
    <t>16/07/2025</t>
  </si>
  <si>
    <t>01.04.2025</t>
  </si>
  <si>
    <t>02.04.2025</t>
  </si>
  <si>
    <t>10/04/2025</t>
  </si>
  <si>
    <t>31.03.2025</t>
  </si>
  <si>
    <t>03.04.2025</t>
  </si>
  <si>
    <t>2025-04-04</t>
  </si>
  <si>
    <t>24.09.2025</t>
  </si>
  <si>
    <t>2025-09-25</t>
  </si>
  <si>
    <t>19.05.2025</t>
  </si>
  <si>
    <t>2025-05-21</t>
  </si>
  <si>
    <t>07/05/2025</t>
  </si>
  <si>
    <t>2025-07-12</t>
  </si>
  <si>
    <t>05/07/2025</t>
  </si>
  <si>
    <t>16.07.2025</t>
  </si>
  <si>
    <t>2025-07-11</t>
  </si>
  <si>
    <t>04.01.2025</t>
  </si>
  <si>
    <t>01/08/2025</t>
  </si>
  <si>
    <t>2025-09-17</t>
  </si>
  <si>
    <t>17/09/2025</t>
  </si>
  <si>
    <t>28.12.2025</t>
  </si>
  <si>
    <t>2025-12-31</t>
  </si>
  <si>
    <t>04.01.2026</t>
  </si>
  <si>
    <t>01/05/2025</t>
  </si>
  <si>
    <t>06.05.2025</t>
  </si>
  <si>
    <t>2025-03-08</t>
  </si>
  <si>
    <t>13.03.2025</t>
  </si>
  <si>
    <t>08.03.2025</t>
  </si>
  <si>
    <t>2025-03-09</t>
  </si>
  <si>
    <t>14.03.2025</t>
  </si>
  <si>
    <t>11/03/2025</t>
  </si>
  <si>
    <t>01/06/2025</t>
  </si>
  <si>
    <t>2025-01-07</t>
  </si>
  <si>
    <t>16.01.2025</t>
  </si>
  <si>
    <t>21.08.2025</t>
  </si>
  <si>
    <t>09/01/2025</t>
  </si>
  <si>
    <t>29/09/2025</t>
  </si>
  <si>
    <t>19/07/2025</t>
  </si>
  <si>
    <t>28/07/2025</t>
  </si>
  <si>
    <t>16/05/2025</t>
  </si>
  <si>
    <t>18.05.2025</t>
  </si>
  <si>
    <t>20.05.2025</t>
  </si>
  <si>
    <t>25/05/2025</t>
  </si>
  <si>
    <t>2025-05-18</t>
  </si>
  <si>
    <t>2025-05-24</t>
  </si>
  <si>
    <t>19/08/2025</t>
  </si>
  <si>
    <t>2025-04-05</t>
  </si>
  <si>
    <t>2025-04-11</t>
  </si>
  <si>
    <t>05.04.2025</t>
  </si>
  <si>
    <t>06.04.2025</t>
  </si>
  <si>
    <t>04/08/2025</t>
  </si>
  <si>
    <t>14/09/2025</t>
  </si>
  <si>
    <t>17.09.2025</t>
  </si>
  <si>
    <t>25.09.2025</t>
  </si>
  <si>
    <t>2025-08-26</t>
  </si>
  <si>
    <t>2025-08-29</t>
  </si>
  <si>
    <t>05.09.2025</t>
  </si>
  <si>
    <t>26/08/2025</t>
  </si>
  <si>
    <t>17.12.2025</t>
  </si>
  <si>
    <t>2025-12-17</t>
  </si>
  <si>
    <t>2025-12-21</t>
  </si>
  <si>
    <t>2025-10-14</t>
  </si>
  <si>
    <t>19.10.2025</t>
  </si>
  <si>
    <t>2025-12-23</t>
  </si>
  <si>
    <t>03/01/2026</t>
  </si>
  <si>
    <t>08.04.2025</t>
  </si>
  <si>
    <t>2025-04-12</t>
  </si>
  <si>
    <t>2025-04-08</t>
  </si>
  <si>
    <t>04/10/2025</t>
  </si>
  <si>
    <t>2025-09-18</t>
  </si>
  <si>
    <t>2025-09-20</t>
  </si>
  <si>
    <t>2025-11-28</t>
  </si>
  <si>
    <t>29.11.2025</t>
  </si>
  <si>
    <t>28/11/2025</t>
  </si>
  <si>
    <t>09/08/2025</t>
  </si>
  <si>
    <t>11.08.2025</t>
  </si>
  <si>
    <t>2025-05-08</t>
  </si>
  <si>
    <t>2025-05-11</t>
  </si>
  <si>
    <t>17/05/2025</t>
  </si>
  <si>
    <t>05/09/2025</t>
  </si>
  <si>
    <t>2025-05-12</t>
  </si>
  <si>
    <t>09/05/2025</t>
  </si>
  <si>
    <t>11.09.2025</t>
  </si>
  <si>
    <t>2025-10-22</t>
  </si>
  <si>
    <t>25/10/2025</t>
  </si>
  <si>
    <t>23/10/2025</t>
  </si>
  <si>
    <t>29.10.2025</t>
  </si>
  <si>
    <t>2025-10-25</t>
  </si>
  <si>
    <t>02.11.2025</t>
  </si>
  <si>
    <t>22/10/2025</t>
  </si>
  <si>
    <t>2025-06-30</t>
  </si>
  <si>
    <t>03/07/2025</t>
  </si>
  <si>
    <t>05.07.2025</t>
  </si>
  <si>
    <t>21.04.2025</t>
  </si>
  <si>
    <t>03.05.2025</t>
  </si>
  <si>
    <t>02.10.2025</t>
  </si>
  <si>
    <t>27/05/2025</t>
  </si>
  <si>
    <t>22.07.2025</t>
  </si>
  <si>
    <t>21/04/2025</t>
  </si>
  <si>
    <t>22/04/2025</t>
  </si>
  <si>
    <t>16.04.2025</t>
  </si>
  <si>
    <t>24/04/2025</t>
  </si>
  <si>
    <t>2025-04-17</t>
  </si>
  <si>
    <t>2025-04-22</t>
  </si>
  <si>
    <t>2025-12-16</t>
  </si>
  <si>
    <t>13.12.2025</t>
  </si>
  <si>
    <t>09.03.2025</t>
  </si>
  <si>
    <t>2025-05-02</t>
  </si>
  <si>
    <t>2025-01-15</t>
  </si>
  <si>
    <t>2025-01-14</t>
  </si>
  <si>
    <t>16/01/2025</t>
  </si>
  <si>
    <t>17.01.2025</t>
  </si>
  <si>
    <t>21.01.2025</t>
  </si>
  <si>
    <t>15.01.2025</t>
  </si>
  <si>
    <t>07.11.2025</t>
  </si>
  <si>
    <t>2025-11-08</t>
  </si>
  <si>
    <t>2025-11-17</t>
  </si>
  <si>
    <t>2025-03-26</t>
  </si>
  <si>
    <t>2025-11-11</t>
  </si>
  <si>
    <t>04/11/2025</t>
  </si>
  <si>
    <t>19.04.2025</t>
  </si>
  <si>
    <t>2025-10-17</t>
  </si>
  <si>
    <t>2025-10-15</t>
  </si>
  <si>
    <t>20.10.2025</t>
  </si>
  <si>
    <t>29.09.2025</t>
  </si>
  <si>
    <t>2025-10-01</t>
  </si>
  <si>
    <t>2025-02-20</t>
  </si>
  <si>
    <t>2025-02-12</t>
  </si>
  <si>
    <t>10.02.2025</t>
  </si>
  <si>
    <t>17/06/2025</t>
  </si>
  <si>
    <t>17.06.2025</t>
  </si>
  <si>
    <t>01.03.2025</t>
  </si>
  <si>
    <t>2025-03-01</t>
  </si>
  <si>
    <t>2025-02-04</t>
  </si>
  <si>
    <t>2025-01-29</t>
  </si>
  <si>
    <t>26.04.2025</t>
  </si>
  <si>
    <t>2025-04-29</t>
  </si>
  <si>
    <t>05/03/2025</t>
  </si>
  <si>
    <t>2025-05-30</t>
  </si>
  <si>
    <t>16/09/2025</t>
  </si>
  <si>
    <t>2025-09-26</t>
  </si>
  <si>
    <t>19/09/2025</t>
  </si>
  <si>
    <t>2025-10-16</t>
  </si>
  <si>
    <t>02.01.2025</t>
  </si>
  <si>
    <t>04/01/2025</t>
  </si>
  <si>
    <t>10.01.2025</t>
  </si>
  <si>
    <t>2025-05-22</t>
  </si>
  <si>
    <t>28.05.2025</t>
  </si>
  <si>
    <t>23.05.2025</t>
  </si>
  <si>
    <t>03/12/2025</t>
  </si>
  <si>
    <t>2025-03-11</t>
  </si>
  <si>
    <t>14.08.2025</t>
  </si>
  <si>
    <t>2025-04-10</t>
  </si>
  <si>
    <t>11.04.2025</t>
  </si>
  <si>
    <t>18.04.2025</t>
  </si>
  <si>
    <t>2025-11-21</t>
  </si>
  <si>
    <t>2025-11-25</t>
  </si>
  <si>
    <t>12.05.2025</t>
  </si>
  <si>
    <t>2025-11-10</t>
  </si>
  <si>
    <t>12.11.2025</t>
  </si>
  <si>
    <t>17/11/2025</t>
  </si>
  <si>
    <t>10/11/2025</t>
  </si>
  <si>
    <t>11/12/2025</t>
  </si>
  <si>
    <t>21.11.2025</t>
  </si>
  <si>
    <t>2025-11-12</t>
  </si>
  <si>
    <t>02.02.2025</t>
  </si>
  <si>
    <t>02/02/2025</t>
  </si>
  <si>
    <t>12/06/2025</t>
  </si>
  <si>
    <t>13/06/2025</t>
  </si>
  <si>
    <t>06/12/2025</t>
  </si>
  <si>
    <t>12.06.2025</t>
  </si>
  <si>
    <t>2025-01-09</t>
  </si>
  <si>
    <t>12/01/2025</t>
  </si>
  <si>
    <t>20/01/2025</t>
  </si>
  <si>
    <t>2025-01-11</t>
  </si>
  <si>
    <t>15/01/2025</t>
  </si>
  <si>
    <t>09.01.2025</t>
  </si>
  <si>
    <t>01/11/2025</t>
  </si>
  <si>
    <t>2025-01-18</t>
  </si>
  <si>
    <t>11.01.2025</t>
  </si>
  <si>
    <t>01/04/2025</t>
  </si>
  <si>
    <t>01/07/2025</t>
  </si>
  <si>
    <t>2025-01-04</t>
  </si>
  <si>
    <t>10/01/2025</t>
  </si>
  <si>
    <t>02.03.2025</t>
  </si>
  <si>
    <t>2025-03-12</t>
  </si>
  <si>
    <t>2025-03-03</t>
  </si>
  <si>
    <t>22/06/2025</t>
  </si>
  <si>
    <t>10/08/2025</t>
  </si>
  <si>
    <t>2025-02-02</t>
  </si>
  <si>
    <t>2025-04-18</t>
  </si>
  <si>
    <t>01.05.2025</t>
  </si>
  <si>
    <t>20/04/2025</t>
  </si>
  <si>
    <t>30/04/2025</t>
  </si>
  <si>
    <t>2025-05-10</t>
  </si>
  <si>
    <t>13.05.2025</t>
  </si>
  <si>
    <t>2025-09-29</t>
  </si>
  <si>
    <t>01.10.2025</t>
  </si>
  <si>
    <t>11/07/2025</t>
  </si>
  <si>
    <t>15/11/2025</t>
  </si>
  <si>
    <t>13.02.2025</t>
  </si>
  <si>
    <t>2025-02-16</t>
  </si>
  <si>
    <t>2025-08-15</t>
  </si>
  <si>
    <t>2025-08-17</t>
  </si>
  <si>
    <t>31/03/2025</t>
  </si>
  <si>
    <t>2025-09-21</t>
  </si>
  <si>
    <t>2025-09-22</t>
  </si>
  <si>
    <t>12/12/2025</t>
  </si>
  <si>
    <t>2025-06-25</t>
  </si>
  <si>
    <t>2025-07-03</t>
  </si>
  <si>
    <t>25.06.2025</t>
  </si>
  <si>
    <t>26.06.2025</t>
  </si>
  <si>
    <t>27.06.2025</t>
  </si>
  <si>
    <t>29.06.2025</t>
  </si>
  <si>
    <t>2025-06-26</t>
  </si>
  <si>
    <t>14/07/2025</t>
  </si>
  <si>
    <t>15/07/2025</t>
  </si>
  <si>
    <t>24.07.2025</t>
  </si>
  <si>
    <t>06.12.2025</t>
  </si>
  <si>
    <t>24.01.2025</t>
  </si>
  <si>
    <t>2025-01-24</t>
  </si>
  <si>
    <t>27/01/2025</t>
  </si>
  <si>
    <t>20/06/2025</t>
  </si>
  <si>
    <t>27/06/2025</t>
  </si>
  <si>
    <t>2025-07-01</t>
  </si>
  <si>
    <t>03.07.2025</t>
  </si>
  <si>
    <t>07/01/2025</t>
  </si>
  <si>
    <t>2025-06-24</t>
  </si>
  <si>
    <t>25/06/2025</t>
  </si>
  <si>
    <t>12.04.2025</t>
  </si>
  <si>
    <t>15/04/2025</t>
  </si>
  <si>
    <t>2025-05-14</t>
  </si>
  <si>
    <t>2025-09-30</t>
  </si>
  <si>
    <t>29/10/2025</t>
  </si>
  <si>
    <t>01/03/2025</t>
  </si>
  <si>
    <t>14/03/2025</t>
  </si>
  <si>
    <t>13/03/2025</t>
  </si>
  <si>
    <t>2025-04-24</t>
  </si>
  <si>
    <t>2025-10-08</t>
  </si>
  <si>
    <t>08.10.2025</t>
  </si>
  <si>
    <t>2025-10-10</t>
  </si>
  <si>
    <t>18.10.2025</t>
  </si>
  <si>
    <t>2025-07-25</t>
  </si>
  <si>
    <t>23.10.2025</t>
  </si>
  <si>
    <t>24.10.2025</t>
  </si>
  <si>
    <t>28/10/2025</t>
  </si>
  <si>
    <t>27/10/2025</t>
  </si>
  <si>
    <t>26.10.2025</t>
  </si>
  <si>
    <t>2025-10-12</t>
  </si>
  <si>
    <t>02.08.2025</t>
  </si>
  <si>
    <t>04.08.2025</t>
  </si>
  <si>
    <t>2025-08-13</t>
  </si>
  <si>
    <t>03/05/2025</t>
  </si>
  <si>
    <t>2025-05-04</t>
  </si>
  <si>
    <t>07.05.2025</t>
  </si>
  <si>
    <t>14.02.2025</t>
  </si>
  <si>
    <t>24/02/2025</t>
  </si>
  <si>
    <t>13/02/2025</t>
  </si>
  <si>
    <t>18.02.2025</t>
  </si>
  <si>
    <t>12.02.2025</t>
  </si>
  <si>
    <t>15.02.2025</t>
  </si>
  <si>
    <t>2025-02-25</t>
  </si>
  <si>
    <t>20/02/2025</t>
  </si>
  <si>
    <t>22.02.2025</t>
  </si>
  <si>
    <t>20.02.2025</t>
  </si>
  <si>
    <t>19.11.2025</t>
  </si>
  <si>
    <t>03/03/2025</t>
  </si>
  <si>
    <t>29/12/2025</t>
  </si>
  <si>
    <t>2025-12-30</t>
  </si>
  <si>
    <t>31/12/2025</t>
  </si>
  <si>
    <t>2025-06-20</t>
  </si>
  <si>
    <t>2025-10-06</t>
  </si>
  <si>
    <t>18/10/2025</t>
  </si>
  <si>
    <t>04.05.2025</t>
  </si>
  <si>
    <t>29/04/2025</t>
  </si>
  <si>
    <t>2025-07-14</t>
  </si>
  <si>
    <t>2025-03-24</t>
  </si>
  <si>
    <t>25.03.2025</t>
  </si>
  <si>
    <t>26.03.2025</t>
  </si>
  <si>
    <t>13.01.2025</t>
  </si>
  <si>
    <t>09.04.2025</t>
  </si>
  <si>
    <t>2025-09-27</t>
  </si>
  <si>
    <t>17/03/2025</t>
  </si>
  <si>
    <t>21/03/2025</t>
  </si>
  <si>
    <t>15.03.2025</t>
  </si>
  <si>
    <t>18/03/2025</t>
  </si>
  <si>
    <t>21.03.2025</t>
  </si>
  <si>
    <t>18.03.2025</t>
  </si>
  <si>
    <t>17/01/2025</t>
  </si>
  <si>
    <t>2025-10-28</t>
  </si>
  <si>
    <t>2025-12-02</t>
  </si>
  <si>
    <t>2025-12-14</t>
  </si>
  <si>
    <t>2025-12-12</t>
  </si>
  <si>
    <t>2025-04-25</t>
  </si>
  <si>
    <t>18/04/2025</t>
  </si>
  <si>
    <t>19/06/2025</t>
  </si>
  <si>
    <t>24/06/2025</t>
  </si>
  <si>
    <t>2025-06-28</t>
  </si>
  <si>
    <t>07.02.2025</t>
  </si>
  <si>
    <t>2025-10-31</t>
  </si>
  <si>
    <t>06.11.2025</t>
  </si>
  <si>
    <t>2025-11-02</t>
  </si>
  <si>
    <t>2025-02-11</t>
  </si>
  <si>
    <t>2025-01-22</t>
  </si>
  <si>
    <t>24/01/2025</t>
  </si>
  <si>
    <t>2025-01-26</t>
  </si>
  <si>
    <t>2025-04-20</t>
  </si>
  <si>
    <t>2025-03-17</t>
  </si>
  <si>
    <t>20/03/2025</t>
  </si>
  <si>
    <t>2025-09-01</t>
  </si>
  <si>
    <t>31/01/2025</t>
  </si>
  <si>
    <t>2025-06-03</t>
  </si>
  <si>
    <t>2025-06-02</t>
  </si>
  <si>
    <t>06/03/2025</t>
  </si>
  <si>
    <t>06/04/2025</t>
  </si>
  <si>
    <t>02.06.2025</t>
  </si>
  <si>
    <t>03/06/2025</t>
  </si>
  <si>
    <t>15/02/2025</t>
  </si>
  <si>
    <t>2025-02-15</t>
  </si>
  <si>
    <t>23.01.2025</t>
  </si>
  <si>
    <t>26.01.2025</t>
  </si>
  <si>
    <t>2025-02-01</t>
  </si>
  <si>
    <t>2025-07-07</t>
  </si>
  <si>
    <t>02.07.2025</t>
  </si>
  <si>
    <t>2025-07-04</t>
  </si>
  <si>
    <t>2025-01-12</t>
  </si>
  <si>
    <t>19/01/2025</t>
  </si>
  <si>
    <t>07/06/2025</t>
  </si>
  <si>
    <t>07.06.2025</t>
  </si>
  <si>
    <t>14.06.2025</t>
  </si>
  <si>
    <t>2025-04-09</t>
  </si>
  <si>
    <t>2025-04-15</t>
  </si>
  <si>
    <t>2025-05-01</t>
  </si>
  <si>
    <t>08/03/2025</t>
  </si>
  <si>
    <t>2025-03-13</t>
  </si>
  <si>
    <t>07.12.2025</t>
  </si>
  <si>
    <t>2025-12-04</t>
  </si>
  <si>
    <t>31.01.2025</t>
  </si>
  <si>
    <t>2025-01-02</t>
  </si>
  <si>
    <t>11/01/2025</t>
  </si>
  <si>
    <t>22/01/2025</t>
  </si>
  <si>
    <t>09/04/2025</t>
  </si>
  <si>
    <t>2025-04-01</t>
  </si>
  <si>
    <t>2025-03-29</t>
  </si>
  <si>
    <t>30/03/2025</t>
  </si>
  <si>
    <t>30.03.2025</t>
  </si>
  <si>
    <t>04/05/2025</t>
  </si>
  <si>
    <t>28/06/2025</t>
  </si>
  <si>
    <t>21.02.2025</t>
  </si>
  <si>
    <t>05.11.2025</t>
  </si>
  <si>
    <t>25/01/2025</t>
  </si>
  <si>
    <t>26/01/2025</t>
  </si>
  <si>
    <t>25.01.2025</t>
  </si>
  <si>
    <t>05/06/2025</t>
  </si>
  <si>
    <t>01.06.2025</t>
  </si>
  <si>
    <t>2025-11-16</t>
  </si>
  <si>
    <t>21/11/2025</t>
  </si>
  <si>
    <t>15.11.2025</t>
  </si>
  <si>
    <t>15/05/2025</t>
  </si>
  <si>
    <t>01.01.2026</t>
  </si>
  <si>
    <t>01/10/2026</t>
  </si>
  <si>
    <t>29/11/2025</t>
  </si>
  <si>
    <t>30/11/2025</t>
  </si>
  <si>
    <t>07/03/2025</t>
  </si>
  <si>
    <t>28/12/2025</t>
  </si>
  <si>
    <t>06/01/2026</t>
  </si>
  <si>
    <t>29.12.2025</t>
  </si>
  <si>
    <t>2026-01-07</t>
  </si>
  <si>
    <t>31.12.2025</t>
  </si>
  <si>
    <t>2026-01-06</t>
  </si>
  <si>
    <t>30/10/2025</t>
  </si>
  <si>
    <t>2025-11-01</t>
  </si>
  <si>
    <t>31/10/2025</t>
  </si>
  <si>
    <t>09.06.2025</t>
  </si>
  <si>
    <t>21.06.2025</t>
  </si>
  <si>
    <t>2025-06-13</t>
  </si>
  <si>
    <t>04/01/2026</t>
  </si>
  <si>
    <t>14.11.2025</t>
  </si>
  <si>
    <t>14/08/2025</t>
  </si>
  <si>
    <t>15.08.2025</t>
  </si>
  <si>
    <t>16.08.2025</t>
  </si>
  <si>
    <t>19.08.2025</t>
  </si>
  <si>
    <t>26.08.2025</t>
  </si>
  <si>
    <t>09/11/2025</t>
  </si>
  <si>
    <t>08/11/2025</t>
  </si>
  <si>
    <t>01/09/2025</t>
  </si>
  <si>
    <t>28.09.2025</t>
  </si>
  <si>
    <t>2025-07-09</t>
  </si>
  <si>
    <t>03.06.2025</t>
  </si>
  <si>
    <t>2025-06-04</t>
  </si>
  <si>
    <t>22/09/2025</t>
  </si>
  <si>
    <t>23.09.2025</t>
  </si>
  <si>
    <t>2025-06-21</t>
  </si>
  <si>
    <t>21/06/2025</t>
  </si>
  <si>
    <t>2025-06-16</t>
  </si>
  <si>
    <t>19.06.2025</t>
  </si>
  <si>
    <t>16.05.2025</t>
  </si>
  <si>
    <t>17.05.2025</t>
  </si>
  <si>
    <t>20/05/2025</t>
  </si>
  <si>
    <t>26.02.2025</t>
  </si>
  <si>
    <t>24/11/2025</t>
  </si>
  <si>
    <t>26.11.2025</t>
  </si>
  <si>
    <t>30.11.2025</t>
  </si>
  <si>
    <t>23/11/2025</t>
  </si>
  <si>
    <t>28.11.2025</t>
  </si>
  <si>
    <t>13/04/2025</t>
  </si>
  <si>
    <t>2025-10-30</t>
  </si>
  <si>
    <t>14.10.2025</t>
  </si>
  <si>
    <t>17/10/2025</t>
  </si>
  <si>
    <t>29/05/2025</t>
  </si>
  <si>
    <t>13.11.2025</t>
  </si>
  <si>
    <t>2025-11-13</t>
  </si>
  <si>
    <t>23/06/2025</t>
  </si>
  <si>
    <t>2025-07-21</t>
  </si>
  <si>
    <t>24/07/2025</t>
  </si>
  <si>
    <t>21/07/2025</t>
  </si>
  <si>
    <t>10/10/2025</t>
  </si>
  <si>
    <t>10/09/2025</t>
  </si>
  <si>
    <t>20.03.2025</t>
  </si>
  <si>
    <t>03/09/2025</t>
  </si>
  <si>
    <t>13/09/2025</t>
  </si>
  <si>
    <t>2025-04-07</t>
  </si>
  <si>
    <t>2025-08-02</t>
  </si>
  <si>
    <t>04/06/2025</t>
  </si>
  <si>
    <t>2025-09-04</t>
  </si>
  <si>
    <t>2025-09-05</t>
  </si>
  <si>
    <t>09/07/2025</t>
  </si>
  <si>
    <t>2025-07-10</t>
  </si>
  <si>
    <t>09.07.2025</t>
  </si>
  <si>
    <t>12.07.2025</t>
  </si>
  <si>
    <t>27/07/2025</t>
  </si>
  <si>
    <t>02/08/2025</t>
  </si>
  <si>
    <t>23.08.2025</t>
  </si>
  <si>
    <t>24/08/2025</t>
  </si>
  <si>
    <t>27.01.2025</t>
  </si>
  <si>
    <t>28/01/2025</t>
  </si>
  <si>
    <t>16/03/2025</t>
  </si>
  <si>
    <t>19.03.2025</t>
  </si>
  <si>
    <t>2025-10-21</t>
  </si>
  <si>
    <t>2025-11-06</t>
  </si>
  <si>
    <t>11/09/2025</t>
  </si>
  <si>
    <t>2025-07-17</t>
  </si>
  <si>
    <t>17/07/2025</t>
  </si>
  <si>
    <t>23/04/2025</t>
  </si>
  <si>
    <t>2025-02-22</t>
  </si>
  <si>
    <t>2025-11-30</t>
  </si>
  <si>
    <t>01/12/2025</t>
  </si>
  <si>
    <t>10.04.2025</t>
  </si>
  <si>
    <t>31.08.2025</t>
  </si>
  <si>
    <t>06/09/2025</t>
  </si>
  <si>
    <t>19/11/2025</t>
  </si>
  <si>
    <t>2025-03-19</t>
  </si>
  <si>
    <t>17.03.2025</t>
  </si>
  <si>
    <t>24.03.2025</t>
  </si>
  <si>
    <t>28/03/2025</t>
  </si>
  <si>
    <t>2025-10-26</t>
  </si>
  <si>
    <t>16.12.2025</t>
  </si>
  <si>
    <t>14.07.2025</t>
  </si>
  <si>
    <t>2025-05-05</t>
  </si>
  <si>
    <t>16/12/2025</t>
  </si>
  <si>
    <t>2025-12-22</t>
  </si>
  <si>
    <t>20.01.2025</t>
  </si>
  <si>
    <t>07.01.2025</t>
  </si>
  <si>
    <t>03.12.2025</t>
  </si>
  <si>
    <t>2025-12-07</t>
  </si>
  <si>
    <t>19.02.2025</t>
  </si>
  <si>
    <t>2026-01-08</t>
  </si>
  <si>
    <t>2025-10-03</t>
  </si>
  <si>
    <t>10/07/2025</t>
  </si>
  <si>
    <t>17.07.2025</t>
  </si>
  <si>
    <t>11.07.2025</t>
  </si>
  <si>
    <t>2025-07-13</t>
  </si>
  <si>
    <t>06/06/2025</t>
  </si>
  <si>
    <t>04.04.2025</t>
  </si>
  <si>
    <t>03.10.2025</t>
  </si>
  <si>
    <t>2025-04-16</t>
  </si>
  <si>
    <t>25/04/2025</t>
  </si>
  <si>
    <t>05/10/2025</t>
  </si>
  <si>
    <t>2025-07-22</t>
  </si>
  <si>
    <t>2025-08-01</t>
  </si>
  <si>
    <t>08/12/2025</t>
  </si>
  <si>
    <t>2025-12-06</t>
  </si>
  <si>
    <t>15.07.2025</t>
  </si>
  <si>
    <t>2025-07-23</t>
  </si>
  <si>
    <t>2025-07-29</t>
  </si>
  <si>
    <t>28/02/2025</t>
  </si>
  <si>
    <t>27/02/2025</t>
  </si>
  <si>
    <t>26/03/2025</t>
  </si>
  <si>
    <t>29.03.2025</t>
  </si>
  <si>
    <t>11.05.2025</t>
  </si>
  <si>
    <t>18/05/2025</t>
  </si>
  <si>
    <t>11/06/2025</t>
  </si>
  <si>
    <t>30.07.2025</t>
  </si>
  <si>
    <t>2025-08-25</t>
  </si>
  <si>
    <t>23.11.2025</t>
  </si>
  <si>
    <t>2025-12-03</t>
  </si>
  <si>
    <t>2025-08-04</t>
  </si>
  <si>
    <t>08/08/2025</t>
  </si>
  <si>
    <t>2025-05-09</t>
  </si>
  <si>
    <t>12/11/2025</t>
  </si>
  <si>
    <t>14/11/2025</t>
  </si>
  <si>
    <t>2025-11-19</t>
  </si>
  <si>
    <t>16.06.2025</t>
  </si>
  <si>
    <t>2025-01-10</t>
  </si>
  <si>
    <t>16.09.2025</t>
  </si>
  <si>
    <t>23/09/2025</t>
  </si>
  <si>
    <t>24.04.2025</t>
  </si>
  <si>
    <t>2025-05-06</t>
  </si>
  <si>
    <t>25.04.2025</t>
  </si>
  <si>
    <t>12.12.2025</t>
  </si>
  <si>
    <t>21/02/2025</t>
  </si>
  <si>
    <t>07/09/2025</t>
  </si>
  <si>
    <t>07/12/2025</t>
  </si>
  <si>
    <t>2025-02-21</t>
  </si>
  <si>
    <t>23/02/2025</t>
  </si>
  <si>
    <t>2025-03-23</t>
  </si>
  <si>
    <t>22.04.2025</t>
  </si>
  <si>
    <t>27/04/2025</t>
  </si>
  <si>
    <t>17.11.2025</t>
  </si>
  <si>
    <t>01/02/2026</t>
  </si>
  <si>
    <t>2025-12-27</t>
  </si>
  <si>
    <t>02/01/2026</t>
  </si>
  <si>
    <t>07/01/2026</t>
  </si>
  <si>
    <t>13/11/2025</t>
  </si>
  <si>
    <t>2025-11-14</t>
  </si>
  <si>
    <t>24.06.2025</t>
  </si>
  <si>
    <t>2025-09-19</t>
  </si>
  <si>
    <t>21/01/2025</t>
  </si>
  <si>
    <t>23.07.2025</t>
  </si>
  <si>
    <t>27.07.2025</t>
  </si>
  <si>
    <t>17/02/2025</t>
  </si>
  <si>
    <t>2025-03-07</t>
  </si>
  <si>
    <t>2025-12-11</t>
  </si>
  <si>
    <t>17/04/2025</t>
  </si>
  <si>
    <t>19/04/2025</t>
  </si>
  <si>
    <t>26/11/2025</t>
  </si>
  <si>
    <t>06.10.2025</t>
  </si>
  <si>
    <t>2025-08-08</t>
  </si>
  <si>
    <t>2025-08-12</t>
  </si>
  <si>
    <t>2025-05-31</t>
  </si>
  <si>
    <t>28.01.2025</t>
  </si>
  <si>
    <t>2025-02-18</t>
  </si>
  <si>
    <t>04/04/2025</t>
  </si>
  <si>
    <t>2025-08-03</t>
  </si>
  <si>
    <t>19/12/2025</t>
  </si>
  <si>
    <t>01/01/2026</t>
  </si>
  <si>
    <t>2025-12-28</t>
  </si>
  <si>
    <t>01/08/2026</t>
  </si>
  <si>
    <t>2025-01-08</t>
  </si>
  <si>
    <t>2025-01-13</t>
  </si>
  <si>
    <t>2025-03-16</t>
  </si>
  <si>
    <t>14.12.2025</t>
  </si>
  <si>
    <t>2025-07-05</t>
  </si>
  <si>
    <t>2025-05-07</t>
  </si>
  <si>
    <t>01.11.2025</t>
  </si>
  <si>
    <t>2026-01-04</t>
  </si>
  <si>
    <t>01/05/2026</t>
  </si>
  <si>
    <t>2025-01-17</t>
  </si>
  <si>
    <t>13/01/2025</t>
  </si>
  <si>
    <t>07.04.2025</t>
  </si>
  <si>
    <t>18.06.2025</t>
  </si>
  <si>
    <t>22.10.2025</t>
  </si>
  <si>
    <t>06/05/2025</t>
  </si>
  <si>
    <t>07/10/2025</t>
  </si>
  <si>
    <t>26/05/2025</t>
  </si>
  <si>
    <t>30.05.2025</t>
  </si>
  <si>
    <t>16/11/2025</t>
  </si>
  <si>
    <t>20/11/2025</t>
  </si>
  <si>
    <t>2025-11-15</t>
  </si>
  <si>
    <t>2025-11-18</t>
  </si>
  <si>
    <t>2025-10-07</t>
  </si>
  <si>
    <t>2025-01-23</t>
  </si>
  <si>
    <t>09/03/2025</t>
  </si>
  <si>
    <t>2025-09-03</t>
  </si>
  <si>
    <t>03/08/2025</t>
  </si>
  <si>
    <t>13/07/2025</t>
  </si>
  <si>
    <t>2025-07-16</t>
  </si>
  <si>
    <t>2025-10-24</t>
  </si>
  <si>
    <t>24/03/2025</t>
  </si>
  <si>
    <t>10.12.2025</t>
  </si>
  <si>
    <t>15/12/2025</t>
  </si>
  <si>
    <t>15.12.2025</t>
  </si>
  <si>
    <t>2025-12-25</t>
  </si>
  <si>
    <t>18/11/2025</t>
  </si>
  <si>
    <t>2026-01-09</t>
  </si>
  <si>
    <t>2025-05-17</t>
  </si>
  <si>
    <t>2025-05-19</t>
  </si>
  <si>
    <t>2025-12-15</t>
  </si>
  <si>
    <t>22/12/2025</t>
  </si>
  <si>
    <t>08/01/2025</t>
  </si>
  <si>
    <t>08.01.2025</t>
  </si>
  <si>
    <t>2025-04-27</t>
  </si>
  <si>
    <t>08/09/2025</t>
  </si>
  <si>
    <t>2025-09-28</t>
  </si>
  <si>
    <t>2025-10-02</t>
  </si>
  <si>
    <t>21.05.2025</t>
  </si>
  <si>
    <t>2025-06-14</t>
  </si>
  <si>
    <t>2025-07-30</t>
  </si>
  <si>
    <t>16/06/2025</t>
  </si>
  <si>
    <t>2025-10-27</t>
  </si>
  <si>
    <t>30.06.2025</t>
  </si>
  <si>
    <t>24.02.2025</t>
  </si>
  <si>
    <t>27.02.2025</t>
  </si>
  <si>
    <t>2025-01-31</t>
  </si>
  <si>
    <t>2025-09-13</t>
  </si>
  <si>
    <t>2025-03-18</t>
  </si>
  <si>
    <t>08.01.2026</t>
  </si>
  <si>
    <t>2025-01-25</t>
  </si>
  <si>
    <t>2025-09-09</t>
  </si>
  <si>
    <t>27.05.2025</t>
  </si>
  <si>
    <t>2025-08-11</t>
  </si>
  <si>
    <t>22/02/2025</t>
  </si>
  <si>
    <t>01.08.2025</t>
  </si>
  <si>
    <t>08/06/2025</t>
  </si>
  <si>
    <t>24.12.2025</t>
  </si>
  <si>
    <t>22.01.2025</t>
  </si>
  <si>
    <t>2025-09-11</t>
  </si>
  <si>
    <t>2025-09-16</t>
  </si>
  <si>
    <t>23.02.2025</t>
  </si>
  <si>
    <t>04.03.2025</t>
  </si>
  <si>
    <t>25.10.2025</t>
  </si>
  <si>
    <t>2025-07-02</t>
  </si>
  <si>
    <t>2025-10-19</t>
  </si>
  <si>
    <t>28.10.2025</t>
  </si>
  <si>
    <t>2025-06-12</t>
  </si>
  <si>
    <t>15.06.2025</t>
  </si>
  <si>
    <t>05.01.2026</t>
  </si>
  <si>
    <t>2026-01-05</t>
  </si>
  <si>
    <t>31.07.2025</t>
  </si>
  <si>
    <t>07.09.2025</t>
  </si>
  <si>
    <t>2025-12-26</t>
  </si>
  <si>
    <t>2025-10-29</t>
  </si>
  <si>
    <t>16/08/2025</t>
  </si>
  <si>
    <t>2025-05-20</t>
  </si>
  <si>
    <t>2025-03-20</t>
  </si>
  <si>
    <t>16.02.2025</t>
  </si>
  <si>
    <t>2025-02-27</t>
  </si>
  <si>
    <t>08/07/2025</t>
  </si>
  <si>
    <t>08.11.2025</t>
  </si>
  <si>
    <t>30.01.2025</t>
  </si>
  <si>
    <t>18.11.2025</t>
  </si>
  <si>
    <t>25.11.2025</t>
  </si>
  <si>
    <t>28/08/2025</t>
  </si>
  <si>
    <t>2025-08-28</t>
  </si>
  <si>
    <t>04.12.2025</t>
  </si>
  <si>
    <t>20/07/2025</t>
  </si>
  <si>
    <t>22/07/2025</t>
  </si>
  <si>
    <t>30/07/2025</t>
  </si>
  <si>
    <t>06.08.2025</t>
  </si>
  <si>
    <t>2025-10-20</t>
  </si>
  <si>
    <t>2025-06-23</t>
  </si>
  <si>
    <t>2025-05-23</t>
  </si>
  <si>
    <t>2025-05-28</t>
  </si>
  <si>
    <t>2025-03-25</t>
  </si>
  <si>
    <t>2025-03-28</t>
  </si>
  <si>
    <t>09.11.2025</t>
  </si>
  <si>
    <t>20/10/2025</t>
  </si>
  <si>
    <t>13.07.2025</t>
  </si>
  <si>
    <t>2025-07-15</t>
  </si>
  <si>
    <t>01.02.2025</t>
  </si>
  <si>
    <t>2025-08-24</t>
  </si>
  <si>
    <t>25.08.2025</t>
  </si>
  <si>
    <t>26/06/2025</t>
  </si>
  <si>
    <t>04.11.2025</t>
  </si>
  <si>
    <t>2025-05-03</t>
  </si>
  <si>
    <t>2025-06-09</t>
  </si>
  <si>
    <t>2025-06-07</t>
  </si>
  <si>
    <t>2025-06-05</t>
  </si>
  <si>
    <t>15/03/2025</t>
  </si>
  <si>
    <t>2025-03-15</t>
  </si>
  <si>
    <t>07.10.2025</t>
  </si>
  <si>
    <t>2025-10-13</t>
  </si>
  <si>
    <t>19/03/2025</t>
  </si>
  <si>
    <t>2025-04-14</t>
  </si>
  <si>
    <t>2025-01-21</t>
  </si>
  <si>
    <t>2025-01-16</t>
  </si>
  <si>
    <t>30.04.2025</t>
  </si>
  <si>
    <t>14/01/2025</t>
  </si>
  <si>
    <t>2025-08-22</t>
  </si>
  <si>
    <t>2026-01-02</t>
  </si>
  <si>
    <t>2025-05-29</t>
  </si>
  <si>
    <t>2025-11-20</t>
  </si>
  <si>
    <t>24.11.2025</t>
  </si>
  <si>
    <t>30.10.2025</t>
  </si>
  <si>
    <t>2025-11-07</t>
  </si>
  <si>
    <t>2025-01-20</t>
  </si>
  <si>
    <t>2025-09-02</t>
  </si>
  <si>
    <t>2025-09-08</t>
  </si>
  <si>
    <t>20.11.2025</t>
  </si>
  <si>
    <t>2025-06-11</t>
  </si>
  <si>
    <t>13.06.2025</t>
  </si>
  <si>
    <t>25.05.2025</t>
  </si>
  <si>
    <t>28/05/2025</t>
  </si>
  <si>
    <t>2025-05-27</t>
  </si>
  <si>
    <t>2025-06-06</t>
  </si>
  <si>
    <t>08.05.2025</t>
  </si>
  <si>
    <t>03.01.2025</t>
  </si>
  <si>
    <t>18/01/2025</t>
  </si>
  <si>
    <t>15/06/2025</t>
  </si>
  <si>
    <t>17.08.2025</t>
  </si>
  <si>
    <t>2025-02-28</t>
  </si>
  <si>
    <t>01/01/2025</t>
  </si>
  <si>
    <t>2025-01-03</t>
  </si>
  <si>
    <t>2025-06-19</t>
  </si>
  <si>
    <t>2025-06-27</t>
  </si>
  <si>
    <t>20.07.2025</t>
  </si>
  <si>
    <t>20.12.2025</t>
  </si>
  <si>
    <t>06.06.2025</t>
  </si>
  <si>
    <t>09/09/2025</t>
  </si>
  <si>
    <t>22.03.2025</t>
  </si>
  <si>
    <t>25.07.2025</t>
  </si>
  <si>
    <t>10.05.2025</t>
  </si>
  <si>
    <t>2025-11-26</t>
  </si>
  <si>
    <t>22/11/2025</t>
  </si>
  <si>
    <t>2025-12-20</t>
  </si>
  <si>
    <t>2025-03-14</t>
  </si>
  <si>
    <t>2025-08-09</t>
  </si>
  <si>
    <t>2025-03-04</t>
  </si>
  <si>
    <t>09/12/2025</t>
  </si>
  <si>
    <t>23/08/2025</t>
  </si>
  <si>
    <t>18.09.2025</t>
  </si>
  <si>
    <t>2025-01-27</t>
  </si>
  <si>
    <t>2025-07-31</t>
  </si>
  <si>
    <t>28.06.2025</t>
  </si>
  <si>
    <t>07/08/2025</t>
  </si>
  <si>
    <t>2025-09-06</t>
  </si>
  <si>
    <t>16.03.2025</t>
  </si>
  <si>
    <t>03.03.2025</t>
  </si>
  <si>
    <t>24/12/2025</t>
  </si>
  <si>
    <t>02.01.2026</t>
  </si>
  <si>
    <t>11/05/2025</t>
  </si>
  <si>
    <t>2025-07-28</t>
  </si>
  <si>
    <t>2025-12-18</t>
  </si>
  <si>
    <t>21/12/2025</t>
  </si>
  <si>
    <t>15.09.2025</t>
  </si>
  <si>
    <t>14.09.2025</t>
  </si>
  <si>
    <t>2025-06-17</t>
  </si>
  <si>
    <t>09.05.2025</t>
  </si>
  <si>
    <t>2025-12-10</t>
  </si>
  <si>
    <t>20.08.2025</t>
  </si>
  <si>
    <t>2025-11-24</t>
  </si>
  <si>
    <t>05.06.2025</t>
  </si>
  <si>
    <t>16/02/2025</t>
  </si>
  <si>
    <t>21/09/2025</t>
  </si>
  <si>
    <t>16/10/2025</t>
  </si>
  <si>
    <t>11/01/2026</t>
  </si>
  <si>
    <t>30.12.2025</t>
  </si>
  <si>
    <t>05/01/2026</t>
  </si>
  <si>
    <t>2025-01-19</t>
  </si>
  <si>
    <t>2025-11-05</t>
  </si>
  <si>
    <t>03.08.2025</t>
  </si>
  <si>
    <t>29.07.2025</t>
  </si>
  <si>
    <t>2025-08-05</t>
  </si>
  <si>
    <t>01.12.2025</t>
  </si>
  <si>
    <t>27.11.2025</t>
  </si>
  <si>
    <t>2025-06-18</t>
  </si>
  <si>
    <t>2025-03-31</t>
  </si>
  <si>
    <t>26/10/2025</t>
  </si>
  <si>
    <t>2025-12-19</t>
  </si>
  <si>
    <t>2025-09-10</t>
  </si>
  <si>
    <t>18.01.2025</t>
  </si>
  <si>
    <t>13/08/2025</t>
  </si>
  <si>
    <t>2025-08-18</t>
  </si>
  <si>
    <t>2025-07-24</t>
  </si>
  <si>
    <t>2025-08-06</t>
  </si>
  <si>
    <t>18/09/2025</t>
  </si>
  <si>
    <t>2025-11-27</t>
  </si>
  <si>
    <t>2025-08-23</t>
  </si>
  <si>
    <t>10.09.2025</t>
  </si>
  <si>
    <t>22.11.2025</t>
  </si>
  <si>
    <t>2025-11-29</t>
  </si>
  <si>
    <t>2025-11-22</t>
  </si>
  <si>
    <t>2025-08-07</t>
  </si>
  <si>
    <t>24.05.2025</t>
  </si>
  <si>
    <t>21/05/2025</t>
  </si>
  <si>
    <t>14/05/2025</t>
  </si>
  <si>
    <t>23/05/2025</t>
  </si>
  <si>
    <t>27/03/2025</t>
  </si>
  <si>
    <t>19.01.2025</t>
  </si>
  <si>
    <t>10.10.2025</t>
  </si>
  <si>
    <t>2025-01-28</t>
  </si>
  <si>
    <t>08.08.2025</t>
  </si>
  <si>
    <t>27.12.2025</t>
  </si>
  <si>
    <t>25/08/2025</t>
  </si>
  <si>
    <t>17/08/2025</t>
  </si>
  <si>
    <t>18/08/2025</t>
  </si>
  <si>
    <t>2025-02-19</t>
  </si>
  <si>
    <t>25/11/2025</t>
  </si>
  <si>
    <t>11.11.2025</t>
  </si>
  <si>
    <t>2025-08-21</t>
  </si>
  <si>
    <t>03.01.2026</t>
  </si>
  <si>
    <t>03.09.2025</t>
  </si>
  <si>
    <t>09.08.2025</t>
  </si>
  <si>
    <t>12.01.2025</t>
  </si>
  <si>
    <t>2025-01-05</t>
  </si>
  <si>
    <t>23/03/2025</t>
  </si>
  <si>
    <t>10.06.2025</t>
  </si>
  <si>
    <t>24/05/2025</t>
  </si>
  <si>
    <t>2025-09-23</t>
  </si>
  <si>
    <t>23.03.2025</t>
  </si>
  <si>
    <t>2025-12-24</t>
  </si>
  <si>
    <t>2025-03-22</t>
  </si>
  <si>
    <t>04.06.2025</t>
  </si>
  <si>
    <t>05.01.2025</t>
  </si>
  <si>
    <t>16.10.2025</t>
  </si>
  <si>
    <t>2025-12-01</t>
  </si>
  <si>
    <t>01/06/2026</t>
  </si>
  <si>
    <t>2026-01-03</t>
  </si>
  <si>
    <t>27/11/2025</t>
  </si>
  <si>
    <t>Issue ID</t>
  </si>
  <si>
    <t>DQ-001</t>
  </si>
  <si>
    <t>Column(s)</t>
  </si>
  <si>
    <t>Issue</t>
  </si>
  <si>
    <t>Investigation</t>
  </si>
  <si>
    <t>Date values were converted from mixed text formats. The correct interpretation of every flagged date has not yet been confirmed.</t>
  </si>
  <si>
    <t>Action taken</t>
  </si>
  <si>
    <t>Kept the original date values and added temporary validation columns to flag rows for review. No dates were changed based only on the sequence check.</t>
  </si>
  <si>
    <t>Status</t>
  </si>
  <si>
    <t>Open — review later</t>
  </si>
  <si>
    <t>Impact</t>
  </si>
  <si>
    <t>Could affect delivery-time calculations.</t>
  </si>
  <si>
    <t>ShipDate, DeliveryDate</t>
  </si>
  <si>
    <t>Some rows have a delivery date earlier than the ship date</t>
  </si>
  <si>
    <t>6 of 3,154 records have a blank CustomerID.</t>
  </si>
  <si>
    <t>Retain the records; do not invent customer IDs. Check whether customer-level analysis is affected.</t>
  </si>
  <si>
    <t>Logged — review during analysis</t>
  </si>
  <si>
    <t>DQ-002</t>
  </si>
  <si>
    <t>CalculatedUnitPrice</t>
  </si>
  <si>
    <t>Excel is treating  LineAmount values as text, preventing numeric calculations.</t>
  </si>
  <si>
    <t>Checked the column’s data type/behavior; division for calculated unit price does not work as expected.</t>
  </si>
  <si>
    <t>Will investigate and convert text-formatted numeric values to numbers, preserving the original data.</t>
  </si>
  <si>
    <t>Open — fix and validate</t>
  </si>
  <si>
    <t>Mouse</t>
  </si>
  <si>
    <t>Electronics</t>
  </si>
  <si>
    <t>Keyboard</t>
  </si>
  <si>
    <t>Headphones</t>
  </si>
  <si>
    <t>Monitor</t>
  </si>
  <si>
    <t>Webcam</t>
  </si>
  <si>
    <t>Lamp</t>
  </si>
  <si>
    <t>Home</t>
  </si>
  <si>
    <t>Storage Box</t>
  </si>
  <si>
    <t>Coffee Maker</t>
  </si>
  <si>
    <t>Bottle</t>
  </si>
  <si>
    <t>Notebook</t>
  </si>
  <si>
    <t>Office</t>
  </si>
  <si>
    <t>Printer Paper</t>
  </si>
  <si>
    <t>Office Chair</t>
  </si>
  <si>
    <t>Pen Set</t>
  </si>
  <si>
    <t>Yoga Mat</t>
  </si>
  <si>
    <t>Sports</t>
  </si>
  <si>
    <t>Dumbbells</t>
  </si>
  <si>
    <t>Sports Bag</t>
  </si>
  <si>
    <t>ProductName</t>
  </si>
  <si>
    <t>Category</t>
  </si>
  <si>
    <t>UnitPrice</t>
  </si>
  <si>
    <t>Some records have a blank ProductID.</t>
  </si>
  <si>
    <t>DQ-003</t>
  </si>
  <si>
    <t>DQ-004</t>
  </si>
  <si>
    <t>For records with a valid LineAmount and Quantity, calculated unit price was matched against Product_Lookup[UnitPrice] using INDEX + MATCH.</t>
  </si>
  <si>
    <t>Verified price matches will be used to populate the missing ProductID values. The temporary calculation and candidate columns will be removed after verification.</t>
  </si>
  <si>
    <t>1 record cannot be recovered using this method because LineAmount is blank, so unit price cannot be calculated. Its ProductID will remain blank unless another reliable source identifies it.</t>
  </si>
  <si>
    <t>Partially resolved — one record remains unresolved</t>
  </si>
  <si>
    <t>10 records had a blank Quantity.</t>
  </si>
  <si>
    <t>DQ-005</t>
  </si>
  <si>
    <t>Used each row’s ProductID to retrieve the product’s unit price from Product_Lookup, then calculated Quantity = LineAmount ÷ UnitPrice.</t>
  </si>
  <si>
    <t>Checked the calculated quantities; all 10 results were valid whole numbers. Filled the blank Quantity cells with the verified values.</t>
  </si>
  <si>
    <t>Resolved</t>
  </si>
  <si>
    <t>LineAmount, ProductID</t>
  </si>
  <si>
    <t>Blank LineAmount values were found. One record has both ProductID and LineAmount missing.</t>
  </si>
  <si>
    <t>For records with a known ProductID and Quantity, calculated LineAmount as UnitPrice × Quantity using the product lookup.</t>
  </si>
  <si>
    <t>Recovered and filled the calculable LineAmount blanks. Left the one record with missing ProductID and LineAmount unresolved because its product price cannot be identified.</t>
  </si>
  <si>
    <t>Partially resolved — 1 record unresolved</t>
  </si>
  <si>
    <t>DQ-006</t>
  </si>
  <si>
    <t>Various text fields</t>
  </si>
  <si>
    <t>DQ-007</t>
  </si>
  <si>
    <t>Values were standardized using Find &amp; Replace.</t>
  </si>
  <si>
    <t/>
  </si>
  <si>
    <t>DQ-008</t>
  </si>
  <si>
    <t>OrderDate, ShipDate, DeliveryDate</t>
  </si>
  <si>
    <t>Dates were stored in mixed formats, causing some dates to be interpreted incorrectly.</t>
  </si>
  <si>
    <t>Reviewed raw date values, corrected date conversions, and checked the order–ship–delivery sequence.</t>
  </si>
  <si>
    <t>Standardized date formats and corrected ambiguous date interpretations in affected records. Kept the original raw data unchanged.</t>
  </si>
  <si>
    <t>DQ-009</t>
  </si>
  <si>
    <t>OrderDate, ShipDate</t>
  </si>
  <si>
    <t>Some records showed a ship date earlier than the order date after initial date conversion.</t>
  </si>
  <si>
    <t>Reviewed flagged records and compared raw dates with corrected dates.</t>
  </si>
  <si>
    <t>Adjusted day/month interpretation for affected records and rechecked the order–ship sequence.</t>
  </si>
  <si>
    <t>DQ-010</t>
  </si>
  <si>
    <t>Some records showed a delivery date earlier than the ship date after initial date conversion.</t>
  </si>
  <si>
    <t>Reviewed flagged records and compared raw delivery dates with corrected ship dates.</t>
  </si>
  <si>
    <t>Adjusted day/month interpretation for affected records and rechecked the delivery–ship sequence.</t>
  </si>
  <si>
    <t>DQ-011</t>
  </si>
  <si>
    <t>DateSequenceCheck, OrderShipCheck</t>
  </si>
  <si>
    <t>Date sequence errors needed to be identified and validated during date cleaning.</t>
  </si>
  <si>
    <t>Compared corrected order, ship, and delivery dates to identify impossible date sequences.</t>
  </si>
  <si>
    <t>Created temporary validation formulas to flag incorrect date sequences, then corrected the affected date interpretations.</t>
  </si>
  <si>
    <t>DQ-012</t>
  </si>
  <si>
    <t>A calculated unit price was needed to investigate missing or inconsistent ProductID, Quantity, and LineAmount values.</t>
  </si>
  <si>
    <t>Calculated unit price using LineAmount divided by Quantity and compared it with the product lookup prices.</t>
  </si>
  <si>
    <t>Created a temporary helper formula using the product lookup table to support missing-value investigation and recovery.</t>
  </si>
  <si>
    <t>OrderStatus</t>
  </si>
  <si>
    <t>599.43</t>
  </si>
  <si>
    <t>206.09</t>
  </si>
  <si>
    <t>724.62</t>
  </si>
  <si>
    <t>241.54</t>
  </si>
  <si>
    <t>483.08</t>
  </si>
  <si>
    <t>474.4</t>
  </si>
  <si>
    <t>183.74</t>
  </si>
  <si>
    <t>199.81</t>
  </si>
  <si>
    <t>304.32</t>
  </si>
  <si>
    <t>399.62</t>
  </si>
  <si>
    <t>31.73</t>
  </si>
  <si>
    <t>Complete</t>
  </si>
  <si>
    <t>63.46</t>
  </si>
  <si>
    <t>253.86</t>
  </si>
  <si>
    <t>406.08</t>
  </si>
  <si>
    <t>120.84</t>
  </si>
  <si>
    <t>COMPLETEd</t>
  </si>
  <si>
    <t>215.34</t>
  </si>
  <si>
    <t>448.74</t>
  </si>
  <si>
    <t>65.26</t>
  </si>
  <si>
    <t>118.6</t>
  </si>
  <si>
    <t xml:space="preserve">RETURNED </t>
  </si>
  <si>
    <t>121.5</t>
  </si>
  <si>
    <t>203.04</t>
  </si>
  <si>
    <t>359.22</t>
  </si>
  <si>
    <t>224.37</t>
  </si>
  <si>
    <t>101.44</t>
  </si>
  <si>
    <t>40.28</t>
  </si>
  <si>
    <t>170.25</t>
  </si>
  <si>
    <t>430.68</t>
  </si>
  <si>
    <t>367.48</t>
  </si>
  <si>
    <t>PENDING</t>
  </si>
  <si>
    <t>119.74</t>
  </si>
  <si>
    <t>80.56</t>
  </si>
  <si>
    <t>126.92</t>
  </si>
  <si>
    <t>551.22</t>
  </si>
  <si>
    <t>237.2</t>
  </si>
  <si>
    <t>243.0</t>
  </si>
  <si>
    <t>195.78</t>
  </si>
  <si>
    <t>966.16</t>
  </si>
  <si>
    <t>returned</t>
  </si>
  <si>
    <t>202.88</t>
  </si>
  <si>
    <t>239.48</t>
  </si>
  <si>
    <t>734.96</t>
  </si>
  <si>
    <t>510.75</t>
  </si>
  <si>
    <t>618.27</t>
  </si>
  <si>
    <t>340.5</t>
  </si>
  <si>
    <t>761.58</t>
  </si>
  <si>
    <t>161.12</t>
  </si>
  <si>
    <t>completed</t>
  </si>
  <si>
    <t>1015.44</t>
  </si>
  <si>
    <t>607.5</t>
  </si>
  <si>
    <t>95.19</t>
  </si>
  <si>
    <t>405.76</t>
  </si>
  <si>
    <t>130.52</t>
  </si>
  <si>
    <t>507.72</t>
  </si>
  <si>
    <t>1030.45</t>
  </si>
  <si>
    <t>824.36</t>
  </si>
  <si>
    <t>799.24</t>
  </si>
  <si>
    <t>646.02</t>
  </si>
  <si>
    <t>1121.85</t>
  </si>
  <si>
    <t>673.11</t>
  </si>
  <si>
    <t>355.8</t>
  </si>
  <si>
    <t>598.7</t>
  </si>
  <si>
    <t>999.05</t>
  </si>
  <si>
    <t>1207.7</t>
  </si>
  <si>
    <t>158.65</t>
  </si>
  <si>
    <t>326.3</t>
  </si>
  <si>
    <t>364.5</t>
  </si>
  <si>
    <t>609.12</t>
  </si>
  <si>
    <t>507.2</t>
  </si>
  <si>
    <t>486.0</t>
  </si>
  <si>
    <t>861.36</t>
  </si>
  <si>
    <t>897.48</t>
  </si>
  <si>
    <t>412.18</t>
  </si>
  <si>
    <t>478.96</t>
  </si>
  <si>
    <t>261.04</t>
  </si>
  <si>
    <t>681.0</t>
  </si>
  <si>
    <t>Return</t>
  </si>
  <si>
    <t>812.16</t>
  </si>
  <si>
    <t>593.0</t>
  </si>
  <si>
    <t>1076.7</t>
  </si>
  <si>
    <t>1,015.44</t>
  </si>
  <si>
    <t>201.4</t>
  </si>
  <si>
    <t>1269.3</t>
  </si>
  <si>
    <t>CANCELED</t>
  </si>
  <si>
    <t>340.50</t>
  </si>
  <si>
    <t>918.7</t>
  </si>
  <si>
    <t>1015.2</t>
  </si>
  <si>
    <t>851.25</t>
  </si>
  <si>
    <t>364.50</t>
  </si>
  <si>
    <t>121.50</t>
  </si>
  <si>
    <t>496.08</t>
  </si>
  <si>
    <t>Sum of LineAmount</t>
  </si>
  <si>
    <t>Row Labels</t>
  </si>
  <si>
    <t>Grand Total</t>
  </si>
  <si>
    <t>яну</t>
  </si>
  <si>
    <t>фев</t>
  </si>
  <si>
    <t>мар</t>
  </si>
  <si>
    <t>апр</t>
  </si>
  <si>
    <t>май</t>
  </si>
  <si>
    <t>юни</t>
  </si>
  <si>
    <t>юли</t>
  </si>
  <si>
    <t>авг</t>
  </si>
  <si>
    <t>сеп</t>
  </si>
  <si>
    <t>окт</t>
  </si>
  <si>
    <t>ное</t>
  </si>
  <si>
    <t>дек</t>
  </si>
  <si>
    <t>2025</t>
  </si>
  <si>
    <t>Categoty</t>
  </si>
  <si>
    <t>Count of OrderID</t>
  </si>
  <si>
    <t>FirstOrderFlag</t>
  </si>
  <si>
    <t>Sum of FirstOrderFlag</t>
  </si>
  <si>
    <t>DeliveryDays</t>
  </si>
  <si>
    <t>Average of DeliveryDays</t>
  </si>
  <si>
    <t>ONLINE RETAIL PERFORMANCE DASHBOARD</t>
  </si>
  <si>
    <t>Annual Overview | 2025</t>
  </si>
  <si>
    <t>Total Sales</t>
  </si>
  <si>
    <t>Unique Orders</t>
  </si>
  <si>
    <t>Average Delivery Time (Days)</t>
  </si>
  <si>
    <t>Completed Sales Amount</t>
  </si>
  <si>
    <t>Not found</t>
  </si>
  <si>
    <t xml:space="preserve">     Note: Average delivery time is calculated only for orders with valid shipping and delivery dates.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</si>
</sst>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dd/mm/yyyy"/>
  </numFmts>
  <fonts count="24">
    <font>
      <sz val="11"/>
      <color theme="1"/>
      <name val="Calibri"/>
      <family val="2"/>
      <charset val="204"/>
      <scheme val="minor"/>
    </font>
    <font>
      <sz val="11"/>
      <color theme="1"/>
      <name val="Calibri"/>
      <family val="2"/>
      <charset val="204"/>
      <scheme val="minor"/>
    </font>
    <font>
      <sz val="18"/>
      <color theme="3"/>
      <name val="Calibri Light"/>
      <family val="2"/>
      <charset val="204"/>
      <scheme val="major"/>
    </font>
    <font>
      <b/>
      <sz val="15"/>
      <color theme="3"/>
      <name val="Calibri"/>
      <family val="2"/>
      <charset val="204"/>
      <scheme val="minor"/>
    </font>
    <font>
      <b/>
      <sz val="13"/>
      <color theme="3"/>
      <name val="Calibri"/>
      <family val="2"/>
      <charset val="204"/>
      <scheme val="minor"/>
    </font>
    <font>
      <b/>
      <sz val="11"/>
      <color theme="3"/>
      <name val="Calibri"/>
      <family val="2"/>
      <charset val="204"/>
      <scheme val="minor"/>
    </font>
    <font>
      <sz val="11"/>
      <color rgb="FF006100"/>
      <name val="Calibri"/>
      <family val="2"/>
      <charset val="204"/>
      <scheme val="minor"/>
    </font>
    <font>
      <sz val="11"/>
      <color rgb="FF9C0006"/>
      <name val="Calibri"/>
      <family val="2"/>
      <charset val="204"/>
      <scheme val="minor"/>
    </font>
    <font>
      <sz val="11"/>
      <color rgb="FF9C5700"/>
      <name val="Calibri"/>
      <family val="2"/>
      <charset val="204"/>
      <scheme val="minor"/>
    </font>
    <font>
      <sz val="11"/>
      <color rgb="FF3F3F76"/>
      <name val="Calibri"/>
      <family val="2"/>
      <charset val="204"/>
      <scheme val="minor"/>
    </font>
    <font>
      <b/>
      <sz val="11"/>
      <color rgb="FF3F3F3F"/>
      <name val="Calibri"/>
      <family val="2"/>
      <charset val="204"/>
      <scheme val="minor"/>
    </font>
    <font>
      <b/>
      <sz val="11"/>
      <color rgb="FFFA7D00"/>
      <name val="Calibri"/>
      <family val="2"/>
      <charset val="204"/>
      <scheme val="minor"/>
    </font>
    <font>
      <sz val="11"/>
      <color rgb="FFFA7D00"/>
      <name val="Calibri"/>
      <family val="2"/>
      <charset val="204"/>
      <scheme val="minor"/>
    </font>
    <font>
      <b/>
      <sz val="11"/>
      <color theme="0"/>
      <name val="Calibri"/>
      <family val="2"/>
      <charset val="204"/>
      <scheme val="minor"/>
    </font>
    <font>
      <sz val="11"/>
      <color rgb="FFFF0000"/>
      <name val="Calibri"/>
      <family val="2"/>
      <charset val="204"/>
      <scheme val="minor"/>
    </font>
    <font>
      <i/>
      <sz val="11"/>
      <color rgb="FF7F7F7F"/>
      <name val="Calibri"/>
      <family val="2"/>
      <charset val="204"/>
      <scheme val="minor"/>
    </font>
    <font>
      <b/>
      <sz val="11"/>
      <color theme="1"/>
      <name val="Calibri"/>
      <family val="2"/>
      <charset val="204"/>
      <scheme val="minor"/>
    </font>
    <font>
      <sz val="11"/>
      <color theme="0"/>
      <name val="Calibri"/>
      <family val="2"/>
      <charset val="204"/>
      <scheme val="minor"/>
    </font>
    <font>
      <sz val="10"/>
      <color theme="1"/>
      <name val="Arial Unicode MS"/>
    </font>
    <font>
      <b/>
      <sz val="18"/>
      <color theme="0"/>
      <name val="Calibri"/>
      <family val="2"/>
      <charset val="204"/>
      <scheme val="minor"/>
    </font>
    <font>
      <b/>
      <sz val="14"/>
      <color rgb="FF17365D"/>
      <name val="Calibri"/>
      <family val="2"/>
      <charset val="204"/>
      <scheme val="minor"/>
    </font>
    <font>
      <b/>
      <sz val="14"/>
      <color rgb="FFEAF0F6"/>
      <name val="Calibri"/>
      <family val="2"/>
      <charset val="204"/>
      <scheme val="minor"/>
    </font>
    <font>
      <b/>
      <sz val="18"/>
      <color rgb="FF17365D"/>
      <name val="Calibri"/>
      <family val="2"/>
      <charset val="204"/>
      <scheme val="minor"/>
    </font>
    <font>
      <sz val="14"/>
      <color theme="0"/>
      <name val="Calibri"/>
      <family val="2"/>
      <charset val="204"/>
      <scheme val="minor"/>
    </font>
  </fonts>
  <fills count="37">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17365D"/>
        <bgColor indexed="64"/>
      </patternFill>
    </fill>
    <fill>
      <patternFill patternType="solid">
        <fgColor rgb="FFEAF0F6"/>
        <bgColor indexed="64"/>
      </patternFill>
    </fill>
    <fill>
      <patternFill patternType="solid">
        <fgColor theme="0"/>
        <bgColor indexed="64"/>
      </patternFill>
    </fill>
    <fill>
      <patternFill patternType="solid">
        <fgColor theme="1" tint="0.499984740745262"/>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9">
    <xf numFmtId="0" fontId="0" fillId="0" borderId="0" xfId="0"/>
    <xf numFmtId="49" fontId="0" fillId="0" borderId="0" xfId="0" applyNumberFormat="1"/>
    <xf numFmtId="164" fontId="0" fillId="0" borderId="0" xfId="0" applyNumberFormat="1"/>
    <xf numFmtId="0" fontId="18" fillId="0" borderId="0" xfId="0" applyFont="1"/>
    <xf numFmtId="2" fontId="0" fillId="0" borderId="0" xfId="0" applyNumberFormat="1"/>
    <xf numFmtId="0" fontId="0" fillId="0" borderId="0" xfId="0" pivotButton="1"/>
    <xf numFmtId="0" fontId="0" fillId="0" borderId="0" xfId="0" applyAlignment="1">
      <alignment horizontal="left"/>
    </xf>
    <xf numFmtId="0" fontId="0" fillId="0" borderId="0" xfId="0" applyAlignment="1">
      <alignment horizontal="left" indent="1"/>
    </xf>
    <xf numFmtId="4" fontId="0" fillId="0" borderId="0" xfId="0" applyNumberFormat="1"/>
    <xf numFmtId="1" fontId="0" fillId="0" borderId="0" xfId="0" applyNumberFormat="1"/>
    <xf numFmtId="0" fontId="0" fillId="36" borderId="0" xfId="0" applyFill="1"/>
    <xf numFmtId="0" fontId="23" fillId="36" borderId="0" xfId="0" applyFont="1" applyFill="1" applyAlignment="1">
      <alignment horizontal="center"/>
    </xf>
    <xf numFmtId="0" fontId="0" fillId="0" borderId="0" xfId="0" applyAlignment="1">
      <alignment horizontal="center"/>
    </xf>
    <xf numFmtId="0" fontId="21" fillId="33" borderId="0" xfId="0" applyFont="1" applyFill="1" applyAlignment="1">
      <alignment horizontal="center"/>
    </xf>
    <xf numFmtId="0" fontId="19" fillId="33" borderId="0" xfId="0" applyFont="1" applyFill="1" applyAlignment="1">
      <alignment horizontal="center"/>
    </xf>
    <xf numFmtId="0" fontId="20" fillId="34" borderId="0" xfId="0" applyFont="1" applyFill="1" applyAlignment="1">
      <alignment horizontal="center"/>
    </xf>
    <xf numFmtId="4" fontId="22" fillId="35" borderId="0" xfId="0" applyNumberFormat="1" applyFont="1" applyFill="1" applyAlignment="1">
      <alignment horizontal="center"/>
    </xf>
    <xf numFmtId="3" fontId="22" fillId="35" borderId="0" xfId="0" applyNumberFormat="1" applyFont="1" applyFill="1" applyAlignment="1">
      <alignment horizontal="center"/>
    </xf>
    <xf numFmtId="2" fontId="22" fillId="35" borderId="0" xfId="0" applyNumberFormat="1" applyFont="1" applyFill="1" applyAlignment="1">
      <alignment horizontal="center"/>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11">
    <dxf>
      <numFmt numFmtId="0" formatCode="General"/>
    </dxf>
    <dxf>
      <numFmt numFmtId="0" formatCode="General"/>
    </dxf>
    <dxf>
      <numFmt numFmtId="0" formatCode="General"/>
    </dxf>
    <dxf>
      <numFmt numFmtId="0" formatCode="General"/>
    </dxf>
    <dxf>
      <numFmt numFmtId="0" formatCode="General"/>
    </dxf>
    <dxf>
      <numFmt numFmtId="2" formatCode="0.00"/>
    </dxf>
    <dxf>
      <numFmt numFmtId="1" formatCode="0"/>
    </dxf>
    <dxf>
      <numFmt numFmtId="1" formatCode="0"/>
    </dxf>
    <dxf>
      <numFmt numFmtId="164" formatCode="dd/mm/yyyy"/>
    </dxf>
    <dxf>
      <numFmt numFmtId="30" formatCode="@"/>
    </dxf>
    <dxf>
      <numFmt numFmtId="164" formatCode="dd/mm/yyyy"/>
    </dxf>
  </dxfs>
  <tableStyles count="0" defaultTableStyle="TableStyleMedium2" defaultPivotStyle="PivotStyleLight16"/>
  <colors>
    <mruColors>
      <color rgb="FF17365D"/>
      <color rgb="FFEAF0F6"/>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connections" Target="connections.xml"/><Relationship Id="rId3" Type="http://schemas.openxmlformats.org/officeDocument/2006/relationships/worksheet" Target="worksheets/sheet3.xml"/><Relationship Id="rId21" Type="http://schemas.openxmlformats.org/officeDocument/2006/relationships/calcChain" Target="calcChain.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theme" Target="theme/theme1.xml"/><Relationship Id="rId2" Type="http://schemas.openxmlformats.org/officeDocument/2006/relationships/worksheet" Target="worksheets/sheet2.xml"/><Relationship Id="rId16" Type="http://schemas.microsoft.com/office/2007/relationships/slicerCache" Target="slicerCaches/slicerCache2.xml"/><Relationship Id="rId20"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microsoft.com/office/2007/relationships/slicerCache" Target="slicerCaches/slicerCache1.xml"/><Relationship Id="rId10" Type="http://schemas.openxmlformats.org/officeDocument/2006/relationships/worksheet" Target="worksheets/sheet10.xml"/><Relationship Id="rId19"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pivotCacheDefinition" Target="pivotCache/pivotCacheDefinition1.xml"/><Relationship Id="rId22" Type="http://schemas.openxmlformats.org/officeDocument/2006/relationships/customXml" Target="../customXml/item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[online_retail_performance.xlsx]Sales_by_Category!PivotTable7</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0" i="0" u="none" strike="noStrike" baseline="0"/>
              <a:t>Sales by Product Category</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Sales_by_Category!$B$3</c:f>
              <c:strCache>
                <c:ptCount val="1"/>
                <c:pt idx="0">
                  <c:v>Total</c:v>
                </c:pt>
              </c:strCache>
            </c:strRef>
          </c:tx>
          <c:spPr>
            <a:solidFill>
              <a:schemeClr val="accent1"/>
            </a:solidFill>
            <a:ln>
              <a:noFill/>
            </a:ln>
            <a:effectLst/>
          </c:spPr>
          <c:invertIfNegative val="0"/>
          <c:cat>
            <c:strRef>
              <c:f>Sales_by_Category!$A$4:$A$9</c:f>
              <c:strCache>
                <c:ptCount val="5"/>
                <c:pt idx="0">
                  <c:v>Electronics</c:v>
                </c:pt>
                <c:pt idx="1">
                  <c:v>Home</c:v>
                </c:pt>
                <c:pt idx="2">
                  <c:v>Office</c:v>
                </c:pt>
                <c:pt idx="3">
                  <c:v>Sports</c:v>
                </c:pt>
                <c:pt idx="4">
                  <c:v>Not found</c:v>
                </c:pt>
              </c:strCache>
            </c:strRef>
          </c:cat>
          <c:val>
            <c:numRef>
              <c:f>Sales_by_Category!$B$4:$B$9</c:f>
              <c:numCache>
                <c:formatCode>#,##0.00</c:formatCode>
                <c:ptCount val="5"/>
                <c:pt idx="0">
                  <c:v>249777.81999999998</c:v>
                </c:pt>
                <c:pt idx="1">
                  <c:v>223074.7099999979</c:v>
                </c:pt>
                <c:pt idx="2">
                  <c:v>212325.32000000044</c:v>
                </c:pt>
                <c:pt idx="3">
                  <c:v>143332.72999999934</c:v>
                </c:pt>
                <c:pt idx="4">
                  <c:v>0</c:v>
                </c:pt>
              </c:numCache>
            </c:numRef>
          </c:val>
          <c:extLst>
            <c:ext xmlns:c16="http://schemas.microsoft.com/office/drawing/2014/chart" uri="{C3380CC4-5D6E-409C-BE32-E72D297353CC}">
              <c16:uniqueId val="{00000000-FAE2-4CFE-9AB2-28F7ACA1B65D}"/>
            </c:ext>
          </c:extLst>
        </c:ser>
        <c:dLbls>
          <c:showLegendKey val="0"/>
          <c:showVal val="0"/>
          <c:showCatName val="0"/>
          <c:showSerName val="0"/>
          <c:showPercent val="0"/>
          <c:showBubbleSize val="0"/>
        </c:dLbls>
        <c:gapWidth val="219"/>
        <c:overlap val="-27"/>
        <c:axId val="1351976176"/>
        <c:axId val="1351976656"/>
      </c:barChart>
      <c:catAx>
        <c:axId val="135197617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Product</a:t>
                </a:r>
                <a:r>
                  <a:rPr lang="en-US" baseline="0"/>
                  <a:t> Category</a:t>
                </a:r>
              </a:p>
            </c:rich>
          </c:tx>
          <c:layout>
            <c:manualLayout>
              <c:xMode val="edge"/>
              <c:yMode val="edge"/>
              <c:x val="0.40431146106736654"/>
              <c:y val="0.88331000291630213"/>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51976656"/>
        <c:crosses val="autoZero"/>
        <c:auto val="1"/>
        <c:lblAlgn val="ctr"/>
        <c:lblOffset val="100"/>
        <c:noMultiLvlLbl val="0"/>
      </c:catAx>
      <c:valAx>
        <c:axId val="1351976656"/>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Sales</a:t>
                </a:r>
                <a:r>
                  <a:rPr lang="en-US" baseline="0"/>
                  <a:t> Amount</a:t>
                </a:r>
                <a:endParaRPr lang="en-US"/>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5197617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[online_retail_performance.xlsx]Monthly_Sales!PivotTable1</c:name>
    <c:fmtId val="1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0" i="0" u="none" strike="noStrike" baseline="0"/>
              <a:t>Monthly Sales — 2025</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Monthly_Sales!$B$3</c:f>
              <c:strCache>
                <c:ptCount val="1"/>
                <c:pt idx="0">
                  <c:v>Total</c:v>
                </c:pt>
              </c:strCache>
            </c:strRef>
          </c:tx>
          <c:spPr>
            <a:solidFill>
              <a:schemeClr val="accent1"/>
            </a:solidFill>
            <a:ln>
              <a:noFill/>
            </a:ln>
            <a:effectLst/>
          </c:spPr>
          <c:invertIfNegative val="0"/>
          <c:cat>
            <c:multiLvlStrRef>
              <c:f>Monthly_Sales!$A$4:$A$17</c:f>
              <c:multiLvlStrCache>
                <c:ptCount val="12"/>
                <c:lvl>
                  <c:pt idx="0">
                    <c:v>яну</c:v>
                  </c:pt>
                  <c:pt idx="1">
                    <c:v>фев</c:v>
                  </c:pt>
                  <c:pt idx="2">
                    <c:v>мар</c:v>
                  </c:pt>
                  <c:pt idx="3">
                    <c:v>апр</c:v>
                  </c:pt>
                  <c:pt idx="4">
                    <c:v>май</c:v>
                  </c:pt>
                  <c:pt idx="5">
                    <c:v>юни</c:v>
                  </c:pt>
                  <c:pt idx="6">
                    <c:v>юли</c:v>
                  </c:pt>
                  <c:pt idx="7">
                    <c:v>авг</c:v>
                  </c:pt>
                  <c:pt idx="8">
                    <c:v>сеп</c:v>
                  </c:pt>
                  <c:pt idx="9">
                    <c:v>окт</c:v>
                  </c:pt>
                  <c:pt idx="10">
                    <c:v>ное</c:v>
                  </c:pt>
                  <c:pt idx="11">
                    <c:v>дек</c:v>
                  </c:pt>
                </c:lvl>
                <c:lvl>
                  <c:pt idx="0">
                    <c:v>2025</c:v>
                  </c:pt>
                </c:lvl>
              </c:multiLvlStrCache>
            </c:multiLvlStrRef>
          </c:cat>
          <c:val>
            <c:numRef>
              <c:f>Monthly_Sales!$B$4:$B$17</c:f>
              <c:numCache>
                <c:formatCode>#,##0.00</c:formatCode>
                <c:ptCount val="12"/>
                <c:pt idx="0">
                  <c:v>78735.839999999997</c:v>
                </c:pt>
                <c:pt idx="1">
                  <c:v>77092.609999999942</c:v>
                </c:pt>
                <c:pt idx="2">
                  <c:v>70575.530000000013</c:v>
                </c:pt>
                <c:pt idx="3">
                  <c:v>73576.699999999983</c:v>
                </c:pt>
                <c:pt idx="4">
                  <c:v>78449.190000000017</c:v>
                </c:pt>
                <c:pt idx="5">
                  <c:v>65216.030000000013</c:v>
                </c:pt>
                <c:pt idx="6">
                  <c:v>77447.899999999994</c:v>
                </c:pt>
                <c:pt idx="7">
                  <c:v>64125.310000000005</c:v>
                </c:pt>
                <c:pt idx="8">
                  <c:v>61677.070000000022</c:v>
                </c:pt>
                <c:pt idx="9">
                  <c:v>73771.219999999943</c:v>
                </c:pt>
                <c:pt idx="10">
                  <c:v>56645.450000000026</c:v>
                </c:pt>
                <c:pt idx="11">
                  <c:v>51197.73000000001</c:v>
                </c:pt>
              </c:numCache>
            </c:numRef>
          </c:val>
          <c:extLst>
            <c:ext xmlns:c16="http://schemas.microsoft.com/office/drawing/2014/chart" uri="{C3380CC4-5D6E-409C-BE32-E72D297353CC}">
              <c16:uniqueId val="{00000000-3687-4B9B-9486-6E83A7B2027F}"/>
            </c:ext>
          </c:extLst>
        </c:ser>
        <c:dLbls>
          <c:showLegendKey val="0"/>
          <c:showVal val="0"/>
          <c:showCatName val="0"/>
          <c:showSerName val="0"/>
          <c:showPercent val="0"/>
          <c:showBubbleSize val="0"/>
        </c:dLbls>
        <c:gapWidth val="219"/>
        <c:overlap val="-27"/>
        <c:axId val="1240187584"/>
        <c:axId val="1240194304"/>
      </c:barChart>
      <c:catAx>
        <c:axId val="1240187584"/>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sz="1000" b="0" i="0" u="none" strike="noStrike" baseline="0"/>
                  <a:t>Month</a:t>
                </a:r>
                <a:endParaRPr lang="en-US"/>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40194304"/>
        <c:crosses val="autoZero"/>
        <c:auto val="1"/>
        <c:lblAlgn val="ctr"/>
        <c:lblOffset val="100"/>
        <c:noMultiLvlLbl val="0"/>
      </c:catAx>
      <c:valAx>
        <c:axId val="1240194304"/>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Sales</a:t>
                </a:r>
                <a:r>
                  <a:rPr lang="en-US" baseline="0"/>
                  <a:t> Amount</a:t>
                </a:r>
                <a:endParaRPr lang="en-US"/>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4018758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[online_retail_performance.xlsx]Sales_by_Status!PivotTable8</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Sales</a:t>
            </a:r>
            <a:r>
              <a:rPr lang="en-US" baseline="0"/>
              <a:t> by Order Status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Sales_by_Status!$B$3</c:f>
              <c:strCache>
                <c:ptCount val="1"/>
                <c:pt idx="0">
                  <c:v>Total</c:v>
                </c:pt>
              </c:strCache>
            </c:strRef>
          </c:tx>
          <c:spPr>
            <a:solidFill>
              <a:schemeClr val="accent1"/>
            </a:solidFill>
            <a:ln>
              <a:noFill/>
            </a:ln>
            <a:effectLst/>
          </c:spPr>
          <c:invertIfNegative val="0"/>
          <c:cat>
            <c:strRef>
              <c:f>Sales_by_Status!$A$4:$A$8</c:f>
              <c:strCache>
                <c:ptCount val="4"/>
                <c:pt idx="0">
                  <c:v>Cancelled</c:v>
                </c:pt>
                <c:pt idx="1">
                  <c:v>Completed</c:v>
                </c:pt>
                <c:pt idx="2">
                  <c:v>Pending</c:v>
                </c:pt>
                <c:pt idx="3">
                  <c:v>Returned</c:v>
                </c:pt>
              </c:strCache>
            </c:strRef>
          </c:cat>
          <c:val>
            <c:numRef>
              <c:f>Sales_by_Status!$B$4:$B$8</c:f>
              <c:numCache>
                <c:formatCode>#,##0.00</c:formatCode>
                <c:ptCount val="4"/>
                <c:pt idx="0">
                  <c:v>62430.77000000004</c:v>
                </c:pt>
                <c:pt idx="1">
                  <c:v>629502.24999999616</c:v>
                </c:pt>
                <c:pt idx="2">
                  <c:v>82227.299999999974</c:v>
                </c:pt>
                <c:pt idx="3">
                  <c:v>54350.260000000009</c:v>
                </c:pt>
              </c:numCache>
            </c:numRef>
          </c:val>
          <c:extLst>
            <c:ext xmlns:c16="http://schemas.microsoft.com/office/drawing/2014/chart" uri="{C3380CC4-5D6E-409C-BE32-E72D297353CC}">
              <c16:uniqueId val="{00000000-A948-4351-BE77-FA51F97E9896}"/>
            </c:ext>
          </c:extLst>
        </c:ser>
        <c:dLbls>
          <c:showLegendKey val="0"/>
          <c:showVal val="0"/>
          <c:showCatName val="0"/>
          <c:showSerName val="0"/>
          <c:showPercent val="0"/>
          <c:showBubbleSize val="0"/>
        </c:dLbls>
        <c:gapWidth val="219"/>
        <c:overlap val="-27"/>
        <c:axId val="903320432"/>
        <c:axId val="903322352"/>
      </c:barChart>
      <c:catAx>
        <c:axId val="903320432"/>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Order</a:t>
                </a:r>
                <a:r>
                  <a:rPr lang="en-US" baseline="0"/>
                  <a:t> Status</a:t>
                </a:r>
              </a:p>
            </c:rich>
          </c:tx>
          <c:layout>
            <c:manualLayout>
              <c:xMode val="edge"/>
              <c:yMode val="edge"/>
              <c:x val="0.4256725721784777"/>
              <c:y val="0.89256926217556143"/>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03322352"/>
        <c:crosses val="autoZero"/>
        <c:auto val="1"/>
        <c:lblAlgn val="ctr"/>
        <c:lblOffset val="100"/>
        <c:noMultiLvlLbl val="0"/>
      </c:catAx>
      <c:valAx>
        <c:axId val="903322352"/>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 Sales</a:t>
                </a:r>
                <a:r>
                  <a:rPr lang="en-US" baseline="0"/>
                  <a:t> Amount</a:t>
                </a:r>
                <a:endParaRPr lang="en-US"/>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0332043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[online_retail_performance.xlsx]Avg_Delivery_by_Month!PivotTable13</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0" i="0" u="none" strike="noStrike" baseline="0"/>
              <a:t>Average Delivery Time by Order Month — 2025</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Avg_Delivery_by_Month!$B$3</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multiLvlStrRef>
              <c:f>Avg_Delivery_by_Month!$A$4:$A$17</c:f>
              <c:multiLvlStrCache>
                <c:ptCount val="12"/>
                <c:lvl>
                  <c:pt idx="0">
                    <c:v>яну</c:v>
                  </c:pt>
                  <c:pt idx="1">
                    <c:v>фев</c:v>
                  </c:pt>
                  <c:pt idx="2">
                    <c:v>мар</c:v>
                  </c:pt>
                  <c:pt idx="3">
                    <c:v>апр</c:v>
                  </c:pt>
                  <c:pt idx="4">
                    <c:v>май</c:v>
                  </c:pt>
                  <c:pt idx="5">
                    <c:v>юни</c:v>
                  </c:pt>
                  <c:pt idx="6">
                    <c:v>юли</c:v>
                  </c:pt>
                  <c:pt idx="7">
                    <c:v>авг</c:v>
                  </c:pt>
                  <c:pt idx="8">
                    <c:v>сеп</c:v>
                  </c:pt>
                  <c:pt idx="9">
                    <c:v>окт</c:v>
                  </c:pt>
                  <c:pt idx="10">
                    <c:v>ное</c:v>
                  </c:pt>
                  <c:pt idx="11">
                    <c:v>дек</c:v>
                  </c:pt>
                </c:lvl>
                <c:lvl>
                  <c:pt idx="0">
                    <c:v>2025</c:v>
                  </c:pt>
                </c:lvl>
              </c:multiLvlStrCache>
            </c:multiLvlStrRef>
          </c:cat>
          <c:val>
            <c:numRef>
              <c:f>Avg_Delivery_by_Month!$B$4:$B$17</c:f>
              <c:numCache>
                <c:formatCode>0.00</c:formatCode>
                <c:ptCount val="12"/>
                <c:pt idx="0">
                  <c:v>20.883534136546185</c:v>
                </c:pt>
                <c:pt idx="1">
                  <c:v>23.800884955752213</c:v>
                </c:pt>
                <c:pt idx="2">
                  <c:v>16.333333333333332</c:v>
                </c:pt>
                <c:pt idx="3">
                  <c:v>12.969696969696969</c:v>
                </c:pt>
                <c:pt idx="4">
                  <c:v>11.864754098360656</c:v>
                </c:pt>
                <c:pt idx="5">
                  <c:v>11.040816326530612</c:v>
                </c:pt>
                <c:pt idx="6">
                  <c:v>8.3826086956521735</c:v>
                </c:pt>
                <c:pt idx="7">
                  <c:v>6.6010928961748636</c:v>
                </c:pt>
                <c:pt idx="8">
                  <c:v>5.6201117318435756</c:v>
                </c:pt>
                <c:pt idx="9">
                  <c:v>6.0420168067226889</c:v>
                </c:pt>
                <c:pt idx="10">
                  <c:v>5.8103448275862073</c:v>
                </c:pt>
                <c:pt idx="11">
                  <c:v>14.866279069767442</c:v>
                </c:pt>
              </c:numCache>
            </c:numRef>
          </c:val>
          <c:smooth val="0"/>
          <c:extLst>
            <c:ext xmlns:c16="http://schemas.microsoft.com/office/drawing/2014/chart" uri="{C3380CC4-5D6E-409C-BE32-E72D297353CC}">
              <c16:uniqueId val="{00000000-6722-48FA-B049-943EA28B92A5}"/>
            </c:ext>
          </c:extLst>
        </c:ser>
        <c:dLbls>
          <c:showLegendKey val="0"/>
          <c:showVal val="0"/>
          <c:showCatName val="0"/>
          <c:showSerName val="0"/>
          <c:showPercent val="0"/>
          <c:showBubbleSize val="0"/>
        </c:dLbls>
        <c:marker val="1"/>
        <c:smooth val="0"/>
        <c:axId val="1318071984"/>
        <c:axId val="1318069104"/>
      </c:lineChart>
      <c:catAx>
        <c:axId val="13180719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18069104"/>
        <c:crosses val="autoZero"/>
        <c:auto val="1"/>
        <c:lblAlgn val="ctr"/>
        <c:lblOffset val="100"/>
        <c:noMultiLvlLbl val="0"/>
      </c:catAx>
      <c:valAx>
        <c:axId val="1318069104"/>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sz="1000" b="0" i="0" u="none" strike="noStrike" baseline="0"/>
                  <a:t>Average Delivery Time (Days)</a:t>
                </a:r>
                <a:endParaRPr lang="en-US"/>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1807198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[online_retail_performance.xlsx]Sales_by_Status!PivotTable8</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Sales</a:t>
            </a:r>
            <a:r>
              <a:rPr lang="en-US" baseline="0"/>
              <a:t> by Order Status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Sales_by_Status!$B$3</c:f>
              <c:strCache>
                <c:ptCount val="1"/>
                <c:pt idx="0">
                  <c:v>Total</c:v>
                </c:pt>
              </c:strCache>
            </c:strRef>
          </c:tx>
          <c:spPr>
            <a:solidFill>
              <a:schemeClr val="accent1"/>
            </a:solidFill>
            <a:ln>
              <a:noFill/>
            </a:ln>
            <a:effectLst/>
          </c:spPr>
          <c:invertIfNegative val="0"/>
          <c:cat>
            <c:strRef>
              <c:f>Sales_by_Status!$A$4:$A$8</c:f>
              <c:strCache>
                <c:ptCount val="4"/>
                <c:pt idx="0">
                  <c:v>Cancelled</c:v>
                </c:pt>
                <c:pt idx="1">
                  <c:v>Completed</c:v>
                </c:pt>
                <c:pt idx="2">
                  <c:v>Pending</c:v>
                </c:pt>
                <c:pt idx="3">
                  <c:v>Returned</c:v>
                </c:pt>
              </c:strCache>
            </c:strRef>
          </c:cat>
          <c:val>
            <c:numRef>
              <c:f>Sales_by_Status!$B$4:$B$8</c:f>
              <c:numCache>
                <c:formatCode>#,##0.00</c:formatCode>
                <c:ptCount val="4"/>
                <c:pt idx="0">
                  <c:v>62430.77000000004</c:v>
                </c:pt>
                <c:pt idx="1">
                  <c:v>629502.24999999616</c:v>
                </c:pt>
                <c:pt idx="2">
                  <c:v>82227.299999999974</c:v>
                </c:pt>
                <c:pt idx="3">
                  <c:v>54350.260000000009</c:v>
                </c:pt>
              </c:numCache>
            </c:numRef>
          </c:val>
          <c:extLst>
            <c:ext xmlns:c16="http://schemas.microsoft.com/office/drawing/2014/chart" uri="{C3380CC4-5D6E-409C-BE32-E72D297353CC}">
              <c16:uniqueId val="{00000000-B1E2-4BC7-957E-E390F8D3AA7B}"/>
            </c:ext>
          </c:extLst>
        </c:ser>
        <c:dLbls>
          <c:showLegendKey val="0"/>
          <c:showVal val="0"/>
          <c:showCatName val="0"/>
          <c:showSerName val="0"/>
          <c:showPercent val="0"/>
          <c:showBubbleSize val="0"/>
        </c:dLbls>
        <c:gapWidth val="219"/>
        <c:overlap val="-27"/>
        <c:axId val="903320432"/>
        <c:axId val="903322352"/>
      </c:barChart>
      <c:catAx>
        <c:axId val="903320432"/>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Order</a:t>
                </a:r>
                <a:r>
                  <a:rPr lang="en-US" baseline="0"/>
                  <a:t> Status</a:t>
                </a:r>
              </a:p>
            </c:rich>
          </c:tx>
          <c:layout>
            <c:manualLayout>
              <c:xMode val="edge"/>
              <c:yMode val="edge"/>
              <c:x val="0.4256725721784777"/>
              <c:y val="0.89256926217556143"/>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03322352"/>
        <c:crosses val="autoZero"/>
        <c:auto val="1"/>
        <c:lblAlgn val="ctr"/>
        <c:lblOffset val="100"/>
        <c:noMultiLvlLbl val="0"/>
      </c:catAx>
      <c:valAx>
        <c:axId val="903322352"/>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 Sales</a:t>
                </a:r>
                <a:r>
                  <a:rPr lang="en-US" baseline="0"/>
                  <a:t> Amount</a:t>
                </a:r>
                <a:endParaRPr lang="en-US"/>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0332043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[online_retail_performance.xlsx]Avg_Delivery_by_Month!PivotTable13</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0" i="0" u="none" strike="noStrike" baseline="0"/>
              <a:t>Average Delivery Time by Order Month — 2025</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Avg_Delivery_by_Month!$B$3</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multiLvlStrRef>
              <c:f>Avg_Delivery_by_Month!$A$4:$A$17</c:f>
              <c:multiLvlStrCache>
                <c:ptCount val="12"/>
                <c:lvl>
                  <c:pt idx="0">
                    <c:v>яну</c:v>
                  </c:pt>
                  <c:pt idx="1">
                    <c:v>фев</c:v>
                  </c:pt>
                  <c:pt idx="2">
                    <c:v>мар</c:v>
                  </c:pt>
                  <c:pt idx="3">
                    <c:v>апр</c:v>
                  </c:pt>
                  <c:pt idx="4">
                    <c:v>май</c:v>
                  </c:pt>
                  <c:pt idx="5">
                    <c:v>юни</c:v>
                  </c:pt>
                  <c:pt idx="6">
                    <c:v>юли</c:v>
                  </c:pt>
                  <c:pt idx="7">
                    <c:v>авг</c:v>
                  </c:pt>
                  <c:pt idx="8">
                    <c:v>сеп</c:v>
                  </c:pt>
                  <c:pt idx="9">
                    <c:v>окт</c:v>
                  </c:pt>
                  <c:pt idx="10">
                    <c:v>ное</c:v>
                  </c:pt>
                  <c:pt idx="11">
                    <c:v>дек</c:v>
                  </c:pt>
                </c:lvl>
                <c:lvl>
                  <c:pt idx="0">
                    <c:v>2025</c:v>
                  </c:pt>
                </c:lvl>
              </c:multiLvlStrCache>
            </c:multiLvlStrRef>
          </c:cat>
          <c:val>
            <c:numRef>
              <c:f>Avg_Delivery_by_Month!$B$4:$B$17</c:f>
              <c:numCache>
                <c:formatCode>0.00</c:formatCode>
                <c:ptCount val="12"/>
                <c:pt idx="0">
                  <c:v>20.883534136546185</c:v>
                </c:pt>
                <c:pt idx="1">
                  <c:v>23.800884955752213</c:v>
                </c:pt>
                <c:pt idx="2">
                  <c:v>16.333333333333332</c:v>
                </c:pt>
                <c:pt idx="3">
                  <c:v>12.969696969696969</c:v>
                </c:pt>
                <c:pt idx="4">
                  <c:v>11.864754098360656</c:v>
                </c:pt>
                <c:pt idx="5">
                  <c:v>11.040816326530612</c:v>
                </c:pt>
                <c:pt idx="6">
                  <c:v>8.3826086956521735</c:v>
                </c:pt>
                <c:pt idx="7">
                  <c:v>6.6010928961748636</c:v>
                </c:pt>
                <c:pt idx="8">
                  <c:v>5.6201117318435756</c:v>
                </c:pt>
                <c:pt idx="9">
                  <c:v>6.0420168067226889</c:v>
                </c:pt>
                <c:pt idx="10">
                  <c:v>5.8103448275862073</c:v>
                </c:pt>
                <c:pt idx="11">
                  <c:v>14.866279069767442</c:v>
                </c:pt>
              </c:numCache>
            </c:numRef>
          </c:val>
          <c:smooth val="0"/>
          <c:extLst>
            <c:ext xmlns:c16="http://schemas.microsoft.com/office/drawing/2014/chart" uri="{C3380CC4-5D6E-409C-BE32-E72D297353CC}">
              <c16:uniqueId val="{00000000-4B58-4A8A-9F8D-C018086B4EE4}"/>
            </c:ext>
          </c:extLst>
        </c:ser>
        <c:dLbls>
          <c:showLegendKey val="0"/>
          <c:showVal val="0"/>
          <c:showCatName val="0"/>
          <c:showSerName val="0"/>
          <c:showPercent val="0"/>
          <c:showBubbleSize val="0"/>
        </c:dLbls>
        <c:marker val="1"/>
        <c:smooth val="0"/>
        <c:axId val="1318071984"/>
        <c:axId val="1318069104"/>
      </c:lineChart>
      <c:catAx>
        <c:axId val="13180719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18069104"/>
        <c:crosses val="autoZero"/>
        <c:auto val="1"/>
        <c:lblAlgn val="ctr"/>
        <c:lblOffset val="100"/>
        <c:noMultiLvlLbl val="0"/>
      </c:catAx>
      <c:valAx>
        <c:axId val="1318069104"/>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sz="1000" b="0" i="0" u="none" strike="noStrike" baseline="0"/>
                  <a:t>Average Delivery Time (Days)</a:t>
                </a:r>
                <a:endParaRPr lang="en-US"/>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1807198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[online_retail_performance.xlsx]Monthly_Unique_Orders!PivotTable10</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0" i="0" u="none" strike="noStrike" baseline="0"/>
              <a:t>Monthly Order Volume — 2025</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Monthly_Unique_Orders!$B$3</c:f>
              <c:strCache>
                <c:ptCount val="1"/>
                <c:pt idx="0">
                  <c:v>Total</c:v>
                </c:pt>
              </c:strCache>
            </c:strRef>
          </c:tx>
          <c:spPr>
            <a:solidFill>
              <a:schemeClr val="accent1"/>
            </a:solidFill>
            <a:ln>
              <a:noFill/>
            </a:ln>
            <a:effectLst/>
          </c:spPr>
          <c:invertIfNegative val="0"/>
          <c:cat>
            <c:multiLvlStrRef>
              <c:f>Monthly_Unique_Orders!$A$4:$A$17</c:f>
              <c:multiLvlStrCache>
                <c:ptCount val="12"/>
                <c:lvl>
                  <c:pt idx="0">
                    <c:v>яну</c:v>
                  </c:pt>
                  <c:pt idx="1">
                    <c:v>фев</c:v>
                  </c:pt>
                  <c:pt idx="2">
                    <c:v>мар</c:v>
                  </c:pt>
                  <c:pt idx="3">
                    <c:v>апр</c:v>
                  </c:pt>
                  <c:pt idx="4">
                    <c:v>май</c:v>
                  </c:pt>
                  <c:pt idx="5">
                    <c:v>юни</c:v>
                  </c:pt>
                  <c:pt idx="6">
                    <c:v>юли</c:v>
                  </c:pt>
                  <c:pt idx="7">
                    <c:v>авг</c:v>
                  </c:pt>
                  <c:pt idx="8">
                    <c:v>сеп</c:v>
                  </c:pt>
                  <c:pt idx="9">
                    <c:v>окт</c:v>
                  </c:pt>
                  <c:pt idx="10">
                    <c:v>ное</c:v>
                  </c:pt>
                  <c:pt idx="11">
                    <c:v>дек</c:v>
                  </c:pt>
                </c:lvl>
                <c:lvl>
                  <c:pt idx="0">
                    <c:v>2025</c:v>
                  </c:pt>
                </c:lvl>
              </c:multiLvlStrCache>
            </c:multiLvlStrRef>
          </c:cat>
          <c:val>
            <c:numRef>
              <c:f>Monthly_Unique_Orders!$B$4:$B$17</c:f>
              <c:numCache>
                <c:formatCode>0</c:formatCode>
                <c:ptCount val="12"/>
                <c:pt idx="0">
                  <c:v>153</c:v>
                </c:pt>
                <c:pt idx="1">
                  <c:v>155</c:v>
                </c:pt>
                <c:pt idx="2">
                  <c:v>163</c:v>
                </c:pt>
                <c:pt idx="3">
                  <c:v>167</c:v>
                </c:pt>
                <c:pt idx="4">
                  <c:v>165</c:v>
                </c:pt>
                <c:pt idx="5">
                  <c:v>139</c:v>
                </c:pt>
                <c:pt idx="6">
                  <c:v>170</c:v>
                </c:pt>
                <c:pt idx="7">
                  <c:v>141</c:v>
                </c:pt>
                <c:pt idx="8">
                  <c:v>136</c:v>
                </c:pt>
                <c:pt idx="9">
                  <c:v>162</c:v>
                </c:pt>
                <c:pt idx="10">
                  <c:v>129</c:v>
                </c:pt>
                <c:pt idx="11">
                  <c:v>120</c:v>
                </c:pt>
              </c:numCache>
            </c:numRef>
          </c:val>
          <c:extLst>
            <c:ext xmlns:c16="http://schemas.microsoft.com/office/drawing/2014/chart" uri="{C3380CC4-5D6E-409C-BE32-E72D297353CC}">
              <c16:uniqueId val="{00000000-E121-4F8A-8161-F3D7DB3F8A52}"/>
            </c:ext>
          </c:extLst>
        </c:ser>
        <c:dLbls>
          <c:showLegendKey val="0"/>
          <c:showVal val="0"/>
          <c:showCatName val="0"/>
          <c:showSerName val="0"/>
          <c:showPercent val="0"/>
          <c:showBubbleSize val="0"/>
        </c:dLbls>
        <c:gapWidth val="219"/>
        <c:overlap val="-27"/>
        <c:axId val="1521807744"/>
        <c:axId val="1521805824"/>
      </c:barChart>
      <c:catAx>
        <c:axId val="152180774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21805824"/>
        <c:crosses val="autoZero"/>
        <c:auto val="1"/>
        <c:lblAlgn val="ctr"/>
        <c:lblOffset val="100"/>
        <c:noMultiLvlLbl val="0"/>
      </c:catAx>
      <c:valAx>
        <c:axId val="1521805824"/>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Unique</a:t>
                </a:r>
                <a:r>
                  <a:rPr lang="en-US" baseline="0"/>
                  <a:t> Orders</a:t>
                </a:r>
                <a:endParaRPr lang="en-US"/>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2180774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[online_retail_performance.xlsx]Monthly_Sales!PivotTable1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0" i="0" u="none" strike="noStrike" baseline="0"/>
              <a:t>Monthly Sales — 2025</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Monthly_Sales!$B$3</c:f>
              <c:strCache>
                <c:ptCount val="1"/>
                <c:pt idx="0">
                  <c:v>Total</c:v>
                </c:pt>
              </c:strCache>
            </c:strRef>
          </c:tx>
          <c:spPr>
            <a:solidFill>
              <a:schemeClr val="accent1"/>
            </a:solidFill>
            <a:ln>
              <a:noFill/>
            </a:ln>
            <a:effectLst/>
          </c:spPr>
          <c:invertIfNegative val="0"/>
          <c:cat>
            <c:multiLvlStrRef>
              <c:f>Monthly_Sales!$A$4:$A$17</c:f>
              <c:multiLvlStrCache>
                <c:ptCount val="12"/>
                <c:lvl>
                  <c:pt idx="0">
                    <c:v>яну</c:v>
                  </c:pt>
                  <c:pt idx="1">
                    <c:v>фев</c:v>
                  </c:pt>
                  <c:pt idx="2">
                    <c:v>мар</c:v>
                  </c:pt>
                  <c:pt idx="3">
                    <c:v>апр</c:v>
                  </c:pt>
                  <c:pt idx="4">
                    <c:v>май</c:v>
                  </c:pt>
                  <c:pt idx="5">
                    <c:v>юни</c:v>
                  </c:pt>
                  <c:pt idx="6">
                    <c:v>юли</c:v>
                  </c:pt>
                  <c:pt idx="7">
                    <c:v>авг</c:v>
                  </c:pt>
                  <c:pt idx="8">
                    <c:v>сеп</c:v>
                  </c:pt>
                  <c:pt idx="9">
                    <c:v>окт</c:v>
                  </c:pt>
                  <c:pt idx="10">
                    <c:v>ное</c:v>
                  </c:pt>
                  <c:pt idx="11">
                    <c:v>дек</c:v>
                  </c:pt>
                </c:lvl>
                <c:lvl>
                  <c:pt idx="0">
                    <c:v>2025</c:v>
                  </c:pt>
                </c:lvl>
              </c:multiLvlStrCache>
            </c:multiLvlStrRef>
          </c:cat>
          <c:val>
            <c:numRef>
              <c:f>Monthly_Sales!$B$4:$B$17</c:f>
              <c:numCache>
                <c:formatCode>#,##0.00</c:formatCode>
                <c:ptCount val="12"/>
                <c:pt idx="0">
                  <c:v>78735.839999999997</c:v>
                </c:pt>
                <c:pt idx="1">
                  <c:v>77092.609999999942</c:v>
                </c:pt>
                <c:pt idx="2">
                  <c:v>70575.530000000013</c:v>
                </c:pt>
                <c:pt idx="3">
                  <c:v>73576.699999999983</c:v>
                </c:pt>
                <c:pt idx="4">
                  <c:v>78449.190000000017</c:v>
                </c:pt>
                <c:pt idx="5">
                  <c:v>65216.030000000013</c:v>
                </c:pt>
                <c:pt idx="6">
                  <c:v>77447.899999999994</c:v>
                </c:pt>
                <c:pt idx="7">
                  <c:v>64125.310000000005</c:v>
                </c:pt>
                <c:pt idx="8">
                  <c:v>61677.070000000022</c:v>
                </c:pt>
                <c:pt idx="9">
                  <c:v>73771.219999999943</c:v>
                </c:pt>
                <c:pt idx="10">
                  <c:v>56645.450000000026</c:v>
                </c:pt>
                <c:pt idx="11">
                  <c:v>51197.73000000001</c:v>
                </c:pt>
              </c:numCache>
            </c:numRef>
          </c:val>
          <c:extLst>
            <c:ext xmlns:c16="http://schemas.microsoft.com/office/drawing/2014/chart" uri="{C3380CC4-5D6E-409C-BE32-E72D297353CC}">
              <c16:uniqueId val="{00000000-1ECF-4CB3-BDC8-45F610372A84}"/>
            </c:ext>
          </c:extLst>
        </c:ser>
        <c:dLbls>
          <c:showLegendKey val="0"/>
          <c:showVal val="0"/>
          <c:showCatName val="0"/>
          <c:showSerName val="0"/>
          <c:showPercent val="0"/>
          <c:showBubbleSize val="0"/>
        </c:dLbls>
        <c:gapWidth val="219"/>
        <c:overlap val="-27"/>
        <c:axId val="1240187584"/>
        <c:axId val="1240194304"/>
      </c:barChart>
      <c:catAx>
        <c:axId val="1240187584"/>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sz="1000" b="0" i="0" u="none" strike="noStrike" baseline="0"/>
                  <a:t>Month</a:t>
                </a:r>
                <a:endParaRPr lang="en-US"/>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40194304"/>
        <c:crosses val="autoZero"/>
        <c:auto val="1"/>
        <c:lblAlgn val="ctr"/>
        <c:lblOffset val="100"/>
        <c:noMultiLvlLbl val="0"/>
      </c:catAx>
      <c:valAx>
        <c:axId val="1240194304"/>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Sales</a:t>
                </a:r>
                <a:r>
                  <a:rPr lang="en-US" baseline="0"/>
                  <a:t> Amount</a:t>
                </a:r>
                <a:endParaRPr lang="en-US"/>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4018758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[online_retail_performance.xlsx]Sales_by_Category!PivotTable7</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0" i="0" u="none" strike="noStrike" baseline="0"/>
              <a:t>Sales by Product Category</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Sales_by_Category!$B$3</c:f>
              <c:strCache>
                <c:ptCount val="1"/>
                <c:pt idx="0">
                  <c:v>Total</c:v>
                </c:pt>
              </c:strCache>
            </c:strRef>
          </c:tx>
          <c:spPr>
            <a:solidFill>
              <a:schemeClr val="accent1"/>
            </a:solidFill>
            <a:ln>
              <a:noFill/>
            </a:ln>
            <a:effectLst/>
          </c:spPr>
          <c:invertIfNegative val="0"/>
          <c:cat>
            <c:strRef>
              <c:f>Sales_by_Category!$A$4:$A$9</c:f>
              <c:strCache>
                <c:ptCount val="5"/>
                <c:pt idx="0">
                  <c:v>Electronics</c:v>
                </c:pt>
                <c:pt idx="1">
                  <c:v>Home</c:v>
                </c:pt>
                <c:pt idx="2">
                  <c:v>Office</c:v>
                </c:pt>
                <c:pt idx="3">
                  <c:v>Sports</c:v>
                </c:pt>
                <c:pt idx="4">
                  <c:v>Not found</c:v>
                </c:pt>
              </c:strCache>
            </c:strRef>
          </c:cat>
          <c:val>
            <c:numRef>
              <c:f>Sales_by_Category!$B$4:$B$9</c:f>
              <c:numCache>
                <c:formatCode>#,##0.00</c:formatCode>
                <c:ptCount val="5"/>
                <c:pt idx="0">
                  <c:v>249777.81999999998</c:v>
                </c:pt>
                <c:pt idx="1">
                  <c:v>223074.7099999979</c:v>
                </c:pt>
                <c:pt idx="2">
                  <c:v>212325.32000000044</c:v>
                </c:pt>
                <c:pt idx="3">
                  <c:v>143332.72999999934</c:v>
                </c:pt>
                <c:pt idx="4">
                  <c:v>0</c:v>
                </c:pt>
              </c:numCache>
            </c:numRef>
          </c:val>
          <c:extLst>
            <c:ext xmlns:c16="http://schemas.microsoft.com/office/drawing/2014/chart" uri="{C3380CC4-5D6E-409C-BE32-E72D297353CC}">
              <c16:uniqueId val="{00000000-A95C-4EC0-A974-7E32D2783E34}"/>
            </c:ext>
          </c:extLst>
        </c:ser>
        <c:dLbls>
          <c:showLegendKey val="0"/>
          <c:showVal val="0"/>
          <c:showCatName val="0"/>
          <c:showSerName val="0"/>
          <c:showPercent val="0"/>
          <c:showBubbleSize val="0"/>
        </c:dLbls>
        <c:gapWidth val="219"/>
        <c:overlap val="-27"/>
        <c:axId val="1351976176"/>
        <c:axId val="1351976656"/>
      </c:barChart>
      <c:catAx>
        <c:axId val="135197617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Product</a:t>
                </a:r>
                <a:r>
                  <a:rPr lang="en-US" baseline="0"/>
                  <a:t> Category</a:t>
                </a:r>
              </a:p>
            </c:rich>
          </c:tx>
          <c:layout>
            <c:manualLayout>
              <c:xMode val="edge"/>
              <c:yMode val="edge"/>
              <c:x val="0.40431146106736654"/>
              <c:y val="0.88331000291630213"/>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51976656"/>
        <c:crosses val="autoZero"/>
        <c:auto val="1"/>
        <c:lblAlgn val="ctr"/>
        <c:lblOffset val="100"/>
        <c:noMultiLvlLbl val="0"/>
      </c:catAx>
      <c:valAx>
        <c:axId val="1351976656"/>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Sales</a:t>
                </a:r>
                <a:r>
                  <a:rPr lang="en-US" baseline="0"/>
                  <a:t> Amount</a:t>
                </a:r>
                <a:endParaRPr lang="en-US"/>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5197617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[online_retail_performance.xlsx]Monthly_Orders!PivotTable9</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Monthly</a:t>
            </a:r>
            <a:r>
              <a:rPr lang="en-US" baseline="0"/>
              <a:t> Order Volume - 2025</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Monthly_Orders!$B$3</c:f>
              <c:strCache>
                <c:ptCount val="1"/>
                <c:pt idx="0">
                  <c:v>Total</c:v>
                </c:pt>
              </c:strCache>
            </c:strRef>
          </c:tx>
          <c:spPr>
            <a:solidFill>
              <a:schemeClr val="accent1"/>
            </a:solidFill>
            <a:ln>
              <a:noFill/>
            </a:ln>
            <a:effectLst/>
          </c:spPr>
          <c:invertIfNegative val="0"/>
          <c:cat>
            <c:multiLvlStrRef>
              <c:f>Monthly_Orders!$A$4:$A$17</c:f>
              <c:multiLvlStrCache>
                <c:ptCount val="12"/>
                <c:lvl>
                  <c:pt idx="0">
                    <c:v>яну</c:v>
                  </c:pt>
                  <c:pt idx="1">
                    <c:v>фев</c:v>
                  </c:pt>
                  <c:pt idx="2">
                    <c:v>мар</c:v>
                  </c:pt>
                  <c:pt idx="3">
                    <c:v>апр</c:v>
                  </c:pt>
                  <c:pt idx="4">
                    <c:v>май</c:v>
                  </c:pt>
                  <c:pt idx="5">
                    <c:v>юни</c:v>
                  </c:pt>
                  <c:pt idx="6">
                    <c:v>юли</c:v>
                  </c:pt>
                  <c:pt idx="7">
                    <c:v>авг</c:v>
                  </c:pt>
                  <c:pt idx="8">
                    <c:v>сеп</c:v>
                  </c:pt>
                  <c:pt idx="9">
                    <c:v>окт</c:v>
                  </c:pt>
                  <c:pt idx="10">
                    <c:v>ное</c:v>
                  </c:pt>
                  <c:pt idx="11">
                    <c:v>дек</c:v>
                  </c:pt>
                </c:lvl>
                <c:lvl>
                  <c:pt idx="0">
                    <c:v>2025</c:v>
                  </c:pt>
                </c:lvl>
              </c:multiLvlStrCache>
            </c:multiLvlStrRef>
          </c:cat>
          <c:val>
            <c:numRef>
              <c:f>Monthly_Orders!$B$4:$B$17</c:f>
              <c:numCache>
                <c:formatCode>General</c:formatCode>
                <c:ptCount val="12"/>
                <c:pt idx="0">
                  <c:v>284</c:v>
                </c:pt>
                <c:pt idx="1">
                  <c:v>293</c:v>
                </c:pt>
                <c:pt idx="2">
                  <c:v>283</c:v>
                </c:pt>
                <c:pt idx="3">
                  <c:v>305</c:v>
                </c:pt>
                <c:pt idx="4">
                  <c:v>290</c:v>
                </c:pt>
                <c:pt idx="5">
                  <c:v>241</c:v>
                </c:pt>
                <c:pt idx="6">
                  <c:v>278</c:v>
                </c:pt>
                <c:pt idx="7">
                  <c:v>243</c:v>
                </c:pt>
                <c:pt idx="8">
                  <c:v>220</c:v>
                </c:pt>
                <c:pt idx="9">
                  <c:v>287</c:v>
                </c:pt>
                <c:pt idx="10">
                  <c:v>219</c:v>
                </c:pt>
                <c:pt idx="11">
                  <c:v>211</c:v>
                </c:pt>
              </c:numCache>
            </c:numRef>
          </c:val>
          <c:extLst>
            <c:ext xmlns:c16="http://schemas.microsoft.com/office/drawing/2014/chart" uri="{C3380CC4-5D6E-409C-BE32-E72D297353CC}">
              <c16:uniqueId val="{00000000-37C5-4E8E-953E-116EC2079082}"/>
            </c:ext>
          </c:extLst>
        </c:ser>
        <c:dLbls>
          <c:showLegendKey val="0"/>
          <c:showVal val="0"/>
          <c:showCatName val="0"/>
          <c:showSerName val="0"/>
          <c:showPercent val="0"/>
          <c:showBubbleSize val="0"/>
        </c:dLbls>
        <c:gapWidth val="219"/>
        <c:overlap val="-27"/>
        <c:axId val="1209188496"/>
        <c:axId val="1316322896"/>
      </c:barChart>
      <c:catAx>
        <c:axId val="120918849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Month</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16322896"/>
        <c:crosses val="autoZero"/>
        <c:auto val="1"/>
        <c:lblAlgn val="ctr"/>
        <c:lblOffset val="100"/>
        <c:noMultiLvlLbl val="0"/>
      </c:catAx>
      <c:valAx>
        <c:axId val="1316322896"/>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Orders</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0918849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[online_retail_performance.xlsx]Sales_by_Product!PivotTable11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0" i="0" u="none" strike="noStrike" baseline="0"/>
              <a:t>Sales by Product</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Sales_by_Product!$B$3</c:f>
              <c:strCache>
                <c:ptCount val="1"/>
                <c:pt idx="0">
                  <c:v>Total</c:v>
                </c:pt>
              </c:strCache>
            </c:strRef>
          </c:tx>
          <c:spPr>
            <a:solidFill>
              <a:schemeClr val="accent1"/>
            </a:solidFill>
            <a:ln>
              <a:noFill/>
            </a:ln>
            <a:effectLst/>
          </c:spPr>
          <c:invertIfNegative val="0"/>
          <c:cat>
            <c:strRef>
              <c:f>Sales_by_Product!$A$4:$A$20</c:f>
              <c:strCache>
                <c:ptCount val="16"/>
                <c:pt idx="0">
                  <c:v>1003</c:v>
                </c:pt>
                <c:pt idx="1">
                  <c:v>1014</c:v>
                </c:pt>
                <c:pt idx="2">
                  <c:v>1012</c:v>
                </c:pt>
                <c:pt idx="3">
                  <c:v>1006</c:v>
                </c:pt>
                <c:pt idx="4">
                  <c:v>1008</c:v>
                </c:pt>
                <c:pt idx="5">
                  <c:v>1007</c:v>
                </c:pt>
                <c:pt idx="6">
                  <c:v>1001</c:v>
                </c:pt>
                <c:pt idx="7">
                  <c:v>1004</c:v>
                </c:pt>
                <c:pt idx="8">
                  <c:v>1013</c:v>
                </c:pt>
                <c:pt idx="9">
                  <c:v>1010</c:v>
                </c:pt>
                <c:pt idx="10">
                  <c:v>1015</c:v>
                </c:pt>
                <c:pt idx="11">
                  <c:v>1002</c:v>
                </c:pt>
                <c:pt idx="12">
                  <c:v>1011</c:v>
                </c:pt>
                <c:pt idx="13">
                  <c:v>1016</c:v>
                </c:pt>
                <c:pt idx="14">
                  <c:v>1009</c:v>
                </c:pt>
                <c:pt idx="15">
                  <c:v>1005</c:v>
                </c:pt>
              </c:strCache>
            </c:strRef>
          </c:cat>
          <c:val>
            <c:numRef>
              <c:f>Sales_by_Product!$B$4:$B$20</c:f>
              <c:numCache>
                <c:formatCode>#,##0.00</c:formatCode>
                <c:ptCount val="16"/>
                <c:pt idx="0">
                  <c:v>80997.570000000007</c:v>
                </c:pt>
                <c:pt idx="1">
                  <c:v>77307.059999999678</c:v>
                </c:pt>
                <c:pt idx="2">
                  <c:v>75131.940000000061</c:v>
                </c:pt>
                <c:pt idx="3">
                  <c:v>73143.410000000105</c:v>
                </c:pt>
                <c:pt idx="4">
                  <c:v>69246.239999999802</c:v>
                </c:pt>
                <c:pt idx="5">
                  <c:v>68335.019999999931</c:v>
                </c:pt>
                <c:pt idx="6">
                  <c:v>60302.880000000165</c:v>
                </c:pt>
                <c:pt idx="7">
                  <c:v>56224.440000000024</c:v>
                </c:pt>
                <c:pt idx="8">
                  <c:v>56182.5</c:v>
                </c:pt>
                <c:pt idx="9">
                  <c:v>42768</c:v>
                </c:pt>
                <c:pt idx="10">
                  <c:v>42558.210000000028</c:v>
                </c:pt>
                <c:pt idx="11">
                  <c:v>40798.399999999914</c:v>
                </c:pt>
                <c:pt idx="12">
                  <c:v>38242.879999999976</c:v>
                </c:pt>
                <c:pt idx="13">
                  <c:v>23467.459999999974</c:v>
                </c:pt>
                <c:pt idx="14">
                  <c:v>12350.040000000025</c:v>
                </c:pt>
                <c:pt idx="15">
                  <c:v>11454.529999999955</c:v>
                </c:pt>
              </c:numCache>
            </c:numRef>
          </c:val>
          <c:extLst>
            <c:ext xmlns:c16="http://schemas.microsoft.com/office/drawing/2014/chart" uri="{C3380CC4-5D6E-409C-BE32-E72D297353CC}">
              <c16:uniqueId val="{00000000-943F-4B53-B066-AA1878721BB0}"/>
            </c:ext>
          </c:extLst>
        </c:ser>
        <c:dLbls>
          <c:showLegendKey val="0"/>
          <c:showVal val="0"/>
          <c:showCatName val="0"/>
          <c:showSerName val="0"/>
          <c:showPercent val="0"/>
          <c:showBubbleSize val="0"/>
        </c:dLbls>
        <c:gapWidth val="219"/>
        <c:overlap val="-27"/>
        <c:axId val="283640223"/>
        <c:axId val="283640703"/>
      </c:barChart>
      <c:catAx>
        <c:axId val="283640223"/>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Product</a:t>
                </a:r>
                <a:r>
                  <a:rPr lang="en-US" baseline="0"/>
                  <a:t> ID</a:t>
                </a:r>
                <a:endParaRPr lang="en-US"/>
              </a:p>
            </c:rich>
          </c:tx>
          <c:layout>
            <c:manualLayout>
              <c:xMode val="edge"/>
              <c:yMode val="edge"/>
              <c:x val="0.43098512685914264"/>
              <c:y val="0.87868037328667248"/>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83640703"/>
        <c:crosses val="autoZero"/>
        <c:auto val="1"/>
        <c:lblAlgn val="ctr"/>
        <c:lblOffset val="100"/>
        <c:noMultiLvlLbl val="0"/>
      </c:catAx>
      <c:valAx>
        <c:axId val="283640703"/>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Amount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8364022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1" Type="http://schemas.openxmlformats.org/officeDocument/2006/relationships/chart" Target="../charts/chart5.xml"/></Relationships>
</file>

<file path=xl/drawings/_rels/drawing3.xml.rels><?xml version="1.0" encoding="UTF-8" standalone="yes"?>
<Relationships xmlns="http://schemas.openxmlformats.org/package/2006/relationships"><Relationship Id="rId1" Type="http://schemas.openxmlformats.org/officeDocument/2006/relationships/chart" Target="../charts/chart6.xml"/></Relationships>
</file>

<file path=xl/drawings/_rels/drawing4.xml.rels><?xml version="1.0" encoding="UTF-8" standalone="yes"?>
<Relationships xmlns="http://schemas.openxmlformats.org/package/2006/relationships"><Relationship Id="rId1" Type="http://schemas.openxmlformats.org/officeDocument/2006/relationships/chart" Target="../charts/chart7.xml"/></Relationships>
</file>

<file path=xl/drawings/_rels/drawing5.xml.rels><?xml version="1.0" encoding="UTF-8" standalone="yes"?>
<Relationships xmlns="http://schemas.openxmlformats.org/package/2006/relationships"><Relationship Id="rId1" Type="http://schemas.openxmlformats.org/officeDocument/2006/relationships/chart" Target="../charts/chart8.xml"/></Relationships>
</file>

<file path=xl/drawings/_rels/drawing6.xml.rels><?xml version="1.0" encoding="UTF-8" standalone="yes"?>
<Relationships xmlns="http://schemas.openxmlformats.org/package/2006/relationships"><Relationship Id="rId1" Type="http://schemas.openxmlformats.org/officeDocument/2006/relationships/chart" Target="../charts/chart9.xml"/></Relationships>
</file>

<file path=xl/drawings/_rels/drawing7.xml.rels><?xml version="1.0" encoding="UTF-8" standalone="yes"?>
<Relationships xmlns="http://schemas.openxmlformats.org/package/2006/relationships"><Relationship Id="rId1" Type="http://schemas.openxmlformats.org/officeDocument/2006/relationships/chart" Target="../charts/chart10.xml"/></Relationships>
</file>

<file path=xl/drawings/_rels/drawing8.xml.rels><?xml version="1.0" encoding="UTF-8" standalone="yes"?>
<Relationships xmlns="http://schemas.openxmlformats.org/package/2006/relationships"><Relationship Id="rId1" Type="http://schemas.openxmlformats.org/officeDocument/2006/relationships/chart" Target="../charts/chart11.xml"/></Relationships>
</file>

<file path=xl/drawings/drawing1.xml><?xml version="1.0" encoding="utf-8"?>
<xdr:wsDr xmlns:xdr="http://schemas.openxmlformats.org/drawingml/2006/spreadsheetDrawing" xmlns:a="http://schemas.openxmlformats.org/drawingml/2006/main">
  <xdr:twoCellAnchor>
    <xdr:from>
      <xdr:col>5</xdr:col>
      <xdr:colOff>13855</xdr:colOff>
      <xdr:row>7</xdr:row>
      <xdr:rowOff>0</xdr:rowOff>
    </xdr:from>
    <xdr:to>
      <xdr:col>7</xdr:col>
      <xdr:colOff>2326870</xdr:colOff>
      <xdr:row>22</xdr:row>
      <xdr:rowOff>0</xdr:rowOff>
    </xdr:to>
    <xdr:graphicFrame macro="">
      <xdr:nvGraphicFramePr>
        <xdr:cNvPr id="3" name="Chart 2">
          <a:extLst>
            <a:ext uri="{FF2B5EF4-FFF2-40B4-BE49-F238E27FC236}">
              <a16:creationId xmlns:a16="http://schemas.microsoft.com/office/drawing/2014/main" id="{6964143B-3686-48D0-BA4B-2FE02789D0E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0</xdr:colOff>
      <xdr:row>7</xdr:row>
      <xdr:rowOff>7620</xdr:rowOff>
    </xdr:from>
    <xdr:to>
      <xdr:col>5</xdr:col>
      <xdr:colOff>0</xdr:colOff>
      <xdr:row>22</xdr:row>
      <xdr:rowOff>0</xdr:rowOff>
    </xdr:to>
    <xdr:graphicFrame macro="">
      <xdr:nvGraphicFramePr>
        <xdr:cNvPr id="4" name="Chart 3">
          <a:extLst>
            <a:ext uri="{FF2B5EF4-FFF2-40B4-BE49-F238E27FC236}">
              <a16:creationId xmlns:a16="http://schemas.microsoft.com/office/drawing/2014/main" id="{2EF162B4-4A28-4755-9A2F-71F1D5111A4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0</xdr:colOff>
      <xdr:row>23</xdr:row>
      <xdr:rowOff>3242</xdr:rowOff>
    </xdr:from>
    <xdr:to>
      <xdr:col>4</xdr:col>
      <xdr:colOff>1305339</xdr:colOff>
      <xdr:row>38</xdr:row>
      <xdr:rowOff>4009</xdr:rowOff>
    </xdr:to>
    <xdr:graphicFrame macro="">
      <xdr:nvGraphicFramePr>
        <xdr:cNvPr id="5" name="Chart 4">
          <a:extLst>
            <a:ext uri="{FF2B5EF4-FFF2-40B4-BE49-F238E27FC236}">
              <a16:creationId xmlns:a16="http://schemas.microsoft.com/office/drawing/2014/main" id="{910E1C3E-5EEF-442B-AE37-25A087ACB98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5</xdr:col>
      <xdr:colOff>13855</xdr:colOff>
      <xdr:row>23</xdr:row>
      <xdr:rowOff>5860</xdr:rowOff>
    </xdr:from>
    <xdr:to>
      <xdr:col>8</xdr:col>
      <xdr:colOff>0</xdr:colOff>
      <xdr:row>38</xdr:row>
      <xdr:rowOff>4374</xdr:rowOff>
    </xdr:to>
    <xdr:graphicFrame macro="">
      <xdr:nvGraphicFramePr>
        <xdr:cNvPr id="6" name="Chart 5">
          <a:extLst>
            <a:ext uri="{FF2B5EF4-FFF2-40B4-BE49-F238E27FC236}">
              <a16:creationId xmlns:a16="http://schemas.microsoft.com/office/drawing/2014/main" id="{4167800C-4FB2-40FB-99F5-BEE06925C97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8</xdr:col>
      <xdr:colOff>4679</xdr:colOff>
      <xdr:row>7</xdr:row>
      <xdr:rowOff>4677</xdr:rowOff>
    </xdr:from>
    <xdr:to>
      <xdr:col>14</xdr:col>
      <xdr:colOff>4679</xdr:colOff>
      <xdr:row>22</xdr:row>
      <xdr:rowOff>4677</xdr:rowOff>
    </xdr:to>
    <mc:AlternateContent xmlns:mc="http://schemas.openxmlformats.org/markup-compatibility/2006" xmlns:a14="http://schemas.microsoft.com/office/drawing/2010/main">
      <mc:Choice Requires="a14">
        <xdr:graphicFrame macro="">
          <xdr:nvGraphicFramePr>
            <xdr:cNvPr id="9" name="Status">
              <a:extLst>
                <a:ext uri="{FF2B5EF4-FFF2-40B4-BE49-F238E27FC236}">
                  <a16:creationId xmlns:a16="http://schemas.microsoft.com/office/drawing/2014/main" id="{1C865EDA-5708-430C-B028-CF5024CB923E}"/>
                </a:ext>
              </a:extLst>
            </xdr:cNvPr>
            <xdr:cNvGraphicFramePr/>
          </xdr:nvGraphicFramePr>
          <xdr:xfrm>
            <a:off x="0" y="0"/>
            <a:ext cx="0" cy="0"/>
          </xdr:xfrm>
          <a:graphic>
            <a:graphicData uri="http://schemas.microsoft.com/office/drawing/2010/slicer">
              <sle:slicer xmlns:sle="http://schemas.microsoft.com/office/drawing/2010/slicer" name="Status"/>
            </a:graphicData>
          </a:graphic>
        </xdr:graphicFrame>
      </mc:Choice>
      <mc:Fallback xmlns="">
        <xdr:sp macro="" textlink="">
          <xdr:nvSpPr>
            <xdr:cNvPr id="0" name=""/>
            <xdr:cNvSpPr>
              <a:spLocks noTextEdit="1"/>
            </xdr:cNvSpPr>
          </xdr:nvSpPr>
          <xdr:spPr>
            <a:xfrm>
              <a:off x="13064836" y="1597950"/>
              <a:ext cx="1833479" cy="2701636"/>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7</xdr:col>
      <xdr:colOff>1719310</xdr:colOff>
      <xdr:row>23</xdr:row>
      <xdr:rowOff>8043</xdr:rowOff>
    </xdr:from>
    <xdr:to>
      <xdr:col>14</xdr:col>
      <xdr:colOff>6626</xdr:colOff>
      <xdr:row>38</xdr:row>
      <xdr:rowOff>11304</xdr:rowOff>
    </xdr:to>
    <mc:AlternateContent xmlns:mc="http://schemas.openxmlformats.org/markup-compatibility/2006" xmlns:a14="http://schemas.microsoft.com/office/drawing/2010/main">
      <mc:Choice Requires="a14">
        <xdr:graphicFrame macro="">
          <xdr:nvGraphicFramePr>
            <xdr:cNvPr id="2" name="Categoty">
              <a:extLst>
                <a:ext uri="{FF2B5EF4-FFF2-40B4-BE49-F238E27FC236}">
                  <a16:creationId xmlns:a16="http://schemas.microsoft.com/office/drawing/2014/main" id="{B0344B62-E742-4174-8623-D12AF50E268D}"/>
                </a:ext>
              </a:extLst>
            </xdr:cNvPr>
            <xdr:cNvGraphicFramePr/>
          </xdr:nvGraphicFramePr>
          <xdr:xfrm>
            <a:off x="0" y="0"/>
            <a:ext cx="0" cy="0"/>
          </xdr:xfrm>
          <a:graphic>
            <a:graphicData uri="http://schemas.microsoft.com/office/drawing/2010/slicer">
              <sle:slicer xmlns:sle="http://schemas.microsoft.com/office/drawing/2010/slicer" name="Categoty"/>
            </a:graphicData>
          </a:graphic>
        </xdr:graphicFrame>
      </mc:Choice>
      <mc:Fallback xmlns="">
        <xdr:sp macro="" textlink="">
          <xdr:nvSpPr>
            <xdr:cNvPr id="0" name=""/>
            <xdr:cNvSpPr>
              <a:spLocks noTextEdit="1"/>
            </xdr:cNvSpPr>
          </xdr:nvSpPr>
          <xdr:spPr>
            <a:xfrm>
              <a:off x="13045988" y="4502551"/>
              <a:ext cx="1826096" cy="271546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3</xdr:col>
      <xdr:colOff>601980</xdr:colOff>
      <xdr:row>2</xdr:row>
      <xdr:rowOff>11430</xdr:rowOff>
    </xdr:from>
    <xdr:to>
      <xdr:col>11</xdr:col>
      <xdr:colOff>297180</xdr:colOff>
      <xdr:row>17</xdr:row>
      <xdr:rowOff>11430</xdr:rowOff>
    </xdr:to>
    <xdr:graphicFrame macro="">
      <xdr:nvGraphicFramePr>
        <xdr:cNvPr id="2" name="Chart 1">
          <a:extLst>
            <a:ext uri="{FF2B5EF4-FFF2-40B4-BE49-F238E27FC236}">
              <a16:creationId xmlns:a16="http://schemas.microsoft.com/office/drawing/2014/main" id="{57B36F52-031B-4266-7B6A-7D9BCE0AA3F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3</xdr:col>
      <xdr:colOff>7620</xdr:colOff>
      <xdr:row>2</xdr:row>
      <xdr:rowOff>3810</xdr:rowOff>
    </xdr:from>
    <xdr:to>
      <xdr:col>10</xdr:col>
      <xdr:colOff>312420</xdr:colOff>
      <xdr:row>17</xdr:row>
      <xdr:rowOff>3810</xdr:rowOff>
    </xdr:to>
    <xdr:graphicFrame macro="">
      <xdr:nvGraphicFramePr>
        <xdr:cNvPr id="2" name="Chart 1">
          <a:extLst>
            <a:ext uri="{FF2B5EF4-FFF2-40B4-BE49-F238E27FC236}">
              <a16:creationId xmlns:a16="http://schemas.microsoft.com/office/drawing/2014/main" id="{47404849-3E0A-3708-4BAE-DDD40755658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4</xdr:col>
      <xdr:colOff>7620</xdr:colOff>
      <xdr:row>1</xdr:row>
      <xdr:rowOff>179070</xdr:rowOff>
    </xdr:from>
    <xdr:to>
      <xdr:col>11</xdr:col>
      <xdr:colOff>312420</xdr:colOff>
      <xdr:row>16</xdr:row>
      <xdr:rowOff>179070</xdr:rowOff>
    </xdr:to>
    <xdr:graphicFrame macro="">
      <xdr:nvGraphicFramePr>
        <xdr:cNvPr id="2" name="Chart 1">
          <a:extLst>
            <a:ext uri="{FF2B5EF4-FFF2-40B4-BE49-F238E27FC236}">
              <a16:creationId xmlns:a16="http://schemas.microsoft.com/office/drawing/2014/main" id="{1FD8340E-17A2-82DA-2349-7A2078AF663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4</xdr:col>
      <xdr:colOff>7620</xdr:colOff>
      <xdr:row>2</xdr:row>
      <xdr:rowOff>3810</xdr:rowOff>
    </xdr:from>
    <xdr:to>
      <xdr:col>11</xdr:col>
      <xdr:colOff>312420</xdr:colOff>
      <xdr:row>17</xdr:row>
      <xdr:rowOff>3810</xdr:rowOff>
    </xdr:to>
    <xdr:graphicFrame macro="">
      <xdr:nvGraphicFramePr>
        <xdr:cNvPr id="2" name="Chart 1">
          <a:extLst>
            <a:ext uri="{FF2B5EF4-FFF2-40B4-BE49-F238E27FC236}">
              <a16:creationId xmlns:a16="http://schemas.microsoft.com/office/drawing/2014/main" id="{D009DDFF-DF44-227A-40A5-7084FCB2576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4</xdr:col>
      <xdr:colOff>7620</xdr:colOff>
      <xdr:row>1</xdr:row>
      <xdr:rowOff>179070</xdr:rowOff>
    </xdr:from>
    <xdr:to>
      <xdr:col>11</xdr:col>
      <xdr:colOff>312420</xdr:colOff>
      <xdr:row>16</xdr:row>
      <xdr:rowOff>179070</xdr:rowOff>
    </xdr:to>
    <xdr:graphicFrame macro="">
      <xdr:nvGraphicFramePr>
        <xdr:cNvPr id="2" name="Chart 1">
          <a:extLst>
            <a:ext uri="{FF2B5EF4-FFF2-40B4-BE49-F238E27FC236}">
              <a16:creationId xmlns:a16="http://schemas.microsoft.com/office/drawing/2014/main" id="{7421596F-4968-0F90-7BCB-D3AEA420165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3</xdr:col>
      <xdr:colOff>0</xdr:colOff>
      <xdr:row>2</xdr:row>
      <xdr:rowOff>3810</xdr:rowOff>
    </xdr:from>
    <xdr:to>
      <xdr:col>10</xdr:col>
      <xdr:colOff>304800</xdr:colOff>
      <xdr:row>17</xdr:row>
      <xdr:rowOff>3810</xdr:rowOff>
    </xdr:to>
    <xdr:graphicFrame macro="">
      <xdr:nvGraphicFramePr>
        <xdr:cNvPr id="2" name="Chart 1">
          <a:extLst>
            <a:ext uri="{FF2B5EF4-FFF2-40B4-BE49-F238E27FC236}">
              <a16:creationId xmlns:a16="http://schemas.microsoft.com/office/drawing/2014/main" id="{96ED2F7C-CF66-CE5D-19AC-2C262D95763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8.xml><?xml version="1.0" encoding="utf-8"?>
<xdr:wsDr xmlns:xdr="http://schemas.openxmlformats.org/drawingml/2006/spreadsheetDrawing" xmlns:a="http://schemas.openxmlformats.org/drawingml/2006/main">
  <xdr:twoCellAnchor>
    <xdr:from>
      <xdr:col>3</xdr:col>
      <xdr:colOff>0</xdr:colOff>
      <xdr:row>2</xdr:row>
      <xdr:rowOff>163830</xdr:rowOff>
    </xdr:from>
    <xdr:to>
      <xdr:col>10</xdr:col>
      <xdr:colOff>304800</xdr:colOff>
      <xdr:row>17</xdr:row>
      <xdr:rowOff>163830</xdr:rowOff>
    </xdr:to>
    <xdr:graphicFrame macro="">
      <xdr:nvGraphicFramePr>
        <xdr:cNvPr id="2" name="Chart 1">
          <a:extLst>
            <a:ext uri="{FF2B5EF4-FFF2-40B4-BE49-F238E27FC236}">
              <a16:creationId xmlns:a16="http://schemas.microsoft.com/office/drawing/2014/main" id="{4B8E3AE5-8501-3038-F5F9-3DB4609C9B9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ivy20" refreshedDate="46322.561696412035" missingItemsLimit="0" createdVersion="8" refreshedVersion="8" minRefreshableVersion="3" recordCount="3154" xr:uid="{65726DDF-BF30-410C-B32C-44C34D9A74C2}">
  <cacheSource type="worksheet">
    <worksheetSource name="RawWorking"/>
  </cacheSource>
  <cacheFields count="18">
    <cacheField name="OrderLineID" numFmtId="0">
      <sharedItems containsSemiMixedTypes="0" containsString="0" containsNumber="1" containsInteger="1" minValue="50001" maxValue="53141"/>
    </cacheField>
    <cacheField name="OrderID" numFmtId="0">
      <sharedItems containsSemiMixedTypes="0" containsString="0" containsNumber="1" containsInteger="1" minValue="30001" maxValue="31800"/>
    </cacheField>
    <cacheField name="OrderDate" numFmtId="164">
      <sharedItems containsSemiMixedTypes="0" containsNonDate="0" containsDate="1" containsString="0" minDate="2025-01-01T00:00:00" maxDate="2026-01-01T00:00:00" count="361">
        <d v="2025-02-03T00:00:00"/>
        <d v="2025-08-19T00:00:00"/>
        <d v="2025-05-10T00:00:00"/>
        <d v="2025-02-26T00:00:00"/>
        <d v="2025-05-30T00:00:00"/>
        <d v="2025-03-11T00:00:00"/>
        <d v="2025-07-26T00:00:00"/>
        <d v="2025-09-13T00:00:00"/>
        <d v="2025-11-04T00:00:00"/>
        <d v="2025-05-22T00:00:00"/>
        <d v="2025-10-18T00:00:00"/>
        <d v="2025-07-27T00:00:00"/>
        <d v="2025-08-27T00:00:00"/>
        <d v="2025-07-24T00:00:00"/>
        <d v="2025-12-25T00:00:00"/>
        <d v="2025-03-27T00:00:00"/>
        <d v="2025-06-08T00:00:00"/>
        <d v="2025-10-25T00:00:00"/>
        <d v="2025-02-08T00:00:00"/>
        <d v="2025-02-25T00:00:00"/>
        <d v="2025-08-10T00:00:00"/>
        <d v="2025-05-13T00:00:00"/>
        <d v="2025-01-29T00:00:00"/>
        <d v="2025-11-09T00:00:00"/>
        <d v="2025-04-02T00:00:00"/>
        <d v="2025-08-26T00:00:00"/>
        <d v="2025-08-30T00:00:00"/>
        <d v="2025-03-04T00:00:00"/>
        <d v="2025-06-20T00:00:00"/>
        <d v="2025-06-29T00:00:00"/>
        <d v="2025-04-14T00:00:00"/>
        <d v="2025-04-13T00:00:00"/>
        <d v="2025-04-28T00:00:00"/>
        <d v="2025-10-23T00:00:00"/>
        <d v="2025-08-20T00:00:00"/>
        <d v="2025-12-08T00:00:00"/>
        <d v="2025-12-20T00:00:00"/>
        <d v="2025-10-09T00:00:00"/>
        <d v="2025-09-10T00:00:00"/>
        <d v="2025-01-02T00:00:00"/>
        <d v="2025-10-31T00:00:00"/>
        <d v="2025-09-20T00:00:00"/>
        <d v="2025-10-11T00:00:00"/>
        <d v="2025-12-05T00:00:00"/>
        <d v="2025-09-27T00:00:00"/>
        <d v="2025-01-30T00:00:00"/>
        <d v="2025-01-03T00:00:00"/>
        <d v="2025-10-14T00:00:00"/>
        <d v="2025-04-11T00:00:00"/>
        <d v="2025-09-30T00:00:00"/>
        <d v="2025-04-12T00:00:00"/>
        <d v="2025-12-04T00:00:00"/>
        <d v="2025-01-21T00:00:00"/>
        <d v="2025-07-08T00:00:00"/>
        <d v="2025-04-07T00:00:00"/>
        <d v="2025-07-04T00:00:00"/>
        <d v="2025-12-13T00:00:00"/>
        <d v="2025-07-11T00:00:00"/>
        <d v="2025-10-12T00:00:00"/>
        <d v="2025-12-19T00:00:00"/>
        <d v="2025-08-22T00:00:00"/>
        <d v="2025-05-14T00:00:00"/>
        <d v="2025-02-12T00:00:00"/>
        <d v="2025-12-02T00:00:00"/>
        <d v="2025-05-29T00:00:00"/>
        <d v="2025-04-08T00:00:00"/>
        <d v="2025-02-17T00:00:00"/>
        <d v="2025-05-11T00:00:00"/>
        <d v="2025-08-29T00:00:00"/>
        <d v="2025-09-24T00:00:00"/>
        <d v="2025-02-23T00:00:00"/>
        <d v="2025-08-12T00:00:00"/>
        <d v="2025-09-19T00:00:00"/>
        <d v="2025-09-21T00:00:00"/>
        <d v="2025-06-11T00:00:00"/>
        <d v="2025-07-18T00:00:00"/>
        <d v="2025-04-16T00:00:00"/>
        <d v="2025-08-28T00:00:00"/>
        <d v="2025-12-18T00:00:00"/>
        <d v="2025-11-02T00:00:00"/>
        <d v="2025-09-12T00:00:00"/>
        <d v="2025-09-26T00:00:00"/>
        <d v="2025-02-06T00:00:00"/>
        <d v="2025-04-20T00:00:00"/>
        <d v="2025-06-18T00:00:00"/>
        <d v="2025-02-13T00:00:00"/>
        <d v="2025-02-04T00:00:00"/>
        <d v="2025-11-03T00:00:00"/>
        <d v="2025-03-21T00:00:00"/>
        <d v="2025-04-26T00:00:00"/>
        <d v="2025-07-07T00:00:00"/>
        <d v="2025-03-31T00:00:00"/>
        <d v="2025-05-16T00:00:00"/>
        <d v="2025-07-05T00:00:00"/>
        <d v="2025-05-07T00:00:00"/>
        <d v="2025-01-04T00:00:00"/>
        <d v="2025-09-17T00:00:00"/>
        <d v="2025-12-28T00:00:00"/>
        <d v="2025-04-30T00:00:00"/>
        <d v="2025-03-08T00:00:00"/>
        <d v="2025-01-06T00:00:00"/>
        <d v="2025-08-21T00:00:00"/>
        <d v="2025-09-29T00:00:00"/>
        <d v="2025-07-16T00:00:00"/>
        <d v="2025-04-05T00:00:00"/>
        <d v="2025-09-14T00:00:00"/>
        <d v="2025-02-11T00:00:00"/>
        <d v="2025-12-17T00:00:00"/>
        <d v="2025-04-29T00:00:00"/>
        <d v="2025-12-23T00:00:00"/>
        <d v="2025-09-18T00:00:00"/>
        <d v="2025-11-28T00:00:00"/>
        <d v="2025-09-05T00:00:00"/>
        <d v="2025-08-11T00:00:00"/>
        <d v="2025-05-08T00:00:00"/>
        <d v="2025-10-22T00:00:00"/>
        <d v="2025-06-30T00:00:00"/>
        <d v="2025-04-21T00:00:00"/>
        <d v="2025-10-02T00:00:00"/>
        <d v="2025-07-13T00:00:00"/>
        <d v="2025-03-09T00:00:00"/>
        <d v="2025-04-27T00:00:00"/>
        <d v="2025-01-14T00:00:00"/>
        <d v="2025-11-07T00:00:00"/>
        <d v="2025-03-26T00:00:00"/>
        <d v="2025-11-11T00:00:00"/>
        <d v="2025-02-20T00:00:00"/>
        <d v="2025-02-10T00:00:00"/>
        <d v="2025-06-17T00:00:00"/>
        <d v="2025-03-01T00:00:00"/>
        <d v="2025-05-20T00:00:00"/>
        <d v="2025-09-16T00:00:00"/>
        <d v="2025-11-21T00:00:00"/>
        <d v="2025-05-12T00:00:00"/>
        <d v="2025-11-10T00:00:00"/>
        <d v="2025-02-02T00:00:00"/>
        <d v="2025-06-12T00:00:00"/>
        <d v="2025-01-09T00:00:00"/>
        <d v="2025-06-22T00:00:00"/>
        <d v="2025-03-10T00:00:00"/>
        <d v="2025-04-18T00:00:00"/>
        <d v="2025-04-22T00:00:00"/>
        <d v="2025-11-24T00:00:00"/>
        <d v="2025-08-14T00:00:00"/>
        <d v="2025-12-10T00:00:00"/>
        <d v="2025-06-25T00:00:00"/>
        <d v="2025-01-12T00:00:00"/>
        <d v="2025-07-14T00:00:00"/>
        <d v="2025-10-26T00:00:00"/>
        <d v="2025-03-12T00:00:00"/>
        <d v="2025-07-21T00:00:00"/>
        <d v="2025-07-01T00:00:00"/>
        <d v="2025-09-22T00:00:00"/>
        <d v="2025-05-05T00:00:00"/>
        <d v="2025-10-29T00:00:00"/>
        <d v="2025-10-08T00:00:00"/>
        <d v="2025-10-06T00:00:00"/>
        <d v="2025-08-02T00:00:00"/>
        <d v="2025-04-17T00:00:00"/>
        <d v="2025-03-05T00:00:00"/>
        <d v="2025-05-03T00:00:00"/>
        <d v="2025-11-19T00:00:00"/>
        <d v="2025-12-29T00:00:00"/>
        <d v="2025-06-10T00:00:00"/>
        <d v="2025-07-28T00:00:00"/>
        <d v="2025-03-24T00:00:00"/>
        <d v="2025-01-13T00:00:00"/>
        <d v="2025-03-15T00:00:00"/>
        <d v="2025-03-18T00:00:00"/>
        <d v="2025-01-17T00:00:00"/>
        <d v="2025-10-28T00:00:00"/>
        <d v="2025-06-19T00:00:00"/>
        <d v="2025-06-27T00:00:00"/>
        <d v="2025-02-07T00:00:00"/>
        <d v="2025-08-24T00:00:00"/>
        <d v="2025-01-22T00:00:00"/>
        <d v="2025-03-17T00:00:00"/>
        <d v="2025-06-02T00:00:00"/>
        <d v="2025-02-14T00:00:00"/>
        <d v="2025-01-23T00:00:00"/>
        <d v="2025-06-07T00:00:00"/>
        <d v="2025-04-09T00:00:00"/>
        <d v="2025-01-31T00:00:00"/>
        <d v="2025-09-04T00:00:00"/>
        <d v="2025-03-29T00:00:00"/>
        <d v="2025-02-16T00:00:00"/>
        <d v="2025-01-25T00:00:00"/>
        <d v="2025-09-01T00:00:00"/>
        <d v="2025-02-19T00:00:00"/>
        <d v="2025-03-20T00:00:00"/>
        <d v="2025-05-06T00:00:00"/>
        <d v="2025-06-01T00:00:00"/>
        <d v="2025-11-15T00:00:00"/>
        <d v="2025-05-15T00:00:00"/>
        <d v="2025-11-29T00:00:00"/>
        <d v="2025-10-30T00:00:00"/>
        <d v="2025-06-09T00:00:00"/>
        <d v="2025-12-06T00:00:00"/>
        <d v="2025-11-14T00:00:00"/>
        <d v="2025-01-07T00:00:00"/>
        <d v="2025-06-03T00:00:00"/>
        <d v="2025-06-21T00:00:00"/>
        <d v="2025-06-16T00:00:00"/>
        <d v="2025-03-23T00:00:00"/>
        <d v="2025-11-23T00:00:00"/>
        <d v="2025-04-10T00:00:00"/>
        <d v="2025-10-13T00:00:00"/>
        <d v="2025-05-04T00:00:00"/>
        <d v="2025-05-24T00:00:00"/>
        <d v="2025-11-13T00:00:00"/>
        <d v="2025-12-09T00:00:00"/>
        <d v="2025-09-02T00:00:00"/>
        <d v="2025-07-25T00:00:00"/>
        <d v="2025-04-03T00:00:00"/>
        <d v="2025-07-09T00:00:00"/>
        <d v="2025-08-23T00:00:00"/>
        <d v="2025-01-27T00:00:00"/>
        <d v="2025-12-03T00:00:00"/>
        <d v="2025-05-26T00:00:00"/>
        <d v="2025-10-15T00:00:00"/>
        <d v="2025-11-06T00:00:00"/>
        <d v="2025-07-17T00:00:00"/>
        <d v="2025-11-30T00:00:00"/>
        <d v="2025-03-22T00:00:00"/>
        <d v="2025-12-11T00:00:00"/>
        <d v="2025-12-16T00:00:00"/>
        <d v="2025-02-18T00:00:00"/>
        <d v="2025-07-10T00:00:00"/>
        <d v="2025-07-19T00:00:00"/>
        <d v="2025-07-23T00:00:00"/>
        <d v="2025-07-30T00:00:00"/>
        <d v="2025-06-06T00:00:00"/>
        <d v="2025-11-22T00:00:00"/>
        <d v="2025-08-01T00:00:00"/>
        <d v="2025-08-05T00:00:00"/>
        <d v="2025-05-09T00:00:00"/>
        <d v="2025-11-12T00:00:00"/>
        <d v="2025-08-13T00:00:00"/>
        <d v="2025-04-24T00:00:00"/>
        <d v="2025-12-12T00:00:00"/>
        <d v="2025-03-30T00:00:00"/>
        <d v="2025-02-21T00:00:00"/>
        <d v="2025-03-02T00:00:00"/>
        <d v="2025-12-27T00:00:00"/>
        <d v="2025-07-22T00:00:00"/>
        <d v="2025-07-12T00:00:00"/>
        <d v="2025-03-06T00:00:00"/>
        <d v="2025-08-08T00:00:00"/>
        <d v="2025-12-21T00:00:00"/>
        <d v="2025-01-19T00:00:00"/>
        <d v="2025-05-31T00:00:00"/>
        <d v="2025-01-26T00:00:00"/>
        <d v="2025-05-02T00:00:00"/>
        <d v="2025-08-03T00:00:00"/>
        <d v="2025-10-01T00:00:00"/>
        <d v="2025-01-10T00:00:00"/>
        <d v="2025-03-13T00:00:00"/>
        <d v="2025-10-03T00:00:00"/>
        <d v="2025-01-08T00:00:00"/>
        <d v="2025-03-16T00:00:00"/>
        <d v="2025-04-15T00:00:00"/>
        <d v="2025-05-01T00:00:00"/>
        <d v="2025-09-23T00:00:00"/>
        <d v="2025-07-20T00:00:00"/>
        <d v="2025-01-11T00:00:00"/>
        <d v="2025-03-28T00:00:00"/>
        <d v="2025-06-05T00:00:00"/>
        <d v="2025-05-23T00:00:00"/>
        <d v="2025-02-09T00:00:00"/>
        <d v="2025-10-07T00:00:00"/>
        <d v="2025-09-03T00:00:00"/>
        <d v="2025-10-19T00:00:00"/>
        <d v="2025-05-19T00:00:00"/>
        <d v="2025-12-07T00:00:00"/>
        <d v="2025-11-18T00:00:00"/>
        <d v="2025-02-05T00:00:00"/>
        <d v="2025-12-30T00:00:00"/>
        <d v="2025-06-14T00:00:00"/>
        <d v="2025-10-27T00:00:00"/>
        <d v="2025-02-24T00:00:00"/>
        <d v="2025-06-15T00:00:00"/>
        <d v="2025-09-09T00:00:00"/>
        <d v="2025-05-25T00:00:00"/>
        <d v="2025-09-28T00:00:00"/>
        <d v="2025-03-03T00:00:00"/>
        <d v="2025-11-25T00:00:00"/>
        <d v="2025-06-23T00:00:00"/>
        <d v="2025-12-24T00:00:00"/>
        <d v="2025-08-16T00:00:00"/>
        <d v="2025-02-15T00:00:00"/>
        <d v="2025-04-25T00:00:00"/>
        <d v="2025-05-28T00:00:00"/>
        <d v="2025-11-08T00:00:00"/>
        <d v="2025-04-06T00:00:00"/>
        <d v="2025-10-10T00:00:00"/>
        <d v="2025-03-25T00:00:00"/>
        <d v="2025-10-20T00:00:00"/>
        <d v="2025-05-17T00:00:00"/>
        <d v="2025-02-22T00:00:00"/>
        <d v="2025-01-20T00:00:00"/>
        <d v="2025-09-06T00:00:00"/>
        <d v="2025-10-24T00:00:00"/>
        <d v="2025-09-07T00:00:00"/>
        <d v="2025-08-07T00:00:00"/>
        <d v="2025-01-24T00:00:00"/>
        <d v="2025-01-28T00:00:00"/>
        <d v="2025-06-24T00:00:00"/>
        <d v="2025-10-05T00:00:00"/>
        <d v="2025-03-19T00:00:00"/>
        <d v="2025-04-19T00:00:00"/>
        <d v="2025-08-15T00:00:00"/>
        <d v="2025-10-04T00:00:00"/>
        <d v="2025-01-15T00:00:00"/>
        <d v="2025-09-11T00:00:00"/>
        <d v="2025-07-06T00:00:00"/>
        <d v="2025-04-04T00:00:00"/>
        <d v="2025-10-17T00:00:00"/>
        <d v="2025-07-03T00:00:00"/>
        <d v="2025-06-13T00:00:00"/>
        <d v="2025-05-21T00:00:00"/>
        <d v="2025-01-01T00:00:00"/>
        <d v="2025-12-22T00:00:00"/>
        <d v="2025-12-31T00:00:00"/>
        <d v="2025-04-23T00:00:00"/>
        <d v="2025-07-15T00:00:00"/>
        <d v="2025-12-14T00:00:00"/>
        <d v="2025-07-31T00:00:00"/>
        <d v="2025-09-15T00:00:00"/>
        <d v="2025-03-07T00:00:00"/>
        <d v="2025-02-01T00:00:00"/>
        <d v="2025-06-28T00:00:00"/>
        <d v="2025-08-18T00:00:00"/>
        <d v="2025-02-28T00:00:00"/>
        <d v="2025-10-16T00:00:00"/>
        <d v="2025-09-25T00:00:00"/>
        <d v="2025-08-04T00:00:00"/>
        <d v="2025-10-21T00:00:00"/>
        <d v="2025-11-05T00:00:00"/>
        <d v="2025-11-01T00:00:00"/>
        <d v="2025-08-31T00:00:00"/>
        <d v="2025-11-16T00:00:00"/>
        <d v="2025-12-15T00:00:00"/>
        <d v="2025-11-26T00:00:00"/>
        <d v="2025-11-20T00:00:00"/>
        <d v="2025-11-17T00:00:00"/>
        <d v="2025-08-06T00:00:00"/>
        <d v="2025-09-08T00:00:00"/>
        <d v="2025-08-09T00:00:00"/>
        <d v="2025-01-05T00:00:00"/>
        <d v="2025-01-18T00:00:00"/>
        <d v="2025-07-29T00:00:00"/>
        <d v="2025-06-26T00:00:00"/>
        <d v="2025-02-27T00:00:00"/>
        <d v="2025-06-04T00:00:00"/>
        <d v="2025-08-17T00:00:00"/>
        <d v="2025-04-01T00:00:00"/>
        <d v="2025-03-14T00:00:00"/>
        <d v="2025-12-01T00:00:00"/>
        <d v="2025-12-26T00:00:00"/>
        <d v="2025-05-27T00:00:00"/>
        <d v="2025-07-02T00:00:00"/>
      </sharedItems>
      <fieldGroup par="17"/>
    </cacheField>
    <cacheField name="CustomerID" numFmtId="0">
      <sharedItems containsString="0" containsBlank="1" containsNumber="1" containsInteger="1" minValue="2001" maxValue="2600"/>
    </cacheField>
    <cacheField name="ProductID" numFmtId="0">
      <sharedItems containsString="0" containsBlank="1" containsNumber="1" containsInteger="1" minValue="1001" maxValue="1016" count="17">
        <n v="1007"/>
        <n v="1008"/>
        <n v="1012"/>
        <n v="1002"/>
        <n v="1004"/>
        <n v="1011"/>
        <n v="1005"/>
        <n v="1006"/>
        <n v="1001"/>
        <n v="1009"/>
        <n v="1014"/>
        <n v="1003"/>
        <n v="1016"/>
        <n v="1010"/>
        <n v="1015"/>
        <n v="1013"/>
        <m/>
      </sharedItems>
    </cacheField>
    <cacheField name="Quantity" numFmtId="0">
      <sharedItems containsSemiMixedTypes="0" containsString="0" containsNumber="1" containsInteger="1" minValue="1" maxValue="5"/>
    </cacheField>
    <cacheField name="LineAmount" numFmtId="0">
      <sharedItems containsMixedTypes="1" containsNumber="1" minValue="31.73" maxValue="1269.3"/>
    </cacheField>
    <cacheField name="ShipDate" numFmtId="164">
      <sharedItems containsDate="1" containsMixedTypes="1" minDate="2025-01-03T00:00:00" maxDate="2027-07-09T00:00:00"/>
    </cacheField>
    <cacheField name="DeliveryDate" numFmtId="164">
      <sharedItems containsDate="1" containsMixedTypes="1" minDate="2025-01-05T00:00:00" maxDate="2026-11-02T00:00:00"/>
    </cacheField>
    <cacheField name="Status" numFmtId="0">
      <sharedItems count="4">
        <s v="Completed"/>
        <s v="Returned"/>
        <s v="Cancelled"/>
        <s v="Pending"/>
      </sharedItems>
    </cacheField>
    <cacheField name="DateSequenceCheck" numFmtId="164">
      <sharedItems/>
    </cacheField>
    <cacheField name="OrderShipCheck" numFmtId="164">
      <sharedItems/>
    </cacheField>
    <cacheField name="Categoty" numFmtId="164">
      <sharedItems count="5">
        <s v="Home"/>
        <s v="Office"/>
        <s v="Electronics"/>
        <s v="Sports"/>
        <s v="Not found"/>
      </sharedItems>
    </cacheField>
    <cacheField name="DeliveryDays" numFmtId="1">
      <sharedItems containsMixedTypes="1" containsNumber="1" containsInteger="1" minValue="1" maxValue="326"/>
    </cacheField>
    <cacheField name="FirstOrderFlag" numFmtId="1">
      <sharedItems containsSemiMixedTypes="0" containsString="0" containsNumber="1" containsInteger="1" minValue="0" maxValue="1"/>
    </cacheField>
    <cacheField name="CalculatedUnitPrice" numFmtId="2">
      <sharedItems containsMixedTypes="1" containsNumber="1" minValue="30.375" maxValue="448.74"/>
    </cacheField>
    <cacheField name="Months (OrderDate)" numFmtId="0" databaseField="0">
      <fieldGroup base="2">
        <rangePr groupBy="months" startDate="2025-01-01T00:00:00" endDate="2026-01-01T00:00:00"/>
        <groupItems count="14">
          <s v="&lt;1.1.2025"/>
          <s v="яну"/>
          <s v="фев"/>
          <s v="мар"/>
          <s v="апр"/>
          <s v="май"/>
          <s v="юни"/>
          <s v="юли"/>
          <s v="авг"/>
          <s v="сеп"/>
          <s v="окт"/>
          <s v="ное"/>
          <s v="дек"/>
          <s v="&gt;1.1.2026"/>
        </groupItems>
      </fieldGroup>
    </cacheField>
    <cacheField name="Years (OrderDate)" numFmtId="0" databaseField="0">
      <fieldGroup base="2">
        <rangePr groupBy="years" startDate="2025-01-01T00:00:00" endDate="2026-01-01T00:00:00"/>
        <groupItems count="4">
          <s v="&lt;1.1.2025"/>
          <s v="2025"/>
          <s v="2026"/>
          <s v="&gt;1.1.2026"/>
        </groupItems>
      </fieldGroup>
    </cacheField>
  </cacheFields>
  <extLst>
    <ext xmlns:x14="http://schemas.microsoft.com/office/spreadsheetml/2009/9/main" uri="{725AE2AE-9491-48be-B2B4-4EB974FC3084}">
      <x14:pivotCacheDefinition pivotCacheId="717743526"/>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154">
  <r>
    <n v="50001"/>
    <n v="30001"/>
    <x v="0"/>
    <n v="2034"/>
    <x v="0"/>
    <n v="3"/>
    <n v="599.42999999999995"/>
    <d v="2025-02-05T00:00:00"/>
    <d v="2025-02-08T00:00:00"/>
    <x v="0"/>
    <s v="OK"/>
    <s v="OK"/>
    <x v="0"/>
    <n v="3"/>
    <n v="1"/>
    <n v="199.80999999999997"/>
  </r>
  <r>
    <n v="50002"/>
    <n v="30002"/>
    <x v="1"/>
    <n v="2455"/>
    <x v="1"/>
    <n v="1"/>
    <n v="206.09"/>
    <d v="2025-08-20T00:00:00"/>
    <d v="2025-08-30T00:00:00"/>
    <x v="0"/>
    <s v="OK"/>
    <s v="OK"/>
    <x v="0"/>
    <n v="10"/>
    <n v="1"/>
    <n v="206.09"/>
  </r>
  <r>
    <n v="50003"/>
    <n v="30002"/>
    <x v="1"/>
    <n v="2455"/>
    <x v="2"/>
    <n v="3"/>
    <n v="724.62"/>
    <d v="2025-08-22T00:00:00"/>
    <d v="2025-08-30T00:00:00"/>
    <x v="0"/>
    <s v="OK"/>
    <s v="OK"/>
    <x v="1"/>
    <n v="8"/>
    <n v="0"/>
    <n v="241.54"/>
  </r>
  <r>
    <n v="50004"/>
    <n v="30003"/>
    <x v="2"/>
    <n v="2102"/>
    <x v="2"/>
    <n v="1"/>
    <n v="241.54"/>
    <d v="2025-06-10T00:00:00"/>
    <d v="2025-12-10T00:00:00"/>
    <x v="1"/>
    <s v="OK"/>
    <s v="OK"/>
    <x v="1"/>
    <n v="183"/>
    <n v="1"/>
    <n v="241.54"/>
  </r>
  <r>
    <n v="50005"/>
    <n v="30004"/>
    <x v="3"/>
    <n v="2558"/>
    <x v="2"/>
    <n v="2"/>
    <n v="483.08"/>
    <s v=""/>
    <s v=""/>
    <x v="2"/>
    <s v="Missing date"/>
    <s v="Missing date"/>
    <x v="1"/>
    <s v=""/>
    <n v="1"/>
    <n v="241.54"/>
  </r>
  <r>
    <n v="50006"/>
    <n v="30004"/>
    <x v="3"/>
    <n v="2558"/>
    <x v="3"/>
    <n v="4"/>
    <n v="474.4"/>
    <s v=""/>
    <s v=""/>
    <x v="2"/>
    <s v="Missing date"/>
    <s v="Missing date"/>
    <x v="2"/>
    <s v=""/>
    <n v="0"/>
    <n v="118.6"/>
  </r>
  <r>
    <n v="50007"/>
    <n v="30005"/>
    <x v="4"/>
    <n v="2408"/>
    <x v="4"/>
    <n v="1"/>
    <n v="183.74"/>
    <d v="2025-05-31T00:00:00"/>
    <d v="2025-06-08T00:00:00"/>
    <x v="0"/>
    <s v="OK"/>
    <s v="OK"/>
    <x v="2"/>
    <n v="8"/>
    <n v="1"/>
    <n v="183.74"/>
  </r>
  <r>
    <n v="50008"/>
    <n v="30006"/>
    <x v="5"/>
    <n v="2466"/>
    <x v="0"/>
    <n v="1"/>
    <n v="199.81"/>
    <d v="2025-03-12T00:00:00"/>
    <d v="2025-03-15T00:00:00"/>
    <x v="0"/>
    <s v="OK"/>
    <s v="OK"/>
    <x v="0"/>
    <n v="3"/>
    <n v="1"/>
    <n v="199.81"/>
  </r>
  <r>
    <n v="50009"/>
    <n v="30007"/>
    <x v="6"/>
    <n v="2022"/>
    <x v="5"/>
    <n v="3"/>
    <n v="304.32"/>
    <d v="2025-07-29T00:00:00"/>
    <d v="2025-08-05T00:00:00"/>
    <x v="0"/>
    <s v="OK"/>
    <s v="OK"/>
    <x v="1"/>
    <n v="7"/>
    <n v="1"/>
    <n v="101.44"/>
  </r>
  <r>
    <n v="50010"/>
    <n v="30008"/>
    <x v="7"/>
    <n v="2250"/>
    <x v="0"/>
    <n v="3"/>
    <n v="599.42999999999995"/>
    <d v="2025-09-15T00:00:00"/>
    <d v="2025-09-24T00:00:00"/>
    <x v="1"/>
    <s v="OK"/>
    <s v="OK"/>
    <x v="0"/>
    <n v="9"/>
    <n v="1"/>
    <n v="199.80999999999997"/>
  </r>
  <r>
    <n v="50011"/>
    <n v="30009"/>
    <x v="8"/>
    <n v="2071"/>
    <x v="0"/>
    <n v="2"/>
    <n v="399.62"/>
    <s v=""/>
    <s v=""/>
    <x v="3"/>
    <s v="Missing date"/>
    <s v="Missing date"/>
    <x v="0"/>
    <s v=""/>
    <n v="1"/>
    <n v="199.81"/>
  </r>
  <r>
    <n v="50012"/>
    <n v="30010"/>
    <x v="9"/>
    <n v="2239"/>
    <x v="6"/>
    <n v="1"/>
    <n v="31.73"/>
    <d v="2025-05-25T00:00:00"/>
    <d v="2025-05-26T00:00:00"/>
    <x v="0"/>
    <s v="OK"/>
    <s v="OK"/>
    <x v="2"/>
    <n v="1"/>
    <n v="1"/>
    <n v="31.73"/>
  </r>
  <r>
    <n v="50013"/>
    <n v="30011"/>
    <x v="10"/>
    <n v="2003"/>
    <x v="6"/>
    <n v="2"/>
    <n v="63.46"/>
    <d v="2025-10-21T00:00:00"/>
    <d v="2025-10-24T00:00:00"/>
    <x v="0"/>
    <s v="OK"/>
    <s v="OK"/>
    <x v="2"/>
    <n v="3"/>
    <n v="1"/>
    <n v="31.73"/>
  </r>
  <r>
    <n v="50014"/>
    <n v="30011"/>
    <x v="10"/>
    <n v="2003"/>
    <x v="6"/>
    <n v="1"/>
    <n v="31.73"/>
    <d v="2025-10-21T00:00:00"/>
    <d v="2025-10-27T00:00:00"/>
    <x v="0"/>
    <s v="OK"/>
    <s v="OK"/>
    <x v="2"/>
    <n v="6"/>
    <n v="0"/>
    <n v="31.73"/>
  </r>
  <r>
    <n v="50015"/>
    <n v="30012"/>
    <x v="11"/>
    <n v="2554"/>
    <x v="7"/>
    <n v="1"/>
    <n v="253.86"/>
    <d v="2025-07-29T00:00:00"/>
    <d v="2025-08-05T00:00:00"/>
    <x v="0"/>
    <s v="OK"/>
    <s v="OK"/>
    <x v="0"/>
    <n v="7"/>
    <n v="1"/>
    <n v="253.86"/>
  </r>
  <r>
    <n v="50016"/>
    <n v="30013"/>
    <x v="12"/>
    <n v="2113"/>
    <x v="8"/>
    <n v="2"/>
    <n v="406.08"/>
    <d v="2025-08-29T00:00:00"/>
    <d v="2025-09-04T00:00:00"/>
    <x v="0"/>
    <s v="OK"/>
    <s v="OK"/>
    <x v="2"/>
    <n v="6"/>
    <n v="1"/>
    <n v="203.04"/>
  </r>
  <r>
    <n v="50017"/>
    <n v="30013"/>
    <x v="12"/>
    <n v="2113"/>
    <x v="6"/>
    <n v="1"/>
    <n v="31.73"/>
    <d v="2025-08-29T00:00:00"/>
    <d v="2025-08-30T00:00:00"/>
    <x v="0"/>
    <s v="OK"/>
    <s v="OK"/>
    <x v="2"/>
    <n v="1"/>
    <n v="0"/>
    <n v="31.73"/>
  </r>
  <r>
    <n v="50018"/>
    <n v="30014"/>
    <x v="13"/>
    <n v="2016"/>
    <x v="1"/>
    <n v="5"/>
    <n v="206.09"/>
    <d v="2025-07-26T00:00:00"/>
    <d v="2025-07-31T00:00:00"/>
    <x v="0"/>
    <s v="OK"/>
    <s v="OK"/>
    <x v="0"/>
    <n v="5"/>
    <n v="1"/>
    <n v="41.218000000000004"/>
  </r>
  <r>
    <n v="50019"/>
    <n v="30015"/>
    <x v="14"/>
    <n v="2332"/>
    <x v="9"/>
    <n v="1"/>
    <n v="120.84"/>
    <d v="2025-12-26T00:00:00"/>
    <d v="2025-12-27T00:00:00"/>
    <x v="0"/>
    <s v="OK"/>
    <s v="OK"/>
    <x v="0"/>
    <n v="1"/>
    <n v="1"/>
    <n v="120.84"/>
  </r>
  <r>
    <n v="50020"/>
    <n v="30016"/>
    <x v="15"/>
    <n v="2054"/>
    <x v="10"/>
    <n v="3"/>
    <n v="215.34"/>
    <d v="2025-03-30T00:00:00"/>
    <d v="2025-04-02T00:00:00"/>
    <x v="0"/>
    <s v="OK"/>
    <s v="OK"/>
    <x v="3"/>
    <n v="3"/>
    <n v="1"/>
    <n v="71.78"/>
  </r>
  <r>
    <n v="50021"/>
    <n v="30017"/>
    <x v="16"/>
    <n v="2539"/>
    <x v="11"/>
    <n v="1"/>
    <n v="448.74"/>
    <d v="2025-06-10T00:00:00"/>
    <d v="2025-06-20T00:00:00"/>
    <x v="0"/>
    <s v="OK"/>
    <s v="OK"/>
    <x v="2"/>
    <n v="10"/>
    <n v="1"/>
    <n v="448.74"/>
  </r>
  <r>
    <n v="50022"/>
    <n v="30017"/>
    <x v="16"/>
    <n v="2539"/>
    <x v="12"/>
    <n v="1"/>
    <n v="65.260000000000005"/>
    <d v="2025-06-10T00:00:00"/>
    <d v="2025-06-15T00:00:00"/>
    <x v="0"/>
    <s v="OK"/>
    <s v="OK"/>
    <x v="3"/>
    <n v="5"/>
    <n v="0"/>
    <n v="65.260000000000005"/>
  </r>
  <r>
    <n v="50023"/>
    <n v="30018"/>
    <x v="17"/>
    <n v="2460"/>
    <x v="4"/>
    <n v="1"/>
    <n v="183.74"/>
    <s v=""/>
    <s v=""/>
    <x v="3"/>
    <s v="Missing date"/>
    <s v="Missing date"/>
    <x v="2"/>
    <s v=""/>
    <n v="1"/>
    <n v="183.74"/>
  </r>
  <r>
    <n v="50024"/>
    <n v="30019"/>
    <x v="18"/>
    <n v="2227"/>
    <x v="3"/>
    <n v="1"/>
    <n v="118.6"/>
    <d v="2025-02-09T00:00:00"/>
    <d v="2025-02-17T00:00:00"/>
    <x v="1"/>
    <s v="OK"/>
    <s v="OK"/>
    <x v="2"/>
    <n v="8"/>
    <n v="1"/>
    <n v="118.6"/>
  </r>
  <r>
    <n v="50025"/>
    <n v="30019"/>
    <x v="18"/>
    <n v="2227"/>
    <x v="13"/>
    <n v="4"/>
    <n v="121.5"/>
    <d v="2025-02-09T00:00:00"/>
    <d v="2025-02-19T00:00:00"/>
    <x v="1"/>
    <s v="OK"/>
    <s v="OK"/>
    <x v="1"/>
    <n v="10"/>
    <n v="0"/>
    <n v="30.375"/>
  </r>
  <r>
    <n v="50026"/>
    <n v="30020"/>
    <x v="19"/>
    <n v="2470"/>
    <x v="8"/>
    <n v="2"/>
    <n v="203.04"/>
    <d v="2025-02-26T00:00:00"/>
    <d v="2025-03-02T00:00:00"/>
    <x v="0"/>
    <s v="OK"/>
    <s v="OK"/>
    <x v="2"/>
    <n v="4"/>
    <n v="1"/>
    <n v="101.52"/>
  </r>
  <r>
    <n v="50027"/>
    <n v="30020"/>
    <x v="19"/>
    <n v="2470"/>
    <x v="3"/>
    <n v="1"/>
    <n v="118.6"/>
    <d v="2025-02-28T00:00:00"/>
    <d v="2025-03-07T00:00:00"/>
    <x v="0"/>
    <s v="OK"/>
    <s v="OK"/>
    <x v="2"/>
    <n v="7"/>
    <n v="0"/>
    <n v="118.6"/>
  </r>
  <r>
    <n v="50028"/>
    <n v="30021"/>
    <x v="20"/>
    <n v="2491"/>
    <x v="10"/>
    <n v="1"/>
    <n v="215.34"/>
    <s v=""/>
    <s v=""/>
    <x v="3"/>
    <s v="Missing date"/>
    <s v="Missing date"/>
    <x v="3"/>
    <s v=""/>
    <n v="1"/>
    <n v="215.34"/>
  </r>
  <r>
    <n v="50029"/>
    <n v="30022"/>
    <x v="21"/>
    <n v="2503"/>
    <x v="14"/>
    <n v="3"/>
    <n v="359.22"/>
    <d v="2025-05-15T00:00:00"/>
    <d v="2025-05-22T00:00:00"/>
    <x v="0"/>
    <s v="OK"/>
    <s v="OK"/>
    <x v="3"/>
    <n v="7"/>
    <n v="1"/>
    <n v="119.74000000000001"/>
  </r>
  <r>
    <n v="50030"/>
    <n v="30022"/>
    <x v="21"/>
    <n v="2503"/>
    <x v="11"/>
    <n v="1"/>
    <n v="224.37"/>
    <d v="2025-05-16T00:00:00"/>
    <d v="2025-05-26T00:00:00"/>
    <x v="0"/>
    <s v="OK"/>
    <s v="OK"/>
    <x v="2"/>
    <n v="10"/>
    <n v="0"/>
    <n v="224.37"/>
  </r>
  <r>
    <n v="50031"/>
    <n v="30022"/>
    <x v="21"/>
    <n v="2503"/>
    <x v="11"/>
    <n v="2"/>
    <n v="448.74"/>
    <d v="2025-05-14T00:00:00"/>
    <d v="2025-05-22T00:00:00"/>
    <x v="0"/>
    <s v="OK"/>
    <s v="OK"/>
    <x v="2"/>
    <n v="8"/>
    <n v="0"/>
    <n v="224.37"/>
  </r>
  <r>
    <n v="50032"/>
    <n v="30022"/>
    <x v="21"/>
    <n v="2503"/>
    <x v="5"/>
    <n v="1"/>
    <n v="101.44"/>
    <d v="2025-05-16T00:00:00"/>
    <d v="2025-05-19T00:00:00"/>
    <x v="0"/>
    <s v="OK"/>
    <s v="OK"/>
    <x v="1"/>
    <n v="3"/>
    <n v="0"/>
    <n v="101.44"/>
  </r>
  <r>
    <n v="50033"/>
    <n v="30023"/>
    <x v="22"/>
    <n v="2152"/>
    <x v="9"/>
    <n v="1"/>
    <n v="40.28"/>
    <d v="2025-01-30T00:00:00"/>
    <d v="2025-02-07T00:00:00"/>
    <x v="0"/>
    <s v="OK"/>
    <s v="OK"/>
    <x v="0"/>
    <n v="8"/>
    <n v="1"/>
    <n v="40.28"/>
  </r>
  <r>
    <n v="50034"/>
    <n v="30023"/>
    <x v="22"/>
    <n v="2152"/>
    <x v="5"/>
    <n v="1"/>
    <n v="101.44"/>
    <d v="2025-01-30T00:00:00"/>
    <d v="2025-02-08T00:00:00"/>
    <x v="0"/>
    <s v="OK"/>
    <s v="OK"/>
    <x v="1"/>
    <n v="9"/>
    <n v="0"/>
    <n v="101.44"/>
  </r>
  <r>
    <n v="50035"/>
    <n v="30023"/>
    <x v="22"/>
    <n v="2152"/>
    <x v="15"/>
    <n v="1"/>
    <n v="170.25"/>
    <d v="2025-01-31T00:00:00"/>
    <d v="2025-02-05T00:00:00"/>
    <x v="0"/>
    <s v="OK"/>
    <s v="OK"/>
    <x v="1"/>
    <n v="5"/>
    <n v="0"/>
    <n v="170.25"/>
  </r>
  <r>
    <n v="50036"/>
    <n v="30024"/>
    <x v="23"/>
    <n v="2544"/>
    <x v="10"/>
    <n v="2"/>
    <n v="430.68"/>
    <d v="2025-11-11T00:00:00"/>
    <d v="2025-11-16T00:00:00"/>
    <x v="0"/>
    <s v="OK"/>
    <s v="OK"/>
    <x v="3"/>
    <n v="5"/>
    <n v="1"/>
    <n v="215.34"/>
  </r>
  <r>
    <n v="50037"/>
    <n v="30024"/>
    <x v="23"/>
    <n v="2544"/>
    <x v="4"/>
    <n v="2"/>
    <n v="367.48"/>
    <d v="2025-11-10T00:00:00"/>
    <d v="2025-11-16T00:00:00"/>
    <x v="0"/>
    <s v="OK"/>
    <s v="OK"/>
    <x v="2"/>
    <n v="6"/>
    <n v="0"/>
    <n v="183.74"/>
  </r>
  <r>
    <n v="50038"/>
    <n v="30025"/>
    <x v="24"/>
    <n v="2118"/>
    <x v="0"/>
    <n v="1"/>
    <n v="199.81"/>
    <s v=""/>
    <s v=""/>
    <x v="3"/>
    <s v="Missing date"/>
    <s v="Missing date"/>
    <x v="0"/>
    <s v=""/>
    <n v="1"/>
    <n v="199.81"/>
  </r>
  <r>
    <n v="50039"/>
    <n v="30026"/>
    <x v="25"/>
    <n v="2234"/>
    <x v="14"/>
    <n v="1"/>
    <n v="119.74"/>
    <d v="2025-08-27T00:00:00"/>
    <d v="2025-08-31T00:00:00"/>
    <x v="0"/>
    <s v="OK"/>
    <s v="OK"/>
    <x v="3"/>
    <n v="4"/>
    <n v="1"/>
    <n v="119.74"/>
  </r>
  <r>
    <n v="50040"/>
    <n v="30027"/>
    <x v="26"/>
    <n v="2409"/>
    <x v="4"/>
    <n v="2"/>
    <n v="367.48"/>
    <d v="2025-08-31T00:00:00"/>
    <d v="2025-09-08T00:00:00"/>
    <x v="0"/>
    <s v="OK"/>
    <s v="OK"/>
    <x v="2"/>
    <n v="8"/>
    <n v="1"/>
    <n v="183.74"/>
  </r>
  <r>
    <n v="50041"/>
    <n v="30028"/>
    <x v="27"/>
    <n v="2321"/>
    <x v="9"/>
    <n v="2"/>
    <n v="80.56"/>
    <d v="2025-03-06T00:00:00"/>
    <d v="2025-03-10T00:00:00"/>
    <x v="0"/>
    <s v="OK"/>
    <s v="OK"/>
    <x v="0"/>
    <n v="4"/>
    <n v="1"/>
    <n v="40.28"/>
  </r>
  <r>
    <n v="50042"/>
    <n v="30028"/>
    <x v="27"/>
    <n v="2321"/>
    <x v="2"/>
    <n v="2"/>
    <n v="483.08"/>
    <d v="2025-03-05T00:00:00"/>
    <d v="2025-03-06T00:00:00"/>
    <x v="0"/>
    <s v="OK"/>
    <s v="OK"/>
    <x v="1"/>
    <n v="1"/>
    <n v="0"/>
    <n v="241.54"/>
  </r>
  <r>
    <n v="50043"/>
    <n v="30028"/>
    <x v="27"/>
    <n v="2321"/>
    <x v="6"/>
    <n v="4"/>
    <n v="126.92"/>
    <d v="2025-03-06T00:00:00"/>
    <d v="2025-03-11T00:00:00"/>
    <x v="0"/>
    <s v="OK"/>
    <s v="OK"/>
    <x v="2"/>
    <n v="5"/>
    <n v="0"/>
    <n v="31.73"/>
  </r>
  <r>
    <n v="50044"/>
    <n v="30029"/>
    <x v="28"/>
    <n v="2486"/>
    <x v="11"/>
    <n v="1"/>
    <n v="224.37"/>
    <d v="2025-06-23T00:00:00"/>
    <d v="2025-06-30T00:00:00"/>
    <x v="0"/>
    <s v="OK"/>
    <s v="OK"/>
    <x v="2"/>
    <n v="7"/>
    <n v="1"/>
    <n v="224.37"/>
  </r>
  <r>
    <n v="50045"/>
    <n v="30030"/>
    <x v="29"/>
    <n v="2096"/>
    <x v="2"/>
    <n v="1"/>
    <n v="241.54"/>
    <d v="2025-07-01T00:00:00"/>
    <d v="2025-07-06T00:00:00"/>
    <x v="0"/>
    <s v="OK"/>
    <s v="OK"/>
    <x v="1"/>
    <n v="5"/>
    <n v="1"/>
    <n v="241.54"/>
  </r>
  <r>
    <n v="50046"/>
    <n v="30030"/>
    <x v="29"/>
    <n v="2096"/>
    <x v="6"/>
    <n v="1"/>
    <n v="31.73"/>
    <d v="2025-07-02T00:00:00"/>
    <d v="2025-07-06T00:00:00"/>
    <x v="0"/>
    <s v="OK"/>
    <s v="OK"/>
    <x v="2"/>
    <n v="4"/>
    <n v="0"/>
    <n v="31.73"/>
  </r>
  <r>
    <n v="50047"/>
    <n v="30030"/>
    <x v="29"/>
    <n v="2096"/>
    <x v="3"/>
    <n v="1"/>
    <n v="118.6"/>
    <d v="2025-07-02T00:00:00"/>
    <d v="2025-07-07T00:00:00"/>
    <x v="0"/>
    <s v="OK"/>
    <s v="OK"/>
    <x v="2"/>
    <n v="5"/>
    <n v="0"/>
    <n v="118.6"/>
  </r>
  <r>
    <n v="50048"/>
    <n v="30031"/>
    <x v="30"/>
    <n v="2576"/>
    <x v="4"/>
    <n v="3"/>
    <n v="551.22"/>
    <d v="2025-04-15T00:00:00"/>
    <d v="2025-04-21T00:00:00"/>
    <x v="0"/>
    <s v="OK"/>
    <s v="OK"/>
    <x v="2"/>
    <n v="6"/>
    <n v="1"/>
    <n v="183.74"/>
  </r>
  <r>
    <n v="50049"/>
    <n v="30031"/>
    <x v="30"/>
    <n v="2576"/>
    <x v="10"/>
    <n v="1"/>
    <n v="215.34"/>
    <d v="2025-04-15T00:00:00"/>
    <d v="2025-04-19T00:00:00"/>
    <x v="0"/>
    <s v="OK"/>
    <s v="OK"/>
    <x v="3"/>
    <n v="4"/>
    <n v="0"/>
    <n v="215.34"/>
  </r>
  <r>
    <n v="50050"/>
    <n v="30031"/>
    <x v="30"/>
    <n v="2576"/>
    <x v="2"/>
    <n v="2"/>
    <n v="483.08"/>
    <d v="2025-04-15T00:00:00"/>
    <d v="2025-04-17T00:00:00"/>
    <x v="0"/>
    <s v="OK"/>
    <s v="OK"/>
    <x v="1"/>
    <n v="2"/>
    <n v="0"/>
    <n v="241.54"/>
  </r>
  <r>
    <n v="50051"/>
    <n v="30032"/>
    <x v="31"/>
    <n v="2434"/>
    <x v="3"/>
    <n v="2"/>
    <n v="237.2"/>
    <s v=""/>
    <s v=""/>
    <x v="2"/>
    <s v="Missing date"/>
    <s v="Missing date"/>
    <x v="2"/>
    <s v=""/>
    <n v="1"/>
    <n v="118.6"/>
  </r>
  <r>
    <n v="50052"/>
    <n v="30032"/>
    <x v="31"/>
    <n v="2434"/>
    <x v="13"/>
    <n v="2"/>
    <n v="243"/>
    <s v=""/>
    <s v=""/>
    <x v="2"/>
    <s v="Missing date"/>
    <s v="Missing date"/>
    <x v="1"/>
    <s v=""/>
    <n v="0"/>
    <n v="121.5"/>
  </r>
  <r>
    <n v="50053"/>
    <n v="30033"/>
    <x v="32"/>
    <n v="2320"/>
    <x v="0"/>
    <n v="1"/>
    <n v="199.81"/>
    <d v="2025-04-29T00:00:00"/>
    <d v="2025-05-02T00:00:00"/>
    <x v="0"/>
    <s v="OK"/>
    <s v="OK"/>
    <x v="0"/>
    <n v="3"/>
    <n v="1"/>
    <n v="199.81"/>
  </r>
  <r>
    <n v="50054"/>
    <n v="30033"/>
    <x v="32"/>
    <n v="2320"/>
    <x v="6"/>
    <n v="1"/>
    <n v="31.73"/>
    <d v="2025-04-29T00:00:00"/>
    <d v="2025-05-05T00:00:00"/>
    <x v="0"/>
    <s v="OK"/>
    <s v="OK"/>
    <x v="2"/>
    <n v="6"/>
    <n v="0"/>
    <n v="31.73"/>
  </r>
  <r>
    <n v="50055"/>
    <n v="30033"/>
    <x v="32"/>
    <n v="2320"/>
    <x v="12"/>
    <n v="3"/>
    <n v="195.78"/>
    <d v="2025-04-30T00:00:00"/>
    <d v="2025-05-05T00:00:00"/>
    <x v="0"/>
    <s v="OK"/>
    <s v="OK"/>
    <x v="3"/>
    <n v="5"/>
    <n v="0"/>
    <n v="65.260000000000005"/>
  </r>
  <r>
    <n v="50056"/>
    <n v="30034"/>
    <x v="33"/>
    <n v="2230"/>
    <x v="2"/>
    <n v="4"/>
    <n v="966.16"/>
    <s v=""/>
    <s v=""/>
    <x v="3"/>
    <s v="Missing date"/>
    <s v="Missing date"/>
    <x v="1"/>
    <s v=""/>
    <n v="1"/>
    <n v="241.54"/>
  </r>
  <r>
    <n v="50057"/>
    <n v="30035"/>
    <x v="34"/>
    <n v="2377"/>
    <x v="9"/>
    <n v="1"/>
    <n v="40.28"/>
    <d v="2025-08-21T00:00:00"/>
    <d v="2025-08-31T00:00:00"/>
    <x v="0"/>
    <s v="OK"/>
    <s v="OK"/>
    <x v="0"/>
    <n v="10"/>
    <n v="1"/>
    <n v="40.28"/>
  </r>
  <r>
    <n v="50058"/>
    <n v="30036"/>
    <x v="35"/>
    <n v="2588"/>
    <x v="10"/>
    <n v="1"/>
    <n v="215.34"/>
    <d v="2025-12-09T00:00:00"/>
    <d v="2025-12-14T00:00:00"/>
    <x v="0"/>
    <s v="OK"/>
    <s v="OK"/>
    <x v="3"/>
    <n v="5"/>
    <n v="1"/>
    <n v="215.34"/>
  </r>
  <r>
    <n v="50059"/>
    <n v="30037"/>
    <x v="36"/>
    <n v="2575"/>
    <x v="8"/>
    <n v="2"/>
    <n v="406.08"/>
    <d v="2025-12-23T00:00:00"/>
    <d v="2026-01-01T00:00:00"/>
    <x v="1"/>
    <s v="OK"/>
    <s v="OK"/>
    <x v="2"/>
    <n v="9"/>
    <n v="1"/>
    <n v="203.04"/>
  </r>
  <r>
    <n v="50060"/>
    <n v="30037"/>
    <x v="36"/>
    <n v="2575"/>
    <x v="9"/>
    <n v="3"/>
    <n v="120.84"/>
    <d v="2025-12-23T00:00:00"/>
    <d v="2025-12-25T00:00:00"/>
    <x v="1"/>
    <s v="OK"/>
    <s v="OK"/>
    <x v="0"/>
    <n v="2"/>
    <n v="0"/>
    <n v="40.28"/>
  </r>
  <r>
    <n v="50061"/>
    <n v="30037"/>
    <x v="36"/>
    <n v="2575"/>
    <x v="8"/>
    <n v="1"/>
    <n v="203.04"/>
    <d v="2025-12-22T00:00:00"/>
    <d v="2025-12-23T00:00:00"/>
    <x v="1"/>
    <s v="OK"/>
    <s v="OK"/>
    <x v="2"/>
    <n v="1"/>
    <n v="0"/>
    <n v="203.04"/>
  </r>
  <r>
    <n v="50062"/>
    <n v="30038"/>
    <x v="37"/>
    <n v="2185"/>
    <x v="13"/>
    <n v="1"/>
    <n v="121.5"/>
    <d v="2025-10-12T00:00:00"/>
    <d v="2025-10-13T00:00:00"/>
    <x v="0"/>
    <s v="OK"/>
    <s v="OK"/>
    <x v="1"/>
    <n v="1"/>
    <n v="1"/>
    <n v="121.5"/>
  </r>
  <r>
    <n v="50063"/>
    <n v="30038"/>
    <x v="38"/>
    <n v="2185"/>
    <x v="5"/>
    <n v="2"/>
    <n v="202.88"/>
    <d v="2025-10-11T00:00:00"/>
    <d v="2025-10-14T00:00:00"/>
    <x v="0"/>
    <s v="OK"/>
    <s v="OK"/>
    <x v="1"/>
    <n v="3"/>
    <n v="0"/>
    <n v="101.44"/>
  </r>
  <r>
    <n v="50064"/>
    <n v="30039"/>
    <x v="39"/>
    <n v="2360"/>
    <x v="6"/>
    <n v="1"/>
    <n v="31.73"/>
    <d v="2025-01-05T00:00:00"/>
    <d v="2025-06-01T00:00:00"/>
    <x v="0"/>
    <s v="OK"/>
    <s v="OK"/>
    <x v="2"/>
    <n v="147"/>
    <n v="1"/>
    <n v="31.73"/>
  </r>
  <r>
    <n v="50065"/>
    <n v="30040"/>
    <x v="40"/>
    <n v="2580"/>
    <x v="11"/>
    <n v="1"/>
    <n v="224.37"/>
    <d v="2025-11-02T00:00:00"/>
    <d v="2025-11-08T00:00:00"/>
    <x v="0"/>
    <s v="OK"/>
    <s v="OK"/>
    <x v="2"/>
    <n v="6"/>
    <n v="1"/>
    <n v="224.37"/>
  </r>
  <r>
    <n v="50066"/>
    <n v="30041"/>
    <x v="41"/>
    <n v="2146"/>
    <x v="8"/>
    <n v="1"/>
    <n v="203.04"/>
    <d v="2025-09-23T00:00:00"/>
    <d v="2025-10-03T00:00:00"/>
    <x v="0"/>
    <s v="OK"/>
    <s v="OK"/>
    <x v="2"/>
    <n v="10"/>
    <n v="1"/>
    <n v="203.04"/>
  </r>
  <r>
    <n v="50067"/>
    <n v="30042"/>
    <x v="42"/>
    <n v="2094"/>
    <x v="0"/>
    <n v="1"/>
    <n v="199.81"/>
    <d v="2025-10-13T00:00:00"/>
    <d v="2025-10-15T00:00:00"/>
    <x v="0"/>
    <s v="OK"/>
    <s v="OK"/>
    <x v="0"/>
    <n v="2"/>
    <n v="1"/>
    <n v="199.81"/>
  </r>
  <r>
    <n v="50068"/>
    <n v="30042"/>
    <x v="42"/>
    <n v="2094"/>
    <x v="15"/>
    <n v="1"/>
    <n v="170.25"/>
    <d v="2025-10-12T00:00:00"/>
    <d v="2025-10-15T00:00:00"/>
    <x v="0"/>
    <s v="OK"/>
    <s v="OK"/>
    <x v="1"/>
    <n v="3"/>
    <n v="0"/>
    <n v="170.25"/>
  </r>
  <r>
    <n v="50069"/>
    <n v="30042"/>
    <x v="42"/>
    <n v="2094"/>
    <x v="10"/>
    <n v="1"/>
    <n v="215.34"/>
    <d v="2025-10-12T00:00:00"/>
    <d v="2025-10-19T00:00:00"/>
    <x v="0"/>
    <s v="OK"/>
    <s v="OK"/>
    <x v="3"/>
    <n v="7"/>
    <n v="0"/>
    <n v="215.34"/>
  </r>
  <r>
    <n v="50070"/>
    <n v="30042"/>
    <x v="42"/>
    <n v="2094"/>
    <x v="14"/>
    <n v="1"/>
    <n v="119.74"/>
    <d v="2025-10-12T00:00:00"/>
    <d v="2025-10-18T00:00:00"/>
    <x v="0"/>
    <s v="OK"/>
    <s v="OK"/>
    <x v="3"/>
    <n v="6"/>
    <n v="0"/>
    <n v="119.74"/>
  </r>
  <r>
    <n v="50071"/>
    <n v="30043"/>
    <x v="43"/>
    <n v="2350"/>
    <x v="13"/>
    <n v="1"/>
    <n v="121.5"/>
    <d v="2025-12-08T00:00:00"/>
    <d v="2025-12-17T00:00:00"/>
    <x v="0"/>
    <s v="OK"/>
    <s v="OK"/>
    <x v="1"/>
    <n v="9"/>
    <n v="1"/>
    <n v="121.5"/>
  </r>
  <r>
    <n v="50072"/>
    <n v="30043"/>
    <x v="43"/>
    <n v="2350"/>
    <x v="5"/>
    <n v="2"/>
    <n v="202.88"/>
    <d v="2025-12-08T00:00:00"/>
    <d v="2025-12-09T00:00:00"/>
    <x v="0"/>
    <s v="OK"/>
    <s v="OK"/>
    <x v="1"/>
    <n v="1"/>
    <n v="0"/>
    <n v="101.44"/>
  </r>
  <r>
    <n v="50073"/>
    <n v="30044"/>
    <x v="44"/>
    <n v="2582"/>
    <x v="3"/>
    <n v="1"/>
    <n v="118.6"/>
    <d v="2025-09-29T00:00:00"/>
    <d v="2025-10-09T00:00:00"/>
    <x v="0"/>
    <s v="OK"/>
    <s v="OK"/>
    <x v="2"/>
    <n v="10"/>
    <n v="1"/>
    <n v="118.6"/>
  </r>
  <r>
    <n v="50074"/>
    <n v="30045"/>
    <x v="45"/>
    <n v="2160"/>
    <x v="3"/>
    <n v="1"/>
    <n v="118.6"/>
    <d v="2025-02-01T00:00:00"/>
    <d v="2025-02-07T00:00:00"/>
    <x v="0"/>
    <s v="OK"/>
    <s v="OK"/>
    <x v="2"/>
    <n v="6"/>
    <n v="1"/>
    <n v="118.6"/>
  </r>
  <r>
    <n v="50075"/>
    <n v="30046"/>
    <x v="26"/>
    <n v="2084"/>
    <x v="10"/>
    <n v="1"/>
    <n v="215.34"/>
    <d v="2025-09-02T00:00:00"/>
    <d v="2025-12-09T00:00:00"/>
    <x v="0"/>
    <s v="OK"/>
    <s v="OK"/>
    <x v="3"/>
    <n v="98"/>
    <n v="1"/>
    <n v="215.34"/>
  </r>
  <r>
    <n v="50076"/>
    <n v="30046"/>
    <x v="26"/>
    <n v="2084"/>
    <x v="12"/>
    <n v="1"/>
    <n v="65.260000000000005"/>
    <d v="2025-09-01T00:00:00"/>
    <d v="2025-09-07T00:00:00"/>
    <x v="0"/>
    <s v="OK"/>
    <s v="OK"/>
    <x v="3"/>
    <n v="6"/>
    <n v="0"/>
    <n v="65.260000000000005"/>
  </r>
  <r>
    <n v="50077"/>
    <n v="30046"/>
    <x v="26"/>
    <n v="2084"/>
    <x v="14"/>
    <n v="2"/>
    <n v="239.48"/>
    <d v="2025-09-02T00:00:00"/>
    <d v="2025-09-04T00:00:00"/>
    <x v="0"/>
    <s v="OK"/>
    <s v="OK"/>
    <x v="3"/>
    <n v="2"/>
    <n v="0"/>
    <n v="119.74"/>
  </r>
  <r>
    <n v="50078"/>
    <n v="30046"/>
    <x v="26"/>
    <n v="2084"/>
    <x v="10"/>
    <n v="1"/>
    <n v="215.34"/>
    <d v="2025-09-02T00:00:00"/>
    <d v="2025-09-07T00:00:00"/>
    <x v="0"/>
    <s v="OK"/>
    <s v="OK"/>
    <x v="3"/>
    <n v="5"/>
    <n v="0"/>
    <n v="215.34"/>
  </r>
  <r>
    <n v="50079"/>
    <n v="30047"/>
    <x v="46"/>
    <n v="2280"/>
    <x v="4"/>
    <n v="4"/>
    <n v="734.96"/>
    <d v="2025-01-06T00:00:00"/>
    <d v="2025-01-14T00:00:00"/>
    <x v="0"/>
    <s v="OK"/>
    <s v="OK"/>
    <x v="2"/>
    <n v="8"/>
    <n v="1"/>
    <n v="183.74"/>
  </r>
  <r>
    <n v="50080"/>
    <n v="30047"/>
    <x v="46"/>
    <n v="2280"/>
    <x v="2"/>
    <n v="1"/>
    <n v="241.54"/>
    <d v="2025-01-06T00:00:00"/>
    <d v="2025-01-13T00:00:00"/>
    <x v="0"/>
    <s v="OK"/>
    <s v="OK"/>
    <x v="1"/>
    <n v="7"/>
    <n v="0"/>
    <n v="241.54"/>
  </r>
  <r>
    <n v="50081"/>
    <n v="30048"/>
    <x v="47"/>
    <n v="2441"/>
    <x v="12"/>
    <n v="1"/>
    <n v="65.260000000000005"/>
    <d v="2025-10-15T00:00:00"/>
    <d v="2025-10-24T00:00:00"/>
    <x v="0"/>
    <s v="OK"/>
    <s v="OK"/>
    <x v="3"/>
    <n v="9"/>
    <n v="1"/>
    <n v="65.260000000000005"/>
  </r>
  <r>
    <n v="50082"/>
    <n v="30049"/>
    <x v="24"/>
    <n v="2540"/>
    <x v="3"/>
    <n v="1"/>
    <n v="118.6"/>
    <d v="2025-04-05T00:00:00"/>
    <d v="2025-04-13T00:00:00"/>
    <x v="0"/>
    <s v="OK"/>
    <s v="OK"/>
    <x v="2"/>
    <n v="8"/>
    <n v="1"/>
    <n v="118.6"/>
  </r>
  <r>
    <n v="50083"/>
    <n v="30050"/>
    <x v="20"/>
    <n v="2226"/>
    <x v="3"/>
    <n v="2"/>
    <n v="237.2"/>
    <d v="2025-08-11T00:00:00"/>
    <d v="2025-08-16T00:00:00"/>
    <x v="0"/>
    <s v="OK"/>
    <s v="OK"/>
    <x v="2"/>
    <n v="5"/>
    <n v="1"/>
    <n v="118.6"/>
  </r>
  <r>
    <n v="50084"/>
    <n v="30050"/>
    <x v="20"/>
    <n v="2226"/>
    <x v="8"/>
    <n v="1"/>
    <n v="203.04"/>
    <d v="2025-08-13T00:00:00"/>
    <d v="2025-08-18T00:00:00"/>
    <x v="0"/>
    <s v="OK"/>
    <s v="OK"/>
    <x v="2"/>
    <n v="5"/>
    <n v="0"/>
    <n v="203.04"/>
  </r>
  <r>
    <n v="50085"/>
    <n v="30050"/>
    <x v="20"/>
    <n v="2226"/>
    <x v="0"/>
    <n v="2"/>
    <n v="399.62"/>
    <d v="2025-08-13T00:00:00"/>
    <d v="2025-08-22T00:00:00"/>
    <x v="0"/>
    <s v="OK"/>
    <s v="OK"/>
    <x v="0"/>
    <n v="9"/>
    <n v="0"/>
    <n v="199.81"/>
  </r>
  <r>
    <n v="50086"/>
    <n v="30051"/>
    <x v="48"/>
    <n v="2309"/>
    <x v="6"/>
    <n v="1"/>
    <n v="31.73"/>
    <d v="2025-04-13T00:00:00"/>
    <d v="2025-04-23T00:00:00"/>
    <x v="1"/>
    <s v="OK"/>
    <s v="OK"/>
    <x v="2"/>
    <n v="10"/>
    <n v="1"/>
    <n v="31.73"/>
  </r>
  <r>
    <n v="50087"/>
    <n v="30052"/>
    <x v="49"/>
    <n v="2262"/>
    <x v="4"/>
    <n v="1"/>
    <n v="183.74"/>
    <d v="2025-10-03T00:00:00"/>
    <d v="2025-10-04T00:00:00"/>
    <x v="0"/>
    <s v="OK"/>
    <s v="OK"/>
    <x v="2"/>
    <n v="1"/>
    <n v="1"/>
    <n v="183.74"/>
  </r>
  <r>
    <n v="50088"/>
    <n v="30052"/>
    <x v="49"/>
    <n v="2262"/>
    <x v="8"/>
    <n v="2"/>
    <n v="406.08"/>
    <d v="2025-10-02T00:00:00"/>
    <d v="2025-10-04T00:00:00"/>
    <x v="0"/>
    <s v="OK"/>
    <s v="OK"/>
    <x v="2"/>
    <n v="2"/>
    <n v="0"/>
    <n v="203.04"/>
  </r>
  <r>
    <n v="50089"/>
    <n v="30052"/>
    <x v="49"/>
    <n v="2262"/>
    <x v="12"/>
    <n v="3"/>
    <n v="195.78"/>
    <d v="2025-10-01T00:00:00"/>
    <d v="2025-10-05T00:00:00"/>
    <x v="0"/>
    <s v="OK"/>
    <s v="OK"/>
    <x v="3"/>
    <n v="4"/>
    <n v="0"/>
    <n v="65.260000000000005"/>
  </r>
  <r>
    <n v="50090"/>
    <n v="30053"/>
    <x v="50"/>
    <n v="2441"/>
    <x v="15"/>
    <n v="1"/>
    <n v="170.25"/>
    <d v="2025-12-05T00:00:00"/>
    <d v="2025-12-07T00:00:00"/>
    <x v="0"/>
    <s v="OK"/>
    <s v="OK"/>
    <x v="1"/>
    <n v="2"/>
    <n v="1"/>
    <n v="170.25"/>
  </r>
  <r>
    <n v="50091"/>
    <n v="30053"/>
    <x v="50"/>
    <n v="2441"/>
    <x v="1"/>
    <n v="1"/>
    <n v="206.09"/>
    <d v="2025-12-05T00:00:00"/>
    <d v="2025-12-10T00:00:00"/>
    <x v="0"/>
    <s v="OK"/>
    <s v="OK"/>
    <x v="0"/>
    <n v="5"/>
    <n v="0"/>
    <n v="206.09"/>
  </r>
  <r>
    <n v="50092"/>
    <n v="30053"/>
    <x v="51"/>
    <n v="2441"/>
    <x v="2"/>
    <n v="1"/>
    <n v="241.54"/>
    <d v="2025-12-05T00:00:00"/>
    <d v="2025-12-13T00:00:00"/>
    <x v="0"/>
    <s v="OK"/>
    <s v="OK"/>
    <x v="1"/>
    <n v="8"/>
    <n v="0"/>
    <n v="241.54"/>
  </r>
  <r>
    <n v="50093"/>
    <n v="30054"/>
    <x v="52"/>
    <n v="2074"/>
    <x v="3"/>
    <n v="1"/>
    <n v="118.6"/>
    <d v="2025-01-23T00:00:00"/>
    <d v="2025-01-29T00:00:00"/>
    <x v="0"/>
    <s v="OK"/>
    <s v="OK"/>
    <x v="2"/>
    <n v="6"/>
    <n v="1"/>
    <n v="118.6"/>
  </r>
  <r>
    <n v="50094"/>
    <n v="30055"/>
    <x v="53"/>
    <n v="2447"/>
    <x v="11"/>
    <n v="1"/>
    <n v="224.37"/>
    <d v="2025-07-11T00:00:00"/>
    <d v="2025-07-21T00:00:00"/>
    <x v="0"/>
    <s v="OK"/>
    <s v="OK"/>
    <x v="2"/>
    <n v="10"/>
    <n v="1"/>
    <n v="224.37"/>
  </r>
  <r>
    <n v="50095"/>
    <n v="30056"/>
    <x v="54"/>
    <n v="2321"/>
    <x v="15"/>
    <n v="3"/>
    <n v="510.75"/>
    <d v="2025-07-06T00:00:00"/>
    <d v="2025-07-07T00:00:00"/>
    <x v="0"/>
    <s v="OK"/>
    <s v="OK"/>
    <x v="1"/>
    <n v="1"/>
    <n v="1"/>
    <n v="170.25"/>
  </r>
  <r>
    <n v="50096"/>
    <n v="30056"/>
    <x v="55"/>
    <n v="2321"/>
    <x v="10"/>
    <n v="1"/>
    <n v="215.34"/>
    <d v="2025-07-07T00:00:00"/>
    <d v="2025-07-10T00:00:00"/>
    <x v="0"/>
    <s v="OK"/>
    <s v="OK"/>
    <x v="3"/>
    <n v="3"/>
    <n v="0"/>
    <n v="215.34"/>
  </r>
  <r>
    <n v="50097"/>
    <n v="30056"/>
    <x v="55"/>
    <n v="2321"/>
    <x v="13"/>
    <n v="1"/>
    <n v="121.5"/>
    <d v="2025-07-06T00:00:00"/>
    <d v="2025-12-07T00:00:00"/>
    <x v="0"/>
    <s v="OK"/>
    <s v="OK"/>
    <x v="1"/>
    <n v="154"/>
    <n v="0"/>
    <n v="121.5"/>
  </r>
  <r>
    <n v="50098"/>
    <n v="30057"/>
    <x v="56"/>
    <n v="2118"/>
    <x v="5"/>
    <n v="1"/>
    <n v="101.44"/>
    <d v="2025-12-15T00:00:00"/>
    <d v="2025-12-25T00:00:00"/>
    <x v="0"/>
    <s v="OK"/>
    <s v="OK"/>
    <x v="1"/>
    <n v="10"/>
    <n v="1"/>
    <n v="101.44"/>
  </r>
  <r>
    <n v="50099"/>
    <n v="30058"/>
    <x v="57"/>
    <n v="2176"/>
    <x v="14"/>
    <n v="3"/>
    <n v="359.22"/>
    <s v=""/>
    <s v=""/>
    <x v="3"/>
    <s v="Missing date"/>
    <s v="Missing date"/>
    <x v="3"/>
    <s v=""/>
    <n v="1"/>
    <n v="119.74000000000001"/>
  </r>
  <r>
    <n v="50100"/>
    <n v="30059"/>
    <x v="18"/>
    <n v="2371"/>
    <x v="4"/>
    <n v="1"/>
    <n v="183.74"/>
    <d v="2025-02-09T00:00:00"/>
    <d v="2025-02-18T00:00:00"/>
    <x v="0"/>
    <s v="OK"/>
    <s v="OK"/>
    <x v="2"/>
    <n v="9"/>
    <n v="1"/>
    <n v="183.74"/>
  </r>
  <r>
    <n v="50101"/>
    <n v="30059"/>
    <x v="18"/>
    <n v="2371"/>
    <x v="1"/>
    <n v="3"/>
    <n v="618.27"/>
    <d v="2025-02-11T00:00:00"/>
    <d v="2025-02-14T00:00:00"/>
    <x v="0"/>
    <s v="OK"/>
    <s v="OK"/>
    <x v="0"/>
    <n v="3"/>
    <n v="0"/>
    <n v="206.09"/>
  </r>
  <r>
    <n v="50102"/>
    <n v="30059"/>
    <x v="18"/>
    <n v="2371"/>
    <x v="10"/>
    <n v="2"/>
    <n v="430.68"/>
    <d v="2025-02-11T00:00:00"/>
    <d v="2025-02-17T00:00:00"/>
    <x v="0"/>
    <s v="OK"/>
    <s v="OK"/>
    <x v="3"/>
    <n v="6"/>
    <n v="0"/>
    <n v="215.34"/>
  </r>
  <r>
    <n v="50103"/>
    <n v="30060"/>
    <x v="58"/>
    <n v="2411"/>
    <x v="15"/>
    <n v="2"/>
    <n v="340.5"/>
    <d v="2025-10-15T00:00:00"/>
    <d v="2025-10-17T00:00:00"/>
    <x v="0"/>
    <s v="OK"/>
    <s v="OK"/>
    <x v="1"/>
    <n v="2"/>
    <n v="1"/>
    <n v="170.25"/>
  </r>
  <r>
    <n v="50104"/>
    <n v="30060"/>
    <x v="58"/>
    <n v="2411"/>
    <x v="13"/>
    <n v="1"/>
    <n v="121.5"/>
    <d v="2025-10-13T00:00:00"/>
    <d v="2025-10-19T00:00:00"/>
    <x v="0"/>
    <s v="OK"/>
    <s v="OK"/>
    <x v="1"/>
    <n v="6"/>
    <n v="0"/>
    <n v="121.5"/>
  </r>
  <r>
    <n v="50105"/>
    <n v="30061"/>
    <x v="59"/>
    <n v="2348"/>
    <x v="7"/>
    <n v="1"/>
    <n v="253.86"/>
    <d v="2025-12-22T00:00:00"/>
    <d v="2025-12-29T00:00:00"/>
    <x v="0"/>
    <s v="OK"/>
    <s v="OK"/>
    <x v="0"/>
    <n v="7"/>
    <n v="1"/>
    <n v="253.86"/>
  </r>
  <r>
    <n v="50106"/>
    <n v="30062"/>
    <x v="60"/>
    <n v="2079"/>
    <x v="4"/>
    <n v="1"/>
    <n v="183.74"/>
    <d v="2025-08-24T00:00:00"/>
    <d v="2025-08-29T00:00:00"/>
    <x v="0"/>
    <s v="OK"/>
    <s v="OK"/>
    <x v="2"/>
    <n v="5"/>
    <n v="1"/>
    <n v="183.74"/>
  </r>
  <r>
    <n v="50107"/>
    <n v="30063"/>
    <x v="0"/>
    <n v="2544"/>
    <x v="2"/>
    <n v="1"/>
    <n v="241.54"/>
    <d v="2025-03-04T00:00:00"/>
    <d v="2025-03-10T00:00:00"/>
    <x v="0"/>
    <s v="OK"/>
    <s v="OK"/>
    <x v="1"/>
    <n v="6"/>
    <n v="1"/>
    <n v="241.54"/>
  </r>
  <r>
    <n v="50108"/>
    <n v="30064"/>
    <x v="61"/>
    <n v="2360"/>
    <x v="6"/>
    <n v="1"/>
    <n v="31.73"/>
    <d v="2025-05-15T00:00:00"/>
    <d v="2025-05-22T00:00:00"/>
    <x v="0"/>
    <s v="OK"/>
    <s v="OK"/>
    <x v="2"/>
    <n v="7"/>
    <n v="1"/>
    <n v="31.73"/>
  </r>
  <r>
    <n v="50109"/>
    <n v="30065"/>
    <x v="15"/>
    <n v="2242"/>
    <x v="9"/>
    <n v="3"/>
    <n v="120.84"/>
    <d v="2025-03-28T00:00:00"/>
    <d v="2025-04-06T00:00:00"/>
    <x v="0"/>
    <s v="OK"/>
    <s v="OK"/>
    <x v="0"/>
    <n v="9"/>
    <n v="1"/>
    <n v="40.28"/>
  </r>
  <r>
    <n v="50110"/>
    <n v="30065"/>
    <x v="15"/>
    <n v="2242"/>
    <x v="0"/>
    <n v="1"/>
    <n v="199.81"/>
    <d v="2025-03-29T00:00:00"/>
    <d v="2025-04-03T00:00:00"/>
    <x v="0"/>
    <s v="OK"/>
    <s v="OK"/>
    <x v="0"/>
    <n v="5"/>
    <n v="0"/>
    <n v="199.81"/>
  </r>
  <r>
    <n v="50111"/>
    <n v="30065"/>
    <x v="15"/>
    <n v="2242"/>
    <x v="7"/>
    <n v="3"/>
    <n v="761.58"/>
    <d v="2025-03-29T00:00:00"/>
    <d v="2025-04-03T00:00:00"/>
    <x v="0"/>
    <s v="OK"/>
    <s v="OK"/>
    <x v="0"/>
    <n v="5"/>
    <n v="0"/>
    <n v="253.86"/>
  </r>
  <r>
    <n v="50112"/>
    <n v="30066"/>
    <x v="12"/>
    <n v="2157"/>
    <x v="11"/>
    <n v="1"/>
    <n v="224.37"/>
    <d v="2025-08-31T00:00:00"/>
    <s v=""/>
    <x v="3"/>
    <s v="Missing date"/>
    <s v="OK"/>
    <x v="2"/>
    <s v=""/>
    <n v="1"/>
    <n v="224.37"/>
  </r>
  <r>
    <n v="50113"/>
    <n v="30066"/>
    <x v="12"/>
    <n v="2157"/>
    <x v="12"/>
    <n v="1"/>
    <n v="65.260000000000005"/>
    <s v=""/>
    <s v=""/>
    <x v="3"/>
    <s v="Missing date"/>
    <s v="Missing date"/>
    <x v="3"/>
    <s v=""/>
    <n v="0"/>
    <n v="65.260000000000005"/>
  </r>
  <r>
    <n v="50114"/>
    <n v="30066"/>
    <x v="12"/>
    <n v="2157"/>
    <x v="14"/>
    <n v="2"/>
    <n v="239.48"/>
    <s v=""/>
    <s v=""/>
    <x v="3"/>
    <s v="Missing date"/>
    <s v="Missing date"/>
    <x v="3"/>
    <s v=""/>
    <n v="0"/>
    <n v="119.74"/>
  </r>
  <r>
    <n v="50115"/>
    <n v="30067"/>
    <x v="34"/>
    <n v="2579"/>
    <x v="5"/>
    <n v="2"/>
    <n v="202.88"/>
    <d v="2025-08-22T00:00:00"/>
    <d v="2025-08-31T00:00:00"/>
    <x v="0"/>
    <s v="OK"/>
    <s v="OK"/>
    <x v="1"/>
    <n v="9"/>
    <n v="1"/>
    <n v="101.44"/>
  </r>
  <r>
    <n v="50116"/>
    <n v="30068"/>
    <x v="62"/>
    <n v="2324"/>
    <x v="11"/>
    <n v="1"/>
    <n v="224.37"/>
    <d v="2025-03-12T00:00:00"/>
    <d v="2025-12-10T00:00:00"/>
    <x v="0"/>
    <s v="OK"/>
    <s v="OK"/>
    <x v="2"/>
    <n v="273"/>
    <n v="1"/>
    <n v="224.37"/>
  </r>
  <r>
    <n v="50117"/>
    <n v="30068"/>
    <x v="63"/>
    <n v="2324"/>
    <x v="12"/>
    <n v="1"/>
    <n v="65.260000000000005"/>
    <d v="2025-12-05T00:00:00"/>
    <d v="2025-12-11T00:00:00"/>
    <x v="0"/>
    <s v="OK"/>
    <s v="OK"/>
    <x v="3"/>
    <n v="6"/>
    <n v="0"/>
    <n v="65.260000000000005"/>
  </r>
  <r>
    <n v="50118"/>
    <n v="30069"/>
    <x v="35"/>
    <n v="2453"/>
    <x v="9"/>
    <n v="4"/>
    <n v="161.12"/>
    <d v="2025-12-09T00:00:00"/>
    <d v="2025-12-18T00:00:00"/>
    <x v="0"/>
    <s v="OK"/>
    <s v="OK"/>
    <x v="0"/>
    <n v="9"/>
    <n v="1"/>
    <n v="40.28"/>
  </r>
  <r>
    <n v="50119"/>
    <n v="30070"/>
    <x v="64"/>
    <n v="2058"/>
    <x v="11"/>
    <n v="2"/>
    <n v="448.74"/>
    <d v="2025-05-31T00:00:00"/>
    <d v="2025-06-10T00:00:00"/>
    <x v="0"/>
    <s v="OK"/>
    <s v="OK"/>
    <x v="2"/>
    <n v="10"/>
    <n v="1"/>
    <n v="224.37"/>
  </r>
  <r>
    <n v="50120"/>
    <n v="30070"/>
    <x v="64"/>
    <n v="2058"/>
    <x v="13"/>
    <n v="1"/>
    <n v="121.5"/>
    <d v="2025-06-01T00:00:00"/>
    <d v="2025-09-06T00:00:00"/>
    <x v="0"/>
    <s v="OK"/>
    <s v="OK"/>
    <x v="1"/>
    <n v="97"/>
    <n v="0"/>
    <n v="121.5"/>
  </r>
  <r>
    <n v="50121"/>
    <n v="30071"/>
    <x v="65"/>
    <n v="2473"/>
    <x v="3"/>
    <n v="2"/>
    <n v="237.2"/>
    <d v="2025-05-08T00:00:00"/>
    <d v="2025-08-07T00:00:00"/>
    <x v="0"/>
    <s v="OK"/>
    <s v="OK"/>
    <x v="2"/>
    <n v="91"/>
    <n v="1"/>
    <n v="118.6"/>
  </r>
  <r>
    <n v="50122"/>
    <n v="30072"/>
    <x v="66"/>
    <n v="2378"/>
    <x v="11"/>
    <n v="1"/>
    <n v="224.37"/>
    <s v=""/>
    <s v=""/>
    <x v="3"/>
    <s v="Missing date"/>
    <s v="Missing date"/>
    <x v="2"/>
    <s v=""/>
    <n v="1"/>
    <n v="224.37"/>
  </r>
  <r>
    <n v="50123"/>
    <n v="30072"/>
    <x v="66"/>
    <n v="2378"/>
    <x v="11"/>
    <n v="1"/>
    <n v="224.37"/>
    <s v=""/>
    <s v=""/>
    <x v="3"/>
    <s v="Missing date"/>
    <s v="Missing date"/>
    <x v="2"/>
    <s v=""/>
    <n v="0"/>
    <n v="224.37"/>
  </r>
  <r>
    <n v="50124"/>
    <n v="30073"/>
    <x v="6"/>
    <n v="2520"/>
    <x v="3"/>
    <n v="2"/>
    <n v="237.2"/>
    <d v="2025-07-28T00:00:00"/>
    <d v="2025-08-02T00:00:00"/>
    <x v="0"/>
    <s v="OK"/>
    <s v="OK"/>
    <x v="2"/>
    <n v="5"/>
    <n v="1"/>
    <n v="118.6"/>
  </r>
  <r>
    <n v="50125"/>
    <n v="30073"/>
    <x v="6"/>
    <n v="2520"/>
    <x v="14"/>
    <n v="2"/>
    <n v="239.48"/>
    <d v="2025-07-27T00:00:00"/>
    <d v="2025-08-06T00:00:00"/>
    <x v="0"/>
    <s v="OK"/>
    <s v="OK"/>
    <x v="3"/>
    <n v="10"/>
    <n v="0"/>
    <n v="119.74"/>
  </r>
  <r>
    <n v="50126"/>
    <n v="30074"/>
    <x v="67"/>
    <n v="2586"/>
    <x v="5"/>
    <n v="1"/>
    <n v="101.44"/>
    <d v="2025-11-06T00:00:00"/>
    <d v="2025-11-11T00:00:00"/>
    <x v="0"/>
    <s v="OK"/>
    <s v="OK"/>
    <x v="1"/>
    <n v="5"/>
    <n v="1"/>
    <n v="101.44"/>
  </r>
  <r>
    <n v="50127"/>
    <n v="30075"/>
    <x v="68"/>
    <n v="2488"/>
    <x v="3"/>
    <n v="2"/>
    <n v="237.2"/>
    <d v="2025-08-30T00:00:00"/>
    <d v="2025-09-06T00:00:00"/>
    <x v="0"/>
    <s v="OK"/>
    <s v="OK"/>
    <x v="2"/>
    <n v="7"/>
    <n v="1"/>
    <n v="118.6"/>
  </r>
  <r>
    <n v="50128"/>
    <n v="30076"/>
    <x v="69"/>
    <n v="2462"/>
    <x v="5"/>
    <n v="2"/>
    <n v="202.88"/>
    <d v="2025-09-26T00:00:00"/>
    <d v="2025-10-03T00:00:00"/>
    <x v="0"/>
    <s v="OK"/>
    <s v="OK"/>
    <x v="1"/>
    <n v="7"/>
    <n v="1"/>
    <n v="101.44"/>
  </r>
  <r>
    <n v="50129"/>
    <n v="30076"/>
    <x v="69"/>
    <n v="2462"/>
    <x v="11"/>
    <n v="1"/>
    <n v="224.37"/>
    <d v="2025-09-25T00:00:00"/>
    <d v="2025-10-01T00:00:00"/>
    <x v="0"/>
    <s v="OK"/>
    <s v="OK"/>
    <x v="2"/>
    <n v="6"/>
    <n v="0"/>
    <n v="224.37"/>
  </r>
  <r>
    <n v="50130"/>
    <n v="30076"/>
    <x v="69"/>
    <n v="2462"/>
    <x v="7"/>
    <n v="1"/>
    <n v="253.86"/>
    <d v="2025-09-25T00:00:00"/>
    <d v="2025-10-05T00:00:00"/>
    <x v="0"/>
    <s v="OK"/>
    <s v="OK"/>
    <x v="0"/>
    <n v="10"/>
    <n v="0"/>
    <n v="253.86"/>
  </r>
  <r>
    <n v="50131"/>
    <n v="30077"/>
    <x v="70"/>
    <n v="2041"/>
    <x v="14"/>
    <n v="1"/>
    <n v="119.74"/>
    <d v="2025-02-26T00:00:00"/>
    <d v="2025-03-02T00:00:00"/>
    <x v="0"/>
    <s v="OK"/>
    <s v="OK"/>
    <x v="3"/>
    <n v="4"/>
    <n v="1"/>
    <n v="119.74"/>
  </r>
  <r>
    <n v="50132"/>
    <n v="30077"/>
    <x v="70"/>
    <n v="2041"/>
    <x v="14"/>
    <n v="2"/>
    <n v="239.48"/>
    <d v="2025-02-24T00:00:00"/>
    <d v="2025-03-02T00:00:00"/>
    <x v="0"/>
    <s v="OK"/>
    <s v="OK"/>
    <x v="3"/>
    <n v="6"/>
    <n v="0"/>
    <n v="119.74"/>
  </r>
  <r>
    <n v="50133"/>
    <n v="30077"/>
    <x v="70"/>
    <n v="2041"/>
    <x v="7"/>
    <n v="4"/>
    <n v="1015.44"/>
    <d v="2025-02-25T00:00:00"/>
    <d v="2025-03-05T00:00:00"/>
    <x v="0"/>
    <s v="OK"/>
    <s v="OK"/>
    <x v="0"/>
    <n v="8"/>
    <n v="0"/>
    <n v="253.86"/>
  </r>
  <r>
    <n v="50134"/>
    <n v="30078"/>
    <x v="71"/>
    <n v="2373"/>
    <x v="13"/>
    <n v="5"/>
    <n v="607.5"/>
    <d v="2025-08-14T00:00:00"/>
    <d v="2025-08-15T00:00:00"/>
    <x v="0"/>
    <s v="OK"/>
    <s v="OK"/>
    <x v="1"/>
    <n v="1"/>
    <n v="1"/>
    <n v="121.5"/>
  </r>
  <r>
    <n v="50135"/>
    <n v="30079"/>
    <x v="72"/>
    <n v="2397"/>
    <x v="5"/>
    <n v="1"/>
    <n v="101.44"/>
    <d v="2025-09-20T00:00:00"/>
    <d v="2025-09-29T00:00:00"/>
    <x v="0"/>
    <s v="OK"/>
    <s v="OK"/>
    <x v="1"/>
    <n v="9"/>
    <n v="1"/>
    <n v="101.44"/>
  </r>
  <r>
    <n v="50136"/>
    <n v="30079"/>
    <x v="72"/>
    <n v="2397"/>
    <x v="3"/>
    <n v="2"/>
    <n v="237.2"/>
    <d v="2025-09-20T00:00:00"/>
    <d v="2025-09-22T00:00:00"/>
    <x v="0"/>
    <s v="OK"/>
    <s v="OK"/>
    <x v="2"/>
    <n v="2"/>
    <n v="0"/>
    <n v="118.6"/>
  </r>
  <r>
    <n v="50137"/>
    <n v="30079"/>
    <x v="72"/>
    <n v="2397"/>
    <x v="5"/>
    <n v="2"/>
    <n v="202.88"/>
    <d v="2025-09-20T00:00:00"/>
    <d v="2025-09-27T00:00:00"/>
    <x v="0"/>
    <s v="OK"/>
    <s v="OK"/>
    <x v="1"/>
    <n v="7"/>
    <n v="0"/>
    <n v="101.44"/>
  </r>
  <r>
    <n v="50138"/>
    <n v="30079"/>
    <x v="72"/>
    <n v="2397"/>
    <x v="11"/>
    <n v="1"/>
    <n v="224.37"/>
    <d v="2025-09-20T00:00:00"/>
    <d v="2025-09-25T00:00:00"/>
    <x v="0"/>
    <s v="OK"/>
    <s v="OK"/>
    <x v="2"/>
    <n v="5"/>
    <n v="0"/>
    <n v="224.37"/>
  </r>
  <r>
    <n v="50139"/>
    <n v="30080"/>
    <x v="73"/>
    <n v="2338"/>
    <x v="15"/>
    <n v="1"/>
    <n v="170.25"/>
    <d v="2025-09-24T00:00:00"/>
    <d v="2025-09-28T00:00:00"/>
    <x v="0"/>
    <s v="OK"/>
    <s v="OK"/>
    <x v="1"/>
    <n v="4"/>
    <n v="1"/>
    <n v="170.25"/>
  </r>
  <r>
    <n v="50140"/>
    <n v="30081"/>
    <x v="74"/>
    <n v="2291"/>
    <x v="6"/>
    <n v="3"/>
    <n v="95.19"/>
    <d v="2025-06-14T00:00:00"/>
    <d v="2025-06-22T00:00:00"/>
    <x v="0"/>
    <s v="OK"/>
    <s v="OK"/>
    <x v="2"/>
    <n v="8"/>
    <n v="1"/>
    <n v="31.73"/>
  </r>
  <r>
    <n v="50141"/>
    <n v="30082"/>
    <x v="75"/>
    <n v="2342"/>
    <x v="6"/>
    <n v="3"/>
    <n v="95.19"/>
    <d v="2025-07-19T00:00:00"/>
    <d v="2025-07-26T00:00:00"/>
    <x v="0"/>
    <s v="OK"/>
    <s v="OK"/>
    <x v="2"/>
    <n v="7"/>
    <n v="1"/>
    <n v="31.73"/>
  </r>
  <r>
    <n v="50142"/>
    <n v="30082"/>
    <x v="75"/>
    <n v="2342"/>
    <x v="2"/>
    <n v="3"/>
    <n v="724.62"/>
    <d v="2025-07-19T00:00:00"/>
    <d v="2025-07-20T00:00:00"/>
    <x v="0"/>
    <s v="OK"/>
    <s v="OK"/>
    <x v="1"/>
    <n v="1"/>
    <n v="0"/>
    <n v="241.54"/>
  </r>
  <r>
    <n v="50143"/>
    <n v="30082"/>
    <x v="75"/>
    <n v="2342"/>
    <x v="13"/>
    <n v="5"/>
    <n v="607.5"/>
    <d v="2025-07-19T00:00:00"/>
    <d v="2025-07-20T00:00:00"/>
    <x v="0"/>
    <s v="OK"/>
    <s v="OK"/>
    <x v="1"/>
    <n v="1"/>
    <n v="0"/>
    <n v="121.5"/>
  </r>
  <r>
    <n v="50144"/>
    <n v="30082"/>
    <x v="75"/>
    <n v="2342"/>
    <x v="15"/>
    <n v="2"/>
    <n v="340.5"/>
    <d v="2025-07-20T00:00:00"/>
    <d v="2025-07-27T00:00:00"/>
    <x v="0"/>
    <s v="OK"/>
    <s v="OK"/>
    <x v="1"/>
    <n v="7"/>
    <n v="0"/>
    <n v="170.25"/>
  </r>
  <r>
    <n v="50145"/>
    <n v="30083"/>
    <x v="0"/>
    <n v="2133"/>
    <x v="11"/>
    <n v="1"/>
    <n v="224.37"/>
    <d v="2025-02-04T00:00:00"/>
    <d v="2025-02-07T00:00:00"/>
    <x v="0"/>
    <s v="OK"/>
    <s v="OK"/>
    <x v="2"/>
    <n v="3"/>
    <n v="1"/>
    <n v="224.37"/>
  </r>
  <r>
    <n v="50146"/>
    <n v="30083"/>
    <x v="0"/>
    <n v="2133"/>
    <x v="13"/>
    <n v="1"/>
    <n v="121.5"/>
    <d v="2025-02-06T00:00:00"/>
    <d v="2025-02-14T00:00:00"/>
    <x v="0"/>
    <s v="OK"/>
    <s v="OK"/>
    <x v="1"/>
    <n v="8"/>
    <n v="0"/>
    <n v="121.5"/>
  </r>
  <r>
    <n v="50147"/>
    <n v="30083"/>
    <x v="0"/>
    <n v="2133"/>
    <x v="15"/>
    <n v="1"/>
    <n v="170.25"/>
    <d v="2025-02-04T00:00:00"/>
    <d v="2025-02-14T00:00:00"/>
    <x v="0"/>
    <s v="OK"/>
    <s v="OK"/>
    <x v="1"/>
    <n v="10"/>
    <n v="0"/>
    <n v="170.25"/>
  </r>
  <r>
    <n v="50148"/>
    <n v="30084"/>
    <x v="76"/>
    <n v="2337"/>
    <x v="11"/>
    <n v="1"/>
    <n v="224.37"/>
    <s v=""/>
    <s v=""/>
    <x v="3"/>
    <s v="Missing date"/>
    <s v="Missing date"/>
    <x v="2"/>
    <s v=""/>
    <n v="1"/>
    <n v="224.37"/>
  </r>
  <r>
    <n v="50149"/>
    <n v="30085"/>
    <x v="77"/>
    <n v="2434"/>
    <x v="8"/>
    <n v="2"/>
    <n v="406.08"/>
    <d v="2025-08-31T00:00:00"/>
    <d v="2025-09-09T00:00:00"/>
    <x v="0"/>
    <s v="OK"/>
    <s v="OK"/>
    <x v="2"/>
    <n v="9"/>
    <n v="1"/>
    <n v="203.04"/>
  </r>
  <r>
    <n v="50150"/>
    <n v="30086"/>
    <x v="78"/>
    <n v="2372"/>
    <x v="0"/>
    <n v="1"/>
    <n v="199.81"/>
    <d v="2025-12-19T00:00:00"/>
    <d v="2025-12-26T00:00:00"/>
    <x v="0"/>
    <s v="OK"/>
    <s v="OK"/>
    <x v="0"/>
    <n v="7"/>
    <n v="1"/>
    <n v="199.81"/>
  </r>
  <r>
    <n v="50151"/>
    <n v="30086"/>
    <x v="78"/>
    <n v="2372"/>
    <x v="5"/>
    <n v="4"/>
    <n v="405.76"/>
    <d v="2025-12-21T00:00:00"/>
    <d v="2025-12-23T00:00:00"/>
    <x v="0"/>
    <s v="OK"/>
    <s v="OK"/>
    <x v="1"/>
    <n v="2"/>
    <n v="0"/>
    <n v="101.44"/>
  </r>
  <r>
    <n v="50152"/>
    <n v="30086"/>
    <x v="78"/>
    <n v="2372"/>
    <x v="12"/>
    <n v="2"/>
    <n v="130.52000000000001"/>
    <d v="2025-12-21T00:00:00"/>
    <d v="2025-12-30T00:00:00"/>
    <x v="0"/>
    <s v="OK"/>
    <s v="OK"/>
    <x v="3"/>
    <n v="9"/>
    <n v="0"/>
    <n v="65.260000000000005"/>
  </r>
  <r>
    <n v="50153"/>
    <n v="30087"/>
    <x v="79"/>
    <n v="2197"/>
    <x v="6"/>
    <n v="1"/>
    <n v="31.73"/>
    <d v="2025-11-03T00:00:00"/>
    <d v="2025-11-05T00:00:00"/>
    <x v="0"/>
    <s v="OK"/>
    <s v="OK"/>
    <x v="2"/>
    <n v="2"/>
    <n v="1"/>
    <n v="31.73"/>
  </r>
  <r>
    <n v="50154"/>
    <n v="30088"/>
    <x v="80"/>
    <n v="2159"/>
    <x v="4"/>
    <n v="2"/>
    <n v="367.48"/>
    <d v="2025-09-14T00:00:00"/>
    <d v="2025-09-15T00:00:00"/>
    <x v="0"/>
    <s v="OK"/>
    <s v="OK"/>
    <x v="2"/>
    <n v="1"/>
    <n v="1"/>
    <n v="183.74"/>
  </r>
  <r>
    <n v="50155"/>
    <n v="30088"/>
    <x v="80"/>
    <n v="2159"/>
    <x v="3"/>
    <n v="1"/>
    <n v="118.6"/>
    <d v="2025-09-15T00:00:00"/>
    <d v="2025-09-24T00:00:00"/>
    <x v="0"/>
    <s v="OK"/>
    <s v="OK"/>
    <x v="2"/>
    <n v="9"/>
    <n v="0"/>
    <n v="118.6"/>
  </r>
  <r>
    <n v="50156"/>
    <n v="30089"/>
    <x v="81"/>
    <n v="2345"/>
    <x v="6"/>
    <n v="1"/>
    <n v="31.73"/>
    <s v=""/>
    <s v=""/>
    <x v="2"/>
    <s v="Missing date"/>
    <s v="Missing date"/>
    <x v="2"/>
    <s v=""/>
    <n v="1"/>
    <n v="31.73"/>
  </r>
  <r>
    <n v="50157"/>
    <n v="30090"/>
    <x v="82"/>
    <n v="2386"/>
    <x v="7"/>
    <n v="2"/>
    <n v="507.72"/>
    <d v="2025-02-09T00:00:00"/>
    <d v="2025-02-15T00:00:00"/>
    <x v="0"/>
    <s v="OK"/>
    <s v="OK"/>
    <x v="0"/>
    <n v="6"/>
    <n v="1"/>
    <n v="253.86"/>
  </r>
  <r>
    <n v="50158"/>
    <n v="30090"/>
    <x v="82"/>
    <n v="2386"/>
    <x v="7"/>
    <n v="2"/>
    <n v="507.72"/>
    <d v="2025-02-07T00:00:00"/>
    <d v="2025-08-02T00:00:00"/>
    <x v="0"/>
    <s v="OK"/>
    <s v="OK"/>
    <x v="0"/>
    <n v="176"/>
    <n v="0"/>
    <n v="253.86"/>
  </r>
  <r>
    <n v="50159"/>
    <n v="30090"/>
    <x v="82"/>
    <n v="2386"/>
    <x v="14"/>
    <n v="3"/>
    <n v="359.22"/>
    <d v="2025-02-07T00:00:00"/>
    <d v="2025-02-12T00:00:00"/>
    <x v="0"/>
    <s v="OK"/>
    <s v="OK"/>
    <x v="3"/>
    <n v="5"/>
    <n v="0"/>
    <n v="119.74000000000001"/>
  </r>
  <r>
    <n v="50160"/>
    <n v="30090"/>
    <x v="82"/>
    <n v="2386"/>
    <x v="3"/>
    <n v="1"/>
    <n v="118.6"/>
    <d v="2025-02-09T00:00:00"/>
    <d v="2025-02-13T00:00:00"/>
    <x v="0"/>
    <s v="OK"/>
    <s v="OK"/>
    <x v="2"/>
    <n v="4"/>
    <n v="0"/>
    <n v="118.6"/>
  </r>
  <r>
    <n v="50161"/>
    <n v="30091"/>
    <x v="0"/>
    <n v="2421"/>
    <x v="1"/>
    <n v="5"/>
    <n v="1030.45"/>
    <d v="2025-02-05T00:00:00"/>
    <d v="2025-02-10T00:00:00"/>
    <x v="0"/>
    <s v="OK"/>
    <s v="OK"/>
    <x v="0"/>
    <n v="5"/>
    <n v="1"/>
    <n v="206.09"/>
  </r>
  <r>
    <n v="50162"/>
    <n v="30092"/>
    <x v="75"/>
    <n v="2455"/>
    <x v="14"/>
    <n v="1"/>
    <n v="119.74"/>
    <d v="2025-07-21T00:00:00"/>
    <d v="2025-07-26T00:00:00"/>
    <x v="0"/>
    <s v="OK"/>
    <s v="OK"/>
    <x v="3"/>
    <n v="5"/>
    <n v="1"/>
    <n v="119.74"/>
  </r>
  <r>
    <n v="50163"/>
    <n v="30092"/>
    <x v="75"/>
    <n v="2455"/>
    <x v="1"/>
    <n v="4"/>
    <n v="824.36"/>
    <d v="2025-07-19T00:00:00"/>
    <d v="2025-07-25T00:00:00"/>
    <x v="0"/>
    <s v="OK"/>
    <s v="OK"/>
    <x v="0"/>
    <n v="6"/>
    <n v="0"/>
    <n v="206.09"/>
  </r>
  <r>
    <n v="50164"/>
    <n v="30093"/>
    <x v="83"/>
    <n v="2547"/>
    <x v="12"/>
    <n v="2"/>
    <n v="130.52000000000001"/>
    <d v="2025-04-21T00:00:00"/>
    <d v="2025-04-28T00:00:00"/>
    <x v="0"/>
    <s v="OK"/>
    <s v="OK"/>
    <x v="3"/>
    <n v="7"/>
    <n v="1"/>
    <n v="65.260000000000005"/>
  </r>
  <r>
    <n v="50165"/>
    <n v="30093"/>
    <x v="83"/>
    <n v="2547"/>
    <x v="0"/>
    <n v="4"/>
    <n v="799.24"/>
    <d v="2025-04-21T00:00:00"/>
    <d v="2025-04-23T00:00:00"/>
    <x v="0"/>
    <s v="OK"/>
    <s v="OK"/>
    <x v="0"/>
    <n v="2"/>
    <n v="0"/>
    <n v="199.81"/>
  </r>
  <r>
    <n v="50166"/>
    <n v="30094"/>
    <x v="84"/>
    <n v="2377"/>
    <x v="14"/>
    <n v="1"/>
    <n v="119.74"/>
    <d v="2025-06-20T00:00:00"/>
    <d v="2025-06-22T00:00:00"/>
    <x v="0"/>
    <s v="OK"/>
    <s v="OK"/>
    <x v="3"/>
    <n v="2"/>
    <n v="1"/>
    <n v="119.74"/>
  </r>
  <r>
    <n v="50167"/>
    <n v="30095"/>
    <x v="85"/>
    <n v="2473"/>
    <x v="15"/>
    <n v="1"/>
    <n v="170.25"/>
    <s v=""/>
    <s v=""/>
    <x v="3"/>
    <s v="Missing date"/>
    <s v="Missing date"/>
    <x v="1"/>
    <s v=""/>
    <n v="1"/>
    <n v="170.25"/>
  </r>
  <r>
    <n v="50168"/>
    <n v="30096"/>
    <x v="86"/>
    <n v="2429"/>
    <x v="0"/>
    <n v="2"/>
    <n v="399.62"/>
    <d v="2025-02-05T00:00:00"/>
    <d v="2025-10-02T00:00:00"/>
    <x v="1"/>
    <s v="OK"/>
    <s v="OK"/>
    <x v="0"/>
    <n v="239"/>
    <n v="1"/>
    <n v="199.81"/>
  </r>
  <r>
    <n v="50169"/>
    <n v="30097"/>
    <x v="34"/>
    <n v="2142"/>
    <x v="3"/>
    <n v="1"/>
    <n v="118.6"/>
    <s v=""/>
    <s v=""/>
    <x v="2"/>
    <s v="Missing date"/>
    <s v="Missing date"/>
    <x v="2"/>
    <s v=""/>
    <n v="1"/>
    <n v="118.6"/>
  </r>
  <r>
    <n v="50170"/>
    <n v="30098"/>
    <x v="87"/>
    <n v="2493"/>
    <x v="4"/>
    <n v="1"/>
    <n v="183.74"/>
    <s v=""/>
    <s v=""/>
    <x v="2"/>
    <s v="Missing date"/>
    <s v="Missing date"/>
    <x v="2"/>
    <s v=""/>
    <n v="1"/>
    <n v="183.74"/>
  </r>
  <r>
    <n v="50171"/>
    <n v="30098"/>
    <x v="87"/>
    <n v="2493"/>
    <x v="4"/>
    <n v="1"/>
    <n v="183.74"/>
    <s v=""/>
    <s v=""/>
    <x v="2"/>
    <s v="Missing date"/>
    <s v="Missing date"/>
    <x v="2"/>
    <s v=""/>
    <n v="0"/>
    <n v="183.74"/>
  </r>
  <r>
    <n v="50172"/>
    <n v="30099"/>
    <x v="88"/>
    <n v="2292"/>
    <x v="7"/>
    <n v="1"/>
    <n v="253.86"/>
    <d v="2025-03-22T00:00:00"/>
    <d v="2025-03-25T00:00:00"/>
    <x v="0"/>
    <s v="OK"/>
    <s v="OK"/>
    <x v="0"/>
    <n v="3"/>
    <n v="1"/>
    <n v="253.86"/>
  </r>
  <r>
    <n v="50173"/>
    <n v="30100"/>
    <x v="86"/>
    <n v="2280"/>
    <x v="6"/>
    <n v="2"/>
    <n v="63.46"/>
    <d v="2025-02-06T00:00:00"/>
    <d v="2025-12-02T00:00:00"/>
    <x v="0"/>
    <s v="OK"/>
    <s v="OK"/>
    <x v="2"/>
    <n v="299"/>
    <n v="1"/>
    <n v="31.73"/>
  </r>
  <r>
    <n v="50174"/>
    <n v="30100"/>
    <x v="86"/>
    <n v="2280"/>
    <x v="10"/>
    <n v="2"/>
    <n v="430.68"/>
    <d v="2025-02-06T00:00:00"/>
    <d v="2025-02-13T00:00:00"/>
    <x v="0"/>
    <s v="OK"/>
    <s v="OK"/>
    <x v="3"/>
    <n v="7"/>
    <n v="0"/>
    <n v="215.34"/>
  </r>
  <r>
    <n v="50175"/>
    <n v="30101"/>
    <x v="89"/>
    <n v="2094"/>
    <x v="1"/>
    <n v="1"/>
    <n v="206.09"/>
    <d v="2025-04-27T00:00:00"/>
    <d v="2025-05-02T00:00:00"/>
    <x v="1"/>
    <s v="OK"/>
    <s v="OK"/>
    <x v="0"/>
    <n v="5"/>
    <n v="1"/>
    <n v="206.09"/>
  </r>
  <r>
    <n v="50176"/>
    <n v="30101"/>
    <x v="89"/>
    <n v="2094"/>
    <x v="14"/>
    <n v="2"/>
    <n v="239.48"/>
    <d v="2025-04-28T00:00:00"/>
    <d v="2025-05-02T00:00:00"/>
    <x v="1"/>
    <s v="OK"/>
    <s v="OK"/>
    <x v="3"/>
    <n v="4"/>
    <n v="0"/>
    <n v="119.74"/>
  </r>
  <r>
    <n v="50177"/>
    <n v="30102"/>
    <x v="78"/>
    <n v="2358"/>
    <x v="10"/>
    <n v="3"/>
    <n v="646.02"/>
    <s v=""/>
    <s v=""/>
    <x v="2"/>
    <s v="Missing date"/>
    <s v="Missing date"/>
    <x v="3"/>
    <s v=""/>
    <n v="1"/>
    <n v="215.34"/>
  </r>
  <r>
    <n v="50178"/>
    <n v="30102"/>
    <x v="78"/>
    <n v="2358"/>
    <x v="3"/>
    <n v="4"/>
    <n v="474.4"/>
    <s v=""/>
    <s v=""/>
    <x v="2"/>
    <s v="Missing date"/>
    <s v="Missing date"/>
    <x v="2"/>
    <s v=""/>
    <n v="0"/>
    <n v="118.6"/>
  </r>
  <r>
    <n v="50179"/>
    <n v="30103"/>
    <x v="90"/>
    <n v="2406"/>
    <x v="1"/>
    <n v="1"/>
    <n v="206.09"/>
    <d v="2025-07-08T00:00:00"/>
    <d v="2025-07-16T00:00:00"/>
    <x v="0"/>
    <s v="OK"/>
    <s v="OK"/>
    <x v="0"/>
    <n v="8"/>
    <n v="1"/>
    <n v="206.09"/>
  </r>
  <r>
    <n v="50180"/>
    <n v="30104"/>
    <x v="91"/>
    <n v="2396"/>
    <x v="2"/>
    <n v="1"/>
    <n v="241.54"/>
    <d v="2025-04-01T00:00:00"/>
    <d v="2025-04-02T00:00:00"/>
    <x v="1"/>
    <s v="OK"/>
    <s v="OK"/>
    <x v="1"/>
    <n v="1"/>
    <n v="1"/>
    <n v="241.54"/>
  </r>
  <r>
    <n v="50181"/>
    <n v="30104"/>
    <x v="91"/>
    <n v="2396"/>
    <x v="1"/>
    <n v="1"/>
    <n v="206.09"/>
    <d v="2025-04-01T00:00:00"/>
    <d v="2025-10-04T00:00:00"/>
    <x v="1"/>
    <s v="OK"/>
    <s v="OK"/>
    <x v="0"/>
    <n v="186"/>
    <n v="0"/>
    <n v="206.09"/>
  </r>
  <r>
    <n v="50182"/>
    <n v="30104"/>
    <x v="91"/>
    <n v="2396"/>
    <x v="8"/>
    <n v="1"/>
    <n v="203.04"/>
    <d v="2025-04-03T00:00:00"/>
    <d v="2025-04-04T00:00:00"/>
    <x v="1"/>
    <s v="OK"/>
    <s v="OK"/>
    <x v="2"/>
    <n v="1"/>
    <n v="0"/>
    <n v="203.04"/>
  </r>
  <r>
    <n v="50183"/>
    <n v="30105"/>
    <x v="31"/>
    <n v="2327"/>
    <x v="5"/>
    <n v="1"/>
    <n v="101.44"/>
    <s v=""/>
    <s v=""/>
    <x v="2"/>
    <s v="Missing date"/>
    <s v="Missing date"/>
    <x v="1"/>
    <s v=""/>
    <n v="1"/>
    <n v="101.44"/>
  </r>
  <r>
    <n v="50184"/>
    <n v="30106"/>
    <x v="69"/>
    <n v="2150"/>
    <x v="13"/>
    <n v="1"/>
    <n v="121.5"/>
    <d v="2025-09-25T00:00:00"/>
    <d v="2025-09-30T00:00:00"/>
    <x v="0"/>
    <s v="OK"/>
    <s v="OK"/>
    <x v="1"/>
    <n v="5"/>
    <n v="1"/>
    <n v="121.5"/>
  </r>
  <r>
    <n v="50185"/>
    <n v="30106"/>
    <x v="69"/>
    <n v="2150"/>
    <x v="12"/>
    <n v="3"/>
    <n v="195.78"/>
    <d v="2025-09-27T00:00:00"/>
    <d v="2025-10-02T00:00:00"/>
    <x v="0"/>
    <s v="OK"/>
    <s v="OK"/>
    <x v="3"/>
    <n v="5"/>
    <n v="0"/>
    <n v="65.260000000000005"/>
  </r>
  <r>
    <n v="50186"/>
    <n v="30107"/>
    <x v="92"/>
    <n v="2143"/>
    <x v="12"/>
    <n v="2"/>
    <n v="130.52000000000001"/>
    <d v="2025-05-19T00:00:00"/>
    <d v="2025-05-21T00:00:00"/>
    <x v="0"/>
    <s v="OK"/>
    <s v="OK"/>
    <x v="3"/>
    <n v="2"/>
    <n v="1"/>
    <n v="65.260000000000005"/>
  </r>
  <r>
    <n v="50187"/>
    <n v="30108"/>
    <x v="93"/>
    <n v="2460"/>
    <x v="11"/>
    <n v="5"/>
    <n v="1121.8499999999999"/>
    <d v="2025-07-07T00:00:00"/>
    <d v="2025-07-12T00:00:00"/>
    <x v="0"/>
    <s v="OK"/>
    <s v="OK"/>
    <x v="2"/>
    <n v="5"/>
    <n v="1"/>
    <n v="224.36999999999998"/>
  </r>
  <r>
    <n v="50188"/>
    <n v="30108"/>
    <x v="94"/>
    <n v="2460"/>
    <x v="8"/>
    <n v="1"/>
    <n v="203.04"/>
    <d v="2025-07-08T00:00:00"/>
    <d v="2025-07-16T00:00:00"/>
    <x v="0"/>
    <s v="OK"/>
    <s v="OK"/>
    <x v="2"/>
    <n v="8"/>
    <n v="0"/>
    <n v="203.04"/>
  </r>
  <r>
    <n v="50189"/>
    <n v="30108"/>
    <x v="93"/>
    <n v="2460"/>
    <x v="9"/>
    <n v="2"/>
    <n v="80.56"/>
    <d v="2025-07-08T00:00:00"/>
    <d v="2025-07-16T00:00:00"/>
    <x v="0"/>
    <s v="OK"/>
    <s v="OK"/>
    <x v="0"/>
    <n v="8"/>
    <n v="0"/>
    <n v="40.28"/>
  </r>
  <r>
    <n v="50190"/>
    <n v="30108"/>
    <x v="94"/>
    <n v="2460"/>
    <x v="0"/>
    <n v="2"/>
    <n v="399.62"/>
    <d v="2025-07-07T00:00:00"/>
    <d v="2025-07-11T00:00:00"/>
    <x v="0"/>
    <s v="OK"/>
    <s v="OK"/>
    <x v="0"/>
    <n v="4"/>
    <n v="0"/>
    <n v="199.81"/>
  </r>
  <r>
    <n v="50191"/>
    <n v="30109"/>
    <x v="95"/>
    <n v="2154"/>
    <x v="10"/>
    <n v="1"/>
    <n v="215.34"/>
    <d v="2025-01-06T00:00:00"/>
    <d v="2025-01-08T00:00:00"/>
    <x v="0"/>
    <s v="OK"/>
    <s v="OK"/>
    <x v="3"/>
    <n v="2"/>
    <n v="1"/>
    <n v="215.34"/>
  </r>
  <r>
    <n v="50192"/>
    <n v="30110"/>
    <x v="96"/>
    <n v="2114"/>
    <x v="1"/>
    <n v="5"/>
    <n v="1030.45"/>
    <s v=""/>
    <s v=""/>
    <x v="3"/>
    <s v="Missing date"/>
    <s v="Missing date"/>
    <x v="0"/>
    <s v=""/>
    <n v="1"/>
    <n v="206.09"/>
  </r>
  <r>
    <n v="50193"/>
    <n v="30110"/>
    <x v="96"/>
    <n v="2114"/>
    <x v="3"/>
    <n v="1"/>
    <n v="118.6"/>
    <d v="2026-06-09T00:00:00"/>
    <s v=""/>
    <x v="3"/>
    <s v="Missing date"/>
    <s v="OK"/>
    <x v="2"/>
    <s v=""/>
    <n v="0"/>
    <n v="118.6"/>
  </r>
  <r>
    <n v="50194"/>
    <n v="30110"/>
    <x v="96"/>
    <n v="2114"/>
    <x v="14"/>
    <n v="3"/>
    <n v="359.22"/>
    <d v="2026-09-09T00:00:00"/>
    <s v=""/>
    <x v="3"/>
    <s v="Missing date"/>
    <s v="OK"/>
    <x v="3"/>
    <s v=""/>
    <n v="0"/>
    <n v="119.74000000000001"/>
  </r>
  <r>
    <n v="50195"/>
    <n v="30111"/>
    <x v="97"/>
    <n v="2512"/>
    <x v="8"/>
    <n v="1"/>
    <n v="203.04"/>
    <d v="2025-12-31T00:00:00"/>
    <d v="2026-01-04T00:00:00"/>
    <x v="0"/>
    <s v="OK"/>
    <s v="OK"/>
    <x v="2"/>
    <n v="4"/>
    <n v="1"/>
    <n v="203.04"/>
  </r>
  <r>
    <n v="50196"/>
    <n v="30112"/>
    <x v="98"/>
    <n v="2528"/>
    <x v="6"/>
    <n v="1"/>
    <n v="31.73"/>
    <d v="2025-05-01T00:00:00"/>
    <d v="2025-05-06T00:00:00"/>
    <x v="0"/>
    <s v="OK"/>
    <s v="OK"/>
    <x v="2"/>
    <n v="5"/>
    <n v="1"/>
    <n v="31.73"/>
  </r>
  <r>
    <n v="50197"/>
    <n v="30112"/>
    <x v="98"/>
    <n v="2528"/>
    <x v="13"/>
    <n v="1"/>
    <n v="121.5"/>
    <d v="2025-05-02T00:00:00"/>
    <d v="2025-05-06T00:00:00"/>
    <x v="0"/>
    <s v="OK"/>
    <s v="OK"/>
    <x v="1"/>
    <n v="4"/>
    <n v="0"/>
    <n v="121.5"/>
  </r>
  <r>
    <n v="50198"/>
    <n v="30113"/>
    <x v="99"/>
    <n v="2440"/>
    <x v="2"/>
    <n v="1"/>
    <n v="241.54"/>
    <d v="2025-03-10T00:00:00"/>
    <d v="2025-03-13T00:00:00"/>
    <x v="0"/>
    <s v="OK"/>
    <s v="OK"/>
    <x v="1"/>
    <n v="3"/>
    <n v="1"/>
    <n v="241.54"/>
  </r>
  <r>
    <n v="50199"/>
    <n v="30113"/>
    <x v="99"/>
    <n v="2440"/>
    <x v="1"/>
    <n v="1"/>
    <n v="206.09"/>
    <d v="2025-03-09T00:00:00"/>
    <d v="2025-03-14T00:00:00"/>
    <x v="0"/>
    <s v="OK"/>
    <s v="OK"/>
    <x v="0"/>
    <n v="5"/>
    <n v="0"/>
    <n v="206.09"/>
  </r>
  <r>
    <n v="50200"/>
    <n v="30113"/>
    <x v="99"/>
    <n v="2440"/>
    <x v="10"/>
    <n v="2"/>
    <n v="430.68"/>
    <d v="2025-03-11T00:00:00"/>
    <d v="2025-03-16T00:00:00"/>
    <x v="0"/>
    <s v="OK"/>
    <s v="OK"/>
    <x v="3"/>
    <n v="5"/>
    <n v="0"/>
    <n v="215.34"/>
  </r>
  <r>
    <n v="50201"/>
    <n v="30114"/>
    <x v="100"/>
    <n v="2192"/>
    <x v="11"/>
    <n v="3"/>
    <n v="673.11"/>
    <d v="2025-01-07T00:00:00"/>
    <d v="2025-01-16T00:00:00"/>
    <x v="0"/>
    <s v="OK"/>
    <s v="OK"/>
    <x v="2"/>
    <n v="9"/>
    <n v="1"/>
    <n v="224.37"/>
  </r>
  <r>
    <n v="50202"/>
    <n v="30115"/>
    <x v="101"/>
    <n v="2537"/>
    <x v="11"/>
    <n v="2"/>
    <n v="448.74"/>
    <d v="2025-08-24T00:00:00"/>
    <d v="2025-09-01T00:00:00"/>
    <x v="1"/>
    <s v="OK"/>
    <s v="OK"/>
    <x v="2"/>
    <n v="8"/>
    <n v="1"/>
    <n v="224.37"/>
  </r>
  <r>
    <n v="50203"/>
    <n v="30115"/>
    <x v="101"/>
    <n v="2537"/>
    <x v="8"/>
    <n v="1"/>
    <n v="203.04"/>
    <d v="2025-08-24T00:00:00"/>
    <d v="2025-08-28T00:00:00"/>
    <x v="1"/>
    <s v="OK"/>
    <s v="OK"/>
    <x v="2"/>
    <n v="4"/>
    <n v="0"/>
    <n v="203.04"/>
  </r>
  <r>
    <n v="50204"/>
    <n v="30116"/>
    <x v="102"/>
    <n v="2400"/>
    <x v="3"/>
    <n v="3"/>
    <n v="355.8"/>
    <s v=""/>
    <s v=""/>
    <x v="2"/>
    <s v="Missing date"/>
    <s v="Missing date"/>
    <x v="2"/>
    <s v=""/>
    <n v="1"/>
    <n v="118.60000000000001"/>
  </r>
  <r>
    <n v="50205"/>
    <n v="30117"/>
    <x v="103"/>
    <n v="2397"/>
    <x v="9"/>
    <n v="2"/>
    <n v="80.56"/>
    <d v="2025-07-19T00:00:00"/>
    <d v="2025-07-28T00:00:00"/>
    <x v="1"/>
    <s v="OK"/>
    <s v="OK"/>
    <x v="0"/>
    <n v="9"/>
    <n v="1"/>
    <n v="40.28"/>
  </r>
  <r>
    <n v="50206"/>
    <n v="30118"/>
    <x v="92"/>
    <n v="2017"/>
    <x v="11"/>
    <n v="2"/>
    <n v="448.74"/>
    <d v="2025-05-18T00:00:00"/>
    <d v="2025-05-20T00:00:00"/>
    <x v="0"/>
    <s v="OK"/>
    <s v="OK"/>
    <x v="2"/>
    <n v="2"/>
    <n v="1"/>
    <n v="224.37"/>
  </r>
  <r>
    <n v="50207"/>
    <n v="30118"/>
    <x v="92"/>
    <n v="2017"/>
    <x v="2"/>
    <n v="1"/>
    <n v="241.54"/>
    <d v="2025-05-19T00:00:00"/>
    <d v="2025-05-25T00:00:00"/>
    <x v="0"/>
    <s v="OK"/>
    <s v="OK"/>
    <x v="1"/>
    <n v="6"/>
    <n v="0"/>
    <n v="241.54"/>
  </r>
  <r>
    <n v="50208"/>
    <n v="30118"/>
    <x v="92"/>
    <n v="2017"/>
    <x v="1"/>
    <n v="1"/>
    <n v="206.09"/>
    <d v="2025-05-18T00:00:00"/>
    <d v="2025-05-24T00:00:00"/>
    <x v="0"/>
    <s v="OK"/>
    <s v="OK"/>
    <x v="0"/>
    <n v="6"/>
    <n v="0"/>
    <n v="206.09"/>
  </r>
  <r>
    <n v="50209"/>
    <n v="30119"/>
    <x v="18"/>
    <n v="2107"/>
    <x v="5"/>
    <n v="3"/>
    <n v="304.32"/>
    <d v="2025-02-11T00:00:00"/>
    <s v=""/>
    <x v="3"/>
    <s v="Missing date"/>
    <s v="OK"/>
    <x v="1"/>
    <s v=""/>
    <n v="1"/>
    <n v="101.44"/>
  </r>
  <r>
    <n v="50210"/>
    <n v="30120"/>
    <x v="1"/>
    <n v="2361"/>
    <x v="7"/>
    <n v="1"/>
    <n v="253.86"/>
    <d v="2025-08-20T00:00:00"/>
    <d v="2025-08-22T00:00:00"/>
    <x v="0"/>
    <s v="OK"/>
    <s v="OK"/>
    <x v="0"/>
    <n v="2"/>
    <n v="1"/>
    <n v="253.86"/>
  </r>
  <r>
    <n v="50211"/>
    <n v="30121"/>
    <x v="104"/>
    <n v="2476"/>
    <x v="12"/>
    <n v="1"/>
    <n v="65.260000000000005"/>
    <d v="2025-04-06T00:00:00"/>
    <d v="2025-04-11T00:00:00"/>
    <x v="1"/>
    <s v="OK"/>
    <s v="OK"/>
    <x v="3"/>
    <n v="5"/>
    <n v="1"/>
    <n v="65.260000000000005"/>
  </r>
  <r>
    <n v="50212"/>
    <n v="30121"/>
    <x v="104"/>
    <n v="2476"/>
    <x v="7"/>
    <n v="2"/>
    <n v="507.72"/>
    <d v="2025-04-06T00:00:00"/>
    <d v="2025-04-12T00:00:00"/>
    <x v="1"/>
    <s v="OK"/>
    <s v="OK"/>
    <x v="0"/>
    <n v="6"/>
    <n v="0"/>
    <n v="253.86"/>
  </r>
  <r>
    <n v="50213"/>
    <n v="30121"/>
    <x v="104"/>
    <n v="2476"/>
    <x v="6"/>
    <n v="1"/>
    <n v="31.73"/>
    <d v="2025-04-06T00:00:00"/>
    <d v="2025-04-08T00:00:00"/>
    <x v="1"/>
    <s v="OK"/>
    <s v="OK"/>
    <x v="2"/>
    <n v="2"/>
    <n v="0"/>
    <n v="31.73"/>
  </r>
  <r>
    <n v="50214"/>
    <n v="30122"/>
    <x v="105"/>
    <n v="2065"/>
    <x v="14"/>
    <n v="5"/>
    <n v="598.70000000000005"/>
    <d v="2025-09-17T00:00:00"/>
    <d v="2025-09-24T00:00:00"/>
    <x v="0"/>
    <s v="OK"/>
    <s v="OK"/>
    <x v="3"/>
    <n v="7"/>
    <n v="1"/>
    <n v="119.74000000000001"/>
  </r>
  <r>
    <n v="50215"/>
    <n v="30122"/>
    <x v="105"/>
    <n v="2065"/>
    <x v="3"/>
    <n v="1"/>
    <n v="118.6"/>
    <d v="2025-09-17T00:00:00"/>
    <d v="2025-09-25T00:00:00"/>
    <x v="0"/>
    <s v="OK"/>
    <s v="OK"/>
    <x v="2"/>
    <n v="8"/>
    <n v="0"/>
    <n v="118.6"/>
  </r>
  <r>
    <n v="50216"/>
    <n v="30123"/>
    <x v="25"/>
    <n v="2301"/>
    <x v="0"/>
    <n v="4"/>
    <n v="799.24"/>
    <d v="2025-08-29T00:00:00"/>
    <d v="2025-09-05T00:00:00"/>
    <x v="0"/>
    <s v="OK"/>
    <s v="OK"/>
    <x v="0"/>
    <n v="7"/>
    <n v="1"/>
    <n v="199.81"/>
  </r>
  <r>
    <n v="50217"/>
    <n v="30123"/>
    <x v="25"/>
    <n v="2301"/>
    <x v="3"/>
    <n v="3"/>
    <n v="355.8"/>
    <d v="2025-08-29T00:00:00"/>
    <d v="2025-08-30T00:00:00"/>
    <x v="0"/>
    <s v="OK"/>
    <s v="OK"/>
    <x v="2"/>
    <n v="1"/>
    <n v="0"/>
    <n v="118.60000000000001"/>
  </r>
  <r>
    <n v="50218"/>
    <n v="30124"/>
    <x v="79"/>
    <n v="2324"/>
    <x v="15"/>
    <n v="1"/>
    <n v="170.25"/>
    <s v=""/>
    <s v=""/>
    <x v="2"/>
    <s v="Missing date"/>
    <s v="Missing date"/>
    <x v="1"/>
    <s v=""/>
    <n v="1"/>
    <n v="170.25"/>
  </r>
  <r>
    <n v="50219"/>
    <n v="30124"/>
    <x v="106"/>
    <n v="2324"/>
    <x v="12"/>
    <n v="1"/>
    <n v="65.260000000000005"/>
    <s v=""/>
    <s v=""/>
    <x v="2"/>
    <s v="Missing date"/>
    <s v="Missing date"/>
    <x v="3"/>
    <s v=""/>
    <n v="0"/>
    <n v="65.260000000000005"/>
  </r>
  <r>
    <n v="50220"/>
    <n v="30125"/>
    <x v="107"/>
    <n v="2260"/>
    <x v="0"/>
    <n v="5"/>
    <n v="999.05"/>
    <d v="2025-12-19T00:00:00"/>
    <d v="2025-12-21T00:00:00"/>
    <x v="0"/>
    <s v="OK"/>
    <s v="OK"/>
    <x v="0"/>
    <n v="2"/>
    <n v="1"/>
    <n v="199.81"/>
  </r>
  <r>
    <n v="50221"/>
    <n v="30125"/>
    <x v="107"/>
    <n v="2260"/>
    <x v="13"/>
    <n v="2"/>
    <n v="243"/>
    <d v="2025-12-18T00:00:00"/>
    <d v="2025-12-28T00:00:00"/>
    <x v="0"/>
    <s v="OK"/>
    <s v="OK"/>
    <x v="1"/>
    <n v="10"/>
    <n v="0"/>
    <n v="121.5"/>
  </r>
  <r>
    <n v="50222"/>
    <n v="30125"/>
    <x v="107"/>
    <n v="2260"/>
    <x v="2"/>
    <n v="1"/>
    <n v="241.54"/>
    <d v="2025-12-20T00:00:00"/>
    <d v="2025-12-21T00:00:00"/>
    <x v="0"/>
    <s v="OK"/>
    <s v="OK"/>
    <x v="1"/>
    <n v="1"/>
    <n v="0"/>
    <n v="241.54"/>
  </r>
  <r>
    <n v="50223"/>
    <n v="30125"/>
    <x v="107"/>
    <n v="2260"/>
    <x v="3"/>
    <n v="1"/>
    <n v="118.6"/>
    <d v="2025-12-18T00:00:00"/>
    <d v="2025-12-24T00:00:00"/>
    <x v="0"/>
    <s v="OK"/>
    <s v="OK"/>
    <x v="2"/>
    <n v="6"/>
    <n v="0"/>
    <n v="118.6"/>
  </r>
  <r>
    <n v="50224"/>
    <n v="30126"/>
    <x v="42"/>
    <n v="2340"/>
    <x v="2"/>
    <n v="5"/>
    <n v="1207.7"/>
    <d v="2025-10-14T00:00:00"/>
    <d v="2025-10-19T00:00:00"/>
    <x v="0"/>
    <s v="OK"/>
    <s v="OK"/>
    <x v="1"/>
    <n v="5"/>
    <n v="1"/>
    <n v="241.54000000000002"/>
  </r>
  <r>
    <n v="50225"/>
    <n v="30127"/>
    <x v="108"/>
    <n v="2448"/>
    <x v="14"/>
    <n v="2"/>
    <n v="239.48"/>
    <s v=""/>
    <s v=""/>
    <x v="2"/>
    <s v="Missing date"/>
    <s v="Missing date"/>
    <x v="3"/>
    <s v=""/>
    <n v="1"/>
    <n v="119.74"/>
  </r>
  <r>
    <n v="50226"/>
    <n v="30128"/>
    <x v="109"/>
    <n v="2396"/>
    <x v="7"/>
    <n v="1"/>
    <n v="253.86"/>
    <d v="2025-12-25T00:00:00"/>
    <d v="2026-03-01T00:00:00"/>
    <x v="0"/>
    <s v="OK"/>
    <s v="OK"/>
    <x v="0"/>
    <n v="66"/>
    <n v="1"/>
    <n v="253.86"/>
  </r>
  <r>
    <n v="50227"/>
    <n v="30129"/>
    <x v="65"/>
    <n v="2509"/>
    <x v="2"/>
    <n v="1"/>
    <n v="241.54"/>
    <d v="2025-04-11T00:00:00"/>
    <d v="2025-04-12T00:00:00"/>
    <x v="0"/>
    <s v="OK"/>
    <s v="OK"/>
    <x v="1"/>
    <n v="1"/>
    <n v="1"/>
    <n v="241.54"/>
  </r>
  <r>
    <n v="50228"/>
    <n v="30129"/>
    <x v="65"/>
    <n v="2509"/>
    <x v="9"/>
    <n v="1"/>
    <n v="40.28"/>
    <d v="2025-04-10T00:00:00"/>
    <d v="2025-04-14T00:00:00"/>
    <x v="0"/>
    <s v="OK"/>
    <s v="OK"/>
    <x v="0"/>
    <n v="4"/>
    <n v="0"/>
    <n v="40.28"/>
  </r>
  <r>
    <n v="50229"/>
    <n v="30129"/>
    <x v="65"/>
    <n v="2509"/>
    <x v="11"/>
    <n v="2"/>
    <n v="448.74"/>
    <d v="2025-04-09T00:00:00"/>
    <d v="2025-04-17T00:00:00"/>
    <x v="0"/>
    <s v="OK"/>
    <s v="OK"/>
    <x v="2"/>
    <n v="8"/>
    <n v="0"/>
    <n v="224.37"/>
  </r>
  <r>
    <n v="50230"/>
    <n v="30130"/>
    <x v="110"/>
    <n v="2435"/>
    <x v="7"/>
    <n v="3"/>
    <n v="761.58"/>
    <d v="2025-09-21T00:00:00"/>
    <d v="2025-09-29T00:00:00"/>
    <x v="0"/>
    <s v="OK"/>
    <s v="OK"/>
    <x v="0"/>
    <n v="8"/>
    <n v="1"/>
    <n v="253.86"/>
  </r>
  <r>
    <n v="50231"/>
    <n v="30130"/>
    <x v="110"/>
    <n v="2435"/>
    <x v="13"/>
    <n v="2"/>
    <n v="243"/>
    <d v="2025-09-20T00:00:00"/>
    <d v="2025-09-21T00:00:00"/>
    <x v="0"/>
    <s v="OK"/>
    <s v="OK"/>
    <x v="1"/>
    <n v="1"/>
    <n v="0"/>
    <n v="121.5"/>
  </r>
  <r>
    <n v="50232"/>
    <n v="30131"/>
    <x v="111"/>
    <n v="2329"/>
    <x v="5"/>
    <n v="3"/>
    <n v="304.32"/>
    <d v="2025-11-29T00:00:00"/>
    <d v="2025-12-04T00:00:00"/>
    <x v="0"/>
    <s v="OK"/>
    <s v="OK"/>
    <x v="1"/>
    <n v="5"/>
    <n v="1"/>
    <n v="101.44"/>
  </r>
  <r>
    <n v="50233"/>
    <n v="30131"/>
    <x v="111"/>
    <n v="2329"/>
    <x v="13"/>
    <n v="1"/>
    <n v="121.5"/>
    <d v="2025-11-29T00:00:00"/>
    <d v="2025-12-02T00:00:00"/>
    <x v="0"/>
    <s v="OK"/>
    <s v="OK"/>
    <x v="1"/>
    <n v="3"/>
    <n v="0"/>
    <n v="121.5"/>
  </r>
  <r>
    <n v="50234"/>
    <n v="30132"/>
    <x v="112"/>
    <n v="2314"/>
    <x v="10"/>
    <n v="1"/>
    <n v="215.34"/>
    <d v="2025-09-08T00:00:00"/>
    <d v="2025-09-17T00:00:00"/>
    <x v="0"/>
    <s v="OK"/>
    <s v="OK"/>
    <x v="3"/>
    <n v="9"/>
    <n v="1"/>
    <n v="215.34"/>
  </r>
  <r>
    <n v="50235"/>
    <n v="30133"/>
    <x v="113"/>
    <n v="2171"/>
    <x v="2"/>
    <n v="3"/>
    <n v="724.62"/>
    <d v="2025-08-14T00:00:00"/>
    <d v="2025-08-20T00:00:00"/>
    <x v="0"/>
    <s v="OK"/>
    <s v="OK"/>
    <x v="1"/>
    <n v="6"/>
    <n v="1"/>
    <n v="241.54"/>
  </r>
  <r>
    <n v="50236"/>
    <n v="30134"/>
    <x v="114"/>
    <n v="2458"/>
    <x v="2"/>
    <n v="1"/>
    <n v="241.54"/>
    <d v="2025-05-11T00:00:00"/>
    <d v="2025-05-17T00:00:00"/>
    <x v="0"/>
    <s v="OK"/>
    <s v="OK"/>
    <x v="1"/>
    <n v="6"/>
    <n v="1"/>
    <n v="241.54"/>
  </r>
  <r>
    <n v="50237"/>
    <n v="30134"/>
    <x v="114"/>
    <n v="2458"/>
    <x v="10"/>
    <n v="1"/>
    <n v="215.34"/>
    <d v="2025-05-09T00:00:00"/>
    <d v="2025-05-12T00:00:00"/>
    <x v="0"/>
    <s v="OK"/>
    <s v="OK"/>
    <x v="3"/>
    <n v="3"/>
    <n v="0"/>
    <n v="215.34"/>
  </r>
  <r>
    <n v="50238"/>
    <n v="30134"/>
    <x v="114"/>
    <n v="2458"/>
    <x v="9"/>
    <n v="3"/>
    <n v="120.84"/>
    <d v="2025-05-11T00:00:00"/>
    <d v="2025-05-13T00:00:00"/>
    <x v="0"/>
    <s v="OK"/>
    <s v="OK"/>
    <x v="0"/>
    <n v="2"/>
    <n v="0"/>
    <n v="40.28"/>
  </r>
  <r>
    <n v="50239"/>
    <n v="30135"/>
    <x v="112"/>
    <n v="2059"/>
    <x v="15"/>
    <n v="2"/>
    <n v="340.5"/>
    <d v="2025-09-06T00:00:00"/>
    <d v="2025-09-11T00:00:00"/>
    <x v="0"/>
    <s v="OK"/>
    <s v="OK"/>
    <x v="1"/>
    <n v="5"/>
    <n v="1"/>
    <n v="170.25"/>
  </r>
  <r>
    <n v="50240"/>
    <n v="30136"/>
    <x v="115"/>
    <n v="2373"/>
    <x v="7"/>
    <n v="1"/>
    <n v="253.86"/>
    <d v="2025-10-25T00:00:00"/>
    <d v="2025-10-30T00:00:00"/>
    <x v="0"/>
    <s v="OK"/>
    <s v="OK"/>
    <x v="0"/>
    <n v="5"/>
    <n v="1"/>
    <n v="253.86"/>
  </r>
  <r>
    <n v="50241"/>
    <n v="30136"/>
    <x v="115"/>
    <n v="2373"/>
    <x v="8"/>
    <n v="1"/>
    <n v="203.04"/>
    <d v="2025-10-23T00:00:00"/>
    <d v="2025-10-29T00:00:00"/>
    <x v="0"/>
    <s v="OK"/>
    <s v="OK"/>
    <x v="2"/>
    <n v="6"/>
    <n v="0"/>
    <n v="203.04"/>
  </r>
  <r>
    <n v="50242"/>
    <n v="30136"/>
    <x v="115"/>
    <n v="2373"/>
    <x v="6"/>
    <n v="5"/>
    <n v="158.65"/>
    <d v="2025-10-25T00:00:00"/>
    <d v="2025-11-02T00:00:00"/>
    <x v="0"/>
    <s v="OK"/>
    <s v="OK"/>
    <x v="2"/>
    <n v="8"/>
    <n v="0"/>
    <n v="31.73"/>
  </r>
  <r>
    <n v="50243"/>
    <n v="30136"/>
    <x v="115"/>
    <n v="2373"/>
    <x v="14"/>
    <n v="2"/>
    <n v="239.48"/>
    <d v="2025-10-23T00:00:00"/>
    <d v="2025-10-27T00:00:00"/>
    <x v="0"/>
    <s v="OK"/>
    <s v="OK"/>
    <x v="3"/>
    <n v="4"/>
    <n v="0"/>
    <n v="119.74"/>
  </r>
  <r>
    <n v="50244"/>
    <n v="30137"/>
    <x v="116"/>
    <n v="2036"/>
    <x v="1"/>
    <n v="1"/>
    <n v="206.09"/>
    <d v="2025-07-03T00:00:00"/>
    <d v="2025-07-05T00:00:00"/>
    <x v="0"/>
    <s v="OK"/>
    <s v="OK"/>
    <x v="0"/>
    <n v="2"/>
    <n v="1"/>
    <n v="206.09"/>
  </r>
  <r>
    <n v="50245"/>
    <n v="30138"/>
    <x v="61"/>
    <n v="2376"/>
    <x v="3"/>
    <n v="1"/>
    <n v="118.6"/>
    <d v="2025-05-16T00:00:00"/>
    <d v="2025-05-17T00:00:00"/>
    <x v="0"/>
    <s v="OK"/>
    <s v="OK"/>
    <x v="2"/>
    <n v="1"/>
    <n v="1"/>
    <n v="118.6"/>
  </r>
  <r>
    <n v="50246"/>
    <n v="30139"/>
    <x v="117"/>
    <n v="2158"/>
    <x v="2"/>
    <n v="1"/>
    <n v="241.54"/>
    <d v="2025-04-23T00:00:00"/>
    <d v="2025-04-28T00:00:00"/>
    <x v="0"/>
    <s v="OK"/>
    <s v="OK"/>
    <x v="1"/>
    <n v="5"/>
    <n v="1"/>
    <n v="241.54"/>
  </r>
  <r>
    <n v="50247"/>
    <n v="30139"/>
    <x v="117"/>
    <n v="2158"/>
    <x v="2"/>
    <n v="4"/>
    <n v="966.16"/>
    <d v="2025-04-23T00:00:00"/>
    <d v="2025-05-03T00:00:00"/>
    <x v="0"/>
    <s v="OK"/>
    <s v="OK"/>
    <x v="1"/>
    <n v="10"/>
    <n v="0"/>
    <n v="241.54"/>
  </r>
  <r>
    <n v="50248"/>
    <n v="30140"/>
    <x v="118"/>
    <n v="2455"/>
    <x v="6"/>
    <n v="1"/>
    <n v="31.73"/>
    <s v=""/>
    <s v=""/>
    <x v="3"/>
    <s v="Missing date"/>
    <s v="Missing date"/>
    <x v="2"/>
    <s v=""/>
    <n v="1"/>
    <n v="31.73"/>
  </r>
  <r>
    <n v="50249"/>
    <n v="30140"/>
    <x v="118"/>
    <n v="2455"/>
    <x v="15"/>
    <n v="3"/>
    <n v="510.75"/>
    <s v=""/>
    <s v=""/>
    <x v="3"/>
    <s v="Missing date"/>
    <s v="Missing date"/>
    <x v="1"/>
    <s v=""/>
    <n v="0"/>
    <n v="170.25"/>
  </r>
  <r>
    <n v="50250"/>
    <n v="30141"/>
    <x v="9"/>
    <n v="2286"/>
    <x v="4"/>
    <n v="3"/>
    <n v="551.22"/>
    <d v="2025-05-23T00:00:00"/>
    <d v="2025-05-27T00:00:00"/>
    <x v="0"/>
    <s v="OK"/>
    <s v="OK"/>
    <x v="2"/>
    <n v="4"/>
    <n v="1"/>
    <n v="183.74"/>
  </r>
  <r>
    <n v="50251"/>
    <n v="30142"/>
    <x v="119"/>
    <n v="2027"/>
    <x v="12"/>
    <n v="2"/>
    <n v="130.52000000000001"/>
    <d v="2025-07-15T00:00:00"/>
    <d v="2025-07-22T00:00:00"/>
    <x v="0"/>
    <s v="OK"/>
    <s v="OK"/>
    <x v="3"/>
    <n v="7"/>
    <n v="1"/>
    <n v="65.260000000000005"/>
  </r>
  <r>
    <n v="50252"/>
    <n v="30142"/>
    <x v="119"/>
    <n v="2027"/>
    <x v="15"/>
    <n v="1"/>
    <n v="170.25"/>
    <d v="2025-07-16T00:00:00"/>
    <d v="2025-07-19T00:00:00"/>
    <x v="0"/>
    <s v="OK"/>
    <s v="OK"/>
    <x v="1"/>
    <n v="3"/>
    <n v="0"/>
    <n v="170.25"/>
  </r>
  <r>
    <n v="50253"/>
    <n v="30143"/>
    <x v="83"/>
    <n v="2576"/>
    <x v="9"/>
    <n v="3"/>
    <n v="120.84"/>
    <d v="2025-04-21T00:00:00"/>
    <d v="2025-04-22T00:00:00"/>
    <x v="0"/>
    <s v="OK"/>
    <s v="OK"/>
    <x v="0"/>
    <n v="1"/>
    <n v="1"/>
    <n v="40.28"/>
  </r>
  <r>
    <n v="50254"/>
    <n v="30144"/>
    <x v="30"/>
    <n v="2457"/>
    <x v="13"/>
    <n v="2"/>
    <n v="243"/>
    <d v="2025-04-16T00:00:00"/>
    <d v="2025-04-24T00:00:00"/>
    <x v="0"/>
    <s v="OK"/>
    <s v="OK"/>
    <x v="1"/>
    <n v="8"/>
    <n v="1"/>
    <n v="121.5"/>
  </r>
  <r>
    <n v="50255"/>
    <n v="30144"/>
    <x v="30"/>
    <n v="2457"/>
    <x v="12"/>
    <n v="1"/>
    <n v="65.260000000000005"/>
    <d v="2025-04-17T00:00:00"/>
    <d v="2025-04-22T00:00:00"/>
    <x v="0"/>
    <s v="OK"/>
    <s v="OK"/>
    <x v="3"/>
    <n v="5"/>
    <n v="0"/>
    <n v="65.260000000000005"/>
  </r>
  <r>
    <n v="50256"/>
    <n v="30145"/>
    <x v="56"/>
    <n v="2205"/>
    <x v="11"/>
    <n v="3"/>
    <n v="673.11"/>
    <d v="2025-12-16T00:00:00"/>
    <d v="2025-12-23T00:00:00"/>
    <x v="0"/>
    <s v="OK"/>
    <s v="OK"/>
    <x v="2"/>
    <n v="7"/>
    <n v="1"/>
    <n v="224.37"/>
  </r>
  <r>
    <n v="50257"/>
    <n v="30145"/>
    <x v="56"/>
    <n v="2205"/>
    <x v="14"/>
    <n v="2"/>
    <n v="239.48"/>
    <d v="2025-12-16T00:00:00"/>
    <d v="2025-12-21T00:00:00"/>
    <x v="0"/>
    <s v="OK"/>
    <s v="OK"/>
    <x v="3"/>
    <n v="5"/>
    <n v="0"/>
    <n v="119.74"/>
  </r>
  <r>
    <n v="50258"/>
    <n v="30146"/>
    <x v="120"/>
    <n v="2177"/>
    <x v="14"/>
    <n v="1"/>
    <n v="119.74"/>
    <s v=""/>
    <s v=""/>
    <x v="2"/>
    <s v="Missing date"/>
    <s v="Missing date"/>
    <x v="3"/>
    <s v=""/>
    <n v="1"/>
    <n v="119.74"/>
  </r>
  <r>
    <n v="50259"/>
    <n v="30146"/>
    <x v="120"/>
    <n v="2177"/>
    <x v="11"/>
    <n v="2"/>
    <n v="448.74"/>
    <s v=""/>
    <s v=""/>
    <x v="2"/>
    <s v="Missing date"/>
    <s v="Missing date"/>
    <x v="2"/>
    <s v=""/>
    <n v="0"/>
    <n v="224.37"/>
  </r>
  <r>
    <n v="50260"/>
    <n v="30147"/>
    <x v="121"/>
    <n v="2328"/>
    <x v="11"/>
    <n v="1"/>
    <n v="224.37"/>
    <d v="2025-04-30T00:00:00"/>
    <d v="2025-05-02T00:00:00"/>
    <x v="0"/>
    <s v="OK"/>
    <s v="OK"/>
    <x v="2"/>
    <n v="2"/>
    <n v="1"/>
    <n v="224.37"/>
  </r>
  <r>
    <n v="50261"/>
    <n v="30148"/>
    <x v="122"/>
    <n v="2564"/>
    <x v="13"/>
    <n v="1"/>
    <n v="121.5"/>
    <d v="2025-01-15T00:00:00"/>
    <d v="2025-01-16T00:00:00"/>
    <x v="0"/>
    <s v="OK"/>
    <s v="OK"/>
    <x v="1"/>
    <n v="1"/>
    <n v="1"/>
    <n v="121.5"/>
  </r>
  <r>
    <n v="50262"/>
    <n v="30148"/>
    <x v="122"/>
    <n v="2564"/>
    <x v="7"/>
    <n v="1"/>
    <n v="253.86"/>
    <d v="2025-01-16T00:00:00"/>
    <d v="2025-01-17T00:00:00"/>
    <x v="0"/>
    <s v="OK"/>
    <s v="OK"/>
    <x v="0"/>
    <n v="1"/>
    <n v="0"/>
    <n v="253.86"/>
  </r>
  <r>
    <n v="50263"/>
    <n v="30148"/>
    <x v="122"/>
    <n v="2564"/>
    <x v="7"/>
    <n v="1"/>
    <n v="253.86"/>
    <d v="2025-01-15T00:00:00"/>
    <d v="2025-01-21T00:00:00"/>
    <x v="0"/>
    <s v="OK"/>
    <s v="OK"/>
    <x v="0"/>
    <n v="6"/>
    <n v="0"/>
    <n v="253.86"/>
  </r>
  <r>
    <n v="50264"/>
    <n v="30148"/>
    <x v="122"/>
    <n v="2564"/>
    <x v="2"/>
    <n v="1"/>
    <n v="241.54"/>
    <d v="2025-01-15T00:00:00"/>
    <d v="2025-01-16T00:00:00"/>
    <x v="0"/>
    <s v="OK"/>
    <s v="OK"/>
    <x v="1"/>
    <n v="1"/>
    <n v="0"/>
    <n v="241.54"/>
  </r>
  <r>
    <n v="50265"/>
    <n v="30149"/>
    <x v="123"/>
    <n v="2521"/>
    <x v="0"/>
    <n v="1"/>
    <n v="199.81"/>
    <d v="2025-11-08T00:00:00"/>
    <d v="2025-11-17T00:00:00"/>
    <x v="0"/>
    <s v="OK"/>
    <s v="OK"/>
    <x v="0"/>
    <n v="9"/>
    <n v="1"/>
    <n v="199.81"/>
  </r>
  <r>
    <n v="50266"/>
    <n v="30150"/>
    <x v="80"/>
    <n v="2143"/>
    <x v="12"/>
    <n v="1"/>
    <n v="65.260000000000005"/>
    <d v="2025-09-14T00:00:00"/>
    <d v="2025-09-18T00:00:00"/>
    <x v="0"/>
    <s v="OK"/>
    <s v="OK"/>
    <x v="3"/>
    <n v="4"/>
    <n v="1"/>
    <n v="65.260000000000005"/>
  </r>
  <r>
    <n v="50267"/>
    <n v="30151"/>
    <x v="124"/>
    <n v="2027"/>
    <x v="2"/>
    <n v="1"/>
    <n v="241.54"/>
    <d v="2025-03-28T00:00:00"/>
    <d v="2025-04-02T00:00:00"/>
    <x v="0"/>
    <s v="OK"/>
    <s v="OK"/>
    <x v="1"/>
    <n v="5"/>
    <n v="1"/>
    <n v="241.54"/>
  </r>
  <r>
    <n v="50268"/>
    <n v="30152"/>
    <x v="125"/>
    <n v="2479"/>
    <x v="6"/>
    <n v="1"/>
    <n v="31.73"/>
    <s v=""/>
    <s v=""/>
    <x v="3"/>
    <s v="Missing date"/>
    <s v="Missing date"/>
    <x v="2"/>
    <s v=""/>
    <n v="1"/>
    <n v="31.73"/>
  </r>
  <r>
    <n v="50269"/>
    <n v="30153"/>
    <x v="48"/>
    <n v="2089"/>
    <x v="15"/>
    <n v="1"/>
    <n v="170.25"/>
    <d v="2025-04-13T00:00:00"/>
    <d v="2025-04-19T00:00:00"/>
    <x v="0"/>
    <s v="OK"/>
    <s v="OK"/>
    <x v="1"/>
    <n v="6"/>
    <n v="1"/>
    <n v="170.25"/>
  </r>
  <r>
    <n v="50270"/>
    <n v="30154"/>
    <x v="58"/>
    <n v="2491"/>
    <x v="10"/>
    <n v="1"/>
    <n v="215.34"/>
    <d v="2025-10-13T00:00:00"/>
    <d v="2025-10-17T00:00:00"/>
    <x v="0"/>
    <s v="OK"/>
    <s v="OK"/>
    <x v="3"/>
    <n v="4"/>
    <n v="1"/>
    <n v="215.34"/>
  </r>
  <r>
    <n v="50271"/>
    <n v="30154"/>
    <x v="58"/>
    <n v="2491"/>
    <x v="11"/>
    <n v="1"/>
    <n v="224.37"/>
    <d v="2025-10-15T00:00:00"/>
    <d v="2025-10-20T00:00:00"/>
    <x v="0"/>
    <s v="OK"/>
    <s v="OK"/>
    <x v="2"/>
    <n v="5"/>
    <n v="0"/>
    <n v="224.37"/>
  </r>
  <r>
    <n v="50272"/>
    <n v="30154"/>
    <x v="58"/>
    <n v="2491"/>
    <x v="6"/>
    <n v="2"/>
    <n v="63.46"/>
    <d v="2025-10-14T00:00:00"/>
    <d v="2025-10-17T00:00:00"/>
    <x v="0"/>
    <s v="OK"/>
    <s v="OK"/>
    <x v="2"/>
    <n v="3"/>
    <n v="0"/>
    <n v="31.73"/>
  </r>
  <r>
    <n v="50273"/>
    <n v="30155"/>
    <x v="102"/>
    <n v="2325"/>
    <x v="14"/>
    <n v="1"/>
    <n v="119.74"/>
    <d v="2025-09-30T00:00:00"/>
    <d v="2025-10-05T00:00:00"/>
    <x v="0"/>
    <s v="OK"/>
    <s v="OK"/>
    <x v="3"/>
    <n v="5"/>
    <n v="1"/>
    <n v="119.74"/>
  </r>
  <r>
    <n v="50274"/>
    <n v="30155"/>
    <x v="102"/>
    <n v="2325"/>
    <x v="14"/>
    <n v="2"/>
    <n v="239.48"/>
    <d v="2025-10-01T00:00:00"/>
    <d v="2025-10-03T00:00:00"/>
    <x v="0"/>
    <s v="OK"/>
    <s v="OK"/>
    <x v="3"/>
    <n v="2"/>
    <n v="0"/>
    <n v="119.74"/>
  </r>
  <r>
    <n v="50275"/>
    <n v="30155"/>
    <x v="102"/>
    <n v="2325"/>
    <x v="2"/>
    <n v="1"/>
    <n v="241.54"/>
    <d v="2025-09-30T00:00:00"/>
    <d v="2025-10-04T00:00:00"/>
    <x v="0"/>
    <s v="OK"/>
    <s v="OK"/>
    <x v="1"/>
    <n v="4"/>
    <n v="0"/>
    <n v="241.54"/>
  </r>
  <r>
    <n v="50276"/>
    <n v="30156"/>
    <x v="126"/>
    <n v="2132"/>
    <x v="7"/>
    <n v="1"/>
    <n v="253.86"/>
    <s v=""/>
    <s v=""/>
    <x v="2"/>
    <s v="Missing date"/>
    <s v="Missing date"/>
    <x v="0"/>
    <s v=""/>
    <n v="1"/>
    <n v="253.86"/>
  </r>
  <r>
    <n v="50277"/>
    <n v="30156"/>
    <x v="126"/>
    <n v="2132"/>
    <x v="6"/>
    <n v="1"/>
    <n v="31.73"/>
    <s v=""/>
    <s v=""/>
    <x v="2"/>
    <s v="Missing date"/>
    <s v="Missing date"/>
    <x v="2"/>
    <s v=""/>
    <n v="0"/>
    <n v="31.73"/>
  </r>
  <r>
    <n v="50278"/>
    <n v="30156"/>
    <x v="126"/>
    <n v="2132"/>
    <x v="10"/>
    <n v="1"/>
    <n v="215.34"/>
    <s v=""/>
    <s v=""/>
    <x v="2"/>
    <s v="Missing date"/>
    <s v="Missing date"/>
    <x v="3"/>
    <s v=""/>
    <n v="0"/>
    <n v="215.34"/>
  </r>
  <r>
    <n v="50279"/>
    <n v="30157"/>
    <x v="3"/>
    <n v="2515"/>
    <x v="3"/>
    <n v="1"/>
    <n v="118.6"/>
    <s v=""/>
    <s v=""/>
    <x v="2"/>
    <s v="Missing date"/>
    <s v="Missing date"/>
    <x v="2"/>
    <s v=""/>
    <n v="1"/>
    <n v="118.6"/>
  </r>
  <r>
    <n v="50280"/>
    <n v="30157"/>
    <x v="3"/>
    <n v="2515"/>
    <x v="4"/>
    <n v="1"/>
    <n v="183.74"/>
    <s v=""/>
    <s v=""/>
    <x v="2"/>
    <s v="Missing date"/>
    <s v="Missing date"/>
    <x v="2"/>
    <s v=""/>
    <n v="0"/>
    <n v="183.74"/>
  </r>
  <r>
    <n v="50281"/>
    <n v="30158"/>
    <x v="127"/>
    <n v="2531"/>
    <x v="7"/>
    <n v="3"/>
    <n v="761.58"/>
    <d v="2025-02-12T00:00:00"/>
    <d v="2025-02-13T00:00:00"/>
    <x v="0"/>
    <s v="OK"/>
    <s v="OK"/>
    <x v="0"/>
    <n v="1"/>
    <n v="1"/>
    <n v="253.86"/>
  </r>
  <r>
    <n v="50282"/>
    <n v="30158"/>
    <x v="127"/>
    <n v="2531"/>
    <x v="7"/>
    <n v="3"/>
    <n v="761.58"/>
    <d v="2025-02-12T00:00:00"/>
    <d v="2025-02-19T00:00:00"/>
    <x v="0"/>
    <s v="OK"/>
    <s v="OK"/>
    <x v="0"/>
    <n v="7"/>
    <n v="0"/>
    <n v="253.86"/>
  </r>
  <r>
    <n v="50283"/>
    <n v="30159"/>
    <x v="128"/>
    <n v="2331"/>
    <x v="1"/>
    <n v="3"/>
    <n v="618.27"/>
    <s v=""/>
    <s v=""/>
    <x v="2"/>
    <s v="Missing date"/>
    <s v="Missing date"/>
    <x v="0"/>
    <s v=""/>
    <n v="1"/>
    <n v="206.09"/>
  </r>
  <r>
    <n v="50284"/>
    <n v="30159"/>
    <x v="128"/>
    <n v="2331"/>
    <x v="2"/>
    <n v="1"/>
    <n v="241.54"/>
    <s v=""/>
    <s v=""/>
    <x v="2"/>
    <s v="Missing date"/>
    <s v="Missing date"/>
    <x v="1"/>
    <s v=""/>
    <n v="0"/>
    <n v="241.54"/>
  </r>
  <r>
    <n v="50285"/>
    <n v="30160"/>
    <x v="129"/>
    <n v="2532"/>
    <x v="11"/>
    <n v="1"/>
    <n v="224.37"/>
    <s v=""/>
    <s v=""/>
    <x v="2"/>
    <s v="Missing date"/>
    <s v="Missing date"/>
    <x v="2"/>
    <s v=""/>
    <n v="1"/>
    <n v="224.37"/>
  </r>
  <r>
    <n v="50286"/>
    <n v="30160"/>
    <x v="129"/>
    <n v="2532"/>
    <x v="9"/>
    <n v="2"/>
    <n v="80.56"/>
    <s v=""/>
    <s v=""/>
    <x v="2"/>
    <s v="Missing date"/>
    <s v="Missing date"/>
    <x v="0"/>
    <s v=""/>
    <n v="0"/>
    <n v="40.28"/>
  </r>
  <r>
    <n v="50287"/>
    <n v="30160"/>
    <x v="129"/>
    <n v="2532"/>
    <x v="0"/>
    <n v="5"/>
    <n v="999.05"/>
    <s v=""/>
    <s v=""/>
    <x v="2"/>
    <s v="Missing date"/>
    <s v="Missing date"/>
    <x v="0"/>
    <s v=""/>
    <n v="0"/>
    <n v="199.81"/>
  </r>
  <r>
    <n v="50288"/>
    <n v="30161"/>
    <x v="22"/>
    <n v="2565"/>
    <x v="13"/>
    <n v="1"/>
    <n v="121.5"/>
    <d v="2025-01-31T00:00:00"/>
    <d v="2025-02-06T00:00:00"/>
    <x v="0"/>
    <s v="OK"/>
    <s v="OK"/>
    <x v="1"/>
    <n v="6"/>
    <n v="1"/>
    <n v="121.5"/>
  </r>
  <r>
    <n v="50289"/>
    <n v="30161"/>
    <x v="22"/>
    <n v="2565"/>
    <x v="11"/>
    <n v="2"/>
    <n v="448.74"/>
    <d v="2025-02-01T00:00:00"/>
    <d v="2025-02-04T00:00:00"/>
    <x v="0"/>
    <s v="OK"/>
    <s v="OK"/>
    <x v="2"/>
    <n v="3"/>
    <n v="0"/>
    <n v="224.37"/>
  </r>
  <r>
    <n v="50290"/>
    <n v="30161"/>
    <x v="22"/>
    <n v="2565"/>
    <x v="7"/>
    <n v="1"/>
    <n v="253.86"/>
    <d v="2025-01-30T00:00:00"/>
    <d v="2025-06-02T00:00:00"/>
    <x v="0"/>
    <s v="OK"/>
    <s v="OK"/>
    <x v="0"/>
    <n v="123"/>
    <n v="0"/>
    <n v="253.86"/>
  </r>
  <r>
    <n v="50291"/>
    <n v="30162"/>
    <x v="89"/>
    <n v="2595"/>
    <x v="5"/>
    <n v="1"/>
    <n v="101.44"/>
    <d v="2025-04-29T00:00:00"/>
    <d v="2025-05-03T00:00:00"/>
    <x v="0"/>
    <s v="OK"/>
    <s v="OK"/>
    <x v="1"/>
    <n v="4"/>
    <n v="1"/>
    <n v="101.44"/>
  </r>
  <r>
    <n v="50292"/>
    <n v="30163"/>
    <x v="130"/>
    <n v="2578"/>
    <x v="8"/>
    <n v="2"/>
    <n v="406.08"/>
    <d v="2025-05-21T00:00:00"/>
    <d v="2025-05-30T00:00:00"/>
    <x v="0"/>
    <s v="OK"/>
    <s v="OK"/>
    <x v="2"/>
    <n v="9"/>
    <n v="1"/>
    <n v="203.04"/>
  </r>
  <r>
    <n v="50293"/>
    <n v="30164"/>
    <x v="131"/>
    <n v="2084"/>
    <x v="9"/>
    <n v="1"/>
    <n v="40.28"/>
    <d v="2025-09-17T00:00:00"/>
    <d v="2025-09-26T00:00:00"/>
    <x v="0"/>
    <s v="OK"/>
    <s v="OK"/>
    <x v="0"/>
    <n v="9"/>
    <n v="1"/>
    <n v="40.28"/>
  </r>
  <r>
    <n v="50294"/>
    <n v="30164"/>
    <x v="131"/>
    <n v="2084"/>
    <x v="0"/>
    <n v="2"/>
    <n v="399.62"/>
    <d v="2025-09-17T00:00:00"/>
    <d v="2025-09-19T00:00:00"/>
    <x v="0"/>
    <s v="OK"/>
    <s v="OK"/>
    <x v="0"/>
    <n v="2"/>
    <n v="0"/>
    <n v="199.81"/>
  </r>
  <r>
    <n v="50295"/>
    <n v="30165"/>
    <x v="42"/>
    <n v="2586"/>
    <x v="8"/>
    <n v="1"/>
    <n v="203.04"/>
    <d v="2025-10-12T00:00:00"/>
    <d v="2025-10-20T00:00:00"/>
    <x v="0"/>
    <s v="OK"/>
    <s v="OK"/>
    <x v="2"/>
    <n v="8"/>
    <n v="1"/>
    <n v="203.04"/>
  </r>
  <r>
    <n v="50296"/>
    <n v="30165"/>
    <x v="42"/>
    <n v="2586"/>
    <x v="12"/>
    <n v="5"/>
    <n v="326.3"/>
    <d v="2025-10-13T00:00:00"/>
    <d v="2025-10-16T00:00:00"/>
    <x v="0"/>
    <s v="OK"/>
    <s v="OK"/>
    <x v="3"/>
    <n v="3"/>
    <n v="0"/>
    <n v="65.260000000000005"/>
  </r>
  <r>
    <n v="50297"/>
    <n v="30166"/>
    <x v="39"/>
    <n v="2559"/>
    <x v="13"/>
    <n v="5"/>
    <n v="607.5"/>
    <d v="2025-01-04T00:00:00"/>
    <d v="2025-01-10T00:00:00"/>
    <x v="0"/>
    <s v="OK"/>
    <s v="OK"/>
    <x v="1"/>
    <n v="6"/>
    <n v="1"/>
    <n v="121.5"/>
  </r>
  <r>
    <n v="50298"/>
    <n v="30167"/>
    <x v="9"/>
    <n v="2495"/>
    <x v="15"/>
    <n v="3"/>
    <n v="510.75"/>
    <d v="2025-05-23T00:00:00"/>
    <d v="2025-05-28T00:00:00"/>
    <x v="0"/>
    <s v="OK"/>
    <s v="OK"/>
    <x v="1"/>
    <n v="5"/>
    <n v="1"/>
    <n v="170.25"/>
  </r>
  <r>
    <n v="50299"/>
    <n v="30167"/>
    <x v="9"/>
    <n v="2495"/>
    <x v="13"/>
    <n v="2"/>
    <n v="243"/>
    <d v="2025-05-24T00:00:00"/>
    <d v="2025-05-26T00:00:00"/>
    <x v="0"/>
    <s v="OK"/>
    <s v="OK"/>
    <x v="1"/>
    <n v="2"/>
    <n v="0"/>
    <n v="121.5"/>
  </r>
  <r>
    <n v="50300"/>
    <n v="30167"/>
    <x v="9"/>
    <n v="2495"/>
    <x v="14"/>
    <n v="1"/>
    <n v="119.74"/>
    <d v="2025-05-23T00:00:00"/>
    <d v="2025-05-28T00:00:00"/>
    <x v="0"/>
    <s v="OK"/>
    <s v="OK"/>
    <x v="3"/>
    <n v="5"/>
    <n v="0"/>
    <n v="119.74"/>
  </r>
  <r>
    <n v="50301"/>
    <n v="30168"/>
    <x v="16"/>
    <n v="2075"/>
    <x v="7"/>
    <n v="2"/>
    <n v="507.72"/>
    <d v="2025-08-09T00:00:00"/>
    <d v="2025-08-18T00:00:00"/>
    <x v="0"/>
    <s v="OK"/>
    <s v="OK"/>
    <x v="0"/>
    <n v="9"/>
    <n v="1"/>
    <n v="253.86"/>
  </r>
  <r>
    <n v="50302"/>
    <n v="30169"/>
    <x v="5"/>
    <n v="2451"/>
    <x v="14"/>
    <n v="1"/>
    <n v="119.74"/>
    <d v="2025-03-12T00:00:00"/>
    <d v="2025-03-21T00:00:00"/>
    <x v="0"/>
    <s v="OK"/>
    <s v="OK"/>
    <x v="3"/>
    <n v="9"/>
    <n v="1"/>
    <n v="119.74"/>
  </r>
  <r>
    <n v="50303"/>
    <n v="30169"/>
    <x v="5"/>
    <n v="2451"/>
    <x v="0"/>
    <n v="1"/>
    <n v="199.81"/>
    <d v="2025-03-14T00:00:00"/>
    <d v="2025-03-21T00:00:00"/>
    <x v="0"/>
    <s v="OK"/>
    <s v="OK"/>
    <x v="0"/>
    <n v="7"/>
    <n v="0"/>
    <n v="199.81"/>
  </r>
  <r>
    <n v="50304"/>
    <n v="30170"/>
    <x v="113"/>
    <n v="2349"/>
    <x v="5"/>
    <n v="1"/>
    <n v="101.44"/>
    <d v="2025-08-14T00:00:00"/>
    <d v="2025-08-21T00:00:00"/>
    <x v="0"/>
    <s v="OK"/>
    <s v="OK"/>
    <x v="1"/>
    <n v="7"/>
    <n v="1"/>
    <n v="101.44"/>
  </r>
  <r>
    <n v="50305"/>
    <n v="30170"/>
    <x v="113"/>
    <n v="2349"/>
    <x v="5"/>
    <n v="2"/>
    <n v="202.88"/>
    <d v="2025-08-14T00:00:00"/>
    <d v="2025-08-20T00:00:00"/>
    <x v="0"/>
    <s v="OK"/>
    <s v="OK"/>
    <x v="1"/>
    <n v="6"/>
    <n v="0"/>
    <n v="101.44"/>
  </r>
  <r>
    <n v="50306"/>
    <n v="30171"/>
    <x v="65"/>
    <n v="2354"/>
    <x v="6"/>
    <n v="1"/>
    <n v="31.73"/>
    <d v="2025-04-11T00:00:00"/>
    <d v="2025-04-21T00:00:00"/>
    <x v="1"/>
    <s v="OK"/>
    <s v="OK"/>
    <x v="2"/>
    <n v="10"/>
    <n v="1"/>
    <n v="31.73"/>
  </r>
  <r>
    <n v="50307"/>
    <n v="30171"/>
    <x v="65"/>
    <n v="2354"/>
    <x v="2"/>
    <n v="1"/>
    <n v="241.54"/>
    <d v="2025-04-10T00:00:00"/>
    <d v="2025-04-11T00:00:00"/>
    <x v="1"/>
    <s v="OK"/>
    <s v="OK"/>
    <x v="1"/>
    <n v="1"/>
    <n v="0"/>
    <n v="241.54"/>
  </r>
  <r>
    <n v="50308"/>
    <n v="30171"/>
    <x v="65"/>
    <n v="2354"/>
    <x v="4"/>
    <n v="1"/>
    <n v="183.74"/>
    <d v="2025-04-11T00:00:00"/>
    <d v="2025-04-16T00:00:00"/>
    <x v="1"/>
    <s v="OK"/>
    <s v="OK"/>
    <x v="2"/>
    <n v="5"/>
    <n v="0"/>
    <n v="183.74"/>
  </r>
  <r>
    <n v="50309"/>
    <n v="30171"/>
    <x v="65"/>
    <n v="2354"/>
    <x v="5"/>
    <n v="1"/>
    <n v="101.44"/>
    <d v="2025-04-10T00:00:00"/>
    <d v="2025-04-18T00:00:00"/>
    <x v="1"/>
    <s v="OK"/>
    <s v="OK"/>
    <x v="1"/>
    <n v="8"/>
    <n v="0"/>
    <n v="101.44"/>
  </r>
  <r>
    <n v="50310"/>
    <n v="30172"/>
    <x v="132"/>
    <n v="2248"/>
    <x v="9"/>
    <n v="2"/>
    <n v="80.56"/>
    <d v="2025-11-23T00:00:00"/>
    <d v="2025-11-25T00:00:00"/>
    <x v="0"/>
    <s v="OK"/>
    <s v="OK"/>
    <x v="0"/>
    <n v="2"/>
    <n v="1"/>
    <n v="40.28"/>
  </r>
  <r>
    <n v="50311"/>
    <n v="30173"/>
    <x v="133"/>
    <n v="2461"/>
    <x v="4"/>
    <n v="1"/>
    <n v="183.74"/>
    <d v="2025-05-15T00:00:00"/>
    <d v="2025-05-25T00:00:00"/>
    <x v="0"/>
    <s v="OK"/>
    <s v="OK"/>
    <x v="2"/>
    <n v="10"/>
    <n v="1"/>
    <n v="183.74"/>
  </r>
  <r>
    <n v="50312"/>
    <n v="30174"/>
    <x v="134"/>
    <n v="2052"/>
    <x v="15"/>
    <n v="1"/>
    <n v="170.25"/>
    <d v="2025-11-12T00:00:00"/>
    <d v="2025-11-17T00:00:00"/>
    <x v="0"/>
    <s v="OK"/>
    <s v="OK"/>
    <x v="1"/>
    <n v="5"/>
    <n v="1"/>
    <n v="170.25"/>
  </r>
  <r>
    <n v="50313"/>
    <n v="30174"/>
    <x v="42"/>
    <n v="2052"/>
    <x v="10"/>
    <n v="2"/>
    <n v="430.68"/>
    <d v="2025-11-12T00:00:00"/>
    <d v="2025-11-21T00:00:00"/>
    <x v="0"/>
    <s v="OK"/>
    <s v="OK"/>
    <x v="3"/>
    <n v="9"/>
    <n v="0"/>
    <n v="215.34"/>
  </r>
  <r>
    <n v="50314"/>
    <n v="30174"/>
    <x v="134"/>
    <n v="2052"/>
    <x v="1"/>
    <n v="1"/>
    <n v="206.09"/>
    <d v="2025-11-12T00:00:00"/>
    <d v="2025-11-18T00:00:00"/>
    <x v="0"/>
    <s v="OK"/>
    <s v="OK"/>
    <x v="0"/>
    <n v="6"/>
    <n v="0"/>
    <n v="206.09"/>
  </r>
  <r>
    <n v="50315"/>
    <n v="30175"/>
    <x v="135"/>
    <n v="2164"/>
    <x v="5"/>
    <n v="2"/>
    <n v="202.88"/>
    <d v="2025-02-05T00:00:00"/>
    <s v=""/>
    <x v="3"/>
    <s v="Missing date"/>
    <s v="OK"/>
    <x v="1"/>
    <s v=""/>
    <n v="1"/>
    <n v="101.44"/>
  </r>
  <r>
    <n v="50316"/>
    <n v="30175"/>
    <x v="135"/>
    <n v="2164"/>
    <x v="7"/>
    <n v="1"/>
    <n v="253.86"/>
    <s v=""/>
    <s v=""/>
    <x v="3"/>
    <s v="Missing date"/>
    <s v="Missing date"/>
    <x v="0"/>
    <s v=""/>
    <n v="0"/>
    <n v="253.86"/>
  </r>
  <r>
    <n v="50317"/>
    <n v="30176"/>
    <x v="136"/>
    <n v="2528"/>
    <x v="13"/>
    <n v="3"/>
    <n v="364.5"/>
    <d v="2025-06-13T00:00:00"/>
    <d v="2025-06-22T00:00:00"/>
    <x v="0"/>
    <s v="OK"/>
    <s v="OK"/>
    <x v="1"/>
    <n v="9"/>
    <n v="1"/>
    <n v="121.5"/>
  </r>
  <r>
    <n v="50318"/>
    <n v="30176"/>
    <x v="136"/>
    <n v="2528"/>
    <x v="12"/>
    <n v="1"/>
    <n v="65.260000000000005"/>
    <d v="2025-06-15T00:00:00"/>
    <d v="2025-06-16T00:00:00"/>
    <x v="0"/>
    <s v="OK"/>
    <s v="OK"/>
    <x v="3"/>
    <n v="1"/>
    <n v="0"/>
    <n v="65.260000000000005"/>
  </r>
  <r>
    <n v="50319"/>
    <n v="30176"/>
    <x v="136"/>
    <n v="2528"/>
    <x v="8"/>
    <n v="2"/>
    <n v="406.08"/>
    <d v="2025-06-13T00:00:00"/>
    <d v="2025-06-18T00:00:00"/>
    <x v="0"/>
    <s v="OK"/>
    <s v="OK"/>
    <x v="2"/>
    <n v="5"/>
    <n v="0"/>
    <n v="203.04"/>
  </r>
  <r>
    <n v="50320"/>
    <n v="30177"/>
    <x v="137"/>
    <n v="2093"/>
    <x v="14"/>
    <n v="1"/>
    <n v="119.74"/>
    <d v="2025-01-12T00:00:00"/>
    <d v="2025-01-20T00:00:00"/>
    <x v="1"/>
    <s v="OK"/>
    <s v="OK"/>
    <x v="3"/>
    <n v="8"/>
    <n v="1"/>
    <n v="119.74"/>
  </r>
  <r>
    <n v="50321"/>
    <n v="30177"/>
    <x v="137"/>
    <n v="2093"/>
    <x v="1"/>
    <n v="3"/>
    <n v="618.27"/>
    <d v="2025-01-11T00:00:00"/>
    <d v="2025-01-15T00:00:00"/>
    <x v="1"/>
    <s v="OK"/>
    <s v="OK"/>
    <x v="0"/>
    <n v="4"/>
    <n v="0"/>
    <n v="206.09"/>
  </r>
  <r>
    <n v="50322"/>
    <n v="30177"/>
    <x v="137"/>
    <n v="2093"/>
    <x v="0"/>
    <n v="1"/>
    <n v="199.81"/>
    <d v="2025-01-11T00:00:00"/>
    <d v="2025-01-18T00:00:00"/>
    <x v="1"/>
    <s v="OK"/>
    <s v="OK"/>
    <x v="0"/>
    <n v="7"/>
    <n v="0"/>
    <n v="199.81"/>
  </r>
  <r>
    <n v="50323"/>
    <n v="30177"/>
    <x v="137"/>
    <n v="2093"/>
    <x v="2"/>
    <n v="2"/>
    <n v="483.08"/>
    <d v="2025-01-11T00:00:00"/>
    <d v="2025-01-16T00:00:00"/>
    <x v="1"/>
    <s v="OK"/>
    <s v="OK"/>
    <x v="1"/>
    <n v="5"/>
    <n v="0"/>
    <n v="241.54"/>
  </r>
  <r>
    <n v="50324"/>
    <n v="30178"/>
    <x v="95"/>
    <n v="2050"/>
    <x v="12"/>
    <n v="1"/>
    <n v="65.260000000000005"/>
    <d v="2025-01-06T00:00:00"/>
    <d v="2025-01-07T00:00:00"/>
    <x v="0"/>
    <s v="OK"/>
    <s v="OK"/>
    <x v="3"/>
    <n v="1"/>
    <n v="1"/>
    <n v="65.260000000000005"/>
  </r>
  <r>
    <n v="50325"/>
    <n v="30178"/>
    <x v="95"/>
    <n v="2050"/>
    <x v="12"/>
    <n v="1"/>
    <n v="65.260000000000005"/>
    <d v="2025-01-05T00:00:00"/>
    <d v="2025-01-09T00:00:00"/>
    <x v="0"/>
    <s v="OK"/>
    <s v="OK"/>
    <x v="3"/>
    <n v="4"/>
    <n v="0"/>
    <n v="65.260000000000005"/>
  </r>
  <r>
    <n v="50326"/>
    <n v="30178"/>
    <x v="95"/>
    <n v="2050"/>
    <x v="13"/>
    <n v="1"/>
    <n v="121.5"/>
    <d v="2025-01-06T00:00:00"/>
    <d v="2025-10-01T00:00:00"/>
    <x v="0"/>
    <s v="OK"/>
    <s v="OK"/>
    <x v="1"/>
    <n v="268"/>
    <n v="0"/>
    <n v="121.5"/>
  </r>
  <r>
    <n v="50327"/>
    <n v="30179"/>
    <x v="129"/>
    <n v="2550"/>
    <x v="4"/>
    <n v="1"/>
    <n v="183.74"/>
    <d v="2025-03-02T00:00:00"/>
    <d v="2025-03-12T00:00:00"/>
    <x v="0"/>
    <s v="OK"/>
    <s v="OK"/>
    <x v="2"/>
    <n v="10"/>
    <n v="1"/>
    <n v="183.74"/>
  </r>
  <r>
    <n v="50328"/>
    <n v="30179"/>
    <x v="129"/>
    <n v="2550"/>
    <x v="10"/>
    <n v="1"/>
    <n v="215.34"/>
    <d v="2025-03-02T00:00:00"/>
    <d v="2025-03-03T00:00:00"/>
    <x v="0"/>
    <s v="OK"/>
    <s v="OK"/>
    <x v="3"/>
    <n v="1"/>
    <n v="0"/>
    <n v="215.34"/>
  </r>
  <r>
    <n v="50329"/>
    <n v="30180"/>
    <x v="138"/>
    <n v="2138"/>
    <x v="2"/>
    <n v="1"/>
    <n v="241.54"/>
    <s v=""/>
    <s v=""/>
    <x v="2"/>
    <s v="Missing date"/>
    <s v="Missing date"/>
    <x v="1"/>
    <s v=""/>
    <n v="1"/>
    <n v="241.54"/>
  </r>
  <r>
    <n v="50330"/>
    <n v="30180"/>
    <x v="138"/>
    <n v="2138"/>
    <x v="15"/>
    <n v="1"/>
    <n v="170.25"/>
    <s v=""/>
    <s v=""/>
    <x v="2"/>
    <s v="Missing date"/>
    <s v="Missing date"/>
    <x v="1"/>
    <s v=""/>
    <n v="0"/>
    <n v="170.25"/>
  </r>
  <r>
    <n v="50331"/>
    <n v="30180"/>
    <x v="138"/>
    <n v="2138"/>
    <x v="2"/>
    <n v="1"/>
    <n v="241.54"/>
    <s v=""/>
    <s v=""/>
    <x v="2"/>
    <s v="Missing date"/>
    <s v="Missing date"/>
    <x v="1"/>
    <s v=""/>
    <n v="0"/>
    <n v="241.54"/>
  </r>
  <r>
    <n v="50332"/>
    <n v="30181"/>
    <x v="139"/>
    <n v="2047"/>
    <x v="0"/>
    <n v="1"/>
    <n v="199.81"/>
    <d v="2025-05-10T00:00:00"/>
    <d v="2025-10-08T00:00:00"/>
    <x v="0"/>
    <s v="OK"/>
    <s v="OK"/>
    <x v="0"/>
    <n v="151"/>
    <n v="1"/>
    <n v="199.81"/>
  </r>
  <r>
    <n v="50333"/>
    <n v="30181"/>
    <x v="139"/>
    <n v="2047"/>
    <x v="2"/>
    <n v="1"/>
    <n v="241.54"/>
    <d v="2025-04-10T00:00:00"/>
    <d v="2025-10-09T00:00:00"/>
    <x v="0"/>
    <s v="OK"/>
    <s v="OK"/>
    <x v="1"/>
    <n v="182"/>
    <n v="0"/>
    <n v="241.54"/>
  </r>
  <r>
    <n v="50334"/>
    <n v="30182"/>
    <x v="135"/>
    <n v="2567"/>
    <x v="15"/>
    <n v="1"/>
    <n v="170.25"/>
    <d v="2025-02-05T00:00:00"/>
    <d v="2025-02-14T00:00:00"/>
    <x v="0"/>
    <s v="OK"/>
    <s v="OK"/>
    <x v="1"/>
    <n v="9"/>
    <n v="1"/>
    <n v="170.25"/>
  </r>
  <r>
    <n v="50335"/>
    <n v="30182"/>
    <x v="135"/>
    <n v="2567"/>
    <x v="14"/>
    <n v="1"/>
    <n v="119.74"/>
    <d v="2025-02-03T00:00:00"/>
    <d v="2025-05-02T00:00:00"/>
    <x v="0"/>
    <s v="OK"/>
    <s v="OK"/>
    <x v="3"/>
    <n v="88"/>
    <n v="0"/>
    <n v="119.74"/>
  </r>
  <r>
    <n v="50336"/>
    <n v="30183"/>
    <x v="140"/>
    <n v="2564"/>
    <x v="4"/>
    <n v="3"/>
    <n v="551.22"/>
    <d v="2025-04-21T00:00:00"/>
    <d v="2025-05-01T00:00:00"/>
    <x v="0"/>
    <s v="OK"/>
    <s v="OK"/>
    <x v="2"/>
    <n v="10"/>
    <n v="1"/>
    <n v="183.74"/>
  </r>
  <r>
    <n v="50337"/>
    <n v="30183"/>
    <x v="140"/>
    <n v="2564"/>
    <x v="6"/>
    <n v="5"/>
    <n v="158.65"/>
    <d v="2025-04-20T00:00:00"/>
    <d v="2025-04-30T00:00:00"/>
    <x v="0"/>
    <s v="OK"/>
    <s v="OK"/>
    <x v="2"/>
    <n v="10"/>
    <n v="0"/>
    <n v="31.73"/>
  </r>
  <r>
    <n v="50338"/>
    <n v="30184"/>
    <x v="2"/>
    <n v="2100"/>
    <x v="5"/>
    <n v="1"/>
    <n v="101.44"/>
    <d v="2025-05-13T00:00:00"/>
    <d v="2025-05-23T00:00:00"/>
    <x v="0"/>
    <s v="OK"/>
    <s v="OK"/>
    <x v="1"/>
    <n v="10"/>
    <n v="1"/>
    <n v="101.44"/>
  </r>
  <r>
    <n v="50339"/>
    <n v="30185"/>
    <x v="141"/>
    <n v="2572"/>
    <x v="6"/>
    <n v="1"/>
    <n v="31.73"/>
    <s v=""/>
    <s v=""/>
    <x v="2"/>
    <s v="Missing date"/>
    <s v="Missing date"/>
    <x v="2"/>
    <s v=""/>
    <n v="1"/>
    <n v="31.73"/>
  </r>
  <r>
    <n v="50340"/>
    <n v="30185"/>
    <x v="141"/>
    <n v="2572"/>
    <x v="0"/>
    <n v="3"/>
    <n v="599.42999999999995"/>
    <s v=""/>
    <s v=""/>
    <x v="2"/>
    <s v="Missing date"/>
    <s v="Missing date"/>
    <x v="0"/>
    <s v=""/>
    <n v="0"/>
    <n v="199.80999999999997"/>
  </r>
  <r>
    <n v="50341"/>
    <n v="30186"/>
    <x v="102"/>
    <n v="2522"/>
    <x v="3"/>
    <n v="1"/>
    <n v="118.6"/>
    <d v="2025-10-01T00:00:00"/>
    <d v="2025-10-02T00:00:00"/>
    <x v="0"/>
    <s v="OK"/>
    <s v="OK"/>
    <x v="2"/>
    <n v="1"/>
    <n v="1"/>
    <n v="118.6"/>
  </r>
  <r>
    <n v="50342"/>
    <n v="30186"/>
    <x v="102"/>
    <n v="2522"/>
    <x v="3"/>
    <n v="1"/>
    <n v="118.6"/>
    <d v="2025-09-30T00:00:00"/>
    <d v="2025-10-02T00:00:00"/>
    <x v="0"/>
    <s v="OK"/>
    <s v="OK"/>
    <x v="2"/>
    <n v="2"/>
    <n v="0"/>
    <n v="118.6"/>
  </r>
  <r>
    <n v="50343"/>
    <n v="30187"/>
    <x v="57"/>
    <n v="2040"/>
    <x v="5"/>
    <n v="2"/>
    <n v="202.88"/>
    <d v="2025-11-10T00:00:00"/>
    <d v="2025-11-13T00:00:00"/>
    <x v="0"/>
    <s v="OK"/>
    <s v="OK"/>
    <x v="1"/>
    <n v="3"/>
    <n v="1"/>
    <n v="101.44"/>
  </r>
  <r>
    <n v="50344"/>
    <n v="30187"/>
    <x v="123"/>
    <n v="2040"/>
    <x v="12"/>
    <n v="1"/>
    <n v="65.260000000000005"/>
    <d v="2025-11-10T00:00:00"/>
    <d v="2025-11-15T00:00:00"/>
    <x v="0"/>
    <s v="OK"/>
    <s v="OK"/>
    <x v="3"/>
    <n v="5"/>
    <n v="0"/>
    <n v="65.260000000000005"/>
  </r>
  <r>
    <n v="50345"/>
    <n v="30188"/>
    <x v="127"/>
    <n v="2532"/>
    <x v="6"/>
    <n v="1"/>
    <n v="31.73"/>
    <d v="2025-02-13T00:00:00"/>
    <d v="2025-02-20T00:00:00"/>
    <x v="0"/>
    <s v="OK"/>
    <s v="OK"/>
    <x v="2"/>
    <n v="7"/>
    <n v="1"/>
    <n v="31.73"/>
  </r>
  <r>
    <n v="50346"/>
    <n v="30188"/>
    <x v="127"/>
    <n v="2532"/>
    <x v="5"/>
    <n v="1"/>
    <n v="101.44"/>
    <d v="2025-02-13T00:00:00"/>
    <d v="2025-02-16T00:00:00"/>
    <x v="0"/>
    <s v="OK"/>
    <s v="OK"/>
    <x v="1"/>
    <n v="3"/>
    <n v="0"/>
    <n v="101.44"/>
  </r>
  <r>
    <n v="50347"/>
    <n v="30189"/>
    <x v="142"/>
    <n v="2327"/>
    <x v="13"/>
    <n v="1"/>
    <n v="121.5"/>
    <d v="2025-11-25T00:00:00"/>
    <d v="2025-12-04T00:00:00"/>
    <x v="0"/>
    <s v="OK"/>
    <s v="OK"/>
    <x v="1"/>
    <n v="9"/>
    <n v="1"/>
    <n v="121.5"/>
  </r>
  <r>
    <n v="50348"/>
    <n v="30190"/>
    <x v="143"/>
    <n v="2345"/>
    <x v="12"/>
    <n v="1"/>
    <n v="65.260000000000005"/>
    <d v="2025-08-15T00:00:00"/>
    <d v="2025-08-17T00:00:00"/>
    <x v="0"/>
    <s v="OK"/>
    <s v="OK"/>
    <x v="3"/>
    <n v="2"/>
    <n v="1"/>
    <n v="65.260000000000005"/>
  </r>
  <r>
    <n v="50349"/>
    <n v="30191"/>
    <x v="91"/>
    <n v="2577"/>
    <x v="8"/>
    <n v="3"/>
    <n v="609.12"/>
    <d v="2025-04-02T00:00:00"/>
    <d v="2025-04-11T00:00:00"/>
    <x v="0"/>
    <s v="OK"/>
    <s v="OK"/>
    <x v="2"/>
    <n v="9"/>
    <n v="1"/>
    <n v="203.04"/>
  </r>
  <r>
    <n v="50350"/>
    <n v="30191"/>
    <x v="91"/>
    <n v="2577"/>
    <x v="2"/>
    <n v="1"/>
    <n v="241.54"/>
    <d v="2025-04-02T00:00:00"/>
    <d v="2025-04-08T00:00:00"/>
    <x v="0"/>
    <s v="OK"/>
    <s v="OK"/>
    <x v="1"/>
    <n v="6"/>
    <n v="0"/>
    <n v="241.54"/>
  </r>
  <r>
    <n v="50351"/>
    <n v="30192"/>
    <x v="41"/>
    <n v="2340"/>
    <x v="10"/>
    <n v="1"/>
    <n v="215.34"/>
    <d v="2025-09-21T00:00:00"/>
    <d v="2025-09-22T00:00:00"/>
    <x v="0"/>
    <s v="OK"/>
    <s v="OK"/>
    <x v="3"/>
    <n v="1"/>
    <n v="1"/>
    <n v="215.34"/>
  </r>
  <r>
    <n v="50352"/>
    <n v="30193"/>
    <x v="144"/>
    <n v="2598"/>
    <x v="8"/>
    <n v="2"/>
    <n v="406.08"/>
    <d v="2025-12-11T00:00:00"/>
    <d v="2025-12-17T00:00:00"/>
    <x v="0"/>
    <s v="OK"/>
    <s v="OK"/>
    <x v="2"/>
    <n v="6"/>
    <n v="1"/>
    <n v="203.04"/>
  </r>
  <r>
    <n v="50353"/>
    <n v="30193"/>
    <x v="144"/>
    <n v="2598"/>
    <x v="12"/>
    <n v="1"/>
    <n v="65.260000000000005"/>
    <d v="2025-12-12T00:00:00"/>
    <d v="2025-12-18T00:00:00"/>
    <x v="0"/>
    <s v="OK"/>
    <s v="OK"/>
    <x v="3"/>
    <n v="6"/>
    <n v="0"/>
    <n v="65.260000000000005"/>
  </r>
  <r>
    <n v="50354"/>
    <n v="30193"/>
    <x v="58"/>
    <n v="2598"/>
    <x v="9"/>
    <n v="1"/>
    <n v="40.28"/>
    <d v="2025-12-13T00:00:00"/>
    <d v="2025-12-18T00:00:00"/>
    <x v="0"/>
    <s v="OK"/>
    <s v="OK"/>
    <x v="0"/>
    <n v="5"/>
    <n v="0"/>
    <n v="40.28"/>
  </r>
  <r>
    <n v="50355"/>
    <n v="30194"/>
    <x v="133"/>
    <n v="2593"/>
    <x v="3"/>
    <n v="4"/>
    <n v="474.4"/>
    <d v="2025-05-13T00:00:00"/>
    <d v="2025-05-14T00:00:00"/>
    <x v="0"/>
    <s v="OK"/>
    <s v="OK"/>
    <x v="2"/>
    <n v="1"/>
    <n v="1"/>
    <n v="118.6"/>
  </r>
  <r>
    <n v="50356"/>
    <n v="30195"/>
    <x v="145"/>
    <n v="2598"/>
    <x v="15"/>
    <n v="1"/>
    <n v="170.25"/>
    <d v="2025-06-27T00:00:00"/>
    <d v="2025-07-03T00:00:00"/>
    <x v="0"/>
    <s v="OK"/>
    <s v="OK"/>
    <x v="1"/>
    <n v="6"/>
    <n v="1"/>
    <n v="170.25"/>
  </r>
  <r>
    <n v="50357"/>
    <n v="30195"/>
    <x v="145"/>
    <n v="2598"/>
    <x v="6"/>
    <n v="1"/>
    <n v="31.73"/>
    <d v="2025-06-26T00:00:00"/>
    <d v="2025-06-29T00:00:00"/>
    <x v="0"/>
    <s v="OK"/>
    <s v="OK"/>
    <x v="2"/>
    <n v="3"/>
    <n v="0"/>
    <n v="31.73"/>
  </r>
  <r>
    <n v="50358"/>
    <n v="30195"/>
    <x v="145"/>
    <n v="2598"/>
    <x v="1"/>
    <n v="1"/>
    <n v="206.09"/>
    <d v="2025-06-27T00:00:00"/>
    <d v="2025-06-29T00:00:00"/>
    <x v="0"/>
    <s v="OK"/>
    <s v="OK"/>
    <x v="0"/>
    <n v="2"/>
    <n v="0"/>
    <n v="206.09"/>
  </r>
  <r>
    <n v="50359"/>
    <n v="30195"/>
    <x v="145"/>
    <n v="2598"/>
    <x v="3"/>
    <n v="3"/>
    <n v="355.8"/>
    <d v="2025-06-26T00:00:00"/>
    <d v="2025-06-30T00:00:00"/>
    <x v="0"/>
    <s v="OK"/>
    <s v="OK"/>
    <x v="2"/>
    <n v="4"/>
    <n v="0"/>
    <n v="118.60000000000001"/>
  </r>
  <r>
    <n v="50360"/>
    <n v="30196"/>
    <x v="146"/>
    <n v="2587"/>
    <x v="4"/>
    <n v="1"/>
    <n v="183.74"/>
    <d v="2025-03-12T00:00:00"/>
    <d v="2025-12-09T00:00:00"/>
    <x v="1"/>
    <s v="OK"/>
    <s v="OK"/>
    <x v="2"/>
    <n v="272"/>
    <n v="1"/>
    <n v="183.74"/>
  </r>
  <r>
    <n v="50361"/>
    <n v="30197"/>
    <x v="147"/>
    <n v="2196"/>
    <x v="5"/>
    <n v="5"/>
    <n v="507.2"/>
    <d v="2025-07-15T00:00:00"/>
    <d v="2025-07-24T00:00:00"/>
    <x v="0"/>
    <s v="OK"/>
    <s v="OK"/>
    <x v="1"/>
    <n v="9"/>
    <n v="1"/>
    <n v="101.44"/>
  </r>
  <r>
    <n v="50362"/>
    <n v="30198"/>
    <x v="148"/>
    <n v="2429"/>
    <x v="0"/>
    <n v="1"/>
    <n v="199.81"/>
    <d v="2025-10-29T00:00:00"/>
    <d v="2025-11-07T00:00:00"/>
    <x v="0"/>
    <s v="OK"/>
    <s v="OK"/>
    <x v="0"/>
    <n v="9"/>
    <n v="1"/>
    <n v="199.81"/>
  </r>
  <r>
    <n v="50363"/>
    <n v="30199"/>
    <x v="149"/>
    <n v="2421"/>
    <x v="12"/>
    <n v="1"/>
    <n v="65.260000000000005"/>
    <d v="2025-12-06T00:00:00"/>
    <d v="2025-12-10T00:00:00"/>
    <x v="0"/>
    <s v="OK"/>
    <s v="OK"/>
    <x v="3"/>
    <n v="4"/>
    <n v="1"/>
    <n v="65.260000000000005"/>
  </r>
  <r>
    <n v="50364"/>
    <n v="30200"/>
    <x v="52"/>
    <n v="2064"/>
    <x v="0"/>
    <n v="2"/>
    <n v="399.62"/>
    <d v="2025-01-24T00:00:00"/>
    <d v="2025-01-31T00:00:00"/>
    <x v="0"/>
    <s v="OK"/>
    <s v="OK"/>
    <x v="0"/>
    <n v="7"/>
    <n v="1"/>
    <n v="199.81"/>
  </r>
  <r>
    <n v="50365"/>
    <n v="30200"/>
    <x v="52"/>
    <n v="2064"/>
    <x v="5"/>
    <n v="1"/>
    <n v="101.44"/>
    <d v="2025-01-24T00:00:00"/>
    <d v="2025-01-27T00:00:00"/>
    <x v="0"/>
    <s v="OK"/>
    <s v="OK"/>
    <x v="1"/>
    <n v="3"/>
    <n v="0"/>
    <n v="101.44"/>
  </r>
  <r>
    <n v="50366"/>
    <n v="30201"/>
    <x v="50"/>
    <n v="2490"/>
    <x v="5"/>
    <n v="2"/>
    <n v="202.88"/>
    <d v="2025-07-12T00:00:00"/>
    <d v="2025-12-08T00:00:00"/>
    <x v="0"/>
    <s v="OK"/>
    <s v="OK"/>
    <x v="1"/>
    <n v="149"/>
    <n v="1"/>
    <n v="101.44"/>
  </r>
  <r>
    <n v="50367"/>
    <n v="30202"/>
    <x v="150"/>
    <n v="2178"/>
    <x v="5"/>
    <n v="1"/>
    <n v="101.44"/>
    <d v="2025-07-24T00:00:00"/>
    <d v="2025-07-28T00:00:00"/>
    <x v="0"/>
    <s v="OK"/>
    <s v="OK"/>
    <x v="1"/>
    <n v="4"/>
    <n v="1"/>
    <n v="101.44"/>
  </r>
  <r>
    <n v="50368"/>
    <n v="30203"/>
    <x v="128"/>
    <n v="2560"/>
    <x v="9"/>
    <n v="1"/>
    <n v="40.28"/>
    <d v="2025-06-20T00:00:00"/>
    <d v="2025-06-27T00:00:00"/>
    <x v="0"/>
    <s v="OK"/>
    <s v="OK"/>
    <x v="0"/>
    <n v="7"/>
    <n v="1"/>
    <n v="40.28"/>
  </r>
  <r>
    <n v="50369"/>
    <n v="30204"/>
    <x v="151"/>
    <n v="2496"/>
    <x v="1"/>
    <n v="1"/>
    <n v="206.09"/>
    <d v="2025-07-03T00:00:00"/>
    <d v="2025-07-08T00:00:00"/>
    <x v="0"/>
    <s v="OK"/>
    <s v="OK"/>
    <x v="0"/>
    <n v="5"/>
    <n v="1"/>
    <n v="206.09"/>
  </r>
  <r>
    <n v="50370"/>
    <n v="30204"/>
    <x v="151"/>
    <n v="2496"/>
    <x v="9"/>
    <n v="1"/>
    <n v="40.28"/>
    <d v="2025-07-04T00:00:00"/>
    <d v="2025-07-08T00:00:00"/>
    <x v="0"/>
    <s v="OK"/>
    <s v="OK"/>
    <x v="0"/>
    <n v="4"/>
    <n v="0"/>
    <n v="40.28"/>
  </r>
  <r>
    <n v="50371"/>
    <n v="30204"/>
    <x v="151"/>
    <n v="2496"/>
    <x v="13"/>
    <n v="2"/>
    <n v="243"/>
    <d v="2025-07-03T00:00:00"/>
    <d v="2025-07-04T00:00:00"/>
    <x v="0"/>
    <s v="OK"/>
    <s v="OK"/>
    <x v="1"/>
    <n v="1"/>
    <n v="0"/>
    <n v="121.5"/>
  </r>
  <r>
    <n v="50372"/>
    <n v="30205"/>
    <x v="138"/>
    <n v="2231"/>
    <x v="13"/>
    <n v="1"/>
    <n v="121.5"/>
    <d v="2025-06-24T00:00:00"/>
    <d v="2025-06-26T00:00:00"/>
    <x v="1"/>
    <s v="OK"/>
    <s v="OK"/>
    <x v="1"/>
    <n v="2"/>
    <n v="1"/>
    <n v="121.5"/>
  </r>
  <r>
    <n v="50373"/>
    <n v="30205"/>
    <x v="138"/>
    <n v="2231"/>
    <x v="13"/>
    <n v="2"/>
    <n v="243"/>
    <d v="2025-06-25T00:00:00"/>
    <d v="2025-07-04T00:00:00"/>
    <x v="1"/>
    <s v="OK"/>
    <s v="OK"/>
    <x v="1"/>
    <n v="9"/>
    <n v="0"/>
    <n v="121.5"/>
  </r>
  <r>
    <n v="50374"/>
    <n v="30205"/>
    <x v="138"/>
    <n v="2231"/>
    <x v="0"/>
    <n v="1"/>
    <n v="199.81"/>
    <d v="2025-06-25T00:00:00"/>
    <d v="2025-06-30T00:00:00"/>
    <x v="1"/>
    <s v="OK"/>
    <s v="OK"/>
    <x v="0"/>
    <n v="5"/>
    <n v="0"/>
    <n v="199.81"/>
  </r>
  <r>
    <n v="50375"/>
    <n v="30205"/>
    <x v="138"/>
    <n v="2231"/>
    <x v="12"/>
    <n v="3"/>
    <n v="195.78"/>
    <d v="2025-06-25T00:00:00"/>
    <d v="2025-07-03T00:00:00"/>
    <x v="1"/>
    <s v="OK"/>
    <s v="OK"/>
    <x v="3"/>
    <n v="8"/>
    <n v="0"/>
    <n v="65.260000000000005"/>
  </r>
  <r>
    <n v="50376"/>
    <n v="30206"/>
    <x v="50"/>
    <n v="2325"/>
    <x v="9"/>
    <n v="2"/>
    <n v="80.56"/>
    <d v="2025-04-15T00:00:00"/>
    <d v="2025-04-17T00:00:00"/>
    <x v="0"/>
    <s v="OK"/>
    <s v="OK"/>
    <x v="0"/>
    <n v="2"/>
    <n v="1"/>
    <n v="40.28"/>
  </r>
  <r>
    <n v="50377"/>
    <n v="30206"/>
    <x v="50"/>
    <n v="2325"/>
    <x v="13"/>
    <n v="4"/>
    <n v="486"/>
    <d v="2025-04-13T00:00:00"/>
    <d v="2025-04-21T00:00:00"/>
    <x v="0"/>
    <s v="OK"/>
    <s v="OK"/>
    <x v="1"/>
    <n v="8"/>
    <n v="0"/>
    <n v="121.5"/>
  </r>
  <r>
    <n v="50378"/>
    <n v="30207"/>
    <x v="61"/>
    <n v="2125"/>
    <x v="15"/>
    <n v="1"/>
    <n v="170.25"/>
    <d v="2025-05-17T00:00:00"/>
    <d v="2025-05-23T00:00:00"/>
    <x v="0"/>
    <s v="OK"/>
    <s v="OK"/>
    <x v="1"/>
    <n v="6"/>
    <n v="1"/>
    <n v="170.25"/>
  </r>
  <r>
    <n v="50379"/>
    <n v="30207"/>
    <x v="61"/>
    <n v="2125"/>
    <x v="15"/>
    <n v="2"/>
    <n v="340.5"/>
    <d v="2025-05-16T00:00:00"/>
    <d v="2025-05-22T00:00:00"/>
    <x v="0"/>
    <s v="OK"/>
    <s v="OK"/>
    <x v="1"/>
    <n v="6"/>
    <n v="0"/>
    <n v="170.25"/>
  </r>
  <r>
    <n v="50380"/>
    <n v="30208"/>
    <x v="152"/>
    <n v="2354"/>
    <x v="6"/>
    <n v="2"/>
    <n v="63.46"/>
    <d v="2025-09-25T00:00:00"/>
    <d v="2025-09-30T00:00:00"/>
    <x v="1"/>
    <s v="OK"/>
    <s v="OK"/>
    <x v="2"/>
    <n v="5"/>
    <n v="1"/>
    <n v="31.73"/>
  </r>
  <r>
    <n v="50381"/>
    <n v="30209"/>
    <x v="153"/>
    <n v="2298"/>
    <x v="11"/>
    <n v="1"/>
    <n v="224.37"/>
    <d v="2025-05-06T00:00:00"/>
    <d v="2025-08-05T00:00:00"/>
    <x v="0"/>
    <s v="OK"/>
    <s v="OK"/>
    <x v="2"/>
    <n v="91"/>
    <n v="1"/>
    <n v="224.37"/>
  </r>
  <r>
    <n v="50382"/>
    <n v="30210"/>
    <x v="154"/>
    <n v="2355"/>
    <x v="9"/>
    <n v="2"/>
    <n v="80.56"/>
    <s v=""/>
    <s v=""/>
    <x v="2"/>
    <s v="Missing date"/>
    <s v="Missing date"/>
    <x v="0"/>
    <s v=""/>
    <n v="1"/>
    <n v="40.28"/>
  </r>
  <r>
    <n v="50383"/>
    <n v="30210"/>
    <x v="154"/>
    <n v="2355"/>
    <x v="12"/>
    <n v="2"/>
    <n v="130.52000000000001"/>
    <s v=""/>
    <s v=""/>
    <x v="2"/>
    <s v="Missing date"/>
    <s v="Missing date"/>
    <x v="3"/>
    <s v=""/>
    <n v="0"/>
    <n v="65.260000000000005"/>
  </r>
  <r>
    <n v="50384"/>
    <n v="30211"/>
    <x v="0"/>
    <n v="2220"/>
    <x v="9"/>
    <n v="1"/>
    <n v="40.28"/>
    <d v="2025-02-06T00:00:00"/>
    <d v="2025-08-02T00:00:00"/>
    <x v="0"/>
    <s v="OK"/>
    <s v="OK"/>
    <x v="0"/>
    <n v="177"/>
    <n v="1"/>
    <n v="40.28"/>
  </r>
  <r>
    <n v="50385"/>
    <n v="30212"/>
    <x v="46"/>
    <n v="2576"/>
    <x v="6"/>
    <n v="1"/>
    <n v="31.73"/>
    <d v="2025-03-04T00:00:00"/>
    <d v="2025-03-14T00:00:00"/>
    <x v="0"/>
    <s v="OK"/>
    <s v="OK"/>
    <x v="2"/>
    <n v="10"/>
    <n v="1"/>
    <n v="31.73"/>
  </r>
  <r>
    <n v="50386"/>
    <n v="30212"/>
    <x v="129"/>
    <n v="2576"/>
    <x v="4"/>
    <n v="1"/>
    <n v="183.74"/>
    <d v="2025-03-04T00:00:00"/>
    <d v="2025-03-13T00:00:00"/>
    <x v="0"/>
    <s v="OK"/>
    <s v="OK"/>
    <x v="2"/>
    <n v="9"/>
    <n v="0"/>
    <n v="183.74"/>
  </r>
  <r>
    <n v="50387"/>
    <n v="30212"/>
    <x v="129"/>
    <n v="2576"/>
    <x v="1"/>
    <n v="1"/>
    <n v="206.09"/>
    <d v="2025-03-02T00:00:00"/>
    <d v="2025-03-05T00:00:00"/>
    <x v="0"/>
    <s v="OK"/>
    <s v="OK"/>
    <x v="0"/>
    <n v="3"/>
    <n v="0"/>
    <n v="206.09"/>
  </r>
  <r>
    <n v="50388"/>
    <n v="30213"/>
    <x v="30"/>
    <n v="2249"/>
    <x v="1"/>
    <n v="3"/>
    <n v="618.27"/>
    <d v="2025-04-17T00:00:00"/>
    <d v="2025-04-20T00:00:00"/>
    <x v="0"/>
    <s v="OK"/>
    <s v="OK"/>
    <x v="0"/>
    <n v="3"/>
    <n v="1"/>
    <n v="206.09"/>
  </r>
  <r>
    <n v="50389"/>
    <n v="30213"/>
    <x v="30"/>
    <n v="2249"/>
    <x v="1"/>
    <n v="1"/>
    <n v="206.09"/>
    <d v="2025-04-16T00:00:00"/>
    <d v="2025-04-24T00:00:00"/>
    <x v="0"/>
    <s v="OK"/>
    <s v="OK"/>
    <x v="0"/>
    <n v="8"/>
    <n v="0"/>
    <n v="206.09"/>
  </r>
  <r>
    <n v="50390"/>
    <n v="30214"/>
    <x v="155"/>
    <n v="2054"/>
    <x v="5"/>
    <n v="1"/>
    <n v="101.44"/>
    <d v="2025-10-11T00:00:00"/>
    <d v="2025-10-15T00:00:00"/>
    <x v="0"/>
    <s v="OK"/>
    <s v="OK"/>
    <x v="1"/>
    <n v="4"/>
    <n v="1"/>
    <n v="101.44"/>
  </r>
  <r>
    <n v="50391"/>
    <n v="30214"/>
    <x v="155"/>
    <n v="2054"/>
    <x v="12"/>
    <n v="1"/>
    <n v="65.260000000000005"/>
    <d v="2025-10-10T00:00:00"/>
    <d v="2025-10-18T00:00:00"/>
    <x v="0"/>
    <s v="OK"/>
    <s v="OK"/>
    <x v="3"/>
    <n v="8"/>
    <n v="0"/>
    <n v="65.260000000000005"/>
  </r>
  <r>
    <n v="50392"/>
    <n v="30215"/>
    <x v="109"/>
    <n v="2103"/>
    <x v="6"/>
    <n v="2"/>
    <n v="63.46"/>
    <d v="2025-12-25T00:00:00"/>
    <d v="2025-12-26T00:00:00"/>
    <x v="0"/>
    <s v="OK"/>
    <s v="OK"/>
    <x v="2"/>
    <n v="1"/>
    <n v="1"/>
    <n v="31.73"/>
  </r>
  <r>
    <n v="50393"/>
    <n v="30216"/>
    <x v="103"/>
    <n v="2006"/>
    <x v="7"/>
    <n v="2"/>
    <n v="507.72"/>
    <d v="2025-07-18T00:00:00"/>
    <d v="2025-07-22T00:00:00"/>
    <x v="1"/>
    <s v="OK"/>
    <s v="OK"/>
    <x v="0"/>
    <n v="4"/>
    <n v="1"/>
    <n v="253.86"/>
  </r>
  <r>
    <n v="50394"/>
    <n v="30216"/>
    <x v="103"/>
    <n v="2006"/>
    <x v="10"/>
    <n v="4"/>
    <n v="861.36"/>
    <d v="2025-07-18T00:00:00"/>
    <d v="2025-07-27T00:00:00"/>
    <x v="1"/>
    <s v="OK"/>
    <s v="OK"/>
    <x v="3"/>
    <n v="9"/>
    <n v="0"/>
    <n v="215.34"/>
  </r>
  <r>
    <n v="50395"/>
    <n v="30216"/>
    <x v="103"/>
    <n v="2006"/>
    <x v="12"/>
    <n v="1"/>
    <n v="65.260000000000005"/>
    <d v="2025-07-19T00:00:00"/>
    <d v="2025-07-28T00:00:00"/>
    <x v="1"/>
    <s v="OK"/>
    <s v="OK"/>
    <x v="3"/>
    <n v="9"/>
    <n v="0"/>
    <n v="65.260000000000005"/>
  </r>
  <r>
    <n v="50396"/>
    <n v="30217"/>
    <x v="75"/>
    <n v="2489"/>
    <x v="13"/>
    <n v="2"/>
    <n v="243"/>
    <d v="2025-07-21T00:00:00"/>
    <d v="2025-07-25T00:00:00"/>
    <x v="0"/>
    <s v="OK"/>
    <s v="OK"/>
    <x v="1"/>
    <n v="4"/>
    <n v="1"/>
    <n v="121.5"/>
  </r>
  <r>
    <n v="50397"/>
    <n v="30218"/>
    <x v="33"/>
    <n v="2329"/>
    <x v="3"/>
    <n v="4"/>
    <n v="474.4"/>
    <d v="2025-10-24T00:00:00"/>
    <d v="2025-10-28T00:00:00"/>
    <x v="0"/>
    <s v="OK"/>
    <s v="OK"/>
    <x v="2"/>
    <n v="4"/>
    <n v="1"/>
    <n v="118.6"/>
  </r>
  <r>
    <n v="50398"/>
    <n v="30218"/>
    <x v="33"/>
    <n v="2329"/>
    <x v="11"/>
    <n v="4"/>
    <n v="897.48"/>
    <d v="2025-10-26T00:00:00"/>
    <d v="2025-10-27T00:00:00"/>
    <x v="0"/>
    <s v="OK"/>
    <s v="OK"/>
    <x v="2"/>
    <n v="1"/>
    <n v="0"/>
    <n v="224.37"/>
  </r>
  <r>
    <n v="50399"/>
    <n v="30218"/>
    <x v="33"/>
    <n v="2329"/>
    <x v="1"/>
    <n v="2"/>
    <n v="412.18"/>
    <d v="2025-10-26T00:00:00"/>
    <d v="2025-10-29T00:00:00"/>
    <x v="0"/>
    <s v="OK"/>
    <s v="OK"/>
    <x v="0"/>
    <n v="3"/>
    <n v="0"/>
    <n v="206.09"/>
  </r>
  <r>
    <n v="50400"/>
    <n v="30219"/>
    <x v="156"/>
    <n v="2548"/>
    <x v="3"/>
    <n v="1"/>
    <n v="118.6"/>
    <d v="2025-10-09T00:00:00"/>
    <d v="2025-10-12T00:00:00"/>
    <x v="0"/>
    <s v="OK"/>
    <s v="OK"/>
    <x v="2"/>
    <n v="3"/>
    <n v="1"/>
    <n v="118.6"/>
  </r>
  <r>
    <n v="50401"/>
    <n v="30220"/>
    <x v="20"/>
    <n v="2180"/>
    <x v="7"/>
    <n v="1"/>
    <n v="253.86"/>
    <d v="2025-08-12T00:00:00"/>
    <d v="2025-08-17T00:00:00"/>
    <x v="0"/>
    <s v="OK"/>
    <s v="OK"/>
    <x v="0"/>
    <n v="5"/>
    <n v="1"/>
    <n v="253.86"/>
  </r>
  <r>
    <n v="50402"/>
    <n v="30221"/>
    <x v="157"/>
    <n v="2038"/>
    <x v="15"/>
    <n v="1"/>
    <n v="170.25"/>
    <d v="2025-08-04T00:00:00"/>
    <d v="2025-08-13T00:00:00"/>
    <x v="1"/>
    <s v="OK"/>
    <s v="OK"/>
    <x v="1"/>
    <n v="9"/>
    <n v="1"/>
    <n v="170.25"/>
  </r>
  <r>
    <n v="50403"/>
    <n v="30222"/>
    <x v="158"/>
    <n v="2508"/>
    <x v="13"/>
    <n v="1"/>
    <n v="121.5"/>
    <d v="2025-04-20T00:00:00"/>
    <d v="2025-04-21T00:00:00"/>
    <x v="0"/>
    <s v="OK"/>
    <s v="OK"/>
    <x v="1"/>
    <n v="1"/>
    <n v="1"/>
    <n v="121.5"/>
  </r>
  <r>
    <n v="50404"/>
    <n v="30223"/>
    <x v="159"/>
    <n v="2039"/>
    <x v="4"/>
    <n v="3"/>
    <n v="551.22"/>
    <d v="2025-05-04T00:00:00"/>
    <d v="2025-05-06T00:00:00"/>
    <x v="0"/>
    <s v="OK"/>
    <s v="OK"/>
    <x v="2"/>
    <n v="2"/>
    <n v="1"/>
    <n v="183.74"/>
  </r>
  <r>
    <n v="50405"/>
    <n v="30223"/>
    <x v="160"/>
    <n v="2039"/>
    <x v="5"/>
    <n v="2"/>
    <n v="202.88"/>
    <d v="2025-05-05T00:00:00"/>
    <d v="2025-05-07T00:00:00"/>
    <x v="0"/>
    <s v="OK"/>
    <s v="OK"/>
    <x v="1"/>
    <n v="2"/>
    <n v="0"/>
    <n v="101.44"/>
  </r>
  <r>
    <n v="50406"/>
    <n v="30224"/>
    <x v="62"/>
    <n v="2292"/>
    <x v="12"/>
    <n v="1"/>
    <n v="65.260000000000005"/>
    <d v="2025-02-14T00:00:00"/>
    <d v="2025-02-24T00:00:00"/>
    <x v="0"/>
    <s v="OK"/>
    <s v="OK"/>
    <x v="3"/>
    <n v="10"/>
    <n v="1"/>
    <n v="65.260000000000005"/>
  </r>
  <r>
    <n v="50407"/>
    <n v="30224"/>
    <x v="62"/>
    <n v="2292"/>
    <x v="6"/>
    <n v="1"/>
    <n v="31.73"/>
    <d v="2025-02-13T00:00:00"/>
    <d v="2025-02-18T00:00:00"/>
    <x v="0"/>
    <s v="OK"/>
    <s v="OK"/>
    <x v="2"/>
    <n v="5"/>
    <n v="0"/>
    <n v="31.73"/>
  </r>
  <r>
    <n v="50408"/>
    <n v="30224"/>
    <x v="62"/>
    <n v="2292"/>
    <x v="14"/>
    <n v="4"/>
    <n v="478.96"/>
    <d v="2025-02-14T00:00:00"/>
    <d v="2025-02-17T00:00:00"/>
    <x v="0"/>
    <s v="OK"/>
    <s v="OK"/>
    <x v="3"/>
    <n v="3"/>
    <n v="0"/>
    <n v="119.74"/>
  </r>
  <r>
    <n v="50409"/>
    <n v="30224"/>
    <x v="62"/>
    <n v="2292"/>
    <x v="9"/>
    <n v="1"/>
    <n v="40.28"/>
    <d v="2025-02-15T00:00:00"/>
    <d v="2025-02-25T00:00:00"/>
    <x v="0"/>
    <s v="OK"/>
    <s v="OK"/>
    <x v="0"/>
    <n v="10"/>
    <n v="0"/>
    <n v="40.28"/>
  </r>
  <r>
    <n v="50410"/>
    <n v="30225"/>
    <x v="126"/>
    <n v="2198"/>
    <x v="5"/>
    <n v="1"/>
    <n v="101.44"/>
    <d v="2025-02-22T00:00:00"/>
    <s v=""/>
    <x v="3"/>
    <s v="Missing date"/>
    <s v="OK"/>
    <x v="1"/>
    <s v=""/>
    <n v="1"/>
    <n v="101.44"/>
  </r>
  <r>
    <n v="50411"/>
    <n v="30225"/>
    <x v="126"/>
    <n v="2198"/>
    <x v="14"/>
    <n v="2"/>
    <n v="239.48"/>
    <s v=""/>
    <s v=""/>
    <x v="3"/>
    <s v="Missing date"/>
    <s v="Missing date"/>
    <x v="3"/>
    <s v=""/>
    <n v="0"/>
    <n v="119.74"/>
  </r>
  <r>
    <n v="50412"/>
    <n v="30226"/>
    <x v="161"/>
    <n v="2191"/>
    <x v="5"/>
    <n v="3"/>
    <n v="304.32"/>
    <d v="2025-11-21T00:00:00"/>
    <d v="2025-11-23T00:00:00"/>
    <x v="0"/>
    <s v="OK"/>
    <s v="OK"/>
    <x v="1"/>
    <n v="2"/>
    <n v="1"/>
    <n v="101.44"/>
  </r>
  <r>
    <n v="50413"/>
    <n v="30227"/>
    <x v="3"/>
    <n v="2303"/>
    <x v="0"/>
    <n v="1"/>
    <n v="199.81"/>
    <d v="2025-02-28T00:00:00"/>
    <d v="2025-03-03T00:00:00"/>
    <x v="0"/>
    <s v="OK"/>
    <s v="OK"/>
    <x v="0"/>
    <n v="3"/>
    <n v="1"/>
    <n v="199.81"/>
  </r>
  <r>
    <n v="50414"/>
    <n v="30227"/>
    <x v="3"/>
    <n v="2303"/>
    <x v="7"/>
    <n v="2"/>
    <n v="507.72"/>
    <d v="2025-03-01T00:00:00"/>
    <d v="2025-03-02T00:00:00"/>
    <x v="0"/>
    <s v="OK"/>
    <s v="OK"/>
    <x v="0"/>
    <n v="1"/>
    <n v="0"/>
    <n v="253.86"/>
  </r>
  <r>
    <n v="50415"/>
    <n v="30228"/>
    <x v="162"/>
    <n v="2416"/>
    <x v="5"/>
    <n v="1"/>
    <n v="101.44"/>
    <d v="2025-12-30T00:00:00"/>
    <s v=""/>
    <x v="3"/>
    <s v="Missing date"/>
    <s v="OK"/>
    <x v="1"/>
    <s v=""/>
    <n v="1"/>
    <n v="101.44"/>
  </r>
  <r>
    <n v="50416"/>
    <n v="30228"/>
    <x v="162"/>
    <n v="2416"/>
    <x v="4"/>
    <n v="2"/>
    <n v="367.48"/>
    <d v="2025-12-30T00:00:00"/>
    <s v=""/>
    <x v="3"/>
    <s v="Missing date"/>
    <s v="OK"/>
    <x v="2"/>
    <s v=""/>
    <n v="0"/>
    <n v="183.74"/>
  </r>
  <r>
    <n v="50417"/>
    <n v="30228"/>
    <x v="162"/>
    <n v="2416"/>
    <x v="6"/>
    <n v="4"/>
    <n v="126.92"/>
    <s v=""/>
    <s v=""/>
    <x v="3"/>
    <s v="Missing date"/>
    <s v="Missing date"/>
    <x v="2"/>
    <s v=""/>
    <n v="0"/>
    <n v="31.73"/>
  </r>
  <r>
    <n v="50418"/>
    <n v="30228"/>
    <x v="162"/>
    <n v="2416"/>
    <x v="1"/>
    <n v="1"/>
    <n v="206.09"/>
    <d v="2025-12-31T00:00:00"/>
    <s v=""/>
    <x v="3"/>
    <s v="Missing date"/>
    <s v="OK"/>
    <x v="0"/>
    <s v=""/>
    <n v="0"/>
    <n v="206.09"/>
  </r>
  <r>
    <n v="50419"/>
    <n v="30229"/>
    <x v="84"/>
    <n v="2393"/>
    <x v="9"/>
    <n v="1"/>
    <n v="40.28"/>
    <d v="2025-06-20T00:00:00"/>
    <d v="2025-06-27T00:00:00"/>
    <x v="0"/>
    <s v="OK"/>
    <s v="OK"/>
    <x v="0"/>
    <n v="7"/>
    <n v="1"/>
    <n v="40.28"/>
  </r>
  <r>
    <n v="50420"/>
    <n v="30230"/>
    <x v="156"/>
    <n v="2338"/>
    <x v="8"/>
    <n v="3"/>
    <n v="609.12"/>
    <d v="2025-10-08T00:00:00"/>
    <d v="2025-10-18T00:00:00"/>
    <x v="0"/>
    <s v="OK"/>
    <s v="OK"/>
    <x v="2"/>
    <n v="10"/>
    <n v="1"/>
    <n v="203.04"/>
  </r>
  <r>
    <n v="50421"/>
    <n v="30230"/>
    <x v="163"/>
    <n v="2338"/>
    <x v="9"/>
    <n v="1"/>
    <n v="40.28"/>
    <d v="2025-10-09T00:00:00"/>
    <d v="2025-10-13T00:00:00"/>
    <x v="0"/>
    <s v="OK"/>
    <s v="OK"/>
    <x v="0"/>
    <n v="4"/>
    <n v="0"/>
    <n v="40.28"/>
  </r>
  <r>
    <n v="50422"/>
    <n v="30231"/>
    <x v="32"/>
    <n v="2369"/>
    <x v="3"/>
    <n v="2"/>
    <n v="237.2"/>
    <d v="2025-04-29T00:00:00"/>
    <d v="2025-05-04T00:00:00"/>
    <x v="0"/>
    <s v="OK"/>
    <s v="OK"/>
    <x v="2"/>
    <n v="5"/>
    <n v="1"/>
    <n v="118.6"/>
  </r>
  <r>
    <n v="50423"/>
    <n v="30231"/>
    <x v="32"/>
    <n v="2369"/>
    <x v="4"/>
    <n v="3"/>
    <n v="551.22"/>
    <d v="2025-04-29T00:00:00"/>
    <d v="2025-05-01T00:00:00"/>
    <x v="0"/>
    <s v="OK"/>
    <s v="OK"/>
    <x v="2"/>
    <n v="2"/>
    <n v="0"/>
    <n v="183.74"/>
  </r>
  <r>
    <n v="50424"/>
    <n v="30232"/>
    <x v="164"/>
    <n v="2477"/>
    <x v="15"/>
    <n v="1"/>
    <n v="170.25"/>
    <d v="2025-07-31T00:00:00"/>
    <d v="2025-08-04T00:00:00"/>
    <x v="0"/>
    <s v="OK"/>
    <s v="OK"/>
    <x v="1"/>
    <n v="4"/>
    <n v="1"/>
    <n v="170.25"/>
  </r>
  <r>
    <n v="50425"/>
    <n v="30233"/>
    <x v="147"/>
    <n v="2515"/>
    <x v="13"/>
    <n v="1"/>
    <n v="121.5"/>
    <s v=""/>
    <s v=""/>
    <x v="2"/>
    <s v="Missing date"/>
    <s v="Missing date"/>
    <x v="1"/>
    <s v=""/>
    <n v="1"/>
    <n v="121.5"/>
  </r>
  <r>
    <n v="50426"/>
    <n v="30234"/>
    <x v="165"/>
    <n v="2121"/>
    <x v="13"/>
    <n v="2"/>
    <n v="243"/>
    <d v="2025-03-25T00:00:00"/>
    <d v="2025-03-26T00:00:00"/>
    <x v="0"/>
    <s v="OK"/>
    <s v="OK"/>
    <x v="1"/>
    <n v="1"/>
    <n v="1"/>
    <n v="121.5"/>
  </r>
  <r>
    <n v="50427"/>
    <n v="30235"/>
    <x v="166"/>
    <n v="2377"/>
    <x v="1"/>
    <n v="3"/>
    <n v="618.27"/>
    <d v="2025-01-15T00:00:00"/>
    <d v="2025-01-17T00:00:00"/>
    <x v="0"/>
    <s v="OK"/>
    <s v="OK"/>
    <x v="0"/>
    <n v="2"/>
    <n v="1"/>
    <n v="206.09"/>
  </r>
  <r>
    <n v="50428"/>
    <n v="30235"/>
    <x v="166"/>
    <n v="2377"/>
    <x v="6"/>
    <n v="1"/>
    <n v="31.73"/>
    <d v="2025-01-14T00:00:00"/>
    <d v="2025-01-23T00:00:00"/>
    <x v="0"/>
    <s v="OK"/>
    <s v="OK"/>
    <x v="2"/>
    <n v="9"/>
    <n v="0"/>
    <n v="31.73"/>
  </r>
  <r>
    <n v="50429"/>
    <n v="30236"/>
    <x v="65"/>
    <n v="2490"/>
    <x v="2"/>
    <n v="3"/>
    <n v="724.62"/>
    <d v="2025-04-11T00:00:00"/>
    <d v="2025-04-12T00:00:00"/>
    <x v="0"/>
    <s v="OK"/>
    <s v="OK"/>
    <x v="1"/>
    <n v="1"/>
    <n v="1"/>
    <n v="241.54"/>
  </r>
  <r>
    <n v="50430"/>
    <n v="30236"/>
    <x v="65"/>
    <n v="2490"/>
    <x v="10"/>
    <n v="1"/>
    <n v="215.34"/>
    <d v="2025-04-09T00:00:00"/>
    <d v="2025-04-15T00:00:00"/>
    <x v="0"/>
    <s v="OK"/>
    <s v="OK"/>
    <x v="3"/>
    <n v="6"/>
    <n v="0"/>
    <n v="215.34"/>
  </r>
  <r>
    <n v="50431"/>
    <n v="30237"/>
    <x v="44"/>
    <n v="2563"/>
    <x v="0"/>
    <n v="2"/>
    <n v="399.62"/>
    <s v=""/>
    <s v=""/>
    <x v="2"/>
    <s v="Missing date"/>
    <s v="Missing date"/>
    <x v="0"/>
    <s v=""/>
    <n v="1"/>
    <n v="199.81"/>
  </r>
  <r>
    <n v="50432"/>
    <n v="30238"/>
    <x v="167"/>
    <n v="2254"/>
    <x v="11"/>
    <n v="1"/>
    <n v="224.37"/>
    <d v="2025-03-17T00:00:00"/>
    <d v="2025-03-21T00:00:00"/>
    <x v="0"/>
    <s v="OK"/>
    <s v="OK"/>
    <x v="2"/>
    <n v="4"/>
    <n v="1"/>
    <n v="224.37"/>
  </r>
  <r>
    <n v="50433"/>
    <n v="30238"/>
    <x v="167"/>
    <n v="2254"/>
    <x v="14"/>
    <n v="1"/>
    <n v="119.74"/>
    <d v="2025-03-17T00:00:00"/>
    <d v="2025-03-24T00:00:00"/>
    <x v="0"/>
    <s v="OK"/>
    <s v="OK"/>
    <x v="3"/>
    <n v="7"/>
    <n v="0"/>
    <n v="119.74"/>
  </r>
  <r>
    <n v="50434"/>
    <n v="30239"/>
    <x v="168"/>
    <n v="2541"/>
    <x v="11"/>
    <n v="1"/>
    <n v="224.37"/>
    <d v="2025-03-21T00:00:00"/>
    <d v="2025-03-22T00:00:00"/>
    <x v="0"/>
    <s v="OK"/>
    <s v="OK"/>
    <x v="2"/>
    <n v="1"/>
    <n v="1"/>
    <n v="224.37"/>
  </r>
  <r>
    <n v="50435"/>
    <n v="30239"/>
    <x v="168"/>
    <n v="2541"/>
    <x v="4"/>
    <n v="1"/>
    <n v="183.74"/>
    <d v="2025-03-19T00:00:00"/>
    <d v="2025-03-21T00:00:00"/>
    <x v="0"/>
    <s v="OK"/>
    <s v="OK"/>
    <x v="2"/>
    <n v="2"/>
    <n v="0"/>
    <n v="183.74"/>
  </r>
  <r>
    <n v="50436"/>
    <n v="30240"/>
    <x v="169"/>
    <n v="2064"/>
    <x v="0"/>
    <n v="5"/>
    <n v="999.05"/>
    <s v=""/>
    <s v=""/>
    <x v="3"/>
    <s v="Missing date"/>
    <s v="Missing date"/>
    <x v="0"/>
    <s v=""/>
    <n v="1"/>
    <n v="199.81"/>
  </r>
  <r>
    <n v="50437"/>
    <n v="30241"/>
    <x v="170"/>
    <n v="2154"/>
    <x v="14"/>
    <n v="2"/>
    <n v="239.48"/>
    <d v="2025-10-29T00:00:00"/>
    <d v="2025-11-03T00:00:00"/>
    <x v="0"/>
    <s v="OK"/>
    <s v="OK"/>
    <x v="3"/>
    <n v="5"/>
    <n v="1"/>
    <n v="119.74"/>
  </r>
  <r>
    <n v="50438"/>
    <n v="30242"/>
    <x v="63"/>
    <n v="2120"/>
    <x v="12"/>
    <n v="4"/>
    <n v="261.04000000000002"/>
    <d v="2025-12-04T00:00:00"/>
    <d v="2025-12-14T00:00:00"/>
    <x v="0"/>
    <s v="OK"/>
    <s v="OK"/>
    <x v="3"/>
    <n v="10"/>
    <n v="1"/>
    <n v="65.260000000000005"/>
  </r>
  <r>
    <n v="50439"/>
    <n v="30242"/>
    <x v="62"/>
    <n v="2120"/>
    <x v="11"/>
    <n v="1"/>
    <n v="224.37"/>
    <d v="2025-12-05T00:00:00"/>
    <d v="2025-12-12T00:00:00"/>
    <x v="0"/>
    <s v="OK"/>
    <s v="OK"/>
    <x v="2"/>
    <n v="7"/>
    <n v="0"/>
    <n v="224.37"/>
  </r>
  <r>
    <n v="50440"/>
    <n v="30242"/>
    <x v="63"/>
    <n v="2120"/>
    <x v="14"/>
    <n v="2"/>
    <n v="239.48"/>
    <d v="2025-12-03T00:00:00"/>
    <d v="2025-12-13T00:00:00"/>
    <x v="0"/>
    <s v="OK"/>
    <s v="OK"/>
    <x v="3"/>
    <n v="10"/>
    <n v="0"/>
    <n v="119.74"/>
  </r>
  <r>
    <n v="50441"/>
    <n v="30243"/>
    <x v="76"/>
    <n v="2057"/>
    <x v="10"/>
    <n v="1"/>
    <n v="215.34"/>
    <d v="2025-04-19T00:00:00"/>
    <d v="2025-04-25T00:00:00"/>
    <x v="0"/>
    <s v="OK"/>
    <s v="OK"/>
    <x v="3"/>
    <n v="6"/>
    <n v="1"/>
    <n v="215.34"/>
  </r>
  <r>
    <n v="50442"/>
    <n v="30243"/>
    <x v="76"/>
    <n v="2057"/>
    <x v="14"/>
    <n v="3"/>
    <n v="359.22"/>
    <d v="2025-04-18T00:00:00"/>
    <d v="2025-04-26T00:00:00"/>
    <x v="0"/>
    <s v="OK"/>
    <s v="OK"/>
    <x v="3"/>
    <n v="8"/>
    <n v="0"/>
    <n v="119.74000000000001"/>
  </r>
  <r>
    <n v="50443"/>
    <n v="30244"/>
    <x v="171"/>
    <n v="2578"/>
    <x v="14"/>
    <n v="2"/>
    <n v="239.48"/>
    <d v="2025-06-20T00:00:00"/>
    <d v="2025-06-24T00:00:00"/>
    <x v="0"/>
    <s v="OK"/>
    <s v="OK"/>
    <x v="3"/>
    <n v="4"/>
    <n v="1"/>
    <n v="119.74"/>
  </r>
  <r>
    <n v="50444"/>
    <n v="30245"/>
    <x v="172"/>
    <n v="2316"/>
    <x v="15"/>
    <n v="1"/>
    <n v="170.25"/>
    <d v="2025-06-28T00:00:00"/>
    <d v="2025-07-06T00:00:00"/>
    <x v="0"/>
    <s v="OK"/>
    <s v="OK"/>
    <x v="1"/>
    <n v="8"/>
    <n v="1"/>
    <n v="170.25"/>
  </r>
  <r>
    <n v="50445"/>
    <n v="30246"/>
    <x v="173"/>
    <n v="2261"/>
    <x v="0"/>
    <n v="1"/>
    <n v="199.81"/>
    <s v=""/>
    <s v=""/>
    <x v="3"/>
    <s v="Missing date"/>
    <s v="Missing date"/>
    <x v="0"/>
    <s v=""/>
    <n v="1"/>
    <n v="199.81"/>
  </r>
  <r>
    <n v="50446"/>
    <n v="30246"/>
    <x v="173"/>
    <n v="2261"/>
    <x v="3"/>
    <n v="1"/>
    <n v="118.6"/>
    <s v=""/>
    <s v=""/>
    <x v="3"/>
    <s v="Missing date"/>
    <s v="Missing date"/>
    <x v="2"/>
    <s v=""/>
    <n v="0"/>
    <n v="118.6"/>
  </r>
  <r>
    <n v="50447"/>
    <n v="30247"/>
    <x v="154"/>
    <n v="2066"/>
    <x v="3"/>
    <n v="1"/>
    <n v="118.6"/>
    <d v="2025-10-31T00:00:00"/>
    <d v="2025-11-06T00:00:00"/>
    <x v="0"/>
    <s v="OK"/>
    <s v="OK"/>
    <x v="2"/>
    <n v="6"/>
    <n v="1"/>
    <n v="118.6"/>
  </r>
  <r>
    <n v="50448"/>
    <n v="30247"/>
    <x v="154"/>
    <n v="2066"/>
    <x v="11"/>
    <n v="2"/>
    <n v="448.74"/>
    <d v="2025-11-01T00:00:00"/>
    <d v="2025-11-02T00:00:00"/>
    <x v="0"/>
    <s v="OK"/>
    <s v="OK"/>
    <x v="2"/>
    <n v="1"/>
    <n v="0"/>
    <n v="224.37"/>
  </r>
  <r>
    <n v="50449"/>
    <n v="30248"/>
    <x v="21"/>
    <n v="2484"/>
    <x v="10"/>
    <n v="3"/>
    <n v="646.02"/>
    <d v="2025-05-14T00:00:00"/>
    <d v="2025-05-22T00:00:00"/>
    <x v="0"/>
    <s v="OK"/>
    <s v="OK"/>
    <x v="3"/>
    <n v="8"/>
    <n v="1"/>
    <n v="215.34"/>
  </r>
  <r>
    <n v="50450"/>
    <n v="30249"/>
    <x v="174"/>
    <n v="2185"/>
    <x v="10"/>
    <n v="3"/>
    <n v="646.02"/>
    <s v=""/>
    <s v=""/>
    <x v="3"/>
    <s v="Missing date"/>
    <s v="Missing date"/>
    <x v="3"/>
    <s v=""/>
    <n v="1"/>
    <n v="215.34"/>
  </r>
  <r>
    <n v="50451"/>
    <n v="30250"/>
    <x v="86"/>
    <n v="2392"/>
    <x v="15"/>
    <n v="4"/>
    <n v="681"/>
    <d v="2025-02-06T00:00:00"/>
    <d v="2025-02-11T00:00:00"/>
    <x v="0"/>
    <s v="OK"/>
    <s v="OK"/>
    <x v="1"/>
    <n v="5"/>
    <n v="1"/>
    <n v="170.25"/>
  </r>
  <r>
    <n v="50452"/>
    <n v="30251"/>
    <x v="175"/>
    <n v="2385"/>
    <x v="6"/>
    <n v="2"/>
    <n v="63.46"/>
    <d v="2025-01-24T00:00:00"/>
    <d v="2025-01-26T00:00:00"/>
    <x v="0"/>
    <s v="OK"/>
    <s v="OK"/>
    <x v="2"/>
    <n v="2"/>
    <n v="1"/>
    <n v="31.73"/>
  </r>
  <r>
    <n v="50453"/>
    <n v="30252"/>
    <x v="83"/>
    <n v="2357"/>
    <x v="15"/>
    <n v="1"/>
    <n v="170.25"/>
    <d v="2025-04-23T00:00:00"/>
    <d v="2025-04-28T00:00:00"/>
    <x v="0"/>
    <s v="OK"/>
    <s v="OK"/>
    <x v="1"/>
    <n v="5"/>
    <n v="1"/>
    <n v="170.25"/>
  </r>
  <r>
    <n v="50454"/>
    <n v="30253"/>
    <x v="176"/>
    <n v="2542"/>
    <x v="1"/>
    <n v="1"/>
    <n v="206.09"/>
    <d v="2025-03-18T00:00:00"/>
    <d v="2025-03-20T00:00:00"/>
    <x v="0"/>
    <s v="OK"/>
    <s v="OK"/>
    <x v="0"/>
    <n v="2"/>
    <n v="1"/>
    <n v="206.09"/>
  </r>
  <r>
    <n v="50455"/>
    <n v="30254"/>
    <x v="25"/>
    <n v="2004"/>
    <x v="13"/>
    <n v="1"/>
    <n v="121.5"/>
    <d v="2025-08-29T00:00:00"/>
    <d v="2025-09-01T00:00:00"/>
    <x v="0"/>
    <s v="OK"/>
    <s v="OK"/>
    <x v="1"/>
    <n v="3"/>
    <n v="1"/>
    <n v="121.5"/>
  </r>
  <r>
    <n v="50456"/>
    <n v="30255"/>
    <x v="52"/>
    <n v="2475"/>
    <x v="10"/>
    <n v="1"/>
    <n v="215.34"/>
    <d v="2025-01-24T00:00:00"/>
    <d v="2025-01-31T00:00:00"/>
    <x v="0"/>
    <s v="OK"/>
    <s v="OK"/>
    <x v="3"/>
    <n v="7"/>
    <n v="1"/>
    <n v="215.34"/>
  </r>
  <r>
    <n v="50457"/>
    <n v="30256"/>
    <x v="82"/>
    <n v="2545"/>
    <x v="1"/>
    <n v="4"/>
    <n v="824.36"/>
    <d v="2025-06-03T00:00:00"/>
    <d v="2025-06-10T00:00:00"/>
    <x v="0"/>
    <s v="OK"/>
    <s v="OK"/>
    <x v="0"/>
    <n v="7"/>
    <n v="1"/>
    <n v="206.09"/>
  </r>
  <r>
    <n v="50458"/>
    <n v="30256"/>
    <x v="177"/>
    <n v="2545"/>
    <x v="1"/>
    <n v="1"/>
    <n v="206.09"/>
    <d v="2025-06-03T00:00:00"/>
    <d v="2025-06-04T00:00:00"/>
    <x v="0"/>
    <s v="OK"/>
    <s v="OK"/>
    <x v="0"/>
    <n v="1"/>
    <n v="0"/>
    <n v="206.09"/>
  </r>
  <r>
    <n v="50459"/>
    <n v="30256"/>
    <x v="177"/>
    <n v="2545"/>
    <x v="14"/>
    <n v="2"/>
    <n v="239.48"/>
    <d v="2025-06-03T00:00:00"/>
    <d v="2025-06-08T00:00:00"/>
    <x v="0"/>
    <s v="OK"/>
    <s v="OK"/>
    <x v="3"/>
    <n v="5"/>
    <n v="0"/>
    <n v="119.74"/>
  </r>
  <r>
    <n v="50460"/>
    <n v="30257"/>
    <x v="178"/>
    <n v="2355"/>
    <x v="0"/>
    <n v="2"/>
    <n v="399.62"/>
    <d v="2025-02-15T00:00:00"/>
    <d v="2025-02-24T00:00:00"/>
    <x v="0"/>
    <s v="OK"/>
    <s v="OK"/>
    <x v="0"/>
    <n v="9"/>
    <n v="1"/>
    <n v="199.81"/>
  </r>
  <r>
    <n v="50461"/>
    <n v="30257"/>
    <x v="178"/>
    <n v="2355"/>
    <x v="4"/>
    <n v="1"/>
    <n v="183.74"/>
    <d v="2025-02-15T00:00:00"/>
    <d v="2025-02-25T00:00:00"/>
    <x v="0"/>
    <s v="OK"/>
    <s v="OK"/>
    <x v="2"/>
    <n v="10"/>
    <n v="0"/>
    <n v="183.74"/>
  </r>
  <r>
    <n v="50462"/>
    <n v="30257"/>
    <x v="178"/>
    <n v="2355"/>
    <x v="3"/>
    <n v="1"/>
    <n v="118.6"/>
    <d v="2025-02-15T00:00:00"/>
    <d v="2025-02-20T00:00:00"/>
    <x v="0"/>
    <s v="OK"/>
    <s v="OK"/>
    <x v="2"/>
    <n v="5"/>
    <n v="0"/>
    <n v="118.6"/>
  </r>
  <r>
    <n v="50463"/>
    <n v="30258"/>
    <x v="179"/>
    <n v="2430"/>
    <x v="8"/>
    <n v="1"/>
    <n v="203.04"/>
    <d v="2025-01-24T00:00:00"/>
    <d v="2025-02-03T00:00:00"/>
    <x v="0"/>
    <s v="OK"/>
    <s v="OK"/>
    <x v="2"/>
    <n v="10"/>
    <n v="1"/>
    <n v="203.04"/>
  </r>
  <r>
    <n v="50464"/>
    <n v="30258"/>
    <x v="179"/>
    <n v="2430"/>
    <x v="1"/>
    <n v="1"/>
    <n v="206.09"/>
    <d v="2025-01-26T00:00:00"/>
    <d v="2025-02-04T00:00:00"/>
    <x v="0"/>
    <s v="OK"/>
    <s v="OK"/>
    <x v="0"/>
    <n v="9"/>
    <n v="0"/>
    <n v="206.09"/>
  </r>
  <r>
    <n v="50465"/>
    <n v="30258"/>
    <x v="179"/>
    <n v="2430"/>
    <x v="0"/>
    <n v="1"/>
    <n v="199.81"/>
    <d v="2025-01-26T00:00:00"/>
    <d v="2025-02-01T00:00:00"/>
    <x v="0"/>
    <s v="OK"/>
    <s v="OK"/>
    <x v="0"/>
    <n v="6"/>
    <n v="0"/>
    <n v="199.81"/>
  </r>
  <r>
    <n v="50466"/>
    <n v="30259"/>
    <x v="116"/>
    <n v="2069"/>
    <x v="3"/>
    <n v="1"/>
    <n v="118.6"/>
    <d v="2025-07-03T00:00:00"/>
    <d v="2025-07-07T00:00:00"/>
    <x v="0"/>
    <s v="OK"/>
    <s v="OK"/>
    <x v="2"/>
    <n v="4"/>
    <n v="1"/>
    <n v="118.6"/>
  </r>
  <r>
    <n v="50467"/>
    <n v="30259"/>
    <x v="116"/>
    <n v="2069"/>
    <x v="14"/>
    <n v="2"/>
    <n v="239.48"/>
    <d v="2025-07-02T00:00:00"/>
    <d v="2025-07-04T00:00:00"/>
    <x v="0"/>
    <s v="OK"/>
    <s v="OK"/>
    <x v="3"/>
    <n v="2"/>
    <n v="0"/>
    <n v="119.74"/>
  </r>
  <r>
    <n v="50468"/>
    <n v="30259"/>
    <x v="116"/>
    <n v="2069"/>
    <x v="3"/>
    <n v="1"/>
    <n v="118.6"/>
    <d v="2025-07-01T00:00:00"/>
    <d v="2025-07-03T00:00:00"/>
    <x v="0"/>
    <s v="OK"/>
    <s v="OK"/>
    <x v="2"/>
    <n v="2"/>
    <n v="0"/>
    <n v="118.6"/>
  </r>
  <r>
    <n v="50469"/>
    <n v="30259"/>
    <x v="116"/>
    <n v="2069"/>
    <x v="1"/>
    <n v="1"/>
    <n v="206.09"/>
    <d v="2025-07-03T00:00:00"/>
    <d v="2025-07-12T00:00:00"/>
    <x v="0"/>
    <s v="OK"/>
    <s v="OK"/>
    <x v="0"/>
    <n v="9"/>
    <n v="0"/>
    <n v="206.09"/>
  </r>
  <r>
    <n v="50470"/>
    <n v="30260"/>
    <x v="146"/>
    <n v="2046"/>
    <x v="1"/>
    <n v="1"/>
    <n v="206.09"/>
    <d v="2025-01-14T00:00:00"/>
    <d v="2025-01-19T00:00:00"/>
    <x v="0"/>
    <s v="OK"/>
    <s v="OK"/>
    <x v="0"/>
    <n v="5"/>
    <n v="1"/>
    <n v="206.09"/>
  </r>
  <r>
    <n v="50471"/>
    <n v="30261"/>
    <x v="180"/>
    <n v="2553"/>
    <x v="3"/>
    <n v="4"/>
    <n v="474.4"/>
    <d v="2025-06-10T00:00:00"/>
    <d v="2025-06-20T00:00:00"/>
    <x v="0"/>
    <s v="OK"/>
    <s v="OK"/>
    <x v="2"/>
    <n v="10"/>
    <n v="1"/>
    <n v="118.6"/>
  </r>
  <r>
    <n v="50472"/>
    <n v="30261"/>
    <x v="180"/>
    <n v="2553"/>
    <x v="6"/>
    <n v="1"/>
    <n v="31.73"/>
    <d v="2025-06-10T00:00:00"/>
    <d v="2025-06-14T00:00:00"/>
    <x v="0"/>
    <s v="OK"/>
    <s v="OK"/>
    <x v="2"/>
    <n v="4"/>
    <n v="0"/>
    <n v="31.73"/>
  </r>
  <r>
    <n v="50473"/>
    <n v="30262"/>
    <x v="181"/>
    <n v="2516"/>
    <x v="1"/>
    <n v="1"/>
    <n v="206.09"/>
    <d v="2025-04-11T00:00:00"/>
    <d v="2025-04-14T00:00:00"/>
    <x v="1"/>
    <s v="OK"/>
    <s v="OK"/>
    <x v="0"/>
    <n v="3"/>
    <n v="1"/>
    <n v="206.09"/>
  </r>
  <r>
    <n v="50474"/>
    <n v="30262"/>
    <x v="181"/>
    <m/>
    <x v="5"/>
    <n v="1"/>
    <n v="101.44"/>
    <d v="2025-04-11T00:00:00"/>
    <d v="2025-04-15T00:00:00"/>
    <x v="1"/>
    <s v="OK"/>
    <s v="OK"/>
    <x v="1"/>
    <n v="4"/>
    <n v="0"/>
    <n v="101.44"/>
  </r>
  <r>
    <n v="50475"/>
    <n v="30263"/>
    <x v="32"/>
    <n v="2592"/>
    <x v="5"/>
    <n v="1"/>
    <n v="101.44"/>
    <d v="2025-04-30T00:00:00"/>
    <d v="2025-05-01T00:00:00"/>
    <x v="0"/>
    <s v="OK"/>
    <s v="OK"/>
    <x v="1"/>
    <n v="1"/>
    <n v="1"/>
    <n v="101.44"/>
  </r>
  <r>
    <n v="50476"/>
    <n v="30264"/>
    <x v="141"/>
    <n v="2243"/>
    <x v="6"/>
    <n v="1"/>
    <n v="31.73"/>
    <d v="2025-04-23T00:00:00"/>
    <d v="2025-05-02T00:00:00"/>
    <x v="0"/>
    <s v="OK"/>
    <s v="OK"/>
    <x v="2"/>
    <n v="9"/>
    <n v="1"/>
    <n v="31.73"/>
  </r>
  <r>
    <n v="50477"/>
    <n v="30264"/>
    <x v="141"/>
    <n v="2243"/>
    <x v="1"/>
    <n v="1"/>
    <n v="206.09"/>
    <d v="2025-04-23T00:00:00"/>
    <d v="2025-05-01T00:00:00"/>
    <x v="0"/>
    <s v="OK"/>
    <s v="OK"/>
    <x v="0"/>
    <n v="8"/>
    <n v="0"/>
    <n v="206.09"/>
  </r>
  <r>
    <n v="50478"/>
    <n v="30265"/>
    <x v="139"/>
    <n v="2424"/>
    <x v="3"/>
    <n v="3"/>
    <n v="355.8"/>
    <d v="2025-10-06T00:00:00"/>
    <d v="2025-10-16T00:00:00"/>
    <x v="0"/>
    <s v="OK"/>
    <s v="OK"/>
    <x v="2"/>
    <n v="10"/>
    <n v="1"/>
    <n v="118.60000000000001"/>
  </r>
  <r>
    <n v="50479"/>
    <n v="30266"/>
    <x v="99"/>
    <n v="2571"/>
    <x v="7"/>
    <n v="1"/>
    <n v="253.86"/>
    <d v="2025-03-10T00:00:00"/>
    <d v="2025-03-17T00:00:00"/>
    <x v="1"/>
    <s v="OK"/>
    <s v="OK"/>
    <x v="0"/>
    <n v="7"/>
    <n v="1"/>
    <n v="253.86"/>
  </r>
  <r>
    <n v="50480"/>
    <n v="30266"/>
    <x v="99"/>
    <n v="2571"/>
    <x v="10"/>
    <n v="1"/>
    <n v="215.34"/>
    <d v="2025-03-11T00:00:00"/>
    <d v="2025-03-13T00:00:00"/>
    <x v="1"/>
    <s v="OK"/>
    <s v="OK"/>
    <x v="3"/>
    <n v="2"/>
    <n v="0"/>
    <n v="215.34"/>
  </r>
  <r>
    <n v="50481"/>
    <n v="30267"/>
    <x v="50"/>
    <n v="2570"/>
    <x v="2"/>
    <n v="1"/>
    <n v="241.54"/>
    <d v="2025-12-06T00:00:00"/>
    <d v="2025-12-07T00:00:00"/>
    <x v="0"/>
    <s v="OK"/>
    <s v="OK"/>
    <x v="1"/>
    <n v="1"/>
    <n v="1"/>
    <n v="241.54"/>
  </r>
  <r>
    <n v="50482"/>
    <n v="30267"/>
    <x v="51"/>
    <n v="2570"/>
    <x v="15"/>
    <n v="2"/>
    <n v="340.5"/>
    <d v="2025-12-07T00:00:00"/>
    <d v="2025-12-13T00:00:00"/>
    <x v="0"/>
    <s v="OK"/>
    <s v="OK"/>
    <x v="1"/>
    <n v="6"/>
    <n v="0"/>
    <n v="170.25"/>
  </r>
  <r>
    <n v="50483"/>
    <n v="30268"/>
    <x v="182"/>
    <n v="2538"/>
    <x v="10"/>
    <n v="3"/>
    <n v="646.02"/>
    <d v="2025-02-01T00:00:00"/>
    <d v="2025-04-02T00:00:00"/>
    <x v="0"/>
    <s v="OK"/>
    <s v="OK"/>
    <x v="3"/>
    <n v="60"/>
    <n v="1"/>
    <n v="215.34"/>
  </r>
  <r>
    <n v="50484"/>
    <n v="30268"/>
    <x v="182"/>
    <n v="2538"/>
    <x v="10"/>
    <n v="1"/>
    <n v="215.34"/>
    <d v="2025-02-02T00:00:00"/>
    <d v="2025-02-07T00:00:00"/>
    <x v="0"/>
    <s v="OK"/>
    <s v="OK"/>
    <x v="3"/>
    <n v="5"/>
    <n v="0"/>
    <n v="215.34"/>
  </r>
  <r>
    <n v="50485"/>
    <n v="30269"/>
    <x v="39"/>
    <n v="2153"/>
    <x v="7"/>
    <n v="1"/>
    <n v="253.86"/>
    <d v="2025-01-05T00:00:00"/>
    <d v="2025-01-14T00:00:00"/>
    <x v="0"/>
    <s v="OK"/>
    <s v="OK"/>
    <x v="0"/>
    <n v="9"/>
    <n v="1"/>
    <n v="253.86"/>
  </r>
  <r>
    <n v="50486"/>
    <n v="30269"/>
    <x v="39"/>
    <n v="2153"/>
    <x v="12"/>
    <n v="1"/>
    <n v="65.260000000000005"/>
    <d v="2025-01-05T00:00:00"/>
    <d v="2025-11-01T00:00:00"/>
    <x v="0"/>
    <s v="OK"/>
    <s v="OK"/>
    <x v="3"/>
    <n v="300"/>
    <n v="0"/>
    <n v="65.260000000000005"/>
  </r>
  <r>
    <n v="50487"/>
    <n v="30270"/>
    <x v="175"/>
    <n v="2247"/>
    <x v="13"/>
    <n v="2"/>
    <n v="243"/>
    <s v=""/>
    <s v=""/>
    <x v="3"/>
    <s v="Missing date"/>
    <s v="Missing date"/>
    <x v="1"/>
    <s v=""/>
    <n v="1"/>
    <n v="121.5"/>
  </r>
  <r>
    <n v="50488"/>
    <n v="30271"/>
    <x v="183"/>
    <n v="2148"/>
    <x v="3"/>
    <n v="1"/>
    <n v="118.6"/>
    <s v=""/>
    <s v=""/>
    <x v="3"/>
    <s v="Missing date"/>
    <s v="Missing date"/>
    <x v="2"/>
    <s v=""/>
    <n v="1"/>
    <n v="118.6"/>
  </r>
  <r>
    <n v="50489"/>
    <n v="30272"/>
    <x v="184"/>
    <n v="2427"/>
    <x v="6"/>
    <n v="3"/>
    <n v="95.19"/>
    <d v="2025-04-01T00:00:00"/>
    <d v="2025-04-10T00:00:00"/>
    <x v="0"/>
    <s v="OK"/>
    <s v="OK"/>
    <x v="2"/>
    <n v="9"/>
    <n v="1"/>
    <n v="31.73"/>
  </r>
  <r>
    <n v="50490"/>
    <n v="30272"/>
    <x v="184"/>
    <n v="2427"/>
    <x v="15"/>
    <n v="2"/>
    <n v="340.5"/>
    <d v="2025-03-30T00:00:00"/>
    <d v="2025-04-09T00:00:00"/>
    <x v="0"/>
    <s v="OK"/>
    <s v="OK"/>
    <x v="1"/>
    <n v="10"/>
    <n v="0"/>
    <n v="170.25"/>
  </r>
  <r>
    <n v="50491"/>
    <n v="30272"/>
    <x v="184"/>
    <n v="2427"/>
    <x v="1"/>
    <n v="1"/>
    <n v="206.09"/>
    <d v="2025-04-01T00:00:00"/>
    <d v="2025-04-03T00:00:00"/>
    <x v="0"/>
    <s v="OK"/>
    <s v="OK"/>
    <x v="0"/>
    <n v="2"/>
    <n v="0"/>
    <n v="206.09"/>
  </r>
  <r>
    <n v="50492"/>
    <n v="30272"/>
    <x v="184"/>
    <n v="2427"/>
    <x v="9"/>
    <n v="3"/>
    <n v="120.84"/>
    <d v="2025-03-30T00:00:00"/>
    <d v="2025-04-05T00:00:00"/>
    <x v="0"/>
    <s v="OK"/>
    <s v="OK"/>
    <x v="0"/>
    <n v="6"/>
    <n v="0"/>
    <n v="40.28"/>
  </r>
  <r>
    <n v="50493"/>
    <n v="30273"/>
    <x v="145"/>
    <n v="2209"/>
    <x v="11"/>
    <n v="5"/>
    <n v="1121.8499999999999"/>
    <d v="2025-06-28T00:00:00"/>
    <d v="2025-07-05T00:00:00"/>
    <x v="0"/>
    <s v="OK"/>
    <s v="OK"/>
    <x v="2"/>
    <n v="7"/>
    <n v="1"/>
    <n v="224.36999999999998"/>
  </r>
  <r>
    <n v="50494"/>
    <n v="30273"/>
    <x v="145"/>
    <n v="2209"/>
    <x v="14"/>
    <n v="1"/>
    <n v="119.74"/>
    <d v="2025-06-28T00:00:00"/>
    <d v="2025-07-02T00:00:00"/>
    <x v="0"/>
    <s v="OK"/>
    <s v="OK"/>
    <x v="3"/>
    <n v="4"/>
    <n v="0"/>
    <n v="119.74"/>
  </r>
  <r>
    <n v="50495"/>
    <n v="30274"/>
    <x v="185"/>
    <n v="2380"/>
    <x v="0"/>
    <n v="2"/>
    <n v="399.62"/>
    <d v="2025-02-18T00:00:00"/>
    <d v="2025-02-21T00:00:00"/>
    <x v="0"/>
    <s v="OK"/>
    <s v="OK"/>
    <x v="0"/>
    <n v="3"/>
    <n v="1"/>
    <n v="199.81"/>
  </r>
  <r>
    <n v="50496"/>
    <n v="30275"/>
    <x v="79"/>
    <n v="2053"/>
    <x v="3"/>
    <n v="1"/>
    <n v="118.6"/>
    <d v="2025-11-05T00:00:00"/>
    <d v="2025-11-14T00:00:00"/>
    <x v="0"/>
    <s v="OK"/>
    <s v="OK"/>
    <x v="2"/>
    <n v="9"/>
    <n v="1"/>
    <n v="118.6"/>
  </r>
  <r>
    <n v="50497"/>
    <n v="30276"/>
    <x v="186"/>
    <n v="2075"/>
    <x v="0"/>
    <n v="1"/>
    <n v="199.81"/>
    <d v="2025-01-26T00:00:00"/>
    <d v="2025-01-31T00:00:00"/>
    <x v="0"/>
    <s v="OK"/>
    <s v="OK"/>
    <x v="0"/>
    <n v="5"/>
    <n v="1"/>
    <n v="199.81"/>
  </r>
  <r>
    <n v="50498"/>
    <n v="30276"/>
    <x v="186"/>
    <n v="2075"/>
    <x v="12"/>
    <n v="1"/>
    <n v="65.260000000000005"/>
    <d v="2025-01-28T00:00:00"/>
    <d v="2025-02-04T00:00:00"/>
    <x v="0"/>
    <s v="OK"/>
    <s v="OK"/>
    <x v="3"/>
    <n v="7"/>
    <n v="0"/>
    <n v="65.260000000000005"/>
  </r>
  <r>
    <n v="50499"/>
    <n v="30277"/>
    <x v="187"/>
    <n v="2214"/>
    <x v="5"/>
    <n v="2"/>
    <n v="202.88"/>
    <s v=""/>
    <s v=""/>
    <x v="2"/>
    <s v="Missing date"/>
    <s v="Missing date"/>
    <x v="1"/>
    <s v=""/>
    <n v="1"/>
    <n v="101.44"/>
  </r>
  <r>
    <n v="50500"/>
    <n v="30278"/>
    <x v="188"/>
    <n v="2311"/>
    <x v="8"/>
    <n v="1"/>
    <n v="203.04"/>
    <d v="2025-02-20T00:00:00"/>
    <d v="2025-03-02T00:00:00"/>
    <x v="1"/>
    <s v="OK"/>
    <s v="OK"/>
    <x v="2"/>
    <n v="10"/>
    <n v="1"/>
    <n v="203.04"/>
  </r>
  <r>
    <n v="50501"/>
    <n v="30279"/>
    <x v="189"/>
    <n v="2217"/>
    <x v="4"/>
    <n v="1"/>
    <n v="183.74"/>
    <s v=""/>
    <s v=""/>
    <x v="2"/>
    <s v="Missing date"/>
    <s v="Missing date"/>
    <x v="2"/>
    <s v=""/>
    <n v="1"/>
    <n v="183.74"/>
  </r>
  <r>
    <n v="50502"/>
    <n v="30280"/>
    <x v="29"/>
    <n v="2491"/>
    <x v="0"/>
    <n v="4"/>
    <n v="799.24"/>
    <s v=""/>
    <s v=""/>
    <x v="2"/>
    <s v="Missing date"/>
    <s v="Missing date"/>
    <x v="0"/>
    <s v=""/>
    <n v="1"/>
    <n v="199.81"/>
  </r>
  <r>
    <n v="50503"/>
    <n v="30281"/>
    <x v="190"/>
    <n v="2407"/>
    <x v="5"/>
    <n v="2"/>
    <n v="202.88"/>
    <s v=""/>
    <s v=""/>
    <x v="2"/>
    <s v="Missing date"/>
    <s v="Missing date"/>
    <x v="1"/>
    <s v=""/>
    <n v="1"/>
    <n v="101.44"/>
  </r>
  <r>
    <n v="50504"/>
    <n v="30282"/>
    <x v="191"/>
    <n v="2290"/>
    <x v="2"/>
    <n v="2"/>
    <n v="483.08"/>
    <d v="2025-06-04T00:00:00"/>
    <d v="2025-06-14T00:00:00"/>
    <x v="0"/>
    <s v="OK"/>
    <s v="OK"/>
    <x v="1"/>
    <n v="10"/>
    <n v="1"/>
    <n v="241.54"/>
  </r>
  <r>
    <n v="50505"/>
    <n v="30283"/>
    <x v="192"/>
    <n v="2316"/>
    <x v="12"/>
    <n v="1"/>
    <n v="65.260000000000005"/>
    <d v="2025-11-16T00:00:00"/>
    <d v="2025-11-21T00:00:00"/>
    <x v="0"/>
    <s v="OK"/>
    <s v="OK"/>
    <x v="3"/>
    <n v="5"/>
    <n v="1"/>
    <n v="65.260000000000005"/>
  </r>
  <r>
    <n v="50506"/>
    <n v="30283"/>
    <x v="192"/>
    <n v="2316"/>
    <x v="14"/>
    <n v="1"/>
    <n v="119.74"/>
    <d v="2025-11-16T00:00:00"/>
    <d v="2025-11-22T00:00:00"/>
    <x v="0"/>
    <s v="OK"/>
    <s v="OK"/>
    <x v="3"/>
    <n v="6"/>
    <n v="0"/>
    <n v="119.74"/>
  </r>
  <r>
    <n v="50507"/>
    <n v="30284"/>
    <x v="193"/>
    <n v="2101"/>
    <x v="12"/>
    <n v="1"/>
    <n v="65.260000000000005"/>
    <s v=""/>
    <s v=""/>
    <x v="3"/>
    <s v="Missing date"/>
    <s v="Missing date"/>
    <x v="3"/>
    <s v=""/>
    <n v="1"/>
    <n v="65.260000000000005"/>
  </r>
  <r>
    <n v="50508"/>
    <n v="30284"/>
    <x v="193"/>
    <n v="2101"/>
    <x v="5"/>
    <n v="2"/>
    <n v="202.88"/>
    <s v=""/>
    <s v=""/>
    <x v="3"/>
    <s v="Missing date"/>
    <s v="Missing date"/>
    <x v="1"/>
    <s v=""/>
    <n v="0"/>
    <n v="101.44"/>
  </r>
  <r>
    <n v="50509"/>
    <n v="30284"/>
    <x v="193"/>
    <n v="2101"/>
    <x v="2"/>
    <n v="1"/>
    <n v="241.54"/>
    <s v=""/>
    <s v=""/>
    <x v="3"/>
    <s v="Missing date"/>
    <s v="Missing date"/>
    <x v="1"/>
    <s v=""/>
    <n v="0"/>
    <n v="241.54"/>
  </r>
  <r>
    <n v="50510"/>
    <n v="30284"/>
    <x v="193"/>
    <n v="2101"/>
    <x v="3"/>
    <n v="3"/>
    <n v="355.8"/>
    <s v=""/>
    <s v=""/>
    <x v="3"/>
    <s v="Missing date"/>
    <s v="Missing date"/>
    <x v="2"/>
    <s v=""/>
    <n v="0"/>
    <n v="118.60000000000001"/>
  </r>
  <r>
    <n v="50511"/>
    <n v="30285"/>
    <x v="162"/>
    <n v="2227"/>
    <x v="8"/>
    <n v="4"/>
    <n v="812.16"/>
    <d v="2026-01-01T00:00:00"/>
    <d v="2026-01-10T00:00:00"/>
    <x v="0"/>
    <s v="OK"/>
    <s v="OK"/>
    <x v="2"/>
    <n v="9"/>
    <n v="1"/>
    <n v="203.04"/>
  </r>
  <r>
    <n v="50512"/>
    <n v="30286"/>
    <x v="194"/>
    <n v="2268"/>
    <x v="10"/>
    <n v="3"/>
    <n v="646.02"/>
    <d v="2025-11-30T00:00:00"/>
    <d v="2025-12-10T00:00:00"/>
    <x v="0"/>
    <s v="OK"/>
    <s v="OK"/>
    <x v="3"/>
    <n v="10"/>
    <n v="1"/>
    <n v="215.34"/>
  </r>
  <r>
    <n v="50513"/>
    <n v="30287"/>
    <x v="3"/>
    <n v="2303"/>
    <x v="5"/>
    <n v="3"/>
    <n v="304.32"/>
    <d v="2025-03-01T00:00:00"/>
    <d v="2025-07-03T00:00:00"/>
    <x v="0"/>
    <s v="OK"/>
    <s v="OK"/>
    <x v="1"/>
    <n v="124"/>
    <n v="1"/>
    <n v="101.44"/>
  </r>
  <r>
    <n v="50514"/>
    <n v="30287"/>
    <x v="3"/>
    <n v="2303"/>
    <x v="1"/>
    <n v="1"/>
    <n v="206.09"/>
    <d v="2025-03-01T00:00:00"/>
    <d v="2025-03-06T00:00:00"/>
    <x v="0"/>
    <s v="OK"/>
    <s v="OK"/>
    <x v="0"/>
    <n v="5"/>
    <n v="0"/>
    <n v="206.09"/>
  </r>
  <r>
    <n v="50515"/>
    <n v="30288"/>
    <x v="97"/>
    <n v="2389"/>
    <x v="1"/>
    <n v="1"/>
    <n v="206.09"/>
    <d v="2025-12-29T00:00:00"/>
    <d v="2026-06-01T00:00:00"/>
    <x v="0"/>
    <s v="OK"/>
    <s v="OK"/>
    <x v="0"/>
    <n v="154"/>
    <n v="1"/>
    <n v="206.09"/>
  </r>
  <r>
    <n v="50516"/>
    <n v="30288"/>
    <x v="97"/>
    <n v="2389"/>
    <x v="12"/>
    <n v="1"/>
    <n v="65.260000000000005"/>
    <d v="2025-12-29T00:00:00"/>
    <d v="2025-12-31T00:00:00"/>
    <x v="0"/>
    <s v="OK"/>
    <s v="OK"/>
    <x v="3"/>
    <n v="2"/>
    <n v="0"/>
    <n v="65.260000000000005"/>
  </r>
  <r>
    <n v="50517"/>
    <n v="30288"/>
    <x v="97"/>
    <n v="2389"/>
    <x v="5"/>
    <n v="1"/>
    <n v="101.44"/>
    <d v="2025-12-31T00:00:00"/>
    <d v="2026-01-07T00:00:00"/>
    <x v="0"/>
    <s v="OK"/>
    <s v="OK"/>
    <x v="1"/>
    <n v="7"/>
    <n v="0"/>
    <n v="101.44"/>
  </r>
  <r>
    <n v="50518"/>
    <n v="30288"/>
    <x v="97"/>
    <n v="2389"/>
    <x v="9"/>
    <n v="2"/>
    <n v="80.56"/>
    <d v="2025-12-31T00:00:00"/>
    <d v="2026-01-06T00:00:00"/>
    <x v="0"/>
    <s v="OK"/>
    <s v="OK"/>
    <x v="0"/>
    <n v="6"/>
    <n v="0"/>
    <n v="40.28"/>
  </r>
  <r>
    <n v="50519"/>
    <n v="30289"/>
    <x v="195"/>
    <n v="2501"/>
    <x v="12"/>
    <n v="3"/>
    <n v="195.78"/>
    <d v="2025-11-01T00:00:00"/>
    <d v="2025-11-11T00:00:00"/>
    <x v="1"/>
    <s v="OK"/>
    <s v="OK"/>
    <x v="3"/>
    <n v="10"/>
    <n v="1"/>
    <n v="65.260000000000005"/>
  </r>
  <r>
    <n v="50520"/>
    <n v="30289"/>
    <x v="195"/>
    <n v="2501"/>
    <x v="14"/>
    <n v="1"/>
    <n v="119.74"/>
    <d v="2025-11-02T00:00:00"/>
    <d v="2025-11-10T00:00:00"/>
    <x v="1"/>
    <s v="OK"/>
    <s v="OK"/>
    <x v="3"/>
    <n v="8"/>
    <n v="0"/>
    <n v="119.74"/>
  </r>
  <r>
    <n v="50521"/>
    <n v="30289"/>
    <x v="195"/>
    <n v="2501"/>
    <x v="7"/>
    <n v="1"/>
    <n v="253.86"/>
    <d v="2025-11-01T00:00:00"/>
    <d v="2025-11-07T00:00:00"/>
    <x v="1"/>
    <s v="OK"/>
    <s v="OK"/>
    <x v="0"/>
    <n v="6"/>
    <n v="0"/>
    <n v="253.86"/>
  </r>
  <r>
    <n v="50522"/>
    <n v="30289"/>
    <x v="195"/>
    <n v="2501"/>
    <x v="2"/>
    <n v="3"/>
    <n v="724.62"/>
    <d v="2025-10-31T00:00:00"/>
    <d v="2025-11-10T00:00:00"/>
    <x v="1"/>
    <s v="OK"/>
    <s v="OK"/>
    <x v="1"/>
    <n v="10"/>
    <n v="0"/>
    <n v="241.54"/>
  </r>
  <r>
    <n v="50523"/>
    <n v="30290"/>
    <x v="196"/>
    <n v="2174"/>
    <x v="12"/>
    <n v="1"/>
    <n v="65.260000000000005"/>
    <d v="2025-06-12T00:00:00"/>
    <d v="2025-06-21T00:00:00"/>
    <x v="0"/>
    <s v="OK"/>
    <s v="OK"/>
    <x v="3"/>
    <n v="9"/>
    <n v="1"/>
    <n v="65.260000000000005"/>
  </r>
  <r>
    <n v="50524"/>
    <n v="30291"/>
    <x v="9"/>
    <n v="2189"/>
    <x v="3"/>
    <n v="1"/>
    <n v="118.6"/>
    <s v=""/>
    <s v=""/>
    <x v="2"/>
    <s v="Missing date"/>
    <s v="Missing date"/>
    <x v="2"/>
    <s v=""/>
    <n v="1"/>
    <n v="118.6"/>
  </r>
  <r>
    <n v="50525"/>
    <n v="30292"/>
    <x v="106"/>
    <n v="2537"/>
    <x v="11"/>
    <n v="2"/>
    <n v="448.74"/>
    <d v="2025-02-12T00:00:00"/>
    <d v="2025-02-20T00:00:00"/>
    <x v="0"/>
    <s v="OK"/>
    <s v="OK"/>
    <x v="2"/>
    <n v="8"/>
    <n v="1"/>
    <n v="224.37"/>
  </r>
  <r>
    <n v="50526"/>
    <n v="30293"/>
    <x v="136"/>
    <n v="2050"/>
    <x v="10"/>
    <n v="2"/>
    <n v="430.68"/>
    <d v="2025-06-13T00:00:00"/>
    <s v=""/>
    <x v="3"/>
    <s v="Missing date"/>
    <s v="OK"/>
    <x v="3"/>
    <s v=""/>
    <n v="1"/>
    <n v="215.34"/>
  </r>
  <r>
    <n v="50527"/>
    <n v="30293"/>
    <x v="136"/>
    <n v="2050"/>
    <x v="1"/>
    <n v="1"/>
    <n v="206.09"/>
    <d v="2025-06-13T00:00:00"/>
    <s v=""/>
    <x v="3"/>
    <s v="Missing date"/>
    <s v="OK"/>
    <x v="0"/>
    <s v=""/>
    <n v="0"/>
    <n v="206.09"/>
  </r>
  <r>
    <n v="50528"/>
    <n v="30293"/>
    <x v="197"/>
    <n v="2050"/>
    <x v="6"/>
    <n v="1"/>
    <n v="31.73"/>
    <d v="2026-02-06T00:00:00"/>
    <s v=""/>
    <x v="3"/>
    <s v="Missing date"/>
    <s v="OK"/>
    <x v="2"/>
    <s v=""/>
    <n v="0"/>
    <n v="31.73"/>
  </r>
  <r>
    <n v="50529"/>
    <n v="30294"/>
    <x v="109"/>
    <n v="2518"/>
    <x v="3"/>
    <n v="1"/>
    <n v="118.6"/>
    <d v="2025-12-25T00:00:00"/>
    <d v="2026-04-01T00:00:00"/>
    <x v="0"/>
    <s v="OK"/>
    <s v="OK"/>
    <x v="2"/>
    <n v="97"/>
    <n v="1"/>
    <n v="118.6"/>
  </r>
  <r>
    <n v="50530"/>
    <n v="30295"/>
    <x v="198"/>
    <n v="2495"/>
    <x v="8"/>
    <n v="1"/>
    <n v="203.04"/>
    <d v="2025-11-17T00:00:00"/>
    <d v="2025-11-21T00:00:00"/>
    <x v="0"/>
    <s v="OK"/>
    <s v="OK"/>
    <x v="2"/>
    <n v="4"/>
    <n v="1"/>
    <n v="203.04"/>
  </r>
  <r>
    <n v="50531"/>
    <n v="30296"/>
    <x v="3"/>
    <n v="2007"/>
    <x v="10"/>
    <n v="1"/>
    <n v="215.34"/>
    <d v="2025-02-27T00:00:00"/>
    <d v="2025-03-05T00:00:00"/>
    <x v="0"/>
    <s v="OK"/>
    <s v="OK"/>
    <x v="3"/>
    <n v="6"/>
    <n v="1"/>
    <n v="215.34"/>
  </r>
  <r>
    <n v="50532"/>
    <n v="30297"/>
    <x v="21"/>
    <n v="2013"/>
    <x v="9"/>
    <n v="2"/>
    <n v="80.56"/>
    <d v="2025-05-16T00:00:00"/>
    <d v="2025-05-24T00:00:00"/>
    <x v="0"/>
    <s v="OK"/>
    <s v="OK"/>
    <x v="0"/>
    <n v="8"/>
    <n v="1"/>
    <n v="40.28"/>
  </r>
  <r>
    <n v="50533"/>
    <n v="30297"/>
    <x v="21"/>
    <n v="2013"/>
    <x v="13"/>
    <n v="2"/>
    <n v="243"/>
    <d v="2025-05-14T00:00:00"/>
    <d v="2025-05-23T00:00:00"/>
    <x v="0"/>
    <s v="OK"/>
    <s v="OK"/>
    <x v="1"/>
    <n v="9"/>
    <n v="0"/>
    <n v="121.5"/>
  </r>
  <r>
    <n v="50534"/>
    <n v="30298"/>
    <x v="143"/>
    <n v="2018"/>
    <x v="10"/>
    <n v="4"/>
    <n v="861.36"/>
    <d v="2025-08-15T00:00:00"/>
    <d v="2025-08-19T00:00:00"/>
    <x v="0"/>
    <s v="OK"/>
    <s v="OK"/>
    <x v="3"/>
    <n v="4"/>
    <n v="1"/>
    <n v="215.34"/>
  </r>
  <r>
    <n v="50535"/>
    <n v="30298"/>
    <x v="143"/>
    <n v="2018"/>
    <x v="7"/>
    <n v="1"/>
    <n v="253.86"/>
    <d v="2025-08-16T00:00:00"/>
    <d v="2025-08-19T00:00:00"/>
    <x v="0"/>
    <s v="OK"/>
    <s v="OK"/>
    <x v="0"/>
    <n v="3"/>
    <n v="0"/>
    <n v="253.86"/>
  </r>
  <r>
    <n v="50536"/>
    <n v="30298"/>
    <x v="143"/>
    <n v="2018"/>
    <x v="4"/>
    <n v="1"/>
    <n v="183.74"/>
    <d v="2025-08-16T00:00:00"/>
    <d v="2025-08-26T00:00:00"/>
    <x v="0"/>
    <s v="OK"/>
    <s v="OK"/>
    <x v="2"/>
    <n v="10"/>
    <n v="0"/>
    <n v="183.74"/>
  </r>
  <r>
    <n v="50537"/>
    <n v="30299"/>
    <x v="123"/>
    <n v="2099"/>
    <x v="1"/>
    <n v="1"/>
    <n v="206.09"/>
    <d v="2025-11-09T00:00:00"/>
    <d v="2025-11-14T00:00:00"/>
    <x v="0"/>
    <s v="OK"/>
    <s v="OK"/>
    <x v="0"/>
    <n v="5"/>
    <n v="1"/>
    <n v="206.09"/>
  </r>
  <r>
    <n v="50538"/>
    <n v="30299"/>
    <x v="57"/>
    <n v="2099"/>
    <x v="0"/>
    <n v="1"/>
    <n v="199.81"/>
    <d v="2025-11-08T00:00:00"/>
    <d v="2025-11-10T00:00:00"/>
    <x v="0"/>
    <s v="OK"/>
    <s v="OK"/>
    <x v="0"/>
    <n v="2"/>
    <n v="0"/>
    <n v="199.81"/>
  </r>
  <r>
    <n v="50539"/>
    <n v="30300"/>
    <x v="12"/>
    <n v="2540"/>
    <x v="2"/>
    <n v="1"/>
    <n v="241.54"/>
    <d v="2025-08-30T00:00:00"/>
    <d v="2025-09-02T00:00:00"/>
    <x v="0"/>
    <s v="OK"/>
    <s v="OK"/>
    <x v="1"/>
    <n v="3"/>
    <n v="1"/>
    <n v="241.54"/>
  </r>
  <r>
    <n v="50540"/>
    <n v="30300"/>
    <x v="12"/>
    <n v="2540"/>
    <x v="9"/>
    <n v="2"/>
    <n v="80.56"/>
    <d v="2025-08-30T00:00:00"/>
    <d v="2025-09-01T00:00:00"/>
    <x v="0"/>
    <s v="OK"/>
    <s v="OK"/>
    <x v="0"/>
    <n v="2"/>
    <n v="0"/>
    <n v="40.28"/>
  </r>
  <r>
    <n v="50541"/>
    <n v="30301"/>
    <x v="72"/>
    <n v="2407"/>
    <x v="15"/>
    <n v="1"/>
    <n v="170.25"/>
    <d v="2025-09-22T00:00:00"/>
    <d v="2025-09-28T00:00:00"/>
    <x v="0"/>
    <s v="OK"/>
    <s v="OK"/>
    <x v="1"/>
    <n v="6"/>
    <n v="1"/>
    <n v="170.25"/>
  </r>
  <r>
    <n v="50542"/>
    <n v="30302"/>
    <x v="199"/>
    <n v="2471"/>
    <x v="1"/>
    <n v="1"/>
    <n v="206.09"/>
    <d v="2025-04-07T00:00:00"/>
    <d v="2025-07-09T00:00:00"/>
    <x v="0"/>
    <s v="OK"/>
    <s v="OK"/>
    <x v="0"/>
    <n v="93"/>
    <n v="1"/>
    <n v="206.09"/>
  </r>
  <r>
    <n v="50543"/>
    <n v="30303"/>
    <x v="50"/>
    <n v="2308"/>
    <x v="11"/>
    <n v="1"/>
    <n v="224.37"/>
    <d v="2025-04-15T00:00:00"/>
    <d v="2025-04-25T00:00:00"/>
    <x v="0"/>
    <s v="OK"/>
    <s v="OK"/>
    <x v="2"/>
    <n v="10"/>
    <n v="1"/>
    <n v="224.37"/>
  </r>
  <r>
    <n v="50544"/>
    <n v="30304"/>
    <x v="200"/>
    <n v="2033"/>
    <x v="15"/>
    <n v="2"/>
    <n v="340.5"/>
    <d v="2025-06-04T00:00:00"/>
    <d v="2025-07-06T00:00:00"/>
    <x v="0"/>
    <s v="OK"/>
    <s v="OK"/>
    <x v="1"/>
    <n v="32"/>
    <n v="1"/>
    <n v="170.25"/>
  </r>
  <r>
    <n v="50545"/>
    <n v="30305"/>
    <x v="41"/>
    <n v="2387"/>
    <x v="3"/>
    <n v="5"/>
    <n v="593"/>
    <d v="2025-09-22T00:00:00"/>
    <d v="2025-09-23T00:00:00"/>
    <x v="0"/>
    <s v="OK"/>
    <s v="OK"/>
    <x v="2"/>
    <n v="1"/>
    <n v="1"/>
    <n v="118.6"/>
  </r>
  <r>
    <n v="50546"/>
    <n v="30306"/>
    <x v="201"/>
    <n v="2010"/>
    <x v="11"/>
    <n v="1"/>
    <n v="224.37"/>
    <d v="2025-06-24T00:00:00"/>
    <d v="2025-06-25T00:00:00"/>
    <x v="0"/>
    <s v="OK"/>
    <s v="OK"/>
    <x v="2"/>
    <n v="1"/>
    <n v="1"/>
    <n v="224.37"/>
  </r>
  <r>
    <n v="50547"/>
    <n v="30306"/>
    <x v="201"/>
    <n v="2010"/>
    <x v="12"/>
    <n v="3"/>
    <n v="195.78"/>
    <d v="2025-06-24T00:00:00"/>
    <d v="2025-07-01T00:00:00"/>
    <x v="0"/>
    <s v="OK"/>
    <s v="OK"/>
    <x v="3"/>
    <n v="7"/>
    <n v="0"/>
    <n v="65.260000000000005"/>
  </r>
  <r>
    <n v="50548"/>
    <n v="30306"/>
    <x v="201"/>
    <n v="2010"/>
    <x v="10"/>
    <n v="2"/>
    <n v="430.68"/>
    <d v="2025-06-24T00:00:00"/>
    <d v="2025-06-29T00:00:00"/>
    <x v="0"/>
    <s v="OK"/>
    <s v="OK"/>
    <x v="3"/>
    <n v="5"/>
    <n v="0"/>
    <n v="215.34"/>
  </r>
  <r>
    <n v="50549"/>
    <n v="30307"/>
    <x v="202"/>
    <n v="2340"/>
    <x v="4"/>
    <n v="2"/>
    <n v="367.48"/>
    <d v="2025-06-18T00:00:00"/>
    <d v="2025-06-22T00:00:00"/>
    <x v="0"/>
    <s v="OK"/>
    <s v="OK"/>
    <x v="2"/>
    <n v="4"/>
    <n v="1"/>
    <n v="183.74"/>
  </r>
  <r>
    <n v="50550"/>
    <n v="30307"/>
    <x v="202"/>
    <n v="2340"/>
    <x v="3"/>
    <n v="2"/>
    <n v="237.2"/>
    <d v="2025-06-18T00:00:00"/>
    <d v="2025-06-26T00:00:00"/>
    <x v="0"/>
    <s v="OK"/>
    <s v="OK"/>
    <x v="2"/>
    <n v="8"/>
    <n v="0"/>
    <n v="118.6"/>
  </r>
  <r>
    <n v="50551"/>
    <n v="30307"/>
    <x v="202"/>
    <n v="2340"/>
    <x v="1"/>
    <n v="4"/>
    <n v="824.36"/>
    <d v="2025-06-19T00:00:00"/>
    <d v="2025-06-27T00:00:00"/>
    <x v="0"/>
    <s v="OK"/>
    <s v="OK"/>
    <x v="0"/>
    <n v="8"/>
    <n v="0"/>
    <n v="206.09"/>
  </r>
  <r>
    <n v="50552"/>
    <n v="30308"/>
    <x v="92"/>
    <n v="2217"/>
    <x v="12"/>
    <n v="3"/>
    <n v="195.78"/>
    <s v=""/>
    <s v=""/>
    <x v="2"/>
    <s v="Missing date"/>
    <s v="Missing date"/>
    <x v="3"/>
    <s v=""/>
    <n v="1"/>
    <n v="65.260000000000005"/>
  </r>
  <r>
    <n v="50553"/>
    <n v="30309"/>
    <x v="193"/>
    <n v="2278"/>
    <x v="11"/>
    <n v="1"/>
    <n v="224.37"/>
    <d v="2025-05-17T00:00:00"/>
    <d v="2025-05-23T00:00:00"/>
    <x v="0"/>
    <s v="OK"/>
    <s v="OK"/>
    <x v="2"/>
    <n v="6"/>
    <n v="1"/>
    <n v="224.37"/>
  </r>
  <r>
    <n v="50554"/>
    <n v="30309"/>
    <x v="193"/>
    <n v="2278"/>
    <x v="9"/>
    <n v="2"/>
    <n v="80.56"/>
    <d v="2025-05-16T00:00:00"/>
    <d v="2025-05-20T00:00:00"/>
    <x v="0"/>
    <s v="OK"/>
    <s v="OK"/>
    <x v="0"/>
    <n v="4"/>
    <n v="0"/>
    <n v="40.28"/>
  </r>
  <r>
    <n v="50555"/>
    <n v="30310"/>
    <x v="66"/>
    <n v="2557"/>
    <x v="3"/>
    <n v="2"/>
    <n v="237.2"/>
    <d v="2025-02-18T00:00:00"/>
    <d v="2025-02-26T00:00:00"/>
    <x v="0"/>
    <s v="OK"/>
    <s v="OK"/>
    <x v="2"/>
    <n v="8"/>
    <n v="1"/>
    <n v="118.6"/>
  </r>
  <r>
    <n v="50556"/>
    <n v="30311"/>
    <x v="203"/>
    <n v="2184"/>
    <x v="5"/>
    <n v="1"/>
    <n v="101.44"/>
    <s v=""/>
    <s v=""/>
    <x v="2"/>
    <s v="Missing date"/>
    <s v="Missing date"/>
    <x v="1"/>
    <s v=""/>
    <n v="1"/>
    <n v="101.44"/>
  </r>
  <r>
    <n v="50557"/>
    <n v="30312"/>
    <x v="204"/>
    <n v="2017"/>
    <x v="6"/>
    <n v="1"/>
    <n v="31.73"/>
    <d v="2025-11-24T00:00:00"/>
    <d v="2025-11-26T00:00:00"/>
    <x v="1"/>
    <s v="OK"/>
    <s v="OK"/>
    <x v="2"/>
    <n v="2"/>
    <n v="1"/>
    <n v="31.73"/>
  </r>
  <r>
    <n v="50558"/>
    <n v="30312"/>
    <x v="204"/>
    <n v="2017"/>
    <x v="15"/>
    <n v="1"/>
    <n v="170.25"/>
    <d v="2025-11-24T00:00:00"/>
    <d v="2025-11-30T00:00:00"/>
    <x v="1"/>
    <s v="OK"/>
    <s v="OK"/>
    <x v="1"/>
    <n v="6"/>
    <n v="0"/>
    <n v="170.25"/>
  </r>
  <r>
    <n v="50559"/>
    <n v="30312"/>
    <x v="204"/>
    <n v="2017"/>
    <x v="11"/>
    <n v="3"/>
    <n v="673.11"/>
    <d v="2025-11-26T00:00:00"/>
    <d v="2025-12-04T00:00:00"/>
    <x v="1"/>
    <s v="OK"/>
    <s v="OK"/>
    <x v="2"/>
    <n v="8"/>
    <n v="0"/>
    <n v="224.37"/>
  </r>
  <r>
    <n v="50560"/>
    <n v="30312"/>
    <x v="204"/>
    <n v="2017"/>
    <x v="13"/>
    <n v="2"/>
    <n v="243"/>
    <d v="2025-11-26T00:00:00"/>
    <d v="2025-11-28T00:00:00"/>
    <x v="1"/>
    <s v="OK"/>
    <s v="OK"/>
    <x v="1"/>
    <n v="2"/>
    <n v="0"/>
    <n v="121.5"/>
  </r>
  <r>
    <n v="50561"/>
    <n v="30313"/>
    <x v="118"/>
    <n v="2167"/>
    <x v="15"/>
    <n v="1"/>
    <n v="170.25"/>
    <d v="2025-10-04T00:00:00"/>
    <d v="2025-10-08T00:00:00"/>
    <x v="0"/>
    <s v="OK"/>
    <s v="OK"/>
    <x v="1"/>
    <n v="4"/>
    <n v="1"/>
    <n v="170.25"/>
  </r>
  <r>
    <n v="50562"/>
    <n v="30314"/>
    <x v="205"/>
    <n v="2554"/>
    <x v="6"/>
    <n v="1"/>
    <n v="31.73"/>
    <d v="2025-04-13T00:00:00"/>
    <d v="2025-04-19T00:00:00"/>
    <x v="0"/>
    <s v="OK"/>
    <s v="OK"/>
    <x v="2"/>
    <n v="6"/>
    <n v="1"/>
    <n v="31.73"/>
  </r>
  <r>
    <n v="50563"/>
    <n v="30315"/>
    <x v="195"/>
    <n v="2081"/>
    <x v="2"/>
    <n v="1"/>
    <n v="241.54"/>
    <d v="2025-11-02T00:00:00"/>
    <d v="2025-11-05T00:00:00"/>
    <x v="0"/>
    <s v="OK"/>
    <s v="OK"/>
    <x v="1"/>
    <n v="3"/>
    <n v="1"/>
    <n v="241.54"/>
  </r>
  <r>
    <n v="50564"/>
    <n v="30316"/>
    <x v="206"/>
    <n v="2055"/>
    <x v="1"/>
    <n v="3"/>
    <n v="618.27"/>
    <d v="2025-10-14T00:00:00"/>
    <d v="2025-10-19T00:00:00"/>
    <x v="0"/>
    <s v="OK"/>
    <s v="OK"/>
    <x v="0"/>
    <n v="5"/>
    <n v="1"/>
    <n v="206.09"/>
  </r>
  <r>
    <n v="50565"/>
    <n v="30316"/>
    <x v="206"/>
    <n v="2055"/>
    <x v="11"/>
    <n v="3"/>
    <n v="673.11"/>
    <d v="2025-10-14T00:00:00"/>
    <d v="2025-10-17T00:00:00"/>
    <x v="0"/>
    <s v="OK"/>
    <s v="OK"/>
    <x v="2"/>
    <n v="3"/>
    <n v="0"/>
    <n v="224.37"/>
  </r>
  <r>
    <n v="50566"/>
    <n v="30317"/>
    <x v="207"/>
    <n v="2349"/>
    <x v="15"/>
    <n v="1"/>
    <n v="170.25"/>
    <d v="2025-05-06T00:00:00"/>
    <d v="2025-05-10T00:00:00"/>
    <x v="0"/>
    <s v="OK"/>
    <s v="OK"/>
    <x v="1"/>
    <n v="4"/>
    <n v="1"/>
    <n v="170.25"/>
  </r>
  <r>
    <n v="50567"/>
    <n v="30318"/>
    <x v="208"/>
    <n v="2335"/>
    <x v="9"/>
    <n v="2"/>
    <n v="80.56"/>
    <d v="2025-05-25T00:00:00"/>
    <d v="2025-05-29T00:00:00"/>
    <x v="0"/>
    <s v="OK"/>
    <s v="OK"/>
    <x v="0"/>
    <n v="4"/>
    <n v="1"/>
    <n v="40.28"/>
  </r>
  <r>
    <n v="50568"/>
    <n v="30319"/>
    <x v="99"/>
    <n v="2462"/>
    <x v="2"/>
    <n v="1"/>
    <n v="241.54"/>
    <d v="2025-03-09T00:00:00"/>
    <d v="2025-03-17T00:00:00"/>
    <x v="0"/>
    <s v="OK"/>
    <s v="OK"/>
    <x v="1"/>
    <n v="8"/>
    <n v="1"/>
    <n v="241.54"/>
  </r>
  <r>
    <n v="50569"/>
    <n v="30320"/>
    <x v="117"/>
    <n v="2567"/>
    <x v="10"/>
    <n v="1"/>
    <n v="215.34"/>
    <d v="2025-04-23T00:00:00"/>
    <d v="2025-05-01T00:00:00"/>
    <x v="1"/>
    <s v="OK"/>
    <s v="OK"/>
    <x v="3"/>
    <n v="8"/>
    <n v="1"/>
    <n v="215.34"/>
  </r>
  <r>
    <n v="50570"/>
    <n v="30321"/>
    <x v="175"/>
    <n v="2191"/>
    <x v="15"/>
    <n v="2"/>
    <n v="340.5"/>
    <d v="2025-01-25T00:00:00"/>
    <d v="2025-01-26T00:00:00"/>
    <x v="0"/>
    <s v="OK"/>
    <s v="OK"/>
    <x v="1"/>
    <n v="1"/>
    <n v="1"/>
    <n v="170.25"/>
  </r>
  <r>
    <n v="50571"/>
    <n v="30322"/>
    <x v="209"/>
    <n v="2088"/>
    <x v="13"/>
    <n v="2"/>
    <n v="243"/>
    <s v=""/>
    <s v=""/>
    <x v="3"/>
    <s v="Missing date"/>
    <s v="Missing date"/>
    <x v="1"/>
    <s v=""/>
    <n v="1"/>
    <n v="121.5"/>
  </r>
  <r>
    <n v="50572"/>
    <n v="30322"/>
    <x v="209"/>
    <n v="2088"/>
    <x v="11"/>
    <n v="3"/>
    <n v="673.11"/>
    <d v="2026-05-11T00:00:00"/>
    <s v=""/>
    <x v="3"/>
    <s v="Missing date"/>
    <s v="OK"/>
    <x v="2"/>
    <s v=""/>
    <n v="0"/>
    <n v="224.37"/>
  </r>
  <r>
    <n v="50573"/>
    <n v="30322"/>
    <x v="209"/>
    <n v="2088"/>
    <x v="6"/>
    <n v="2"/>
    <n v="63.46"/>
    <s v=""/>
    <s v=""/>
    <x v="3"/>
    <s v="Missing date"/>
    <s v="Missing date"/>
    <x v="2"/>
    <s v=""/>
    <n v="0"/>
    <n v="31.73"/>
  </r>
  <r>
    <n v="50574"/>
    <n v="30322"/>
    <x v="209"/>
    <n v="2088"/>
    <x v="6"/>
    <n v="1"/>
    <n v="31.73"/>
    <s v=""/>
    <s v=""/>
    <x v="3"/>
    <s v="Missing date"/>
    <s v="Missing date"/>
    <x v="2"/>
    <s v=""/>
    <n v="0"/>
    <n v="31.73"/>
  </r>
  <r>
    <n v="50575"/>
    <n v="30323"/>
    <x v="111"/>
    <n v="2325"/>
    <x v="11"/>
    <n v="1"/>
    <n v="224.37"/>
    <d v="2025-11-30T00:00:00"/>
    <d v="2025-12-05T00:00:00"/>
    <x v="0"/>
    <s v="OK"/>
    <s v="OK"/>
    <x v="2"/>
    <n v="5"/>
    <n v="1"/>
    <n v="224.37"/>
  </r>
  <r>
    <n v="50576"/>
    <n v="30324"/>
    <x v="201"/>
    <n v="2006"/>
    <x v="14"/>
    <n v="1"/>
    <n v="119.74"/>
    <d v="2025-06-23T00:00:00"/>
    <d v="2025-07-01T00:00:00"/>
    <x v="1"/>
    <s v="OK"/>
    <s v="OK"/>
    <x v="3"/>
    <n v="8"/>
    <n v="1"/>
    <n v="119.74"/>
  </r>
  <r>
    <n v="50577"/>
    <n v="30325"/>
    <x v="150"/>
    <n v="2369"/>
    <x v="4"/>
    <n v="1"/>
    <n v="183.74"/>
    <d v="2025-07-24T00:00:00"/>
    <s v=""/>
    <x v="3"/>
    <s v="Missing date"/>
    <s v="OK"/>
    <x v="2"/>
    <s v=""/>
    <n v="1"/>
    <n v="183.74"/>
  </r>
  <r>
    <n v="50578"/>
    <n v="30325"/>
    <x v="150"/>
    <n v="2369"/>
    <x v="7"/>
    <n v="2"/>
    <n v="507.72"/>
    <s v=""/>
    <s v=""/>
    <x v="3"/>
    <s v="Missing date"/>
    <s v="Missing date"/>
    <x v="0"/>
    <s v=""/>
    <n v="0"/>
    <n v="253.86"/>
  </r>
  <r>
    <n v="50579"/>
    <n v="30325"/>
    <x v="150"/>
    <n v="2369"/>
    <x v="10"/>
    <n v="3"/>
    <n v="646.02"/>
    <d v="2026-10-07T00:00:00"/>
    <s v=""/>
    <x v="3"/>
    <s v="Missing date"/>
    <s v="OK"/>
    <x v="3"/>
    <s v=""/>
    <n v="0"/>
    <n v="215.34"/>
  </r>
  <r>
    <n v="50580"/>
    <n v="30326"/>
    <x v="37"/>
    <n v="2092"/>
    <x v="11"/>
    <n v="3"/>
    <n v="673.11"/>
    <d v="2025-10-12T00:00:00"/>
    <d v="2025-10-14T00:00:00"/>
    <x v="0"/>
    <s v="OK"/>
    <s v="OK"/>
    <x v="2"/>
    <n v="2"/>
    <n v="1"/>
    <n v="224.37"/>
  </r>
  <r>
    <n v="50581"/>
    <n v="30326"/>
    <x v="38"/>
    <n v="2092"/>
    <x v="5"/>
    <n v="1"/>
    <n v="101.44"/>
    <d v="2025-10-10T00:00:00"/>
    <d v="2025-10-18T00:00:00"/>
    <x v="0"/>
    <s v="OK"/>
    <s v="OK"/>
    <x v="1"/>
    <n v="8"/>
    <n v="0"/>
    <n v="101.44"/>
  </r>
  <r>
    <n v="50582"/>
    <n v="30326"/>
    <x v="37"/>
    <n v="2092"/>
    <x v="15"/>
    <n v="2"/>
    <n v="340.5"/>
    <d v="2025-10-10T00:00:00"/>
    <d v="2025-10-17T00:00:00"/>
    <x v="0"/>
    <s v="OK"/>
    <s v="OK"/>
    <x v="1"/>
    <n v="7"/>
    <n v="0"/>
    <n v="170.25"/>
  </r>
  <r>
    <n v="50583"/>
    <n v="30327"/>
    <x v="210"/>
    <n v="2013"/>
    <x v="15"/>
    <n v="1"/>
    <n v="170.25"/>
    <d v="2025-12-11T00:00:00"/>
    <d v="2025-12-14T00:00:00"/>
    <x v="0"/>
    <s v="OK"/>
    <s v="OK"/>
    <x v="1"/>
    <n v="3"/>
    <n v="1"/>
    <n v="170.25"/>
  </r>
  <r>
    <n v="50584"/>
    <n v="30328"/>
    <x v="189"/>
    <n v="2087"/>
    <x v="1"/>
    <n v="1"/>
    <n v="206.09"/>
    <d v="2025-03-21T00:00:00"/>
    <d v="2025-03-28T00:00:00"/>
    <x v="0"/>
    <s v="OK"/>
    <s v="OK"/>
    <x v="0"/>
    <n v="7"/>
    <n v="1"/>
    <n v="206.09"/>
  </r>
  <r>
    <n v="50585"/>
    <n v="30329"/>
    <x v="56"/>
    <n v="2586"/>
    <x v="15"/>
    <n v="3"/>
    <n v="510.75"/>
    <d v="2025-12-14T00:00:00"/>
    <d v="2025-12-21T00:00:00"/>
    <x v="0"/>
    <s v="OK"/>
    <s v="OK"/>
    <x v="1"/>
    <n v="7"/>
    <n v="1"/>
    <n v="170.25"/>
  </r>
  <r>
    <n v="50586"/>
    <n v="30330"/>
    <x v="211"/>
    <n v="2174"/>
    <x v="13"/>
    <n v="3"/>
    <n v="364.5"/>
    <d v="2025-09-03T00:00:00"/>
    <d v="2025-09-13T00:00:00"/>
    <x v="0"/>
    <s v="OK"/>
    <s v="OK"/>
    <x v="1"/>
    <n v="10"/>
    <n v="1"/>
    <n v="121.5"/>
  </r>
  <r>
    <n v="50587"/>
    <n v="30331"/>
    <x v="54"/>
    <m/>
    <x v="11"/>
    <n v="1"/>
    <n v="224.37"/>
    <d v="2025-04-08T00:00:00"/>
    <d v="2025-04-15T00:00:00"/>
    <x v="0"/>
    <s v="OK"/>
    <s v="OK"/>
    <x v="2"/>
    <n v="7"/>
    <n v="1"/>
    <n v="224.37"/>
  </r>
  <r>
    <n v="50588"/>
    <n v="30331"/>
    <x v="54"/>
    <n v="2275"/>
    <x v="7"/>
    <n v="3"/>
    <n v="761.58"/>
    <d v="2025-04-09T00:00:00"/>
    <d v="2025-04-12T00:00:00"/>
    <x v="0"/>
    <s v="OK"/>
    <s v="OK"/>
    <x v="0"/>
    <n v="3"/>
    <n v="0"/>
    <n v="253.86"/>
  </r>
  <r>
    <n v="50589"/>
    <n v="30331"/>
    <x v="54"/>
    <n v="2275"/>
    <x v="10"/>
    <n v="1"/>
    <n v="215.34"/>
    <d v="2025-04-09T00:00:00"/>
    <d v="2025-04-19T00:00:00"/>
    <x v="0"/>
    <s v="OK"/>
    <s v="OK"/>
    <x v="3"/>
    <n v="10"/>
    <n v="0"/>
    <n v="215.34"/>
  </r>
  <r>
    <n v="50590"/>
    <n v="30332"/>
    <x v="212"/>
    <n v="2283"/>
    <x v="12"/>
    <n v="1"/>
    <n v="65.260000000000005"/>
    <d v="2025-07-26T00:00:00"/>
    <d v="2025-08-02T00:00:00"/>
    <x v="0"/>
    <s v="OK"/>
    <s v="OK"/>
    <x v="3"/>
    <n v="7"/>
    <n v="1"/>
    <n v="65.260000000000005"/>
  </r>
  <r>
    <n v="50591"/>
    <n v="30333"/>
    <x v="213"/>
    <n v="2079"/>
    <x v="1"/>
    <n v="2"/>
    <n v="412.18"/>
    <d v="2025-04-05T00:00:00"/>
    <d v="2025-04-09T00:00:00"/>
    <x v="0"/>
    <s v="OK"/>
    <s v="OK"/>
    <x v="0"/>
    <n v="4"/>
    <n v="1"/>
    <n v="206.09"/>
  </r>
  <r>
    <n v="50592"/>
    <n v="30333"/>
    <x v="213"/>
    <n v="2079"/>
    <x v="12"/>
    <n v="3"/>
    <n v="195.78"/>
    <d v="2025-06-04T00:00:00"/>
    <d v="2025-09-04T00:00:00"/>
    <x v="0"/>
    <s v="OK"/>
    <s v="OK"/>
    <x v="3"/>
    <n v="92"/>
    <n v="0"/>
    <n v="65.260000000000005"/>
  </r>
  <r>
    <n v="50593"/>
    <n v="30334"/>
    <x v="183"/>
    <n v="2201"/>
    <x v="6"/>
    <n v="5"/>
    <n v="158.65"/>
    <d v="2025-09-05T00:00:00"/>
    <d v="2025-09-14T00:00:00"/>
    <x v="0"/>
    <s v="OK"/>
    <s v="OK"/>
    <x v="2"/>
    <n v="9"/>
    <n v="1"/>
    <n v="31.73"/>
  </r>
  <r>
    <n v="50594"/>
    <n v="30334"/>
    <x v="181"/>
    <n v="2201"/>
    <x v="13"/>
    <n v="1"/>
    <n v="121.5"/>
    <d v="2025-05-09T00:00:00"/>
    <d v="2025-09-14T00:00:00"/>
    <x v="0"/>
    <s v="OK"/>
    <s v="OK"/>
    <x v="1"/>
    <n v="128"/>
    <n v="0"/>
    <n v="121.5"/>
  </r>
  <r>
    <n v="50595"/>
    <n v="30335"/>
    <x v="214"/>
    <n v="2007"/>
    <x v="5"/>
    <n v="1"/>
    <n v="101.44"/>
    <d v="2025-07-10T00:00:00"/>
    <d v="2025-07-14T00:00:00"/>
    <x v="1"/>
    <s v="OK"/>
    <s v="OK"/>
    <x v="1"/>
    <n v="4"/>
    <n v="1"/>
    <n v="101.44"/>
  </r>
  <r>
    <n v="50596"/>
    <n v="30335"/>
    <x v="214"/>
    <n v="2007"/>
    <x v="15"/>
    <n v="2"/>
    <n v="340.5"/>
    <d v="2025-07-10T00:00:00"/>
    <d v="2025-07-14T00:00:00"/>
    <x v="1"/>
    <s v="OK"/>
    <s v="OK"/>
    <x v="1"/>
    <n v="4"/>
    <n v="0"/>
    <n v="170.25"/>
  </r>
  <r>
    <n v="50597"/>
    <n v="30335"/>
    <x v="214"/>
    <n v="2007"/>
    <x v="5"/>
    <n v="1"/>
    <n v="101.44"/>
    <d v="2025-07-10T00:00:00"/>
    <d v="2025-07-12T00:00:00"/>
    <x v="1"/>
    <s v="OK"/>
    <s v="OK"/>
    <x v="1"/>
    <n v="2"/>
    <n v="0"/>
    <n v="101.44"/>
  </r>
  <r>
    <n v="50598"/>
    <n v="30336"/>
    <x v="212"/>
    <n v="2451"/>
    <x v="6"/>
    <n v="3"/>
    <n v="95.19"/>
    <d v="2025-07-27T00:00:00"/>
    <d v="2025-08-02T00:00:00"/>
    <x v="0"/>
    <s v="OK"/>
    <s v="OK"/>
    <x v="2"/>
    <n v="6"/>
    <n v="1"/>
    <n v="31.73"/>
  </r>
  <r>
    <n v="50599"/>
    <n v="30337"/>
    <x v="215"/>
    <n v="2308"/>
    <x v="0"/>
    <n v="5"/>
    <n v="999.05"/>
    <d v="2025-08-24T00:00:00"/>
    <d v="2025-08-29T00:00:00"/>
    <x v="0"/>
    <s v="OK"/>
    <s v="OK"/>
    <x v="0"/>
    <n v="5"/>
    <n v="1"/>
    <n v="199.81"/>
  </r>
  <r>
    <n v="50600"/>
    <n v="30337"/>
    <x v="215"/>
    <n v="2308"/>
    <x v="12"/>
    <n v="1"/>
    <n v="65.260000000000005"/>
    <d v="2025-08-24T00:00:00"/>
    <d v="2025-09-03T00:00:00"/>
    <x v="0"/>
    <s v="OK"/>
    <s v="OK"/>
    <x v="3"/>
    <n v="10"/>
    <n v="0"/>
    <n v="65.260000000000005"/>
  </r>
  <r>
    <n v="50601"/>
    <n v="30338"/>
    <x v="216"/>
    <n v="2322"/>
    <x v="15"/>
    <n v="2"/>
    <n v="340.5"/>
    <d v="2025-01-28T00:00:00"/>
    <d v="2025-02-07T00:00:00"/>
    <x v="0"/>
    <s v="OK"/>
    <s v="OK"/>
    <x v="1"/>
    <n v="10"/>
    <n v="1"/>
    <n v="170.25"/>
  </r>
  <r>
    <n v="50602"/>
    <n v="30338"/>
    <x v="216"/>
    <n v="2322"/>
    <x v="5"/>
    <n v="1"/>
    <n v="101.44"/>
    <d v="2025-01-28T00:00:00"/>
    <d v="2025-01-30T00:00:00"/>
    <x v="0"/>
    <s v="OK"/>
    <s v="OK"/>
    <x v="1"/>
    <n v="2"/>
    <n v="0"/>
    <n v="101.44"/>
  </r>
  <r>
    <n v="50603"/>
    <n v="30339"/>
    <x v="167"/>
    <n v="2299"/>
    <x v="12"/>
    <n v="1"/>
    <n v="65.260000000000005"/>
    <d v="2025-03-16T00:00:00"/>
    <d v="2025-03-19T00:00:00"/>
    <x v="0"/>
    <s v="OK"/>
    <s v="OK"/>
    <x v="3"/>
    <n v="3"/>
    <n v="1"/>
    <n v="65.260000000000005"/>
  </r>
  <r>
    <n v="50604"/>
    <n v="30340"/>
    <x v="149"/>
    <n v="2590"/>
    <x v="5"/>
    <n v="2"/>
    <n v="202.88"/>
    <s v=""/>
    <s v=""/>
    <x v="3"/>
    <s v="Missing date"/>
    <s v="Missing date"/>
    <x v="1"/>
    <s v=""/>
    <n v="1"/>
    <n v="101.44"/>
  </r>
  <r>
    <n v="50605"/>
    <n v="30340"/>
    <x v="217"/>
    <n v="2590"/>
    <x v="15"/>
    <n v="1"/>
    <n v="170.25"/>
    <s v=""/>
    <s v=""/>
    <x v="3"/>
    <s v="Missing date"/>
    <s v="Missing date"/>
    <x v="1"/>
    <s v=""/>
    <n v="0"/>
    <n v="170.25"/>
  </r>
  <r>
    <n v="50606"/>
    <n v="30340"/>
    <x v="149"/>
    <n v="2590"/>
    <x v="0"/>
    <n v="1"/>
    <n v="199.81"/>
    <s v=""/>
    <s v=""/>
    <x v="3"/>
    <s v="Missing date"/>
    <s v="Missing date"/>
    <x v="0"/>
    <s v=""/>
    <n v="0"/>
    <n v="199.81"/>
  </r>
  <r>
    <n v="50607"/>
    <n v="30341"/>
    <x v="10"/>
    <n v="2559"/>
    <x v="8"/>
    <n v="1"/>
    <n v="203.04"/>
    <d v="2025-10-19T00:00:00"/>
    <d v="2025-10-29T00:00:00"/>
    <x v="0"/>
    <s v="OK"/>
    <s v="OK"/>
    <x v="2"/>
    <n v="10"/>
    <n v="1"/>
    <n v="203.04"/>
  </r>
  <r>
    <n v="50608"/>
    <n v="30342"/>
    <x v="90"/>
    <n v="2473"/>
    <x v="0"/>
    <n v="3"/>
    <n v="599.42999999999995"/>
    <d v="2025-07-09T00:00:00"/>
    <d v="2025-07-16T00:00:00"/>
    <x v="1"/>
    <s v="OK"/>
    <s v="OK"/>
    <x v="0"/>
    <n v="7"/>
    <n v="1"/>
    <n v="199.80999999999997"/>
  </r>
  <r>
    <n v="50609"/>
    <n v="30343"/>
    <x v="218"/>
    <n v="2449"/>
    <x v="11"/>
    <n v="1"/>
    <n v="224.37"/>
    <s v=""/>
    <s v=""/>
    <x v="3"/>
    <s v="Missing date"/>
    <s v="Missing date"/>
    <x v="2"/>
    <s v=""/>
    <n v="1"/>
    <n v="224.37"/>
  </r>
  <r>
    <n v="50610"/>
    <n v="30344"/>
    <x v="219"/>
    <n v="2419"/>
    <x v="6"/>
    <n v="1"/>
    <n v="31.73"/>
    <d v="2025-10-17T00:00:00"/>
    <d v="2025-10-21T00:00:00"/>
    <x v="0"/>
    <s v="OK"/>
    <s v="OK"/>
    <x v="2"/>
    <n v="4"/>
    <n v="1"/>
    <n v="31.73"/>
  </r>
  <r>
    <n v="50611"/>
    <n v="30344"/>
    <x v="219"/>
    <n v="2419"/>
    <x v="13"/>
    <n v="3"/>
    <n v="364.5"/>
    <d v="2025-10-18T00:00:00"/>
    <d v="2025-10-21T00:00:00"/>
    <x v="0"/>
    <s v="OK"/>
    <s v="OK"/>
    <x v="1"/>
    <n v="3"/>
    <n v="0"/>
    <n v="121.5"/>
  </r>
  <r>
    <n v="50612"/>
    <n v="30345"/>
    <x v="220"/>
    <n v="2248"/>
    <x v="6"/>
    <n v="1"/>
    <n v="31.73"/>
    <d v="2025-11-09T00:00:00"/>
    <d v="2025-11-18T00:00:00"/>
    <x v="0"/>
    <s v="OK"/>
    <s v="OK"/>
    <x v="2"/>
    <n v="9"/>
    <n v="1"/>
    <n v="31.73"/>
  </r>
  <r>
    <n v="50613"/>
    <n v="30346"/>
    <x v="221"/>
    <n v="2434"/>
    <x v="11"/>
    <n v="2"/>
    <n v="448.74"/>
    <s v=""/>
    <s v=""/>
    <x v="3"/>
    <s v="Missing date"/>
    <s v="Missing date"/>
    <x v="2"/>
    <s v=""/>
    <n v="1"/>
    <n v="224.37"/>
  </r>
  <r>
    <n v="50614"/>
    <n v="30346"/>
    <x v="221"/>
    <n v="2434"/>
    <x v="12"/>
    <n v="1"/>
    <n v="65.260000000000005"/>
    <s v=""/>
    <s v=""/>
    <x v="3"/>
    <s v="Missing date"/>
    <s v="Missing date"/>
    <x v="3"/>
    <s v=""/>
    <n v="0"/>
    <n v="65.260000000000005"/>
  </r>
  <r>
    <n v="50615"/>
    <n v="30347"/>
    <x v="141"/>
    <n v="2548"/>
    <x v="10"/>
    <n v="4"/>
    <n v="861.36"/>
    <d v="2025-04-23T00:00:00"/>
    <d v="2025-05-01T00:00:00"/>
    <x v="0"/>
    <s v="OK"/>
    <s v="OK"/>
    <x v="3"/>
    <n v="8"/>
    <n v="1"/>
    <n v="215.34"/>
  </r>
  <r>
    <n v="50616"/>
    <n v="30347"/>
    <x v="141"/>
    <n v="2548"/>
    <x v="3"/>
    <n v="1"/>
    <n v="118.6"/>
    <d v="2025-04-23T00:00:00"/>
    <d v="2025-05-02T00:00:00"/>
    <x v="0"/>
    <s v="OK"/>
    <s v="OK"/>
    <x v="2"/>
    <n v="9"/>
    <n v="0"/>
    <n v="118.6"/>
  </r>
  <r>
    <n v="50617"/>
    <n v="30348"/>
    <x v="139"/>
    <n v="2369"/>
    <x v="11"/>
    <n v="3"/>
    <n v="673.11"/>
    <d v="2025-03-12T00:00:00"/>
    <d v="2025-03-14T00:00:00"/>
    <x v="0"/>
    <s v="OK"/>
    <s v="OK"/>
    <x v="2"/>
    <n v="2"/>
    <n v="1"/>
    <n v="224.37"/>
  </r>
  <r>
    <n v="50618"/>
    <n v="30348"/>
    <x v="139"/>
    <n v="2369"/>
    <x v="4"/>
    <n v="1"/>
    <n v="183.74"/>
    <d v="2025-03-13T00:00:00"/>
    <d v="2025-03-18T00:00:00"/>
    <x v="0"/>
    <s v="OK"/>
    <s v="OK"/>
    <x v="2"/>
    <n v="5"/>
    <n v="0"/>
    <n v="183.74"/>
  </r>
  <r>
    <n v="50619"/>
    <n v="30349"/>
    <x v="85"/>
    <n v="2255"/>
    <x v="2"/>
    <n v="1"/>
    <n v="241.54"/>
    <d v="2025-02-16T00:00:00"/>
    <d v="2025-02-22T00:00:00"/>
    <x v="0"/>
    <s v="OK"/>
    <s v="OK"/>
    <x v="1"/>
    <n v="6"/>
    <n v="1"/>
    <n v="241.54"/>
  </r>
  <r>
    <n v="50620"/>
    <n v="30350"/>
    <x v="55"/>
    <n v="2171"/>
    <x v="3"/>
    <n v="2"/>
    <n v="237.2"/>
    <d v="2025-07-06T00:00:00"/>
    <d v="2025-07-16T00:00:00"/>
    <x v="0"/>
    <s v="OK"/>
    <s v="OK"/>
    <x v="2"/>
    <n v="10"/>
    <n v="1"/>
    <n v="118.6"/>
  </r>
  <r>
    <n v="50621"/>
    <n v="30351"/>
    <x v="222"/>
    <n v="2577"/>
    <x v="15"/>
    <n v="2"/>
    <n v="340.5"/>
    <d v="2025-12-01T00:00:00"/>
    <d v="2025-12-08T00:00:00"/>
    <x v="1"/>
    <s v="OK"/>
    <s v="OK"/>
    <x v="1"/>
    <n v="7"/>
    <n v="1"/>
    <n v="170.25"/>
  </r>
  <r>
    <n v="50622"/>
    <n v="30352"/>
    <x v="213"/>
    <n v="2340"/>
    <x v="10"/>
    <n v="2"/>
    <n v="430.68"/>
    <d v="2025-04-05T00:00:00"/>
    <d v="2025-04-10T00:00:00"/>
    <x v="1"/>
    <s v="OK"/>
    <s v="OK"/>
    <x v="3"/>
    <n v="5"/>
    <n v="1"/>
    <n v="215.34"/>
  </r>
  <r>
    <n v="50623"/>
    <n v="30353"/>
    <x v="107"/>
    <n v="2109"/>
    <x v="9"/>
    <n v="3"/>
    <n v="120.84"/>
    <d v="2025-12-18T00:00:00"/>
    <d v="2025-12-28T00:00:00"/>
    <x v="0"/>
    <s v="OK"/>
    <s v="OK"/>
    <x v="0"/>
    <n v="10"/>
    <n v="1"/>
    <n v="40.28"/>
  </r>
  <r>
    <n v="50624"/>
    <n v="30353"/>
    <x v="107"/>
    <n v="2109"/>
    <x v="1"/>
    <n v="1"/>
    <n v="206.09"/>
    <d v="2025-12-19T00:00:00"/>
    <d v="2025-12-26T00:00:00"/>
    <x v="0"/>
    <s v="OK"/>
    <s v="OK"/>
    <x v="0"/>
    <n v="7"/>
    <n v="0"/>
    <n v="206.09"/>
  </r>
  <r>
    <n v="50625"/>
    <n v="30354"/>
    <x v="68"/>
    <n v="2523"/>
    <x v="1"/>
    <n v="1"/>
    <n v="206.09"/>
    <d v="2025-08-31T00:00:00"/>
    <d v="2025-09-06T00:00:00"/>
    <x v="0"/>
    <s v="OK"/>
    <s v="OK"/>
    <x v="0"/>
    <n v="6"/>
    <n v="1"/>
    <n v="206.09"/>
  </r>
  <r>
    <n v="50626"/>
    <n v="30354"/>
    <x v="68"/>
    <n v="2523"/>
    <x v="14"/>
    <n v="3"/>
    <n v="359.22"/>
    <d v="2025-08-31T00:00:00"/>
    <d v="2025-09-01T00:00:00"/>
    <x v="0"/>
    <s v="OK"/>
    <s v="OK"/>
    <x v="3"/>
    <n v="1"/>
    <n v="0"/>
    <n v="119.74000000000001"/>
  </r>
  <r>
    <n v="50627"/>
    <n v="30354"/>
    <x v="68"/>
    <n v="2523"/>
    <x v="2"/>
    <n v="2"/>
    <n v="483.08"/>
    <d v="2025-08-30T00:00:00"/>
    <d v="2025-09-06T00:00:00"/>
    <x v="0"/>
    <s v="OK"/>
    <s v="OK"/>
    <x v="1"/>
    <n v="7"/>
    <n v="0"/>
    <n v="241.54"/>
  </r>
  <r>
    <n v="50628"/>
    <n v="30354"/>
    <x v="68"/>
    <n v="2523"/>
    <x v="15"/>
    <n v="4"/>
    <n v="681"/>
    <d v="2025-08-31T00:00:00"/>
    <d v="2025-09-05T00:00:00"/>
    <x v="0"/>
    <s v="OK"/>
    <s v="OK"/>
    <x v="1"/>
    <n v="5"/>
    <n v="0"/>
    <n v="170.25"/>
  </r>
  <r>
    <n v="50629"/>
    <n v="30355"/>
    <x v="161"/>
    <n v="2475"/>
    <x v="6"/>
    <n v="2"/>
    <n v="63.46"/>
    <s v=""/>
    <s v=""/>
    <x v="3"/>
    <s v="Missing date"/>
    <s v="Missing date"/>
    <x v="2"/>
    <s v=""/>
    <n v="1"/>
    <n v="31.73"/>
  </r>
  <r>
    <n v="50630"/>
    <n v="30356"/>
    <x v="176"/>
    <n v="2026"/>
    <x v="13"/>
    <n v="2"/>
    <n v="243"/>
    <d v="2025-03-19T00:00:00"/>
    <d v="2025-03-29T00:00:00"/>
    <x v="0"/>
    <s v="OK"/>
    <s v="OK"/>
    <x v="1"/>
    <n v="10"/>
    <n v="1"/>
    <n v="121.5"/>
  </r>
  <r>
    <n v="50631"/>
    <n v="30356"/>
    <x v="176"/>
    <n v="2026"/>
    <x v="10"/>
    <n v="1"/>
    <n v="215.34"/>
    <d v="2025-03-20T00:00:00"/>
    <d v="2025-03-25T00:00:00"/>
    <x v="0"/>
    <s v="OK"/>
    <s v="OK"/>
    <x v="3"/>
    <n v="5"/>
    <n v="0"/>
    <n v="215.34"/>
  </r>
  <r>
    <n v="50632"/>
    <n v="30357"/>
    <x v="223"/>
    <n v="2088"/>
    <x v="6"/>
    <n v="1"/>
    <n v="31.73"/>
    <d v="2025-03-24T00:00:00"/>
    <d v="2025-03-29T00:00:00"/>
    <x v="0"/>
    <s v="OK"/>
    <s v="OK"/>
    <x v="2"/>
    <n v="5"/>
    <n v="1"/>
    <n v="31.73"/>
  </r>
  <r>
    <n v="50633"/>
    <n v="30357"/>
    <x v="223"/>
    <n v="2088"/>
    <x v="2"/>
    <n v="1"/>
    <n v="241.54"/>
    <d v="2025-03-24T00:00:00"/>
    <d v="2025-03-28T00:00:00"/>
    <x v="0"/>
    <s v="OK"/>
    <s v="OK"/>
    <x v="1"/>
    <n v="4"/>
    <n v="0"/>
    <n v="241.54"/>
  </r>
  <r>
    <n v="50634"/>
    <n v="30358"/>
    <x v="148"/>
    <n v="2320"/>
    <x v="0"/>
    <n v="1"/>
    <n v="199.81"/>
    <d v="2025-10-29T00:00:00"/>
    <d v="2025-11-03T00:00:00"/>
    <x v="0"/>
    <s v="OK"/>
    <s v="OK"/>
    <x v="0"/>
    <n v="5"/>
    <n v="1"/>
    <n v="199.81"/>
  </r>
  <r>
    <n v="50635"/>
    <n v="30359"/>
    <x v="224"/>
    <n v="2534"/>
    <x v="12"/>
    <n v="2"/>
    <n v="130.52000000000001"/>
    <d v="2025-12-13T00:00:00"/>
    <d v="2025-12-16T00:00:00"/>
    <x v="0"/>
    <s v="OK"/>
    <s v="OK"/>
    <x v="3"/>
    <n v="3"/>
    <n v="1"/>
    <n v="65.260000000000005"/>
  </r>
  <r>
    <n v="50636"/>
    <n v="30360"/>
    <x v="57"/>
    <n v="2100"/>
    <x v="14"/>
    <n v="3"/>
    <n v="359.22"/>
    <d v="2025-07-14T00:00:00"/>
    <d v="2025-07-17T00:00:00"/>
    <x v="0"/>
    <s v="OK"/>
    <s v="OK"/>
    <x v="3"/>
    <n v="3"/>
    <n v="1"/>
    <n v="119.74000000000001"/>
  </r>
  <r>
    <n v="50637"/>
    <n v="30360"/>
    <x v="57"/>
    <n v="2100"/>
    <x v="5"/>
    <n v="1"/>
    <n v="101.44"/>
    <d v="2025-07-12T00:00:00"/>
    <d v="2025-07-17T00:00:00"/>
    <x v="0"/>
    <s v="OK"/>
    <s v="OK"/>
    <x v="1"/>
    <n v="5"/>
    <n v="0"/>
    <n v="101.44"/>
  </r>
  <r>
    <n v="50638"/>
    <n v="30361"/>
    <x v="58"/>
    <n v="2069"/>
    <x v="4"/>
    <n v="1"/>
    <n v="183.74"/>
    <d v="2025-10-14T00:00:00"/>
    <d v="2025-10-15T00:00:00"/>
    <x v="0"/>
    <s v="OK"/>
    <s v="OK"/>
    <x v="2"/>
    <n v="1"/>
    <n v="1"/>
    <n v="183.74"/>
  </r>
  <r>
    <n v="50639"/>
    <n v="30362"/>
    <x v="153"/>
    <n v="2024"/>
    <x v="4"/>
    <n v="2"/>
    <n v="367.48"/>
    <s v=""/>
    <s v=""/>
    <x v="3"/>
    <s v="Missing date"/>
    <s v="Missing date"/>
    <x v="2"/>
    <s v=""/>
    <n v="1"/>
    <n v="183.74"/>
  </r>
  <r>
    <n v="50640"/>
    <n v="30362"/>
    <x v="153"/>
    <n v="2024"/>
    <x v="7"/>
    <n v="2"/>
    <n v="507.72"/>
    <s v=""/>
    <s v=""/>
    <x v="3"/>
    <s v="Missing date"/>
    <s v="Missing date"/>
    <x v="0"/>
    <s v=""/>
    <n v="0"/>
    <n v="253.86"/>
  </r>
  <r>
    <n v="50641"/>
    <n v="30363"/>
    <x v="225"/>
    <n v="2250"/>
    <x v="7"/>
    <n v="1"/>
    <n v="253.86"/>
    <d v="2025-12-17T00:00:00"/>
    <d v="2025-12-22T00:00:00"/>
    <x v="0"/>
    <s v="OK"/>
    <s v="OK"/>
    <x v="0"/>
    <n v="5"/>
    <n v="1"/>
    <n v="253.86"/>
  </r>
  <r>
    <n v="50642"/>
    <n v="30363"/>
    <x v="225"/>
    <n v="2250"/>
    <x v="5"/>
    <n v="2"/>
    <n v="202.88"/>
    <d v="2025-12-17T00:00:00"/>
    <d v="2025-12-20T00:00:00"/>
    <x v="0"/>
    <s v="OK"/>
    <s v="OK"/>
    <x v="1"/>
    <n v="3"/>
    <n v="0"/>
    <n v="101.44"/>
  </r>
  <r>
    <n v="50643"/>
    <n v="30364"/>
    <x v="199"/>
    <n v="2574"/>
    <x v="14"/>
    <n v="1"/>
    <n v="119.74"/>
    <d v="2025-01-10T00:00:00"/>
    <d v="2025-01-20T00:00:00"/>
    <x v="0"/>
    <s v="OK"/>
    <s v="OK"/>
    <x v="3"/>
    <n v="10"/>
    <n v="1"/>
    <n v="119.74"/>
  </r>
  <r>
    <n v="50644"/>
    <n v="30364"/>
    <x v="199"/>
    <n v="2574"/>
    <x v="1"/>
    <n v="1"/>
    <n v="206.09"/>
    <d v="2025-01-09T00:00:00"/>
    <d v="2025-12-01T00:00:00"/>
    <x v="0"/>
    <s v="OK"/>
    <s v="OK"/>
    <x v="0"/>
    <n v="326"/>
    <n v="0"/>
    <n v="206.09"/>
  </r>
  <r>
    <n v="50645"/>
    <n v="30364"/>
    <x v="199"/>
    <n v="2574"/>
    <x v="15"/>
    <n v="3"/>
    <n v="510.75"/>
    <d v="2025-01-10T00:00:00"/>
    <d v="2025-01-17T00:00:00"/>
    <x v="0"/>
    <s v="OK"/>
    <s v="OK"/>
    <x v="1"/>
    <n v="7"/>
    <n v="0"/>
    <n v="170.25"/>
  </r>
  <r>
    <n v="50646"/>
    <n v="30365"/>
    <x v="217"/>
    <n v="2189"/>
    <x v="10"/>
    <n v="1"/>
    <n v="215.34"/>
    <d v="2025-12-04T00:00:00"/>
    <d v="2025-12-07T00:00:00"/>
    <x v="0"/>
    <s v="OK"/>
    <s v="OK"/>
    <x v="3"/>
    <n v="3"/>
    <n v="1"/>
    <n v="215.34"/>
  </r>
  <r>
    <n v="50647"/>
    <n v="30366"/>
    <x v="226"/>
    <n v="2406"/>
    <x v="0"/>
    <n v="1"/>
    <n v="199.81"/>
    <d v="2025-02-19T00:00:00"/>
    <d v="2025-02-20T00:00:00"/>
    <x v="0"/>
    <s v="OK"/>
    <s v="OK"/>
    <x v="0"/>
    <n v="1"/>
    <n v="1"/>
    <n v="199.81"/>
  </r>
  <r>
    <n v="50648"/>
    <n v="30367"/>
    <x v="97"/>
    <n v="2461"/>
    <x v="15"/>
    <n v="1"/>
    <n v="170.25"/>
    <d v="2025-12-30T00:00:00"/>
    <d v="2026-01-08T00:00:00"/>
    <x v="0"/>
    <s v="OK"/>
    <s v="OK"/>
    <x v="1"/>
    <n v="9"/>
    <n v="1"/>
    <n v="170.25"/>
  </r>
  <r>
    <n v="50649"/>
    <n v="30368"/>
    <x v="81"/>
    <n v="2005"/>
    <x v="0"/>
    <n v="2"/>
    <n v="399.62"/>
    <d v="2025-09-28T00:00:00"/>
    <d v="2025-10-03T00:00:00"/>
    <x v="0"/>
    <s v="OK"/>
    <s v="OK"/>
    <x v="0"/>
    <n v="5"/>
    <n v="1"/>
    <n v="199.81"/>
  </r>
  <r>
    <n v="50650"/>
    <n v="30368"/>
    <x v="81"/>
    <n v="2005"/>
    <x v="9"/>
    <n v="2"/>
    <n v="80.56"/>
    <d v="2025-09-29T00:00:00"/>
    <d v="2025-10-04T00:00:00"/>
    <x v="0"/>
    <s v="OK"/>
    <s v="OK"/>
    <x v="0"/>
    <n v="5"/>
    <n v="0"/>
    <n v="40.28"/>
  </r>
  <r>
    <n v="50651"/>
    <n v="30369"/>
    <x v="227"/>
    <n v="2065"/>
    <x v="7"/>
    <n v="1"/>
    <n v="253.86"/>
    <d v="2025-07-13T00:00:00"/>
    <d v="2025-07-17T00:00:00"/>
    <x v="0"/>
    <s v="OK"/>
    <s v="OK"/>
    <x v="0"/>
    <n v="4"/>
    <n v="1"/>
    <n v="253.86"/>
  </r>
  <r>
    <n v="50652"/>
    <n v="30369"/>
    <x v="227"/>
    <n v="2065"/>
    <x v="2"/>
    <n v="1"/>
    <n v="241.54"/>
    <d v="2025-07-11T00:00:00"/>
    <d v="2025-07-13T00:00:00"/>
    <x v="0"/>
    <s v="OK"/>
    <s v="OK"/>
    <x v="1"/>
    <n v="2"/>
    <n v="0"/>
    <n v="241.54"/>
  </r>
  <r>
    <n v="50653"/>
    <n v="30370"/>
    <x v="200"/>
    <m/>
    <x v="4"/>
    <n v="1"/>
    <n v="183.74"/>
    <d v="2025-06-06T00:00:00"/>
    <d v="2025-06-14T00:00:00"/>
    <x v="0"/>
    <s v="OK"/>
    <s v="OK"/>
    <x v="2"/>
    <n v="8"/>
    <n v="1"/>
    <n v="183.74"/>
  </r>
  <r>
    <n v="50654"/>
    <n v="30371"/>
    <x v="91"/>
    <n v="2269"/>
    <x v="12"/>
    <n v="1"/>
    <n v="65.260000000000005"/>
    <d v="2025-04-03T00:00:00"/>
    <d v="2025-04-10T00:00:00"/>
    <x v="0"/>
    <s v="OK"/>
    <s v="OK"/>
    <x v="3"/>
    <n v="7"/>
    <n v="1"/>
    <n v="65.260000000000005"/>
  </r>
  <r>
    <n v="50655"/>
    <n v="30371"/>
    <x v="91"/>
    <n v="2269"/>
    <x v="5"/>
    <n v="3"/>
    <n v="304.32"/>
    <d v="2025-04-03T00:00:00"/>
    <d v="2025-04-04T00:00:00"/>
    <x v="0"/>
    <s v="OK"/>
    <s v="OK"/>
    <x v="1"/>
    <n v="1"/>
    <n v="0"/>
    <n v="101.44"/>
  </r>
  <r>
    <n v="50656"/>
    <n v="30371"/>
    <x v="91"/>
    <n v="2269"/>
    <x v="15"/>
    <n v="2"/>
    <n v="340.5"/>
    <d v="2025-04-01T00:00:00"/>
    <d v="2025-05-04T00:00:00"/>
    <x v="0"/>
    <s v="OK"/>
    <s v="OK"/>
    <x v="1"/>
    <n v="33"/>
    <n v="0"/>
    <n v="170.25"/>
  </r>
  <r>
    <n v="50657"/>
    <n v="30372"/>
    <x v="118"/>
    <n v="2402"/>
    <x v="2"/>
    <n v="3"/>
    <n v="724.62"/>
    <d v="2025-10-03T00:00:00"/>
    <d v="2025-10-05T00:00:00"/>
    <x v="0"/>
    <s v="OK"/>
    <s v="OK"/>
    <x v="1"/>
    <n v="2"/>
    <n v="1"/>
    <n v="241.54"/>
  </r>
  <r>
    <n v="50658"/>
    <n v="30372"/>
    <x v="127"/>
    <n v="2402"/>
    <x v="2"/>
    <n v="1"/>
    <n v="241.54"/>
    <d v="2025-03-10T00:00:00"/>
    <d v="2025-10-06T00:00:00"/>
    <x v="0"/>
    <s v="OK"/>
    <s v="OK"/>
    <x v="1"/>
    <n v="210"/>
    <n v="0"/>
    <n v="241.54"/>
  </r>
  <r>
    <n v="50659"/>
    <n v="30373"/>
    <x v="76"/>
    <n v="2469"/>
    <x v="13"/>
    <n v="2"/>
    <n v="243"/>
    <d v="2025-04-18T00:00:00"/>
    <d v="2025-04-25T00:00:00"/>
    <x v="0"/>
    <s v="OK"/>
    <s v="OK"/>
    <x v="1"/>
    <n v="7"/>
    <n v="1"/>
    <n v="121.5"/>
  </r>
  <r>
    <n v="50660"/>
    <n v="30373"/>
    <x v="76"/>
    <n v="2469"/>
    <x v="11"/>
    <n v="2"/>
    <n v="448.74"/>
    <d v="2025-04-19T00:00:00"/>
    <d v="2025-04-21T00:00:00"/>
    <x v="0"/>
    <s v="OK"/>
    <s v="OK"/>
    <x v="2"/>
    <n v="2"/>
    <n v="0"/>
    <n v="224.37"/>
  </r>
  <r>
    <n v="50661"/>
    <n v="30374"/>
    <x v="98"/>
    <n v="2138"/>
    <x v="1"/>
    <n v="2"/>
    <n v="412.18"/>
    <d v="2025-05-03T00:00:00"/>
    <d v="2025-05-10T00:00:00"/>
    <x v="0"/>
    <s v="OK"/>
    <s v="OK"/>
    <x v="0"/>
    <n v="7"/>
    <n v="1"/>
    <n v="206.09"/>
  </r>
  <r>
    <n v="50662"/>
    <n v="30374"/>
    <x v="98"/>
    <n v="2138"/>
    <x v="13"/>
    <n v="1"/>
    <n v="121.5"/>
    <d v="2025-05-01T00:00:00"/>
    <d v="2025-05-02T00:00:00"/>
    <x v="0"/>
    <s v="OK"/>
    <s v="OK"/>
    <x v="1"/>
    <n v="1"/>
    <n v="0"/>
    <n v="121.5"/>
  </r>
  <r>
    <n v="50663"/>
    <n v="30375"/>
    <x v="4"/>
    <n v="2120"/>
    <x v="6"/>
    <n v="1"/>
    <n v="31.73"/>
    <d v="2025-05-31T00:00:00"/>
    <d v="2025-06-05T00:00:00"/>
    <x v="0"/>
    <s v="OK"/>
    <s v="OK"/>
    <x v="2"/>
    <n v="5"/>
    <n v="1"/>
    <n v="31.73"/>
  </r>
  <r>
    <n v="50664"/>
    <n v="30376"/>
    <x v="40"/>
    <n v="2524"/>
    <x v="6"/>
    <n v="3"/>
    <n v="95.19"/>
    <d v="2025-11-03T00:00:00"/>
    <d v="2025-11-08T00:00:00"/>
    <x v="0"/>
    <s v="OK"/>
    <s v="OK"/>
    <x v="2"/>
    <n v="5"/>
    <n v="1"/>
    <n v="31.73"/>
  </r>
  <r>
    <n v="50665"/>
    <n v="30377"/>
    <x v="228"/>
    <n v="2589"/>
    <x v="7"/>
    <n v="1"/>
    <n v="253.86"/>
    <d v="2025-07-21T00:00:00"/>
    <d v="2025-07-26T00:00:00"/>
    <x v="0"/>
    <s v="OK"/>
    <s v="OK"/>
    <x v="0"/>
    <n v="5"/>
    <n v="1"/>
    <n v="253.86"/>
  </r>
  <r>
    <n v="50666"/>
    <n v="30377"/>
    <x v="228"/>
    <n v="2589"/>
    <x v="12"/>
    <n v="2"/>
    <n v="130.52000000000001"/>
    <d v="2025-07-22T00:00:00"/>
    <d v="2025-08-01T00:00:00"/>
    <x v="0"/>
    <s v="OK"/>
    <s v="OK"/>
    <x v="3"/>
    <n v="10"/>
    <n v="0"/>
    <n v="65.260000000000005"/>
  </r>
  <r>
    <n v="50667"/>
    <n v="30378"/>
    <x v="197"/>
    <n v="2551"/>
    <x v="7"/>
    <n v="2"/>
    <n v="507.72"/>
    <d v="2025-12-08T00:00:00"/>
    <d v="2025-12-18T00:00:00"/>
    <x v="0"/>
    <s v="OK"/>
    <s v="OK"/>
    <x v="0"/>
    <n v="10"/>
    <n v="1"/>
    <n v="253.86"/>
  </r>
  <r>
    <n v="50668"/>
    <n v="30378"/>
    <x v="197"/>
    <n v="2551"/>
    <x v="7"/>
    <n v="1"/>
    <n v="253.86"/>
    <d v="2025-12-09T00:00:00"/>
    <d v="2025-12-14T00:00:00"/>
    <x v="0"/>
    <s v="OK"/>
    <s v="OK"/>
    <x v="0"/>
    <n v="5"/>
    <n v="0"/>
    <n v="253.86"/>
  </r>
  <r>
    <n v="50669"/>
    <n v="30379"/>
    <x v="53"/>
    <n v="2502"/>
    <x v="7"/>
    <n v="4"/>
    <n v="1015.44"/>
    <d v="2025-07-10T00:00:00"/>
    <d v="2025-07-15T00:00:00"/>
    <x v="0"/>
    <s v="OK"/>
    <s v="OK"/>
    <x v="0"/>
    <n v="5"/>
    <n v="1"/>
    <n v="253.86"/>
  </r>
  <r>
    <n v="50670"/>
    <n v="30380"/>
    <x v="229"/>
    <n v="2323"/>
    <x v="3"/>
    <n v="1"/>
    <n v="118.6"/>
    <s v=""/>
    <s v=""/>
    <x v="3"/>
    <s v="Missing date"/>
    <s v="Missing date"/>
    <x v="2"/>
    <s v=""/>
    <n v="1"/>
    <n v="118.6"/>
  </r>
  <r>
    <n v="50671"/>
    <n v="30380"/>
    <x v="229"/>
    <n v="2323"/>
    <x v="8"/>
    <n v="1"/>
    <n v="203.04"/>
    <s v=""/>
    <s v=""/>
    <x v="3"/>
    <s v="Missing date"/>
    <s v="Missing date"/>
    <x v="2"/>
    <s v=""/>
    <n v="0"/>
    <n v="203.04"/>
  </r>
  <r>
    <n v="50672"/>
    <n v="30380"/>
    <x v="229"/>
    <n v="2323"/>
    <x v="0"/>
    <n v="1"/>
    <n v="199.81"/>
    <s v=""/>
    <s v=""/>
    <x v="3"/>
    <s v="Missing date"/>
    <s v="Missing date"/>
    <x v="0"/>
    <s v=""/>
    <n v="0"/>
    <n v="199.81"/>
  </r>
  <r>
    <n v="50673"/>
    <n v="30380"/>
    <x v="229"/>
    <n v="2323"/>
    <x v="12"/>
    <n v="1"/>
    <n v="65.260000000000005"/>
    <s v=""/>
    <s v=""/>
    <x v="3"/>
    <s v="Missing date"/>
    <s v="Missing date"/>
    <x v="3"/>
    <s v=""/>
    <n v="0"/>
    <n v="65.260000000000005"/>
  </r>
  <r>
    <n v="50674"/>
    <n v="30381"/>
    <x v="28"/>
    <n v="2504"/>
    <x v="14"/>
    <n v="1"/>
    <n v="119.74"/>
    <d v="2025-06-22T00:00:00"/>
    <d v="2025-06-30T00:00:00"/>
    <x v="0"/>
    <s v="OK"/>
    <s v="OK"/>
    <x v="3"/>
    <n v="8"/>
    <n v="1"/>
    <n v="119.74"/>
  </r>
  <r>
    <n v="50675"/>
    <n v="30382"/>
    <x v="103"/>
    <n v="2501"/>
    <x v="8"/>
    <n v="1"/>
    <n v="203.04"/>
    <d v="2025-07-19T00:00:00"/>
    <d v="2025-07-29T00:00:00"/>
    <x v="0"/>
    <s v="OK"/>
    <s v="OK"/>
    <x v="2"/>
    <n v="10"/>
    <n v="1"/>
    <n v="203.04"/>
  </r>
  <r>
    <n v="50676"/>
    <n v="30383"/>
    <x v="3"/>
    <n v="2226"/>
    <x v="9"/>
    <n v="1"/>
    <n v="40.28"/>
    <d v="2025-02-28T00:00:00"/>
    <d v="2025-07-03T00:00:00"/>
    <x v="0"/>
    <s v="OK"/>
    <s v="OK"/>
    <x v="0"/>
    <n v="125"/>
    <n v="1"/>
    <n v="40.28"/>
  </r>
  <r>
    <n v="50677"/>
    <n v="30383"/>
    <x v="3"/>
    <n v="2226"/>
    <x v="1"/>
    <n v="1"/>
    <n v="206.09"/>
    <d v="2025-02-28T00:00:00"/>
    <d v="2025-03-07T00:00:00"/>
    <x v="0"/>
    <s v="OK"/>
    <s v="OK"/>
    <x v="0"/>
    <n v="7"/>
    <n v="0"/>
    <n v="206.09"/>
  </r>
  <r>
    <n v="50678"/>
    <n v="30383"/>
    <x v="3"/>
    <n v="2226"/>
    <x v="13"/>
    <n v="1"/>
    <n v="121.5"/>
    <d v="2025-02-27T00:00:00"/>
    <d v="2025-07-03T00:00:00"/>
    <x v="0"/>
    <s v="OK"/>
    <s v="OK"/>
    <x v="1"/>
    <n v="126"/>
    <n v="0"/>
    <n v="121.5"/>
  </r>
  <r>
    <n v="50679"/>
    <n v="30384"/>
    <x v="19"/>
    <n v="2173"/>
    <x v="12"/>
    <n v="1"/>
    <n v="65.260000000000005"/>
    <s v=""/>
    <s v=""/>
    <x v="3"/>
    <s v="Missing date"/>
    <s v="Missing date"/>
    <x v="3"/>
    <s v=""/>
    <n v="1"/>
    <n v="65.260000000000005"/>
  </r>
  <r>
    <n v="50680"/>
    <n v="30384"/>
    <x v="19"/>
    <n v="2173"/>
    <x v="4"/>
    <n v="2"/>
    <n v="367.48"/>
    <s v=""/>
    <s v=""/>
    <x v="3"/>
    <s v="Missing date"/>
    <s v="Missing date"/>
    <x v="2"/>
    <s v=""/>
    <n v="0"/>
    <n v="183.74"/>
  </r>
  <r>
    <n v="50681"/>
    <n v="30384"/>
    <x v="19"/>
    <n v="2173"/>
    <x v="9"/>
    <n v="3"/>
    <n v="120.84"/>
    <s v=""/>
    <s v=""/>
    <x v="3"/>
    <s v="Missing date"/>
    <s v="Missing date"/>
    <x v="0"/>
    <s v=""/>
    <n v="0"/>
    <n v="40.28"/>
  </r>
  <r>
    <n v="50682"/>
    <n v="30385"/>
    <x v="124"/>
    <n v="2376"/>
    <x v="3"/>
    <n v="1"/>
    <n v="118.6"/>
    <d v="2025-03-29T00:00:00"/>
    <d v="2025-04-01T00:00:00"/>
    <x v="0"/>
    <s v="OK"/>
    <s v="OK"/>
    <x v="2"/>
    <n v="3"/>
    <n v="1"/>
    <n v="118.6"/>
  </r>
  <r>
    <n v="50683"/>
    <n v="30385"/>
    <x v="124"/>
    <n v="2376"/>
    <x v="14"/>
    <n v="1"/>
    <n v="119.74"/>
    <d v="2025-03-29T00:00:00"/>
    <d v="2025-04-01T00:00:00"/>
    <x v="0"/>
    <s v="OK"/>
    <s v="OK"/>
    <x v="3"/>
    <n v="3"/>
    <n v="0"/>
    <n v="119.74"/>
  </r>
  <r>
    <n v="50684"/>
    <n v="30385"/>
    <x v="124"/>
    <n v="2376"/>
    <x v="0"/>
    <n v="2"/>
    <n v="399.62"/>
    <d v="2025-03-29T00:00:00"/>
    <d v="2025-04-08T00:00:00"/>
    <x v="0"/>
    <s v="OK"/>
    <s v="OK"/>
    <x v="0"/>
    <n v="10"/>
    <n v="0"/>
    <n v="199.81"/>
  </r>
  <r>
    <n v="50685"/>
    <n v="30385"/>
    <x v="124"/>
    <n v="2376"/>
    <x v="10"/>
    <n v="5"/>
    <n v="1076.7"/>
    <d v="2025-03-27T00:00:00"/>
    <d v="2025-04-02T00:00:00"/>
    <x v="0"/>
    <s v="OK"/>
    <s v="OK"/>
    <x v="3"/>
    <n v="6"/>
    <n v="0"/>
    <n v="215.34"/>
  </r>
  <r>
    <n v="50686"/>
    <n v="30386"/>
    <x v="153"/>
    <n v="2105"/>
    <x v="1"/>
    <n v="4"/>
    <n v="824.36"/>
    <d v="2025-05-07T00:00:00"/>
    <d v="2025-05-11T00:00:00"/>
    <x v="0"/>
    <s v="OK"/>
    <s v="OK"/>
    <x v="0"/>
    <n v="4"/>
    <n v="1"/>
    <n v="206.09"/>
  </r>
  <r>
    <n v="50687"/>
    <n v="30386"/>
    <x v="153"/>
    <n v="2105"/>
    <x v="13"/>
    <n v="1"/>
    <n v="121.5"/>
    <d v="2025-05-06T00:00:00"/>
    <d v="2025-05-13T00:00:00"/>
    <x v="0"/>
    <s v="OK"/>
    <s v="OK"/>
    <x v="1"/>
    <n v="7"/>
    <n v="0"/>
    <n v="121.5"/>
  </r>
  <r>
    <n v="50688"/>
    <n v="30386"/>
    <x v="153"/>
    <n v="2105"/>
    <x v="3"/>
    <n v="1"/>
    <n v="118.6"/>
    <d v="2025-05-08T00:00:00"/>
    <d v="2025-05-18T00:00:00"/>
    <x v="0"/>
    <s v="OK"/>
    <s v="OK"/>
    <x v="2"/>
    <n v="10"/>
    <n v="0"/>
    <n v="118.6"/>
  </r>
  <r>
    <n v="50689"/>
    <n v="30387"/>
    <x v="163"/>
    <n v="2461"/>
    <x v="11"/>
    <n v="5"/>
    <n v="1121.8499999999999"/>
    <d v="2025-06-13T00:00:00"/>
    <d v="2025-06-23T00:00:00"/>
    <x v="0"/>
    <s v="OK"/>
    <s v="OK"/>
    <x v="2"/>
    <n v="10"/>
    <n v="1"/>
    <n v="224.36999999999998"/>
  </r>
  <r>
    <n v="50690"/>
    <n v="30387"/>
    <x v="163"/>
    <n v="2461"/>
    <x v="14"/>
    <n v="2"/>
    <n v="239.48"/>
    <d v="2025-06-13T00:00:00"/>
    <d v="2025-06-16T00:00:00"/>
    <x v="0"/>
    <s v="OK"/>
    <s v="OK"/>
    <x v="3"/>
    <n v="3"/>
    <n v="0"/>
    <n v="119.74"/>
  </r>
  <r>
    <n v="50691"/>
    <n v="30387"/>
    <x v="163"/>
    <n v="2461"/>
    <x v="4"/>
    <n v="1"/>
    <n v="183.74"/>
    <d v="2025-06-12T00:00:00"/>
    <d v="2025-06-18T00:00:00"/>
    <x v="0"/>
    <s v="OK"/>
    <s v="OK"/>
    <x v="2"/>
    <n v="6"/>
    <n v="0"/>
    <n v="183.74"/>
  </r>
  <r>
    <n v="50692"/>
    <n v="30387"/>
    <x v="163"/>
    <n v="2461"/>
    <x v="1"/>
    <n v="1"/>
    <n v="206.09"/>
    <d v="2025-06-11T00:00:00"/>
    <d v="2025-06-17T00:00:00"/>
    <x v="0"/>
    <s v="OK"/>
    <s v="OK"/>
    <x v="0"/>
    <n v="6"/>
    <n v="0"/>
    <n v="206.09"/>
  </r>
  <r>
    <n v="50693"/>
    <n v="30388"/>
    <x v="230"/>
    <n v="2215"/>
    <x v="2"/>
    <n v="2"/>
    <n v="483.08"/>
    <s v=""/>
    <s v=""/>
    <x v="3"/>
    <s v="Missing date"/>
    <s v="Missing date"/>
    <x v="1"/>
    <s v=""/>
    <n v="1"/>
    <n v="241.54"/>
  </r>
  <r>
    <n v="50694"/>
    <n v="30389"/>
    <x v="101"/>
    <n v="2439"/>
    <x v="6"/>
    <n v="1"/>
    <n v="31.73"/>
    <d v="2025-08-23T00:00:00"/>
    <d v="2025-08-25T00:00:00"/>
    <x v="0"/>
    <s v="OK"/>
    <s v="OK"/>
    <x v="2"/>
    <n v="2"/>
    <n v="1"/>
    <n v="31.73"/>
  </r>
  <r>
    <n v="50695"/>
    <n v="30390"/>
    <x v="231"/>
    <n v="2212"/>
    <x v="3"/>
    <n v="1"/>
    <n v="118.6"/>
    <s v=""/>
    <s v=""/>
    <x v="3"/>
    <s v="Missing date"/>
    <s v="Missing date"/>
    <x v="2"/>
    <s v=""/>
    <n v="1"/>
    <n v="118.6"/>
  </r>
  <r>
    <n v="50696"/>
    <n v="30390"/>
    <x v="231"/>
    <n v="2212"/>
    <x v="9"/>
    <n v="1"/>
    <n v="40.28"/>
    <s v=""/>
    <s v=""/>
    <x v="3"/>
    <s v="Missing date"/>
    <s v="Missing date"/>
    <x v="0"/>
    <s v=""/>
    <n v="0"/>
    <n v="40.28"/>
  </r>
  <r>
    <n v="50697"/>
    <n v="30390"/>
    <x v="231"/>
    <n v="2212"/>
    <x v="7"/>
    <n v="2"/>
    <n v="507.72"/>
    <s v=""/>
    <s v=""/>
    <x v="3"/>
    <s v="Missing date"/>
    <s v="Missing date"/>
    <x v="0"/>
    <s v=""/>
    <n v="0"/>
    <n v="253.86"/>
  </r>
  <r>
    <n v="50698"/>
    <n v="30391"/>
    <x v="139"/>
    <n v="2300"/>
    <x v="9"/>
    <n v="1"/>
    <n v="40.28"/>
    <d v="2025-03-13T00:00:00"/>
    <d v="2025-03-17T00:00:00"/>
    <x v="0"/>
    <s v="OK"/>
    <s v="OK"/>
    <x v="0"/>
    <n v="4"/>
    <n v="1"/>
    <n v="40.28"/>
  </r>
  <r>
    <n v="50699"/>
    <n v="30391"/>
    <x v="139"/>
    <n v="2300"/>
    <x v="4"/>
    <n v="1"/>
    <n v="183.74"/>
    <d v="2025-03-11T00:00:00"/>
    <d v="2025-03-18T00:00:00"/>
    <x v="0"/>
    <s v="OK"/>
    <s v="OK"/>
    <x v="2"/>
    <n v="7"/>
    <n v="0"/>
    <n v="183.74"/>
  </r>
  <r>
    <n v="50700"/>
    <n v="30392"/>
    <x v="232"/>
    <n v="2139"/>
    <x v="10"/>
    <n v="1"/>
    <n v="215.34"/>
    <d v="2025-11-23T00:00:00"/>
    <d v="2025-12-03T00:00:00"/>
    <x v="1"/>
    <s v="OK"/>
    <s v="OK"/>
    <x v="3"/>
    <n v="10"/>
    <n v="1"/>
    <n v="215.34"/>
  </r>
  <r>
    <n v="50701"/>
    <n v="30393"/>
    <x v="233"/>
    <n v="2061"/>
    <x v="6"/>
    <n v="3"/>
    <n v="95.19"/>
    <d v="2025-08-02T00:00:00"/>
    <d v="2025-08-04T00:00:00"/>
    <x v="1"/>
    <s v="OK"/>
    <s v="OK"/>
    <x v="2"/>
    <n v="2"/>
    <n v="1"/>
    <n v="31.73"/>
  </r>
  <r>
    <n v="50702"/>
    <n v="30394"/>
    <x v="214"/>
    <n v="2136"/>
    <x v="5"/>
    <n v="1"/>
    <n v="101.44"/>
    <d v="2025-07-11T00:00:00"/>
    <d v="2025-07-15T00:00:00"/>
    <x v="0"/>
    <s v="OK"/>
    <s v="OK"/>
    <x v="1"/>
    <n v="4"/>
    <n v="1"/>
    <n v="101.44"/>
  </r>
  <r>
    <n v="50703"/>
    <n v="30395"/>
    <x v="216"/>
    <n v="2254"/>
    <x v="15"/>
    <n v="3"/>
    <n v="510.75"/>
    <s v=""/>
    <s v=""/>
    <x v="3"/>
    <s v="Missing date"/>
    <s v="Missing date"/>
    <x v="1"/>
    <s v=""/>
    <n v="1"/>
    <n v="170.25"/>
  </r>
  <r>
    <n v="50704"/>
    <n v="30395"/>
    <x v="216"/>
    <n v="2254"/>
    <x v="9"/>
    <n v="1"/>
    <n v="40.28"/>
    <s v=""/>
    <s v=""/>
    <x v="3"/>
    <s v="Missing date"/>
    <s v="Missing date"/>
    <x v="0"/>
    <s v=""/>
    <n v="0"/>
    <n v="40.28"/>
  </r>
  <r>
    <n v="50705"/>
    <n v="30395"/>
    <x v="216"/>
    <n v="2254"/>
    <x v="15"/>
    <n v="1"/>
    <n v="170.25"/>
    <s v=""/>
    <s v=""/>
    <x v="3"/>
    <s v="Missing date"/>
    <s v="Missing date"/>
    <x v="1"/>
    <s v=""/>
    <n v="0"/>
    <n v="170.25"/>
  </r>
  <r>
    <n v="50706"/>
    <n v="30396"/>
    <x v="234"/>
    <n v="2096"/>
    <x v="9"/>
    <n v="1"/>
    <n v="40.28"/>
    <d v="2025-08-08T00:00:00"/>
    <d v="2025-08-17T00:00:00"/>
    <x v="0"/>
    <s v="OK"/>
    <s v="OK"/>
    <x v="0"/>
    <n v="9"/>
    <n v="1"/>
    <n v="40.28"/>
  </r>
  <r>
    <n v="50707"/>
    <n v="30396"/>
    <x v="234"/>
    <n v="2096"/>
    <x v="2"/>
    <n v="2"/>
    <n v="483.08"/>
    <d v="2025-08-06T00:00:00"/>
    <d v="2025-08-08T00:00:00"/>
    <x v="0"/>
    <s v="OK"/>
    <s v="OK"/>
    <x v="1"/>
    <n v="2"/>
    <n v="0"/>
    <n v="241.54"/>
  </r>
  <r>
    <n v="50708"/>
    <n v="30397"/>
    <x v="152"/>
    <n v="2466"/>
    <x v="5"/>
    <n v="4"/>
    <n v="405.76"/>
    <d v="2025-09-25T00:00:00"/>
    <d v="2025-09-30T00:00:00"/>
    <x v="1"/>
    <s v="OK"/>
    <s v="OK"/>
    <x v="1"/>
    <n v="5"/>
    <n v="1"/>
    <n v="101.44"/>
  </r>
  <r>
    <n v="50709"/>
    <n v="30397"/>
    <x v="152"/>
    <n v="2466"/>
    <x v="8"/>
    <n v="1"/>
    <n v="203.04"/>
    <d v="2025-09-25T00:00:00"/>
    <d v="2025-09-30T00:00:00"/>
    <x v="1"/>
    <s v="OK"/>
    <s v="OK"/>
    <x v="2"/>
    <n v="5"/>
    <n v="0"/>
    <n v="203.04"/>
  </r>
  <r>
    <n v="50710"/>
    <n v="30398"/>
    <x v="38"/>
    <n v="2096"/>
    <x v="14"/>
    <n v="1"/>
    <n v="119.74"/>
    <d v="2025-10-11T00:00:00"/>
    <d v="2025-10-13T00:00:00"/>
    <x v="0"/>
    <s v="OK"/>
    <s v="OK"/>
    <x v="3"/>
    <n v="2"/>
    <n v="1"/>
    <n v="119.74"/>
  </r>
  <r>
    <n v="50711"/>
    <n v="30399"/>
    <x v="235"/>
    <n v="2367"/>
    <x v="15"/>
    <n v="1"/>
    <n v="170.25"/>
    <d v="2025-05-11T00:00:00"/>
    <s v=""/>
    <x v="3"/>
    <s v="Missing date"/>
    <s v="OK"/>
    <x v="1"/>
    <s v=""/>
    <n v="1"/>
    <n v="170.25"/>
  </r>
  <r>
    <n v="50712"/>
    <n v="30399"/>
    <x v="112"/>
    <n v="2367"/>
    <x v="10"/>
    <n v="2"/>
    <n v="430.68"/>
    <s v=""/>
    <s v=""/>
    <x v="3"/>
    <s v="Missing date"/>
    <s v="Missing date"/>
    <x v="3"/>
    <s v=""/>
    <n v="0"/>
    <n v="215.34"/>
  </r>
  <r>
    <n v="50713"/>
    <n v="30400"/>
    <x v="163"/>
    <n v="2507"/>
    <x v="13"/>
    <n v="2"/>
    <n v="243"/>
    <d v="2025-06-12T00:00:00"/>
    <d v="2025-06-21T00:00:00"/>
    <x v="0"/>
    <s v="OK"/>
    <s v="OK"/>
    <x v="1"/>
    <n v="9"/>
    <n v="1"/>
    <n v="121.5"/>
  </r>
  <r>
    <n v="50714"/>
    <n v="30400"/>
    <x v="163"/>
    <n v="2507"/>
    <x v="5"/>
    <n v="2"/>
    <n v="202.88"/>
    <d v="2025-06-11T00:00:00"/>
    <d v="2025-06-13T00:00:00"/>
    <x v="0"/>
    <s v="OK"/>
    <s v="OK"/>
    <x v="1"/>
    <n v="2"/>
    <n v="0"/>
    <n v="101.44"/>
  </r>
  <r>
    <n v="50715"/>
    <n v="30401"/>
    <x v="236"/>
    <n v="2561"/>
    <x v="12"/>
    <n v="1"/>
    <n v="65.260000000000005"/>
    <d v="2025-11-14T00:00:00"/>
    <d v="2025-11-16T00:00:00"/>
    <x v="0"/>
    <s v="OK"/>
    <s v="OK"/>
    <x v="3"/>
    <n v="2"/>
    <n v="1"/>
    <n v="65.260000000000005"/>
  </r>
  <r>
    <n v="50716"/>
    <n v="30401"/>
    <x v="236"/>
    <n v="2561"/>
    <x v="5"/>
    <n v="1"/>
    <n v="101.44"/>
    <d v="2025-11-13T00:00:00"/>
    <d v="2025-11-19T00:00:00"/>
    <x v="0"/>
    <s v="OK"/>
    <s v="OK"/>
    <x v="1"/>
    <n v="6"/>
    <n v="0"/>
    <n v="101.44"/>
  </r>
  <r>
    <n v="50717"/>
    <n v="30402"/>
    <x v="202"/>
    <n v="2050"/>
    <x v="14"/>
    <n v="1"/>
    <n v="119.74"/>
    <d v="2025-06-17T00:00:00"/>
    <d v="2025-06-26T00:00:00"/>
    <x v="0"/>
    <s v="OK"/>
    <s v="OK"/>
    <x v="3"/>
    <n v="9"/>
    <n v="1"/>
    <n v="119.74"/>
  </r>
  <r>
    <n v="50718"/>
    <n v="30403"/>
    <x v="11"/>
    <n v="2017"/>
    <x v="7"/>
    <n v="4"/>
    <n v="1015.44"/>
    <d v="2025-07-30T00:00:00"/>
    <d v="2025-08-05T00:00:00"/>
    <x v="0"/>
    <s v="OK"/>
    <s v="OK"/>
    <x v="0"/>
    <n v="6"/>
    <n v="1"/>
    <n v="253.86"/>
  </r>
  <r>
    <n v="50719"/>
    <n v="30404"/>
    <x v="199"/>
    <n v="2452"/>
    <x v="10"/>
    <n v="4"/>
    <n v="861.36"/>
    <d v="2025-01-09T00:00:00"/>
    <d v="2025-01-10T00:00:00"/>
    <x v="0"/>
    <s v="OK"/>
    <s v="OK"/>
    <x v="3"/>
    <n v="1"/>
    <n v="1"/>
    <n v="215.34"/>
  </r>
  <r>
    <n v="50720"/>
    <n v="30404"/>
    <x v="199"/>
    <n v="2452"/>
    <x v="0"/>
    <n v="2"/>
    <n v="399.62"/>
    <d v="2025-01-10T00:00:00"/>
    <d v="2025-01-20T00:00:00"/>
    <x v="0"/>
    <s v="OK"/>
    <s v="OK"/>
    <x v="0"/>
    <n v="10"/>
    <n v="0"/>
    <n v="199.81"/>
  </r>
  <r>
    <n v="50721"/>
    <n v="30404"/>
    <x v="199"/>
    <n v="2452"/>
    <x v="6"/>
    <n v="3"/>
    <n v="95.19"/>
    <d v="2025-01-08T00:00:00"/>
    <d v="2025-01-18T00:00:00"/>
    <x v="0"/>
    <s v="OK"/>
    <s v="OK"/>
    <x v="2"/>
    <n v="10"/>
    <n v="0"/>
    <n v="31.73"/>
  </r>
  <r>
    <n v="50722"/>
    <n v="30405"/>
    <x v="5"/>
    <n v="2310"/>
    <x v="9"/>
    <n v="3"/>
    <n v="120.84"/>
    <d v="2025-03-13T00:00:00"/>
    <d v="2025-03-14T00:00:00"/>
    <x v="0"/>
    <s v="OK"/>
    <s v="OK"/>
    <x v="0"/>
    <n v="1"/>
    <n v="1"/>
    <n v="40.28"/>
  </r>
  <r>
    <n v="50723"/>
    <n v="30406"/>
    <x v="237"/>
    <n v="2096"/>
    <x v="9"/>
    <n v="1"/>
    <n v="40.28"/>
    <d v="2025-08-15T00:00:00"/>
    <d v="2025-08-21T00:00:00"/>
    <x v="0"/>
    <s v="OK"/>
    <s v="OK"/>
    <x v="0"/>
    <n v="6"/>
    <n v="1"/>
    <n v="40.28"/>
  </r>
  <r>
    <n v="50724"/>
    <n v="30406"/>
    <x v="237"/>
    <n v="2096"/>
    <x v="11"/>
    <n v="1"/>
    <n v="224.37"/>
    <d v="2025-08-15T00:00:00"/>
    <d v="2025-08-23T00:00:00"/>
    <x v="0"/>
    <s v="OK"/>
    <s v="OK"/>
    <x v="2"/>
    <n v="8"/>
    <n v="0"/>
    <n v="224.37"/>
  </r>
  <r>
    <n v="50725"/>
    <n v="30407"/>
    <x v="131"/>
    <n v="2381"/>
    <x v="7"/>
    <n v="3"/>
    <n v="761.58"/>
    <d v="2025-09-17T00:00:00"/>
    <d v="2025-09-23T00:00:00"/>
    <x v="0"/>
    <s v="OK"/>
    <s v="OK"/>
    <x v="0"/>
    <n v="6"/>
    <n v="1"/>
    <n v="253.86"/>
  </r>
  <r>
    <n v="50726"/>
    <n v="30407"/>
    <x v="131"/>
    <n v="2381"/>
    <x v="3"/>
    <n v="1"/>
    <n v="118.6"/>
    <d v="2025-09-18T00:00:00"/>
    <d v="2025-09-24T00:00:00"/>
    <x v="0"/>
    <s v="OK"/>
    <s v="OK"/>
    <x v="2"/>
    <n v="6"/>
    <n v="0"/>
    <n v="118.6"/>
  </r>
  <r>
    <n v="50727"/>
    <n v="30408"/>
    <x v="238"/>
    <n v="2406"/>
    <x v="1"/>
    <n v="2"/>
    <n v="412.18"/>
    <d v="2025-04-25T00:00:00"/>
    <d v="2025-04-29T00:00:00"/>
    <x v="0"/>
    <s v="OK"/>
    <s v="OK"/>
    <x v="0"/>
    <n v="4"/>
    <n v="1"/>
    <n v="206.09"/>
  </r>
  <r>
    <n v="50728"/>
    <n v="30408"/>
    <x v="238"/>
    <n v="2406"/>
    <x v="10"/>
    <n v="1"/>
    <n v="215.34"/>
    <d v="2025-04-26T00:00:00"/>
    <d v="2025-04-29T00:00:00"/>
    <x v="0"/>
    <s v="OK"/>
    <s v="OK"/>
    <x v="3"/>
    <n v="3"/>
    <n v="0"/>
    <n v="215.34"/>
  </r>
  <r>
    <n v="50729"/>
    <n v="30408"/>
    <x v="238"/>
    <n v="2406"/>
    <x v="11"/>
    <n v="1"/>
    <n v="224.37"/>
    <d v="2025-04-26T00:00:00"/>
    <d v="2025-05-06T00:00:00"/>
    <x v="0"/>
    <s v="OK"/>
    <s v="OK"/>
    <x v="2"/>
    <n v="10"/>
    <n v="0"/>
    <n v="224.37"/>
  </r>
  <r>
    <n v="50730"/>
    <n v="30408"/>
    <x v="238"/>
    <n v="2406"/>
    <x v="4"/>
    <n v="2"/>
    <n v="367.48"/>
    <d v="2025-04-25T00:00:00"/>
    <d v="2025-04-28T00:00:00"/>
    <x v="0"/>
    <s v="OK"/>
    <s v="OK"/>
    <x v="2"/>
    <n v="3"/>
    <n v="0"/>
    <n v="183.74"/>
  </r>
  <r>
    <n v="50731"/>
    <n v="30409"/>
    <x v="239"/>
    <n v="2002"/>
    <x v="11"/>
    <n v="3"/>
    <n v="673.11"/>
    <d v="2025-12-15T00:00:00"/>
    <d v="2025-12-23T00:00:00"/>
    <x v="0"/>
    <s v="OK"/>
    <s v="OK"/>
    <x v="2"/>
    <n v="8"/>
    <n v="1"/>
    <n v="224.37"/>
  </r>
  <r>
    <n v="50732"/>
    <n v="30410"/>
    <x v="240"/>
    <n v="2136"/>
    <x v="14"/>
    <n v="4"/>
    <n v="478.96"/>
    <d v="2025-03-31T00:00:00"/>
    <d v="2025-04-03T00:00:00"/>
    <x v="0"/>
    <s v="OK"/>
    <s v="OK"/>
    <x v="3"/>
    <n v="3"/>
    <n v="1"/>
    <n v="119.74"/>
  </r>
  <r>
    <n v="50733"/>
    <n v="30410"/>
    <x v="240"/>
    <n v="2136"/>
    <x v="8"/>
    <n v="2"/>
    <n v="406.08"/>
    <d v="2025-04-01T00:00:00"/>
    <d v="2025-11-04T00:00:00"/>
    <x v="0"/>
    <s v="OK"/>
    <s v="OK"/>
    <x v="2"/>
    <n v="217"/>
    <n v="0"/>
    <n v="203.04"/>
  </r>
  <r>
    <n v="50734"/>
    <n v="30411"/>
    <x v="221"/>
    <n v="2009"/>
    <x v="4"/>
    <n v="2"/>
    <n v="367.48"/>
    <d v="2025-07-18T00:00:00"/>
    <d v="2025-07-27T00:00:00"/>
    <x v="0"/>
    <s v="OK"/>
    <s v="OK"/>
    <x v="2"/>
    <n v="9"/>
    <n v="1"/>
    <n v="183.74"/>
  </r>
  <r>
    <n v="50735"/>
    <n v="30412"/>
    <x v="153"/>
    <n v="2433"/>
    <x v="12"/>
    <n v="1"/>
    <n v="65.260000000000005"/>
    <d v="2025-05-08T00:00:00"/>
    <d v="2025-05-16T00:00:00"/>
    <x v="0"/>
    <s v="OK"/>
    <s v="OK"/>
    <x v="3"/>
    <n v="8"/>
    <n v="1"/>
    <n v="65.260000000000005"/>
  </r>
  <r>
    <n v="50736"/>
    <n v="30413"/>
    <x v="241"/>
    <n v="2073"/>
    <x v="11"/>
    <n v="3"/>
    <n v="673.11"/>
    <d v="2025-02-22T00:00:00"/>
    <d v="2025-03-02T00:00:00"/>
    <x v="0"/>
    <s v="OK"/>
    <s v="OK"/>
    <x v="2"/>
    <n v="8"/>
    <n v="1"/>
    <n v="224.37"/>
  </r>
  <r>
    <n v="50737"/>
    <n v="30414"/>
    <x v="214"/>
    <n v="2105"/>
    <x v="2"/>
    <n v="1"/>
    <n v="241.54"/>
    <d v="2025-07-12T00:00:00"/>
    <d v="2025-07-22T00:00:00"/>
    <x v="0"/>
    <s v="OK"/>
    <s v="OK"/>
    <x v="1"/>
    <n v="10"/>
    <n v="1"/>
    <n v="241.54"/>
  </r>
  <r>
    <n v="50738"/>
    <n v="30414"/>
    <x v="214"/>
    <n v="2105"/>
    <x v="13"/>
    <n v="2"/>
    <n v="243"/>
    <d v="2025-07-10T00:00:00"/>
    <d v="2025-07-12T00:00:00"/>
    <x v="0"/>
    <s v="OK"/>
    <s v="OK"/>
    <x v="1"/>
    <n v="2"/>
    <n v="0"/>
    <n v="121.5"/>
  </r>
  <r>
    <n v="50739"/>
    <n v="30414"/>
    <x v="214"/>
    <n v="2105"/>
    <x v="6"/>
    <n v="3"/>
    <n v="95.19"/>
    <d v="2025-07-12T00:00:00"/>
    <d v="2025-07-17T00:00:00"/>
    <x v="0"/>
    <s v="OK"/>
    <s v="OK"/>
    <x v="2"/>
    <n v="5"/>
    <n v="0"/>
    <n v="31.73"/>
  </r>
  <r>
    <n v="50740"/>
    <n v="30415"/>
    <x v="30"/>
    <n v="2392"/>
    <x v="6"/>
    <n v="2"/>
    <n v="63.46"/>
    <s v=""/>
    <s v=""/>
    <x v="3"/>
    <s v="Missing date"/>
    <s v="Missing date"/>
    <x v="2"/>
    <s v=""/>
    <n v="1"/>
    <n v="31.73"/>
  </r>
  <r>
    <n v="50741"/>
    <n v="30416"/>
    <x v="241"/>
    <n v="2147"/>
    <x v="8"/>
    <n v="1"/>
    <n v="203.04"/>
    <d v="2025-02-23T00:00:00"/>
    <d v="2025-02-25T00:00:00"/>
    <x v="0"/>
    <s v="OK"/>
    <s v="OK"/>
    <x v="2"/>
    <n v="2"/>
    <n v="1"/>
    <n v="203.04"/>
  </r>
  <r>
    <n v="50742"/>
    <n v="30417"/>
    <x v="168"/>
    <n v="2169"/>
    <x v="0"/>
    <n v="1"/>
    <n v="199.81"/>
    <d v="2025-03-20T00:00:00"/>
    <d v="2025-03-23T00:00:00"/>
    <x v="0"/>
    <s v="OK"/>
    <s v="OK"/>
    <x v="0"/>
    <n v="3"/>
    <n v="1"/>
    <n v="199.81"/>
  </r>
  <r>
    <n v="50743"/>
    <n v="30418"/>
    <x v="31"/>
    <n v="2156"/>
    <x v="14"/>
    <n v="2"/>
    <n v="239.48"/>
    <s v=""/>
    <s v=""/>
    <x v="2"/>
    <s v="Missing date"/>
    <s v="Missing date"/>
    <x v="3"/>
    <s v=""/>
    <n v="1"/>
    <n v="119.74"/>
  </r>
  <r>
    <n v="50744"/>
    <n v="30419"/>
    <x v="141"/>
    <n v="2223"/>
    <x v="4"/>
    <n v="1"/>
    <n v="183.74"/>
    <d v="2025-04-24T00:00:00"/>
    <d v="2025-04-29T00:00:00"/>
    <x v="0"/>
    <s v="OK"/>
    <s v="OK"/>
    <x v="2"/>
    <n v="5"/>
    <n v="1"/>
    <n v="183.74"/>
  </r>
  <r>
    <n v="50745"/>
    <n v="30419"/>
    <x v="141"/>
    <n v="2223"/>
    <x v="6"/>
    <n v="1"/>
    <n v="31.73"/>
    <d v="2025-04-23T00:00:00"/>
    <d v="2025-04-27T00:00:00"/>
    <x v="0"/>
    <s v="OK"/>
    <s v="OK"/>
    <x v="2"/>
    <n v="4"/>
    <n v="0"/>
    <n v="31.73"/>
  </r>
  <r>
    <n v="50746"/>
    <n v="30420"/>
    <x v="202"/>
    <n v="2127"/>
    <x v="15"/>
    <n v="3"/>
    <n v="510.75"/>
    <d v="2025-06-17T00:00:00"/>
    <d v="2025-06-21T00:00:00"/>
    <x v="0"/>
    <s v="OK"/>
    <s v="OK"/>
    <x v="1"/>
    <n v="4"/>
    <n v="1"/>
    <n v="170.25"/>
  </r>
  <r>
    <n v="50747"/>
    <n v="30421"/>
    <x v="220"/>
    <n v="2360"/>
    <x v="5"/>
    <n v="1"/>
    <n v="101.44"/>
    <d v="2025-11-08T00:00:00"/>
    <d v="2025-11-15T00:00:00"/>
    <x v="1"/>
    <s v="OK"/>
    <s v="OK"/>
    <x v="1"/>
    <n v="7"/>
    <n v="1"/>
    <n v="101.44"/>
  </r>
  <r>
    <n v="50748"/>
    <n v="30421"/>
    <x v="74"/>
    <n v="2360"/>
    <x v="6"/>
    <n v="1"/>
    <n v="31.73"/>
    <d v="2025-08-11T00:00:00"/>
    <d v="2025-11-17T00:00:00"/>
    <x v="1"/>
    <s v="OK"/>
    <s v="OK"/>
    <x v="2"/>
    <n v="98"/>
    <n v="0"/>
    <n v="31.73"/>
  </r>
  <r>
    <n v="50749"/>
    <n v="30422"/>
    <x v="200"/>
    <n v="2254"/>
    <x v="11"/>
    <n v="2"/>
    <n v="448.74"/>
    <d v="2025-06-06T00:00:00"/>
    <d v="2025-06-16T00:00:00"/>
    <x v="0"/>
    <s v="OK"/>
    <s v="OK"/>
    <x v="2"/>
    <n v="10"/>
    <n v="1"/>
    <n v="224.37"/>
  </r>
  <r>
    <n v="50750"/>
    <n v="30423"/>
    <x v="108"/>
    <n v="2255"/>
    <x v="13"/>
    <n v="2"/>
    <n v="243"/>
    <d v="2025-04-30T00:00:00"/>
    <d v="2025-10-05T00:00:00"/>
    <x v="0"/>
    <s v="OK"/>
    <s v="OK"/>
    <x v="1"/>
    <n v="158"/>
    <n v="1"/>
    <n v="121.5"/>
  </r>
  <r>
    <n v="50751"/>
    <n v="30423"/>
    <x v="108"/>
    <n v="2255"/>
    <x v="8"/>
    <n v="2"/>
    <n v="406.08"/>
    <d v="2025-04-30T00:00:00"/>
    <d v="2025-05-06T00:00:00"/>
    <x v="0"/>
    <s v="OK"/>
    <s v="OK"/>
    <x v="2"/>
    <n v="6"/>
    <n v="0"/>
    <n v="203.04"/>
  </r>
  <r>
    <n v="50752"/>
    <n v="30424"/>
    <x v="1"/>
    <n v="2309"/>
    <x v="0"/>
    <n v="5"/>
    <n v="999.05"/>
    <d v="2025-08-22T00:00:00"/>
    <d v="2025-08-23T00:00:00"/>
    <x v="0"/>
    <s v="OK"/>
    <s v="OK"/>
    <x v="0"/>
    <n v="1"/>
    <n v="1"/>
    <n v="199.81"/>
  </r>
  <r>
    <n v="50753"/>
    <n v="30424"/>
    <x v="1"/>
    <n v="2309"/>
    <x v="15"/>
    <n v="1"/>
    <n v="170.25"/>
    <d v="2025-08-22T00:00:00"/>
    <d v="2025-08-28T00:00:00"/>
    <x v="0"/>
    <s v="OK"/>
    <s v="OK"/>
    <x v="1"/>
    <n v="6"/>
    <n v="0"/>
    <n v="170.25"/>
  </r>
  <r>
    <n v="50754"/>
    <n v="30424"/>
    <x v="1"/>
    <n v="2309"/>
    <x v="13"/>
    <n v="1"/>
    <n v="121.5"/>
    <d v="2025-08-22T00:00:00"/>
    <d v="2025-08-26T00:00:00"/>
    <x v="0"/>
    <s v="OK"/>
    <s v="OK"/>
    <x v="1"/>
    <n v="4"/>
    <n v="0"/>
    <n v="121.5"/>
  </r>
  <r>
    <n v="50755"/>
    <n v="30425"/>
    <x v="242"/>
    <n v="2056"/>
    <x v="1"/>
    <n v="1"/>
    <n v="206.09"/>
    <s v=""/>
    <s v=""/>
    <x v="3"/>
    <s v="Missing date"/>
    <s v="Missing date"/>
    <x v="0"/>
    <s v=""/>
    <n v="1"/>
    <n v="206.09"/>
  </r>
  <r>
    <n v="50756"/>
    <n v="30426"/>
    <x v="243"/>
    <n v="2116"/>
    <x v="11"/>
    <n v="1"/>
    <n v="224.37"/>
    <d v="2025-12-28T00:00:00"/>
    <d v="2026-01-02T00:00:00"/>
    <x v="0"/>
    <s v="OK"/>
    <s v="OK"/>
    <x v="2"/>
    <n v="5"/>
    <n v="1"/>
    <n v="224.37"/>
  </r>
  <r>
    <n v="50757"/>
    <n v="30426"/>
    <x v="243"/>
    <n v="2116"/>
    <x v="8"/>
    <n v="4"/>
    <n v="812.16"/>
    <d v="2025-12-28T00:00:00"/>
    <d v="2026-02-01T00:00:00"/>
    <x v="0"/>
    <s v="OK"/>
    <s v="OK"/>
    <x v="2"/>
    <n v="35"/>
    <n v="0"/>
    <n v="203.04"/>
  </r>
  <r>
    <n v="50758"/>
    <n v="30426"/>
    <x v="243"/>
    <n v="2116"/>
    <x v="2"/>
    <n v="1"/>
    <n v="241.54"/>
    <d v="2025-12-28T00:00:00"/>
    <d v="2025-12-29T00:00:00"/>
    <x v="0"/>
    <s v="OK"/>
    <s v="OK"/>
    <x v="1"/>
    <n v="1"/>
    <n v="0"/>
    <n v="241.54"/>
  </r>
  <r>
    <n v="50759"/>
    <n v="30427"/>
    <x v="152"/>
    <n v="2325"/>
    <x v="10"/>
    <n v="1"/>
    <n v="215.34"/>
    <d v="2025-09-25T00:00:00"/>
    <d v="2025-09-26T00:00:00"/>
    <x v="0"/>
    <s v="OK"/>
    <s v="OK"/>
    <x v="3"/>
    <n v="1"/>
    <n v="1"/>
    <n v="215.34"/>
  </r>
  <r>
    <n v="50760"/>
    <n v="30428"/>
    <x v="0"/>
    <n v="2375"/>
    <x v="7"/>
    <n v="4"/>
    <n v="1015.44"/>
    <d v="2025-02-06T00:00:00"/>
    <d v="2025-02-12T00:00:00"/>
    <x v="0"/>
    <s v="OK"/>
    <s v="OK"/>
    <x v="0"/>
    <n v="6"/>
    <n v="1"/>
    <n v="253.86"/>
  </r>
  <r>
    <n v="50761"/>
    <n v="30429"/>
    <x v="243"/>
    <n v="2483"/>
    <x v="11"/>
    <n v="1"/>
    <n v="224.37"/>
    <d v="2025-12-30T00:00:00"/>
    <d v="2026-07-01T00:00:00"/>
    <x v="1"/>
    <s v="OK"/>
    <s v="OK"/>
    <x v="2"/>
    <n v="183"/>
    <n v="1"/>
    <n v="224.37"/>
  </r>
  <r>
    <n v="50762"/>
    <n v="30430"/>
    <x v="134"/>
    <n v="2018"/>
    <x v="8"/>
    <n v="1"/>
    <n v="203.04"/>
    <d v="2025-11-12T00:00:00"/>
    <d v="2025-11-21T00:00:00"/>
    <x v="0"/>
    <s v="OK"/>
    <s v="OK"/>
    <x v="2"/>
    <n v="9"/>
    <n v="1"/>
    <n v="203.04"/>
  </r>
  <r>
    <n v="50763"/>
    <n v="30431"/>
    <x v="125"/>
    <n v="2269"/>
    <x v="3"/>
    <n v="4"/>
    <n v="474.4"/>
    <d v="2025-11-13T00:00:00"/>
    <d v="2025-11-16T00:00:00"/>
    <x v="0"/>
    <s v="OK"/>
    <s v="OK"/>
    <x v="2"/>
    <n v="3"/>
    <n v="1"/>
    <n v="118.6"/>
  </r>
  <r>
    <n v="50764"/>
    <n v="30431"/>
    <x v="125"/>
    <n v="2269"/>
    <x v="15"/>
    <n v="1"/>
    <n v="170.25"/>
    <d v="2025-11-12T00:00:00"/>
    <d v="2025-11-14T00:00:00"/>
    <x v="0"/>
    <s v="OK"/>
    <s v="OK"/>
    <x v="1"/>
    <n v="2"/>
    <n v="0"/>
    <n v="170.25"/>
  </r>
  <r>
    <n v="50765"/>
    <n v="30432"/>
    <x v="146"/>
    <n v="2519"/>
    <x v="10"/>
    <n v="1"/>
    <n v="215.34"/>
    <d v="2025-01-15T00:00:00"/>
    <d v="2025-01-22T00:00:00"/>
    <x v="0"/>
    <s v="OK"/>
    <s v="OK"/>
    <x v="3"/>
    <n v="7"/>
    <n v="1"/>
    <n v="215.34"/>
  </r>
  <r>
    <n v="50766"/>
    <n v="30433"/>
    <x v="84"/>
    <n v="2434"/>
    <x v="11"/>
    <n v="1"/>
    <n v="224.37"/>
    <d v="2025-06-19T00:00:00"/>
    <d v="2025-06-25T00:00:00"/>
    <x v="0"/>
    <s v="OK"/>
    <s v="OK"/>
    <x v="2"/>
    <n v="6"/>
    <n v="1"/>
    <n v="224.37"/>
  </r>
  <r>
    <n v="50767"/>
    <n v="30433"/>
    <x v="84"/>
    <n v="2434"/>
    <x v="6"/>
    <n v="1"/>
    <n v="31.73"/>
    <d v="2025-06-20T00:00:00"/>
    <d v="2025-06-24T00:00:00"/>
    <x v="0"/>
    <s v="OK"/>
    <s v="OK"/>
    <x v="2"/>
    <n v="4"/>
    <n v="0"/>
    <n v="31.73"/>
  </r>
  <r>
    <n v="50768"/>
    <n v="30434"/>
    <x v="72"/>
    <n v="2285"/>
    <x v="11"/>
    <n v="1"/>
    <n v="224.37"/>
    <d v="2025-09-20T00:00:00"/>
    <d v="2025-09-29T00:00:00"/>
    <x v="0"/>
    <s v="OK"/>
    <s v="OK"/>
    <x v="2"/>
    <n v="9"/>
    <n v="1"/>
    <n v="224.37"/>
  </r>
  <r>
    <n v="50769"/>
    <n v="30435"/>
    <x v="52"/>
    <n v="2524"/>
    <x v="6"/>
    <n v="3"/>
    <n v="95.19"/>
    <s v=""/>
    <s v=""/>
    <x v="2"/>
    <s v="Missing date"/>
    <s v="Missing date"/>
    <x v="2"/>
    <s v=""/>
    <n v="1"/>
    <n v="31.73"/>
  </r>
  <r>
    <n v="50770"/>
    <n v="30436"/>
    <x v="164"/>
    <n v="2550"/>
    <x v="11"/>
    <n v="1"/>
    <n v="224.37"/>
    <d v="2025-07-30T00:00:00"/>
    <d v="2025-08-04T00:00:00"/>
    <x v="0"/>
    <s v="OK"/>
    <s v="OK"/>
    <x v="2"/>
    <n v="5"/>
    <n v="1"/>
    <n v="224.37"/>
  </r>
  <r>
    <n v="50771"/>
    <n v="30437"/>
    <x v="244"/>
    <n v="2318"/>
    <x v="1"/>
    <n v="2"/>
    <n v="412.18"/>
    <d v="2025-07-23T00:00:00"/>
    <d v="2025-07-27T00:00:00"/>
    <x v="0"/>
    <s v="OK"/>
    <s v="OK"/>
    <x v="0"/>
    <n v="4"/>
    <n v="1"/>
    <n v="206.09"/>
  </r>
  <r>
    <n v="50772"/>
    <n v="30438"/>
    <x v="66"/>
    <n v="2060"/>
    <x v="10"/>
    <n v="4"/>
    <n v="861.36"/>
    <d v="2025-02-18T00:00:00"/>
    <d v="2025-02-25T00:00:00"/>
    <x v="0"/>
    <s v="OK"/>
    <s v="OK"/>
    <x v="3"/>
    <n v="7"/>
    <n v="1"/>
    <n v="215.34"/>
  </r>
  <r>
    <n v="50773"/>
    <n v="30438"/>
    <x v="66"/>
    <n v="2060"/>
    <x v="4"/>
    <n v="2"/>
    <n v="367.48"/>
    <d v="2025-02-19T00:00:00"/>
    <d v="2025-02-27T00:00:00"/>
    <x v="0"/>
    <s v="OK"/>
    <s v="OK"/>
    <x v="2"/>
    <n v="8"/>
    <n v="0"/>
    <n v="183.74"/>
  </r>
  <r>
    <n v="50774"/>
    <n v="30438"/>
    <x v="66"/>
    <n v="2060"/>
    <x v="14"/>
    <n v="5"/>
    <n v="598.70000000000005"/>
    <d v="2025-02-19T00:00:00"/>
    <d v="2025-02-23T00:00:00"/>
    <x v="0"/>
    <s v="OK"/>
    <s v="OK"/>
    <x v="3"/>
    <n v="4"/>
    <n v="0"/>
    <n v="119.74000000000001"/>
  </r>
  <r>
    <n v="50775"/>
    <n v="30439"/>
    <x v="245"/>
    <n v="2057"/>
    <x v="7"/>
    <n v="1"/>
    <n v="253.86"/>
    <d v="2025-07-13T00:00:00"/>
    <d v="2025-07-21T00:00:00"/>
    <x v="0"/>
    <s v="OK"/>
    <s v="OK"/>
    <x v="0"/>
    <n v="8"/>
    <n v="1"/>
    <n v="253.86"/>
  </r>
  <r>
    <n v="50776"/>
    <n v="30440"/>
    <x v="246"/>
    <n v="2123"/>
    <x v="6"/>
    <n v="1"/>
    <n v="31.73"/>
    <d v="2025-03-07T00:00:00"/>
    <d v="2025-03-17T00:00:00"/>
    <x v="0"/>
    <s v="OK"/>
    <s v="OK"/>
    <x v="2"/>
    <n v="10"/>
    <n v="1"/>
    <n v="31.73"/>
  </r>
  <r>
    <n v="50777"/>
    <n v="30440"/>
    <x v="246"/>
    <n v="2123"/>
    <x v="8"/>
    <n v="1"/>
    <n v="203.04"/>
    <d v="2025-03-07T00:00:00"/>
    <d v="2025-03-08T00:00:00"/>
    <x v="0"/>
    <s v="OK"/>
    <s v="OK"/>
    <x v="2"/>
    <n v="1"/>
    <n v="0"/>
    <n v="203.04"/>
  </r>
  <r>
    <n v="50778"/>
    <n v="30441"/>
    <x v="224"/>
    <n v="2168"/>
    <x v="2"/>
    <n v="1"/>
    <n v="241.54"/>
    <d v="2025-12-12T00:00:00"/>
    <d v="2025-12-21T00:00:00"/>
    <x v="0"/>
    <s v="OK"/>
    <s v="OK"/>
    <x v="1"/>
    <n v="9"/>
    <n v="1"/>
    <n v="241.54"/>
  </r>
  <r>
    <n v="50779"/>
    <n v="30442"/>
    <x v="146"/>
    <n v="2536"/>
    <x v="9"/>
    <n v="1"/>
    <n v="40.28"/>
    <d v="2025-01-15T00:00:00"/>
    <d v="2025-01-19T00:00:00"/>
    <x v="0"/>
    <s v="OK"/>
    <s v="OK"/>
    <x v="0"/>
    <n v="4"/>
    <n v="1"/>
    <n v="40.28"/>
  </r>
  <r>
    <n v="50780"/>
    <n v="30443"/>
    <x v="177"/>
    <n v="2171"/>
    <x v="9"/>
    <n v="1"/>
    <n v="40.28"/>
    <d v="2025-06-04T00:00:00"/>
    <d v="2025-06-08T00:00:00"/>
    <x v="0"/>
    <s v="OK"/>
    <s v="OK"/>
    <x v="0"/>
    <n v="4"/>
    <n v="1"/>
    <n v="40.28"/>
  </r>
  <r>
    <n v="50781"/>
    <n v="30444"/>
    <x v="135"/>
    <n v="2121"/>
    <x v="8"/>
    <n v="1"/>
    <n v="203.04"/>
    <s v=""/>
    <s v=""/>
    <x v="3"/>
    <s v="Missing date"/>
    <s v="Missing date"/>
    <x v="2"/>
    <s v=""/>
    <n v="1"/>
    <n v="203.04"/>
  </r>
  <r>
    <n v="50782"/>
    <n v="30445"/>
    <x v="158"/>
    <n v="2440"/>
    <x v="11"/>
    <n v="4"/>
    <n v="897.48"/>
    <d v="2025-04-20T00:00:00"/>
    <d v="2025-04-21T00:00:00"/>
    <x v="0"/>
    <s v="OK"/>
    <s v="OK"/>
    <x v="2"/>
    <n v="1"/>
    <n v="1"/>
    <n v="224.37"/>
  </r>
  <r>
    <n v="50783"/>
    <n v="30445"/>
    <x v="158"/>
    <n v="2440"/>
    <x v="9"/>
    <n v="1"/>
    <n v="40.28"/>
    <d v="2025-04-19T00:00:00"/>
    <d v="2025-04-29T00:00:00"/>
    <x v="0"/>
    <s v="OK"/>
    <s v="OK"/>
    <x v="0"/>
    <n v="10"/>
    <n v="0"/>
    <n v="40.28"/>
  </r>
  <r>
    <n v="50784"/>
    <n v="30445"/>
    <x v="158"/>
    <n v="2440"/>
    <x v="11"/>
    <n v="2"/>
    <n v="448.74"/>
    <d v="2025-04-18T00:00:00"/>
    <d v="2025-04-19T00:00:00"/>
    <x v="0"/>
    <s v="OK"/>
    <s v="OK"/>
    <x v="2"/>
    <n v="1"/>
    <n v="0"/>
    <n v="224.37"/>
  </r>
  <r>
    <n v="50785"/>
    <n v="30445"/>
    <x v="158"/>
    <n v="2440"/>
    <x v="12"/>
    <n v="3"/>
    <n v="195.78"/>
    <d v="2025-04-20T00:00:00"/>
    <d v="2025-04-25T00:00:00"/>
    <x v="0"/>
    <s v="OK"/>
    <s v="OK"/>
    <x v="3"/>
    <n v="5"/>
    <n v="0"/>
    <n v="65.260000000000005"/>
  </r>
  <r>
    <n v="50786"/>
    <n v="30446"/>
    <x v="204"/>
    <n v="2467"/>
    <x v="3"/>
    <n v="2"/>
    <n v="237.2"/>
    <d v="2025-11-26T00:00:00"/>
    <d v="2025-12-05T00:00:00"/>
    <x v="0"/>
    <s v="OK"/>
    <s v="OK"/>
    <x v="2"/>
    <n v="9"/>
    <n v="1"/>
    <n v="118.6"/>
  </r>
  <r>
    <n v="50787"/>
    <n v="30447"/>
    <x v="156"/>
    <n v="2512"/>
    <x v="7"/>
    <n v="1"/>
    <n v="253.86"/>
    <s v=""/>
    <s v=""/>
    <x v="3"/>
    <s v="Missing date"/>
    <s v="Missing date"/>
    <x v="0"/>
    <s v=""/>
    <n v="1"/>
    <n v="253.86"/>
  </r>
  <r>
    <n v="50788"/>
    <n v="30447"/>
    <x v="156"/>
    <n v="2512"/>
    <x v="9"/>
    <n v="5"/>
    <n v="201.4"/>
    <s v=""/>
    <s v=""/>
    <x v="3"/>
    <s v="Missing date"/>
    <s v="Missing date"/>
    <x v="0"/>
    <s v=""/>
    <n v="0"/>
    <n v="40.28"/>
  </r>
  <r>
    <n v="50789"/>
    <n v="30447"/>
    <x v="156"/>
    <n v="2512"/>
    <x v="4"/>
    <n v="2"/>
    <n v="367.48"/>
    <d v="2025-10-08T00:00:00"/>
    <s v=""/>
    <x v="3"/>
    <s v="Missing date"/>
    <s v="OK"/>
    <x v="2"/>
    <s v=""/>
    <n v="0"/>
    <n v="183.74"/>
  </r>
  <r>
    <n v="50790"/>
    <n v="30448"/>
    <x v="122"/>
    <n v="2522"/>
    <x v="8"/>
    <n v="1"/>
    <n v="203.04"/>
    <d v="2025-01-15T00:00:00"/>
    <d v="2025-01-22T00:00:00"/>
    <x v="0"/>
    <s v="OK"/>
    <s v="OK"/>
    <x v="2"/>
    <n v="7"/>
    <n v="1"/>
    <n v="203.04"/>
  </r>
  <r>
    <n v="50791"/>
    <n v="30448"/>
    <x v="122"/>
    <n v="2522"/>
    <x v="1"/>
    <n v="2"/>
    <n v="412.18"/>
    <d v="2025-01-17T00:00:00"/>
    <d v="2025-01-26T00:00:00"/>
    <x v="0"/>
    <s v="OK"/>
    <s v="OK"/>
    <x v="0"/>
    <n v="9"/>
    <n v="0"/>
    <n v="206.09"/>
  </r>
  <r>
    <n v="50792"/>
    <n v="30449"/>
    <x v="247"/>
    <n v="2048"/>
    <x v="15"/>
    <n v="1"/>
    <n v="170.25"/>
    <d v="2025-08-11T00:00:00"/>
    <d v="2025-08-14T00:00:00"/>
    <x v="0"/>
    <s v="OK"/>
    <s v="OK"/>
    <x v="1"/>
    <n v="3"/>
    <n v="1"/>
    <n v="170.25"/>
  </r>
  <r>
    <n v="50793"/>
    <n v="30449"/>
    <x v="247"/>
    <n v="2048"/>
    <x v="6"/>
    <n v="1"/>
    <n v="31.73"/>
    <d v="2025-08-11T00:00:00"/>
    <d v="2025-08-12T00:00:00"/>
    <x v="0"/>
    <s v="OK"/>
    <s v="OK"/>
    <x v="2"/>
    <n v="1"/>
    <n v="0"/>
    <n v="31.73"/>
  </r>
  <r>
    <n v="50794"/>
    <n v="30449"/>
    <x v="247"/>
    <n v="2048"/>
    <x v="7"/>
    <n v="1"/>
    <n v="253.86"/>
    <d v="2025-08-10T00:00:00"/>
    <d v="2025-08-13T00:00:00"/>
    <x v="0"/>
    <s v="OK"/>
    <s v="OK"/>
    <x v="0"/>
    <n v="3"/>
    <n v="0"/>
    <n v="253.86"/>
  </r>
  <r>
    <n v="50795"/>
    <n v="30450"/>
    <x v="248"/>
    <n v="2037"/>
    <x v="10"/>
    <n v="3"/>
    <n v="646.02"/>
    <d v="2025-12-23T00:00:00"/>
    <d v="2025-12-25T00:00:00"/>
    <x v="0"/>
    <s v="OK"/>
    <s v="OK"/>
    <x v="3"/>
    <n v="2"/>
    <n v="1"/>
    <n v="215.34"/>
  </r>
  <r>
    <n v="50796"/>
    <n v="30451"/>
    <x v="181"/>
    <n v="2230"/>
    <x v="10"/>
    <n v="1"/>
    <n v="215.34"/>
    <d v="2025-04-12T00:00:00"/>
    <d v="2025-04-16T00:00:00"/>
    <x v="0"/>
    <s v="OK"/>
    <s v="OK"/>
    <x v="3"/>
    <n v="4"/>
    <n v="1"/>
    <n v="215.34"/>
  </r>
  <r>
    <n v="50797"/>
    <n v="30451"/>
    <x v="181"/>
    <n v="2230"/>
    <x v="5"/>
    <n v="1"/>
    <n v="101.44"/>
    <d v="2025-04-10T00:00:00"/>
    <d v="2025-04-15T00:00:00"/>
    <x v="0"/>
    <s v="OK"/>
    <s v="OK"/>
    <x v="1"/>
    <n v="5"/>
    <n v="0"/>
    <n v="101.44"/>
  </r>
  <r>
    <n v="50798"/>
    <n v="30451"/>
    <x v="181"/>
    <n v="2230"/>
    <x v="9"/>
    <n v="1"/>
    <n v="40.28"/>
    <d v="2025-04-11T00:00:00"/>
    <d v="2025-04-17T00:00:00"/>
    <x v="0"/>
    <s v="OK"/>
    <s v="OK"/>
    <x v="0"/>
    <n v="6"/>
    <n v="0"/>
    <n v="40.28"/>
  </r>
  <r>
    <n v="50799"/>
    <n v="30452"/>
    <x v="249"/>
    <n v="2080"/>
    <x v="4"/>
    <n v="1"/>
    <n v="183.74"/>
    <d v="2025-01-20T00:00:00"/>
    <d v="2025-01-26T00:00:00"/>
    <x v="0"/>
    <s v="OK"/>
    <s v="OK"/>
    <x v="2"/>
    <n v="6"/>
    <n v="1"/>
    <n v="183.74"/>
  </r>
  <r>
    <n v="50800"/>
    <n v="30453"/>
    <x v="250"/>
    <n v="2515"/>
    <x v="3"/>
    <n v="1"/>
    <n v="118.6"/>
    <d v="2025-06-03T00:00:00"/>
    <d v="2025-06-13T00:00:00"/>
    <x v="0"/>
    <s v="OK"/>
    <s v="OK"/>
    <x v="2"/>
    <n v="10"/>
    <n v="1"/>
    <n v="118.6"/>
  </r>
  <r>
    <n v="50801"/>
    <n v="30453"/>
    <x v="250"/>
    <n v="2515"/>
    <x v="7"/>
    <n v="2"/>
    <n v="507.72"/>
    <d v="2025-06-02T00:00:00"/>
    <d v="2025-06-12T00:00:00"/>
    <x v="0"/>
    <s v="OK"/>
    <s v="OK"/>
    <x v="0"/>
    <n v="10"/>
    <n v="0"/>
    <n v="253.86"/>
  </r>
  <r>
    <n v="50802"/>
    <n v="30453"/>
    <x v="250"/>
    <n v="2515"/>
    <x v="1"/>
    <n v="3"/>
    <n v="618.27"/>
    <d v="2025-06-01T00:00:00"/>
    <d v="2025-06-03T00:00:00"/>
    <x v="0"/>
    <s v="OK"/>
    <s v="OK"/>
    <x v="0"/>
    <n v="2"/>
    <n v="0"/>
    <n v="206.09"/>
  </r>
  <r>
    <n v="50803"/>
    <n v="30454"/>
    <x v="43"/>
    <n v="2529"/>
    <x v="15"/>
    <n v="3"/>
    <n v="510.75"/>
    <d v="2025-12-07T00:00:00"/>
    <d v="2025-12-11T00:00:00"/>
    <x v="1"/>
    <s v="OK"/>
    <s v="OK"/>
    <x v="1"/>
    <n v="4"/>
    <n v="1"/>
    <n v="170.25"/>
  </r>
  <r>
    <n v="50804"/>
    <n v="30455"/>
    <x v="157"/>
    <n v="2071"/>
    <x v="13"/>
    <n v="4"/>
    <n v="486"/>
    <s v=""/>
    <s v=""/>
    <x v="2"/>
    <s v="Missing date"/>
    <s v="Missing date"/>
    <x v="1"/>
    <s v=""/>
    <n v="1"/>
    <n v="121.5"/>
  </r>
  <r>
    <n v="50805"/>
    <n v="30456"/>
    <x v="144"/>
    <n v="2319"/>
    <x v="14"/>
    <n v="2"/>
    <n v="239.48"/>
    <d v="2025-12-11T00:00:00"/>
    <d v="2025-12-14T00:00:00"/>
    <x v="0"/>
    <s v="OK"/>
    <s v="OK"/>
    <x v="3"/>
    <n v="3"/>
    <n v="1"/>
    <n v="119.74"/>
  </r>
  <r>
    <n v="50806"/>
    <n v="30456"/>
    <x v="58"/>
    <n v="2319"/>
    <x v="8"/>
    <n v="2"/>
    <n v="406.08"/>
    <d v="2025-11-12T00:00:00"/>
    <d v="2025-12-13T00:00:00"/>
    <x v="0"/>
    <s v="OK"/>
    <s v="OK"/>
    <x v="2"/>
    <n v="31"/>
    <n v="0"/>
    <n v="203.04"/>
  </r>
  <r>
    <n v="50807"/>
    <n v="30457"/>
    <x v="17"/>
    <n v="2378"/>
    <x v="13"/>
    <n v="1"/>
    <n v="121.5"/>
    <d v="2025-10-26T00:00:00"/>
    <d v="2025-10-29T00:00:00"/>
    <x v="0"/>
    <s v="OK"/>
    <s v="OK"/>
    <x v="1"/>
    <n v="3"/>
    <n v="1"/>
    <n v="121.5"/>
  </r>
  <r>
    <n v="50808"/>
    <n v="30458"/>
    <x v="251"/>
    <n v="2249"/>
    <x v="12"/>
    <n v="4"/>
    <n v="261.04000000000002"/>
    <d v="2025-01-28T00:00:00"/>
    <d v="2025-01-31T00:00:00"/>
    <x v="0"/>
    <s v="OK"/>
    <s v="OK"/>
    <x v="3"/>
    <n v="3"/>
    <n v="1"/>
    <n v="65.260000000000005"/>
  </r>
  <r>
    <n v="50809"/>
    <n v="30459"/>
    <x v="204"/>
    <n v="2201"/>
    <x v="1"/>
    <n v="1"/>
    <n v="206.09"/>
    <d v="2025-11-24T00:00:00"/>
    <d v="2025-11-30T00:00:00"/>
    <x v="0"/>
    <s v="OK"/>
    <s v="OK"/>
    <x v="0"/>
    <n v="6"/>
    <n v="1"/>
    <n v="206.09"/>
  </r>
  <r>
    <n v="50810"/>
    <n v="30460"/>
    <x v="252"/>
    <n v="2155"/>
    <x v="10"/>
    <n v="1"/>
    <n v="215.34"/>
    <d v="2025-05-05T00:00:00"/>
    <d v="2025-05-13T00:00:00"/>
    <x v="0"/>
    <s v="OK"/>
    <s v="OK"/>
    <x v="3"/>
    <n v="8"/>
    <n v="1"/>
    <n v="215.34"/>
  </r>
  <r>
    <n v="50811"/>
    <n v="30461"/>
    <x v="18"/>
    <n v="2025"/>
    <x v="2"/>
    <n v="1"/>
    <n v="241.54"/>
    <d v="2025-02-09T00:00:00"/>
    <d v="2025-02-18T00:00:00"/>
    <x v="0"/>
    <s v="OK"/>
    <s v="OK"/>
    <x v="1"/>
    <n v="9"/>
    <n v="1"/>
    <n v="241.54"/>
  </r>
  <r>
    <n v="50812"/>
    <n v="30461"/>
    <x v="18"/>
    <n v="2025"/>
    <x v="8"/>
    <n v="1"/>
    <n v="203.04"/>
    <d v="2025-02-11T00:00:00"/>
    <d v="2025-02-21T00:00:00"/>
    <x v="0"/>
    <s v="OK"/>
    <s v="OK"/>
    <x v="2"/>
    <n v="10"/>
    <n v="0"/>
    <n v="203.04"/>
  </r>
  <r>
    <n v="50813"/>
    <n v="30461"/>
    <x v="18"/>
    <n v="2025"/>
    <x v="5"/>
    <n v="1"/>
    <n v="101.44"/>
    <d v="2025-02-11T00:00:00"/>
    <d v="2025-02-13T00:00:00"/>
    <x v="0"/>
    <s v="OK"/>
    <s v="OK"/>
    <x v="1"/>
    <n v="2"/>
    <n v="0"/>
    <n v="101.44"/>
  </r>
  <r>
    <n v="50814"/>
    <n v="30461"/>
    <x v="18"/>
    <n v="2025"/>
    <x v="8"/>
    <n v="4"/>
    <n v="812.16"/>
    <d v="2025-02-10T00:00:00"/>
    <d v="2025-02-20T00:00:00"/>
    <x v="0"/>
    <s v="OK"/>
    <s v="OK"/>
    <x v="2"/>
    <n v="10"/>
    <n v="0"/>
    <n v="203.04"/>
  </r>
  <r>
    <n v="50815"/>
    <n v="30462"/>
    <x v="190"/>
    <n v="2386"/>
    <x v="13"/>
    <n v="1"/>
    <n v="121.5"/>
    <d v="2025-08-05T00:00:00"/>
    <s v=""/>
    <x v="3"/>
    <s v="Missing date"/>
    <s v="OK"/>
    <x v="1"/>
    <s v=""/>
    <n v="1"/>
    <n v="121.5"/>
  </r>
  <r>
    <n v="50816"/>
    <n v="30463"/>
    <x v="44"/>
    <n v="2543"/>
    <x v="10"/>
    <n v="3"/>
    <n v="646.02"/>
    <d v="2025-09-29T00:00:00"/>
    <d v="2025-10-08T00:00:00"/>
    <x v="1"/>
    <s v="OK"/>
    <s v="OK"/>
    <x v="3"/>
    <n v="9"/>
    <n v="1"/>
    <n v="215.34"/>
  </r>
  <r>
    <n v="50817"/>
    <n v="30464"/>
    <x v="213"/>
    <n v="2504"/>
    <x v="6"/>
    <n v="1"/>
    <n v="31.73"/>
    <d v="2025-04-05T00:00:00"/>
    <d v="2025-06-04T00:00:00"/>
    <x v="1"/>
    <s v="OK"/>
    <s v="OK"/>
    <x v="2"/>
    <n v="60"/>
    <n v="1"/>
    <n v="31.73"/>
  </r>
  <r>
    <n v="50818"/>
    <n v="30464"/>
    <x v="213"/>
    <n v="2504"/>
    <x v="9"/>
    <n v="2"/>
    <n v="80.56"/>
    <d v="2025-04-04T00:00:00"/>
    <d v="2025-04-08T00:00:00"/>
    <x v="1"/>
    <s v="OK"/>
    <s v="OK"/>
    <x v="0"/>
    <n v="4"/>
    <n v="0"/>
    <n v="40.28"/>
  </r>
  <r>
    <n v="50819"/>
    <n v="30465"/>
    <x v="253"/>
    <n v="2096"/>
    <x v="1"/>
    <n v="4"/>
    <n v="824.36"/>
    <d v="2025-08-05T00:00:00"/>
    <d v="2025-08-14T00:00:00"/>
    <x v="0"/>
    <s v="OK"/>
    <s v="OK"/>
    <x v="0"/>
    <n v="9"/>
    <n v="1"/>
    <n v="206.09"/>
  </r>
  <r>
    <n v="50820"/>
    <n v="30466"/>
    <x v="254"/>
    <n v="2533"/>
    <x v="2"/>
    <n v="1"/>
    <n v="241.54"/>
    <d v="2025-10-04T00:00:00"/>
    <d v="2025-10-08T00:00:00"/>
    <x v="0"/>
    <s v="OK"/>
    <s v="OK"/>
    <x v="1"/>
    <n v="4"/>
    <n v="1"/>
    <n v="241.54"/>
  </r>
  <r>
    <n v="50821"/>
    <n v="30466"/>
    <x v="255"/>
    <n v="2533"/>
    <x v="14"/>
    <n v="1"/>
    <n v="119.74"/>
    <d v="2025-10-04T00:00:00"/>
    <d v="2025-10-10T00:00:00"/>
    <x v="0"/>
    <s v="OK"/>
    <s v="OK"/>
    <x v="3"/>
    <n v="6"/>
    <n v="0"/>
    <n v="119.74"/>
  </r>
  <r>
    <n v="50822"/>
    <n v="30466"/>
    <x v="254"/>
    <n v="2533"/>
    <x v="11"/>
    <n v="1"/>
    <n v="224.37"/>
    <d v="2025-10-04T00:00:00"/>
    <d v="2025-10-05T00:00:00"/>
    <x v="0"/>
    <s v="OK"/>
    <s v="OK"/>
    <x v="2"/>
    <n v="1"/>
    <n v="0"/>
    <n v="224.37"/>
  </r>
  <r>
    <n v="50823"/>
    <n v="30467"/>
    <x v="201"/>
    <n v="2595"/>
    <x v="6"/>
    <n v="1"/>
    <n v="31.73"/>
    <d v="2025-06-23T00:00:00"/>
    <d v="2025-06-25T00:00:00"/>
    <x v="0"/>
    <s v="OK"/>
    <s v="OK"/>
    <x v="2"/>
    <n v="2"/>
    <n v="1"/>
    <n v="31.73"/>
  </r>
  <r>
    <n v="50824"/>
    <n v="30468"/>
    <x v="256"/>
    <n v="2404"/>
    <x v="3"/>
    <n v="2"/>
    <n v="237.2"/>
    <d v="2025-03-14T00:00:00"/>
    <d v="2025-03-18T00:00:00"/>
    <x v="0"/>
    <s v="OK"/>
    <s v="OK"/>
    <x v="2"/>
    <n v="4"/>
    <n v="1"/>
    <n v="118.6"/>
  </r>
  <r>
    <n v="50825"/>
    <n v="30469"/>
    <x v="91"/>
    <n v="2446"/>
    <x v="6"/>
    <n v="2"/>
    <n v="63.46"/>
    <d v="2025-04-02T00:00:00"/>
    <d v="2025-04-03T00:00:00"/>
    <x v="0"/>
    <s v="OK"/>
    <s v="OK"/>
    <x v="2"/>
    <n v="1"/>
    <n v="1"/>
    <n v="31.73"/>
  </r>
  <r>
    <n v="50826"/>
    <n v="30469"/>
    <x v="91"/>
    <n v="2446"/>
    <x v="1"/>
    <n v="2"/>
    <n v="412.18"/>
    <d v="2025-04-02T00:00:00"/>
    <d v="2025-05-04T00:00:00"/>
    <x v="0"/>
    <s v="OK"/>
    <s v="OK"/>
    <x v="0"/>
    <n v="32"/>
    <n v="0"/>
    <n v="206.09"/>
  </r>
  <r>
    <n v="50827"/>
    <n v="30470"/>
    <x v="59"/>
    <n v="2299"/>
    <x v="5"/>
    <n v="3"/>
    <n v="304.32"/>
    <d v="2025-12-22T00:00:00"/>
    <d v="2025-12-30T00:00:00"/>
    <x v="0"/>
    <s v="OK"/>
    <s v="OK"/>
    <x v="1"/>
    <n v="8"/>
    <n v="1"/>
    <n v="101.44"/>
  </r>
  <r>
    <n v="50828"/>
    <n v="30470"/>
    <x v="59"/>
    <n v="2299"/>
    <x v="15"/>
    <n v="1"/>
    <n v="170.25"/>
    <d v="2025-12-22T00:00:00"/>
    <d v="2025-12-27T00:00:00"/>
    <x v="0"/>
    <s v="OK"/>
    <s v="OK"/>
    <x v="1"/>
    <n v="5"/>
    <n v="0"/>
    <n v="170.25"/>
  </r>
  <r>
    <n v="50829"/>
    <n v="30471"/>
    <x v="97"/>
    <n v="2335"/>
    <x v="9"/>
    <n v="1"/>
    <n v="40.28"/>
    <d v="2025-12-31T00:00:00"/>
    <d v="2026-01-01T00:00:00"/>
    <x v="0"/>
    <s v="OK"/>
    <s v="OK"/>
    <x v="0"/>
    <n v="1"/>
    <n v="1"/>
    <n v="40.28"/>
  </r>
  <r>
    <n v="50830"/>
    <n v="30471"/>
    <x v="97"/>
    <n v="2335"/>
    <x v="1"/>
    <n v="1"/>
    <n v="206.09"/>
    <d v="2025-12-29T00:00:00"/>
    <d v="2025-12-30T00:00:00"/>
    <x v="0"/>
    <s v="OK"/>
    <s v="OK"/>
    <x v="0"/>
    <n v="1"/>
    <n v="0"/>
    <n v="206.09"/>
  </r>
  <r>
    <n v="50831"/>
    <n v="30471"/>
    <x v="97"/>
    <n v="2335"/>
    <x v="11"/>
    <n v="2"/>
    <n v="448.74"/>
    <d v="2025-12-29T00:00:00"/>
    <d v="2025-12-30T00:00:00"/>
    <x v="0"/>
    <s v="OK"/>
    <s v="OK"/>
    <x v="2"/>
    <n v="1"/>
    <n v="0"/>
    <n v="224.37"/>
  </r>
  <r>
    <n v="50832"/>
    <n v="30471"/>
    <x v="97"/>
    <n v="2335"/>
    <x v="0"/>
    <n v="2"/>
    <n v="399.62"/>
    <d v="2025-12-30T00:00:00"/>
    <d v="2026-01-08T00:00:00"/>
    <x v="0"/>
    <s v="OK"/>
    <s v="OK"/>
    <x v="0"/>
    <n v="9"/>
    <n v="0"/>
    <n v="199.81"/>
  </r>
  <r>
    <n v="50833"/>
    <n v="30472"/>
    <x v="198"/>
    <n v="2140"/>
    <x v="4"/>
    <n v="2"/>
    <n v="367.48"/>
    <d v="2026-04-11T00:00:00"/>
    <s v=""/>
    <x v="3"/>
    <s v="Missing date"/>
    <s v="OK"/>
    <x v="2"/>
    <s v=""/>
    <n v="1"/>
    <n v="183.74"/>
  </r>
  <r>
    <n v="50834"/>
    <n v="30472"/>
    <x v="198"/>
    <n v="2140"/>
    <x v="7"/>
    <n v="3"/>
    <n v="761.58"/>
    <s v=""/>
    <s v=""/>
    <x v="3"/>
    <s v="Missing date"/>
    <s v="Missing date"/>
    <x v="0"/>
    <s v=""/>
    <n v="0"/>
    <n v="253.86"/>
  </r>
  <r>
    <n v="50835"/>
    <n v="30473"/>
    <x v="139"/>
    <n v="2322"/>
    <x v="2"/>
    <n v="1"/>
    <n v="241.54"/>
    <d v="2025-10-04T00:00:00"/>
    <d v="2025-10-10T00:00:00"/>
    <x v="0"/>
    <s v="OK"/>
    <s v="OK"/>
    <x v="1"/>
    <n v="6"/>
    <n v="1"/>
    <n v="241.54"/>
  </r>
  <r>
    <n v="50836"/>
    <n v="30473"/>
    <x v="139"/>
    <n v="2322"/>
    <x v="0"/>
    <n v="1"/>
    <n v="199.81"/>
    <d v="2025-04-10T00:00:00"/>
    <d v="2025-10-13T00:00:00"/>
    <x v="0"/>
    <s v="OK"/>
    <s v="OK"/>
    <x v="0"/>
    <n v="186"/>
    <n v="0"/>
    <n v="199.81"/>
  </r>
  <r>
    <n v="50837"/>
    <n v="30473"/>
    <x v="257"/>
    <n v="2322"/>
    <x v="14"/>
    <n v="2"/>
    <n v="239.48"/>
    <d v="2025-10-05T00:00:00"/>
    <d v="2025-10-10T00:00:00"/>
    <x v="0"/>
    <s v="OK"/>
    <s v="OK"/>
    <x v="3"/>
    <n v="5"/>
    <n v="0"/>
    <n v="119.74"/>
  </r>
  <r>
    <n v="50838"/>
    <n v="30474"/>
    <x v="258"/>
    <n v="2316"/>
    <x v="4"/>
    <n v="2"/>
    <n v="367.48"/>
    <d v="2025-01-09T00:00:00"/>
    <d v="2025-01-13T00:00:00"/>
    <x v="0"/>
    <s v="OK"/>
    <s v="OK"/>
    <x v="2"/>
    <n v="4"/>
    <n v="1"/>
    <n v="183.74"/>
  </r>
  <r>
    <n v="50839"/>
    <n v="30475"/>
    <x v="259"/>
    <n v="2093"/>
    <x v="13"/>
    <n v="3"/>
    <n v="364.5"/>
    <d v="2025-03-19T00:00:00"/>
    <d v="2025-03-27T00:00:00"/>
    <x v="0"/>
    <s v="OK"/>
    <s v="OK"/>
    <x v="1"/>
    <n v="8"/>
    <n v="1"/>
    <n v="121.5"/>
  </r>
  <r>
    <n v="50840"/>
    <n v="30476"/>
    <x v="182"/>
    <n v="2042"/>
    <x v="5"/>
    <n v="4"/>
    <n v="405.76"/>
    <d v="2025-02-01T00:00:00"/>
    <d v="2025-02-03T00:00:00"/>
    <x v="0"/>
    <s v="OK"/>
    <s v="OK"/>
    <x v="1"/>
    <n v="2"/>
    <n v="1"/>
    <n v="101.44"/>
  </r>
  <r>
    <n v="50841"/>
    <n v="30477"/>
    <x v="131"/>
    <n v="2152"/>
    <x v="1"/>
    <n v="1"/>
    <n v="206.09"/>
    <d v="2025-09-18T00:00:00"/>
    <d v="2025-09-21T00:00:00"/>
    <x v="0"/>
    <s v="OK"/>
    <s v="OK"/>
    <x v="0"/>
    <n v="3"/>
    <n v="1"/>
    <n v="206.09"/>
  </r>
  <r>
    <n v="50842"/>
    <n v="30477"/>
    <x v="131"/>
    <n v="2152"/>
    <x v="2"/>
    <n v="1"/>
    <n v="241.54"/>
    <d v="2025-09-17T00:00:00"/>
    <d v="2025-09-25T00:00:00"/>
    <x v="0"/>
    <s v="OK"/>
    <s v="OK"/>
    <x v="1"/>
    <n v="8"/>
    <n v="0"/>
    <n v="241.54"/>
  </r>
  <r>
    <n v="50843"/>
    <n v="30478"/>
    <x v="143"/>
    <n v="2406"/>
    <x v="13"/>
    <n v="2"/>
    <n v="243"/>
    <d v="2025-08-15T00:00:00"/>
    <d v="2025-08-25T00:00:00"/>
    <x v="0"/>
    <s v="OK"/>
    <s v="OK"/>
    <x v="1"/>
    <n v="10"/>
    <n v="1"/>
    <n v="121.5"/>
  </r>
  <r>
    <n v="50844"/>
    <n v="30479"/>
    <x v="56"/>
    <n v="2267"/>
    <x v="7"/>
    <n v="1"/>
    <n v="253.86"/>
    <d v="2025-12-14T00:00:00"/>
    <s v=""/>
    <x v="3"/>
    <s v="Missing date"/>
    <s v="OK"/>
    <x v="0"/>
    <s v=""/>
    <n v="1"/>
    <n v="253.86"/>
  </r>
  <r>
    <n v="50845"/>
    <n v="30479"/>
    <x v="56"/>
    <n v="2267"/>
    <x v="15"/>
    <n v="1"/>
    <n v="170.25"/>
    <s v=""/>
    <s v=""/>
    <x v="3"/>
    <s v="Missing date"/>
    <s v="Missing date"/>
    <x v="1"/>
    <s v=""/>
    <n v="0"/>
    <n v="170.25"/>
  </r>
  <r>
    <n v="50846"/>
    <n v="30480"/>
    <x v="172"/>
    <n v="2570"/>
    <x v="1"/>
    <n v="1"/>
    <n v="206.09"/>
    <d v="2025-06-29T00:00:00"/>
    <d v="2025-07-04T00:00:00"/>
    <x v="0"/>
    <s v="OK"/>
    <s v="OK"/>
    <x v="0"/>
    <n v="5"/>
    <n v="1"/>
    <n v="206.09"/>
  </r>
  <r>
    <n v="50847"/>
    <n v="30481"/>
    <x v="158"/>
    <n v="2097"/>
    <x v="6"/>
    <n v="5"/>
    <n v="158.65"/>
    <d v="2025-04-19T00:00:00"/>
    <d v="2025-04-28T00:00:00"/>
    <x v="0"/>
    <s v="OK"/>
    <s v="OK"/>
    <x v="2"/>
    <n v="9"/>
    <n v="1"/>
    <n v="31.73"/>
  </r>
  <r>
    <n v="50848"/>
    <n v="30481"/>
    <x v="158"/>
    <n v="2097"/>
    <x v="4"/>
    <n v="1"/>
    <n v="183.74"/>
    <d v="2025-04-18T00:00:00"/>
    <d v="2025-04-19T00:00:00"/>
    <x v="0"/>
    <s v="OK"/>
    <s v="OK"/>
    <x v="2"/>
    <n v="1"/>
    <n v="0"/>
    <n v="183.74"/>
  </r>
  <r>
    <n v="50849"/>
    <n v="30481"/>
    <x v="158"/>
    <n v="2097"/>
    <x v="8"/>
    <n v="1"/>
    <n v="203.04"/>
    <d v="2025-04-18T00:00:00"/>
    <d v="2025-04-20T00:00:00"/>
    <x v="0"/>
    <s v="OK"/>
    <s v="OK"/>
    <x v="2"/>
    <n v="2"/>
    <n v="0"/>
    <n v="203.04"/>
  </r>
  <r>
    <n v="50850"/>
    <n v="30482"/>
    <x v="260"/>
    <n v="2064"/>
    <x v="1"/>
    <n v="2"/>
    <n v="412.18"/>
    <d v="2025-04-19T00:00:00"/>
    <s v=""/>
    <x v="3"/>
    <s v="Missing date"/>
    <s v="OK"/>
    <x v="0"/>
    <s v=""/>
    <n v="1"/>
    <n v="206.09"/>
  </r>
  <r>
    <n v="50851"/>
    <n v="30483"/>
    <x v="151"/>
    <n v="2411"/>
    <x v="11"/>
    <n v="1"/>
    <n v="224.37"/>
    <d v="2025-07-04T00:00:00"/>
    <d v="2025-07-05T00:00:00"/>
    <x v="0"/>
    <s v="OK"/>
    <s v="OK"/>
    <x v="2"/>
    <n v="1"/>
    <n v="1"/>
    <n v="224.37"/>
  </r>
  <r>
    <n v="50852"/>
    <n v="30483"/>
    <x v="151"/>
    <n v="2411"/>
    <x v="9"/>
    <n v="1"/>
    <n v="40.28"/>
    <d v="2025-07-04T00:00:00"/>
    <d v="2025-07-05T00:00:00"/>
    <x v="0"/>
    <s v="OK"/>
    <s v="OK"/>
    <x v="0"/>
    <n v="1"/>
    <n v="0"/>
    <n v="40.28"/>
  </r>
  <r>
    <n v="50853"/>
    <n v="30483"/>
    <x v="151"/>
    <n v="2411"/>
    <x v="11"/>
    <n v="1"/>
    <n v="224.37"/>
    <d v="2025-07-03T00:00:00"/>
    <d v="2025-07-13T00:00:00"/>
    <x v="0"/>
    <s v="OK"/>
    <s v="OK"/>
    <x v="2"/>
    <n v="10"/>
    <n v="0"/>
    <n v="224.37"/>
  </r>
  <r>
    <n v="50854"/>
    <n v="30484"/>
    <x v="261"/>
    <n v="2023"/>
    <x v="0"/>
    <n v="1"/>
    <n v="199.81"/>
    <d v="2025-05-02T00:00:00"/>
    <d v="2025-05-07T00:00:00"/>
    <x v="1"/>
    <s v="OK"/>
    <s v="OK"/>
    <x v="0"/>
    <n v="5"/>
    <n v="1"/>
    <n v="199.81"/>
  </r>
  <r>
    <n v="50855"/>
    <n v="30485"/>
    <x v="151"/>
    <n v="2455"/>
    <x v="11"/>
    <n v="1"/>
    <n v="224.37"/>
    <s v=""/>
    <s v=""/>
    <x v="3"/>
    <s v="Missing date"/>
    <s v="Missing date"/>
    <x v="2"/>
    <s v=""/>
    <n v="1"/>
    <n v="224.37"/>
  </r>
  <r>
    <n v="50856"/>
    <n v="30485"/>
    <x v="151"/>
    <n v="2455"/>
    <x v="5"/>
    <n v="3"/>
    <n v="304.32"/>
    <d v="2025-07-03T00:00:00"/>
    <s v=""/>
    <x v="3"/>
    <s v="Missing date"/>
    <s v="OK"/>
    <x v="1"/>
    <s v=""/>
    <n v="0"/>
    <n v="101.44"/>
  </r>
  <r>
    <n v="50857"/>
    <n v="30486"/>
    <x v="126"/>
    <n v="2473"/>
    <x v="12"/>
    <n v="2"/>
    <n v="430.68"/>
    <d v="2025-02-21T00:00:00"/>
    <d v="2025-03-02T00:00:00"/>
    <x v="0"/>
    <s v="OK"/>
    <s v="OK"/>
    <x v="3"/>
    <n v="9"/>
    <n v="1"/>
    <n v="215.34"/>
  </r>
  <r>
    <n v="50858"/>
    <n v="30487"/>
    <x v="40"/>
    <n v="2405"/>
    <x v="14"/>
    <n v="1"/>
    <n v="170.25"/>
    <d v="2025-11-02T00:00:00"/>
    <d v="2025-11-06T00:00:00"/>
    <x v="0"/>
    <s v="OK"/>
    <s v="OK"/>
    <x v="3"/>
    <n v="4"/>
    <n v="1"/>
    <n v="170.25"/>
  </r>
  <r>
    <n v="50859"/>
    <n v="30487"/>
    <x v="40"/>
    <n v="2405"/>
    <x v="10"/>
    <n v="1"/>
    <n v="215.34"/>
    <d v="2025-11-01T00:00:00"/>
    <d v="2025-11-07T00:00:00"/>
    <x v="0"/>
    <s v="OK"/>
    <s v="OK"/>
    <x v="3"/>
    <n v="6"/>
    <n v="0"/>
    <n v="215.34"/>
  </r>
  <r>
    <n v="50860"/>
    <n v="30488"/>
    <x v="262"/>
    <n v="2177"/>
    <x v="9"/>
    <n v="2"/>
    <n v="507.72"/>
    <d v="2025-09-24T00:00:00"/>
    <d v="2025-09-25T00:00:00"/>
    <x v="0"/>
    <s v="OK"/>
    <s v="OK"/>
    <x v="0"/>
    <n v="1"/>
    <n v="1"/>
    <n v="253.86"/>
  </r>
  <r>
    <n v="50861"/>
    <n v="30489"/>
    <x v="97"/>
    <n v="2282"/>
    <x v="7"/>
    <n v="1"/>
    <n v="31.73"/>
    <d v="2025-12-31T00:00:00"/>
    <d v="2026-01-04T00:00:00"/>
    <x v="0"/>
    <s v="OK"/>
    <s v="OK"/>
    <x v="0"/>
    <n v="4"/>
    <n v="1"/>
    <n v="31.73"/>
  </r>
  <r>
    <n v="50862"/>
    <n v="30489"/>
    <x v="97"/>
    <n v="2282"/>
    <x v="3"/>
    <n v="1"/>
    <n v="118.6"/>
    <d v="2025-12-29T00:00:00"/>
    <d v="2026-01-04T00:00:00"/>
    <x v="0"/>
    <s v="OK"/>
    <s v="OK"/>
    <x v="2"/>
    <n v="6"/>
    <n v="0"/>
    <n v="118.6"/>
  </r>
  <r>
    <n v="50863"/>
    <n v="30489"/>
    <x v="97"/>
    <n v="2282"/>
    <x v="1"/>
    <n v="1"/>
    <n v="206.09"/>
    <d v="2025-12-31T00:00:00"/>
    <d v="2026-01-05T00:00:00"/>
    <x v="0"/>
    <s v="OK"/>
    <s v="OK"/>
    <x v="0"/>
    <n v="5"/>
    <n v="0"/>
    <n v="206.09"/>
  </r>
  <r>
    <n v="50864"/>
    <n v="30490"/>
    <x v="263"/>
    <n v="2303"/>
    <x v="12"/>
    <n v="2"/>
    <n v="130.52000000000001"/>
    <d v="2025-07-23T00:00:00"/>
    <d v="2025-07-28T00:00:00"/>
    <x v="0"/>
    <s v="OK"/>
    <s v="OK"/>
    <x v="3"/>
    <n v="5"/>
    <n v="1"/>
    <n v="65.260000000000005"/>
  </r>
  <r>
    <n v="50865"/>
    <n v="30491"/>
    <x v="264"/>
    <n v="2063"/>
    <x v="15"/>
    <n v="1"/>
    <n v="170.25"/>
    <d v="2025-01-13T00:00:00"/>
    <d v="2025-01-19T00:00:00"/>
    <x v="0"/>
    <s v="OK"/>
    <s v="OK"/>
    <x v="1"/>
    <n v="6"/>
    <n v="1"/>
    <n v="170.25"/>
  </r>
  <r>
    <n v="50866"/>
    <n v="30491"/>
    <x v="264"/>
    <n v="2063"/>
    <x v="6"/>
    <n v="1"/>
    <n v="31.73"/>
    <d v="2025-01-14T00:00:00"/>
    <d v="2025-01-17T00:00:00"/>
    <x v="0"/>
    <s v="OK"/>
    <s v="OK"/>
    <x v="2"/>
    <n v="3"/>
    <n v="0"/>
    <n v="31.73"/>
  </r>
  <r>
    <n v="50867"/>
    <n v="30491"/>
    <x v="264"/>
    <n v="2063"/>
    <x v="10"/>
    <n v="3"/>
    <n v="646.02"/>
    <d v="2025-01-13T00:00:00"/>
    <d v="2025-01-15T00:00:00"/>
    <x v="0"/>
    <s v="OK"/>
    <s v="OK"/>
    <x v="3"/>
    <n v="2"/>
    <n v="0"/>
    <n v="215.34"/>
  </r>
  <r>
    <n v="50868"/>
    <n v="30491"/>
    <x v="264"/>
    <n v="2063"/>
    <x v="0"/>
    <n v="2"/>
    <n v="399.62"/>
    <d v="2025-01-13T00:00:00"/>
    <d v="2025-01-21T00:00:00"/>
    <x v="0"/>
    <s v="OK"/>
    <s v="OK"/>
    <x v="0"/>
    <n v="8"/>
    <n v="0"/>
    <n v="199.81"/>
  </r>
  <r>
    <n v="50869"/>
    <n v="30492"/>
    <x v="54"/>
    <n v="2539"/>
    <x v="8"/>
    <n v="1"/>
    <n v="203.04"/>
    <d v="2025-04-09T00:00:00"/>
    <d v="2025-04-15T00:00:00"/>
    <x v="0"/>
    <s v="OK"/>
    <s v="OK"/>
    <x v="2"/>
    <n v="6"/>
    <n v="1"/>
    <n v="203.04"/>
  </r>
  <r>
    <n v="50870"/>
    <n v="30493"/>
    <x v="54"/>
    <n v="2392"/>
    <x v="2"/>
    <n v="1"/>
    <n v="241.54"/>
    <s v=""/>
    <s v=""/>
    <x v="3"/>
    <s v="Missing date"/>
    <s v="Missing date"/>
    <x v="1"/>
    <s v=""/>
    <n v="1"/>
    <n v="241.54"/>
  </r>
  <r>
    <n v="50871"/>
    <n v="30494"/>
    <x v="84"/>
    <n v="2497"/>
    <x v="5"/>
    <n v="1"/>
    <n v="101.44"/>
    <d v="2025-06-19T00:00:00"/>
    <d v="2025-06-21T00:00:00"/>
    <x v="0"/>
    <s v="OK"/>
    <s v="OK"/>
    <x v="1"/>
    <n v="2"/>
    <n v="1"/>
    <n v="101.44"/>
  </r>
  <r>
    <n v="50872"/>
    <n v="30495"/>
    <x v="115"/>
    <n v="2398"/>
    <x v="8"/>
    <n v="1"/>
    <n v="203.04"/>
    <d v="2025-10-25T00:00:00"/>
    <d v="2025-10-30T00:00:00"/>
    <x v="0"/>
    <s v="OK"/>
    <s v="OK"/>
    <x v="2"/>
    <n v="5"/>
    <n v="1"/>
    <n v="203.04"/>
  </r>
  <r>
    <n v="50873"/>
    <n v="30495"/>
    <x v="115"/>
    <n v="2398"/>
    <x v="5"/>
    <n v="3"/>
    <n v="304.32"/>
    <d v="2025-10-25T00:00:00"/>
    <d v="2025-10-26T00:00:00"/>
    <x v="0"/>
    <s v="OK"/>
    <s v="OK"/>
    <x v="1"/>
    <n v="1"/>
    <n v="0"/>
    <n v="101.44"/>
  </r>
  <r>
    <n v="50874"/>
    <n v="30496"/>
    <x v="265"/>
    <n v="2225"/>
    <x v="9"/>
    <n v="1"/>
    <n v="40.28"/>
    <d v="2025-03-29T00:00:00"/>
    <d v="2025-03-30T00:00:00"/>
    <x v="0"/>
    <s v="OK"/>
    <s v="OK"/>
    <x v="0"/>
    <n v="1"/>
    <n v="1"/>
    <n v="40.28"/>
  </r>
  <r>
    <n v="50875"/>
    <n v="30497"/>
    <x v="140"/>
    <n v="2060"/>
    <x v="12"/>
    <n v="1"/>
    <n v="65.260000000000005"/>
    <s v=""/>
    <s v=""/>
    <x v="3"/>
    <s v="Missing date"/>
    <s v="Missing date"/>
    <x v="3"/>
    <s v=""/>
    <n v="1"/>
    <n v="65.260000000000005"/>
  </r>
  <r>
    <n v="50876"/>
    <n v="30497"/>
    <x v="140"/>
    <n v="2060"/>
    <x v="1"/>
    <n v="2"/>
    <n v="412.18"/>
    <s v=""/>
    <s v=""/>
    <x v="3"/>
    <s v="Missing date"/>
    <s v="Missing date"/>
    <x v="0"/>
    <s v=""/>
    <n v="0"/>
    <n v="206.09"/>
  </r>
  <r>
    <n v="50877"/>
    <n v="30497"/>
    <x v="140"/>
    <n v="2060"/>
    <x v="4"/>
    <n v="1"/>
    <n v="183.74"/>
    <d v="2025-04-22T00:00:00"/>
    <s v=""/>
    <x v="3"/>
    <s v="Missing date"/>
    <s v="OK"/>
    <x v="2"/>
    <s v=""/>
    <n v="0"/>
    <n v="183.74"/>
  </r>
  <r>
    <n v="50878"/>
    <n v="30497"/>
    <x v="140"/>
    <n v="2060"/>
    <x v="1"/>
    <n v="2"/>
    <n v="412.18"/>
    <s v=""/>
    <s v=""/>
    <x v="3"/>
    <s v="Missing date"/>
    <s v="Missing date"/>
    <x v="0"/>
    <s v=""/>
    <n v="0"/>
    <n v="206.09"/>
  </r>
  <r>
    <n v="50879"/>
    <n v="30498"/>
    <x v="266"/>
    <n v="2058"/>
    <x v="1"/>
    <n v="1"/>
    <n v="206.09"/>
    <s v=""/>
    <s v=""/>
    <x v="3"/>
    <s v="Missing date"/>
    <s v="Missing date"/>
    <x v="0"/>
    <s v=""/>
    <n v="1"/>
    <n v="206.09"/>
  </r>
  <r>
    <n v="50880"/>
    <n v="30499"/>
    <x v="257"/>
    <n v="2398"/>
    <x v="7"/>
    <n v="5"/>
    <n v="1269.3"/>
    <d v="2025-10-06T00:00:00"/>
    <d v="2025-10-09T00:00:00"/>
    <x v="0"/>
    <s v="OK"/>
    <s v="OK"/>
    <x v="0"/>
    <n v="3"/>
    <n v="1"/>
    <n v="253.85999999999999"/>
  </r>
  <r>
    <n v="50881"/>
    <n v="30499"/>
    <x v="257"/>
    <n v="2398"/>
    <x v="7"/>
    <n v="1"/>
    <n v="253.86"/>
    <d v="2025-10-05T00:00:00"/>
    <d v="2025-10-07T00:00:00"/>
    <x v="0"/>
    <s v="OK"/>
    <s v="OK"/>
    <x v="0"/>
    <n v="2"/>
    <n v="0"/>
    <n v="253.86"/>
  </r>
  <r>
    <n v="50882"/>
    <n v="30500"/>
    <x v="267"/>
    <n v="2243"/>
    <x v="2"/>
    <n v="2"/>
    <n v="483.08"/>
    <d v="2025-05-25T00:00:00"/>
    <d v="2025-06-01T00:00:00"/>
    <x v="0"/>
    <s v="OK"/>
    <s v="OK"/>
    <x v="1"/>
    <n v="7"/>
    <n v="1"/>
    <n v="241.54"/>
  </r>
  <r>
    <n v="50883"/>
    <n v="30500"/>
    <x v="267"/>
    <n v="2243"/>
    <x v="8"/>
    <n v="3"/>
    <n v="609.12"/>
    <d v="2025-05-26T00:00:00"/>
    <d v="2025-05-30T00:00:00"/>
    <x v="0"/>
    <s v="OK"/>
    <s v="OK"/>
    <x v="2"/>
    <n v="4"/>
    <n v="0"/>
    <n v="203.04"/>
  </r>
  <r>
    <n v="50884"/>
    <n v="30501"/>
    <x v="115"/>
    <n v="2361"/>
    <x v="6"/>
    <n v="1"/>
    <n v="31.73"/>
    <d v="2025-10-25T00:00:00"/>
    <d v="2025-10-28T00:00:00"/>
    <x v="1"/>
    <s v="OK"/>
    <s v="OK"/>
    <x v="2"/>
    <n v="3"/>
    <n v="1"/>
    <n v="31.73"/>
  </r>
  <r>
    <n v="50885"/>
    <n v="30502"/>
    <x v="192"/>
    <n v="2577"/>
    <x v="12"/>
    <n v="2"/>
    <n v="130.52000000000001"/>
    <d v="2025-11-16T00:00:00"/>
    <d v="2025-11-26T00:00:00"/>
    <x v="1"/>
    <s v="OK"/>
    <s v="OK"/>
    <x v="3"/>
    <n v="10"/>
    <n v="1"/>
    <n v="65.260000000000005"/>
  </r>
  <r>
    <n v="50886"/>
    <n v="30502"/>
    <x v="192"/>
    <n v="2577"/>
    <x v="13"/>
    <n v="1"/>
    <n v="121.5"/>
    <d v="2025-11-18T00:00:00"/>
    <d v="2025-11-20T00:00:00"/>
    <x v="1"/>
    <s v="OK"/>
    <s v="OK"/>
    <x v="1"/>
    <n v="2"/>
    <n v="0"/>
    <n v="121.5"/>
  </r>
  <r>
    <n v="50887"/>
    <n v="30502"/>
    <x v="192"/>
    <n v="2577"/>
    <x v="7"/>
    <n v="1"/>
    <n v="253.86"/>
    <d v="2025-11-17T00:00:00"/>
    <d v="2025-11-21T00:00:00"/>
    <x v="1"/>
    <s v="OK"/>
    <s v="OK"/>
    <x v="0"/>
    <n v="4"/>
    <n v="0"/>
    <n v="253.86"/>
  </r>
  <r>
    <n v="50888"/>
    <n v="30503"/>
    <x v="268"/>
    <n v="2503"/>
    <x v="3"/>
    <n v="1"/>
    <n v="118.6"/>
    <d v="2025-02-10T00:00:00"/>
    <d v="2025-11-02T00:00:00"/>
    <x v="0"/>
    <s v="OK"/>
    <s v="OK"/>
    <x v="2"/>
    <n v="265"/>
    <n v="1"/>
    <n v="118.6"/>
  </r>
  <r>
    <n v="50889"/>
    <n v="30504"/>
    <x v="57"/>
    <n v="2239"/>
    <x v="8"/>
    <n v="1"/>
    <n v="203.04"/>
    <d v="2025-11-10T00:00:00"/>
    <d v="2025-11-18T00:00:00"/>
    <x v="0"/>
    <s v="OK"/>
    <s v="OK"/>
    <x v="2"/>
    <n v="8"/>
    <n v="1"/>
    <n v="203.04"/>
  </r>
  <r>
    <n v="50890"/>
    <n v="30505"/>
    <x v="269"/>
    <n v="2540"/>
    <x v="5"/>
    <n v="3"/>
    <n v="304.32"/>
    <d v="2025-10-10T00:00:00"/>
    <d v="2025-10-18T00:00:00"/>
    <x v="0"/>
    <s v="OK"/>
    <s v="OK"/>
    <x v="1"/>
    <n v="8"/>
    <n v="1"/>
    <n v="101.44"/>
  </r>
  <r>
    <n v="50891"/>
    <n v="30506"/>
    <x v="157"/>
    <n v="2207"/>
    <x v="5"/>
    <n v="2"/>
    <n v="202.88"/>
    <s v=""/>
    <s v=""/>
    <x v="3"/>
    <s v="Missing date"/>
    <s v="Missing date"/>
    <x v="1"/>
    <s v=""/>
    <n v="1"/>
    <n v="101.44"/>
  </r>
  <r>
    <n v="50892"/>
    <n v="30506"/>
    <x v="18"/>
    <n v="2207"/>
    <x v="5"/>
    <n v="2"/>
    <n v="202.88"/>
    <d v="2025-02-09T00:00:00"/>
    <s v=""/>
    <x v="3"/>
    <s v="Missing date"/>
    <s v="OK"/>
    <x v="1"/>
    <s v=""/>
    <n v="0"/>
    <n v="101.44"/>
  </r>
  <r>
    <n v="50893"/>
    <n v="30507"/>
    <x v="175"/>
    <n v="2152"/>
    <x v="6"/>
    <n v="2"/>
    <n v="63.46"/>
    <d v="2025-01-25T00:00:00"/>
    <d v="2025-01-30T00:00:00"/>
    <x v="0"/>
    <s v="OK"/>
    <s v="OK"/>
    <x v="2"/>
    <n v="5"/>
    <n v="1"/>
    <n v="31.73"/>
  </r>
  <r>
    <n v="50894"/>
    <n v="30507"/>
    <x v="175"/>
    <n v="2152"/>
    <x v="4"/>
    <n v="2"/>
    <n v="367.48"/>
    <d v="2025-01-23T00:00:00"/>
    <d v="2025-01-25T00:00:00"/>
    <x v="0"/>
    <s v="OK"/>
    <s v="OK"/>
    <x v="2"/>
    <n v="2"/>
    <n v="0"/>
    <n v="183.74"/>
  </r>
  <r>
    <n v="50895"/>
    <n v="30508"/>
    <x v="225"/>
    <n v="2539"/>
    <x v="11"/>
    <n v="2"/>
    <n v="448.74"/>
    <s v=""/>
    <s v=""/>
    <x v="2"/>
    <s v="Missing date"/>
    <s v="Missing date"/>
    <x v="2"/>
    <s v=""/>
    <n v="1"/>
    <n v="224.37"/>
  </r>
  <r>
    <n v="50896"/>
    <n v="30508"/>
    <x v="225"/>
    <n v="2539"/>
    <x v="2"/>
    <n v="1"/>
    <n v="241.54"/>
    <s v=""/>
    <s v=""/>
    <x v="2"/>
    <s v="Missing date"/>
    <s v="Missing date"/>
    <x v="1"/>
    <s v=""/>
    <n v="0"/>
    <n v="241.54"/>
  </r>
  <r>
    <n v="50897"/>
    <n v="30509"/>
    <x v="120"/>
    <n v="2406"/>
    <x v="5"/>
    <n v="1"/>
    <n v="101.44"/>
    <d v="2025-06-09T00:00:00"/>
    <d v="2025-07-09T00:00:00"/>
    <x v="0"/>
    <s v="OK"/>
    <s v="OK"/>
    <x v="1"/>
    <n v="30"/>
    <n v="1"/>
    <n v="101.44"/>
  </r>
  <r>
    <n v="50898"/>
    <n v="30509"/>
    <x v="270"/>
    <n v="2406"/>
    <x v="13"/>
    <n v="1"/>
    <n v="121.5"/>
    <d v="2025-09-04T00:00:00"/>
    <d v="2025-09-08T00:00:00"/>
    <x v="0"/>
    <s v="OK"/>
    <s v="OK"/>
    <x v="1"/>
    <n v="4"/>
    <n v="0"/>
    <n v="121.5"/>
  </r>
  <r>
    <n v="50899"/>
    <n v="30509"/>
    <x v="120"/>
    <n v="2406"/>
    <x v="5"/>
    <n v="1"/>
    <n v="101.44"/>
    <d v="2025-05-09T00:00:00"/>
    <d v="2025-09-06T00:00:00"/>
    <x v="0"/>
    <s v="OK"/>
    <s v="OK"/>
    <x v="1"/>
    <n v="120"/>
    <n v="0"/>
    <n v="101.44"/>
  </r>
  <r>
    <n v="50900"/>
    <n v="30509"/>
    <x v="120"/>
    <n v="2406"/>
    <x v="6"/>
    <n v="1"/>
    <n v="31.73"/>
    <d v="2025-09-04T00:00:00"/>
    <d v="2025-09-13T00:00:00"/>
    <x v="0"/>
    <s v="OK"/>
    <s v="OK"/>
    <x v="2"/>
    <n v="9"/>
    <n v="0"/>
    <n v="31.73"/>
  </r>
  <r>
    <n v="50901"/>
    <n v="30510"/>
    <x v="233"/>
    <n v="2162"/>
    <x v="10"/>
    <n v="2"/>
    <n v="430.68"/>
    <d v="2025-08-03T00:00:00"/>
    <d v="2025-08-11T00:00:00"/>
    <x v="0"/>
    <s v="OK"/>
    <s v="OK"/>
    <x v="3"/>
    <n v="8"/>
    <n v="1"/>
    <n v="215.34"/>
  </r>
  <r>
    <n v="50902"/>
    <n v="30510"/>
    <x v="233"/>
    <n v="2162"/>
    <x v="12"/>
    <n v="2"/>
    <n v="130.52000000000001"/>
    <d v="2025-08-02T00:00:00"/>
    <d v="2025-08-10T00:00:00"/>
    <x v="0"/>
    <s v="OK"/>
    <s v="OK"/>
    <x v="3"/>
    <n v="8"/>
    <n v="0"/>
    <n v="65.260000000000005"/>
  </r>
  <r>
    <n v="50903"/>
    <n v="30511"/>
    <x v="271"/>
    <n v="2325"/>
    <x v="2"/>
    <n v="2"/>
    <n v="483.08"/>
    <d v="2025-10-21T00:00:00"/>
    <d v="2025-10-29T00:00:00"/>
    <x v="0"/>
    <s v="OK"/>
    <s v="OK"/>
    <x v="1"/>
    <n v="8"/>
    <n v="1"/>
    <n v="241.54"/>
  </r>
  <r>
    <n v="50904"/>
    <n v="30511"/>
    <x v="271"/>
    <n v="2325"/>
    <x v="1"/>
    <n v="1"/>
    <n v="206.09"/>
    <d v="2025-10-20T00:00:00"/>
    <d v="2025-10-29T00:00:00"/>
    <x v="0"/>
    <s v="OK"/>
    <s v="OK"/>
    <x v="0"/>
    <n v="9"/>
    <n v="0"/>
    <n v="206.09"/>
  </r>
  <r>
    <n v="50905"/>
    <n v="30512"/>
    <x v="245"/>
    <n v="2180"/>
    <x v="13"/>
    <n v="2"/>
    <n v="243"/>
    <d v="2025-07-13T00:00:00"/>
    <d v="2025-07-14T00:00:00"/>
    <x v="0"/>
    <s v="OK"/>
    <s v="OK"/>
    <x v="1"/>
    <n v="1"/>
    <n v="1"/>
    <n v="121.5"/>
  </r>
  <r>
    <n v="50906"/>
    <n v="30512"/>
    <x v="245"/>
    <n v="2180"/>
    <x v="6"/>
    <n v="2"/>
    <n v="63.46"/>
    <d v="2025-07-13T00:00:00"/>
    <d v="2025-07-16T00:00:00"/>
    <x v="0"/>
    <s v="OK"/>
    <s v="OK"/>
    <x v="2"/>
    <n v="3"/>
    <n v="0"/>
    <n v="31.73"/>
  </r>
  <r>
    <n v="50907"/>
    <n v="30512"/>
    <x v="245"/>
    <n v="2180"/>
    <x v="7"/>
    <n v="2"/>
    <n v="507.72"/>
    <d v="2025-07-15T00:00:00"/>
    <d v="2025-07-24T00:00:00"/>
    <x v="0"/>
    <s v="OK"/>
    <s v="OK"/>
    <x v="0"/>
    <n v="9"/>
    <n v="0"/>
    <n v="253.86"/>
  </r>
  <r>
    <n v="50908"/>
    <n v="30513"/>
    <x v="272"/>
    <n v="2002"/>
    <x v="15"/>
    <n v="1"/>
    <n v="170.25"/>
    <d v="2025-05-21T00:00:00"/>
    <d v="2025-05-29T00:00:00"/>
    <x v="1"/>
    <s v="OK"/>
    <s v="OK"/>
    <x v="1"/>
    <n v="8"/>
    <n v="1"/>
    <n v="170.25"/>
  </r>
  <r>
    <n v="50909"/>
    <n v="30513"/>
    <x v="272"/>
    <n v="2002"/>
    <x v="3"/>
    <n v="3"/>
    <n v="355.8"/>
    <d v="2025-05-21T00:00:00"/>
    <d v="2025-05-22T00:00:00"/>
    <x v="1"/>
    <s v="OK"/>
    <s v="OK"/>
    <x v="2"/>
    <n v="1"/>
    <n v="0"/>
    <n v="118.60000000000001"/>
  </r>
  <r>
    <n v="50910"/>
    <n v="30514"/>
    <x v="152"/>
    <n v="2187"/>
    <x v="1"/>
    <n v="1"/>
    <n v="206.09"/>
    <d v="2025-09-23T00:00:00"/>
    <d v="2025-09-24T00:00:00"/>
    <x v="0"/>
    <s v="OK"/>
    <s v="OK"/>
    <x v="0"/>
    <n v="1"/>
    <n v="1"/>
    <n v="206.09"/>
  </r>
  <r>
    <n v="50911"/>
    <n v="30515"/>
    <x v="206"/>
    <n v="2580"/>
    <x v="12"/>
    <n v="1"/>
    <n v="65.260000000000005"/>
    <d v="2025-10-14T00:00:00"/>
    <d v="2025-10-24T00:00:00"/>
    <x v="0"/>
    <s v="OK"/>
    <s v="OK"/>
    <x v="3"/>
    <n v="10"/>
    <n v="1"/>
    <n v="65.260000000000005"/>
  </r>
  <r>
    <n v="50912"/>
    <n v="30516"/>
    <x v="224"/>
    <n v="2145"/>
    <x v="11"/>
    <n v="1"/>
    <n v="224.37"/>
    <d v="2025-12-14T00:00:00"/>
    <d v="2025-12-16T00:00:00"/>
    <x v="0"/>
    <s v="OK"/>
    <s v="OK"/>
    <x v="2"/>
    <n v="2"/>
    <n v="1"/>
    <n v="224.37"/>
  </r>
  <r>
    <n v="50913"/>
    <n v="30517"/>
    <x v="165"/>
    <n v="2244"/>
    <x v="5"/>
    <n v="1"/>
    <n v="101.44"/>
    <d v="2025-03-26T00:00:00"/>
    <d v="2025-04-04T00:00:00"/>
    <x v="0"/>
    <s v="OK"/>
    <s v="OK"/>
    <x v="1"/>
    <n v="9"/>
    <n v="1"/>
    <n v="101.44"/>
  </r>
  <r>
    <n v="50914"/>
    <n v="30517"/>
    <x v="165"/>
    <n v="2244"/>
    <x v="7"/>
    <n v="2"/>
    <n v="507.72"/>
    <d v="2025-03-27T00:00:00"/>
    <d v="2025-04-02T00:00:00"/>
    <x v="0"/>
    <s v="OK"/>
    <s v="OK"/>
    <x v="0"/>
    <n v="6"/>
    <n v="0"/>
    <n v="253.86"/>
  </r>
  <r>
    <n v="50915"/>
    <n v="30517"/>
    <x v="165"/>
    <n v="2244"/>
    <x v="11"/>
    <n v="2"/>
    <n v="448.74"/>
    <d v="2025-03-25T00:00:00"/>
    <d v="2025-04-04T00:00:00"/>
    <x v="0"/>
    <s v="OK"/>
    <s v="OK"/>
    <x v="2"/>
    <n v="10"/>
    <n v="0"/>
    <n v="224.37"/>
  </r>
  <r>
    <n v="50916"/>
    <n v="30518"/>
    <x v="107"/>
    <n v="2344"/>
    <x v="9"/>
    <n v="1"/>
    <n v="40.28"/>
    <d v="2025-12-20T00:00:00"/>
    <d v="2025-12-30T00:00:00"/>
    <x v="0"/>
    <s v="OK"/>
    <s v="OK"/>
    <x v="0"/>
    <n v="10"/>
    <n v="1"/>
    <n v="40.28"/>
  </r>
  <r>
    <n v="50917"/>
    <n v="30519"/>
    <x v="245"/>
    <n v="2215"/>
    <x v="11"/>
    <n v="1"/>
    <n v="224.37"/>
    <d v="2025-12-10T00:00:00"/>
    <d v="2025-12-17T00:00:00"/>
    <x v="0"/>
    <s v="OK"/>
    <s v="OK"/>
    <x v="2"/>
    <n v="7"/>
    <n v="1"/>
    <n v="224.37"/>
  </r>
  <r>
    <n v="50918"/>
    <n v="30519"/>
    <x v="273"/>
    <n v="2215"/>
    <x v="2"/>
    <n v="3"/>
    <n v="724.62"/>
    <d v="2025-12-08T00:00:00"/>
    <d v="2025-12-15T00:00:00"/>
    <x v="0"/>
    <s v="OK"/>
    <s v="OK"/>
    <x v="1"/>
    <n v="7"/>
    <n v="0"/>
    <n v="241.54"/>
  </r>
  <r>
    <n v="50919"/>
    <n v="30520"/>
    <x v="151"/>
    <n v="2263"/>
    <x v="8"/>
    <n v="2"/>
    <n v="406.08"/>
    <d v="2025-07-05T00:00:00"/>
    <s v=""/>
    <x v="3"/>
    <s v="Missing date"/>
    <s v="OK"/>
    <x v="2"/>
    <s v=""/>
    <n v="1"/>
    <n v="203.04"/>
  </r>
  <r>
    <n v="50920"/>
    <n v="30521"/>
    <x v="56"/>
    <n v="2449"/>
    <x v="7"/>
    <n v="1"/>
    <n v="253.86"/>
    <d v="2025-12-16T00:00:00"/>
    <d v="2025-12-17T00:00:00"/>
    <x v="0"/>
    <s v="OK"/>
    <s v="OK"/>
    <x v="0"/>
    <n v="1"/>
    <n v="1"/>
    <n v="253.86"/>
  </r>
  <r>
    <n v="50921"/>
    <n v="30521"/>
    <x v="56"/>
    <n v="2449"/>
    <x v="10"/>
    <n v="4"/>
    <n v="861.36"/>
    <d v="2025-12-15T00:00:00"/>
    <d v="2025-12-25T00:00:00"/>
    <x v="0"/>
    <s v="OK"/>
    <s v="OK"/>
    <x v="3"/>
    <n v="10"/>
    <n v="0"/>
    <n v="215.34"/>
  </r>
  <r>
    <n v="50922"/>
    <n v="30521"/>
    <x v="56"/>
    <n v="2449"/>
    <x v="12"/>
    <n v="1"/>
    <n v="65.260000000000005"/>
    <d v="2025-12-16T00:00:00"/>
    <d v="2025-12-23T00:00:00"/>
    <x v="0"/>
    <s v="OK"/>
    <s v="OK"/>
    <x v="3"/>
    <n v="7"/>
    <n v="0"/>
    <n v="65.260000000000005"/>
  </r>
  <r>
    <n v="50923"/>
    <n v="30522"/>
    <x v="274"/>
    <n v="2388"/>
    <x v="15"/>
    <n v="1"/>
    <n v="170.25"/>
    <d v="2025-11-20T00:00:00"/>
    <d v="2025-11-23T00:00:00"/>
    <x v="0"/>
    <s v="OK"/>
    <s v="OK"/>
    <x v="1"/>
    <n v="3"/>
    <n v="1"/>
    <n v="170.25"/>
  </r>
  <r>
    <n v="50924"/>
    <n v="30523"/>
    <x v="275"/>
    <n v="2104"/>
    <x v="1"/>
    <n v="3"/>
    <n v="618.27"/>
    <d v="2025-02-07T00:00:00"/>
    <s v=""/>
    <x v="3"/>
    <s v="Missing date"/>
    <s v="OK"/>
    <x v="0"/>
    <s v=""/>
    <n v="1"/>
    <n v="206.09"/>
  </r>
  <r>
    <n v="50925"/>
    <n v="30524"/>
    <x v="70"/>
    <n v="2076"/>
    <x v="3"/>
    <n v="1"/>
    <n v="118.6"/>
    <s v=""/>
    <s v=""/>
    <x v="3"/>
    <s v="Missing date"/>
    <s v="Missing date"/>
    <x v="2"/>
    <s v=""/>
    <n v="1"/>
    <n v="118.6"/>
  </r>
  <r>
    <n v="50926"/>
    <n v="30525"/>
    <x v="276"/>
    <n v="2327"/>
    <x v="4"/>
    <n v="1"/>
    <n v="183.74"/>
    <d v="2025-12-31T00:00:00"/>
    <d v="2026-01-09T00:00:00"/>
    <x v="0"/>
    <s v="OK"/>
    <s v="OK"/>
    <x v="2"/>
    <n v="9"/>
    <n v="1"/>
    <n v="183.74"/>
  </r>
  <r>
    <n v="50927"/>
    <n v="30526"/>
    <x v="193"/>
    <n v="2076"/>
    <x v="15"/>
    <n v="3"/>
    <n v="510.75"/>
    <d v="2025-05-17T00:00:00"/>
    <d v="2025-05-19T00:00:00"/>
    <x v="0"/>
    <s v="OK"/>
    <s v="OK"/>
    <x v="1"/>
    <n v="2"/>
    <n v="1"/>
    <n v="170.25"/>
  </r>
  <r>
    <n v="50928"/>
    <n v="30526"/>
    <x v="193"/>
    <n v="2076"/>
    <x v="7"/>
    <n v="3"/>
    <n v="761.58"/>
    <d v="2025-05-16T00:00:00"/>
    <d v="2025-05-26T00:00:00"/>
    <x v="0"/>
    <s v="OK"/>
    <s v="OK"/>
    <x v="0"/>
    <n v="10"/>
    <n v="0"/>
    <n v="253.86"/>
  </r>
  <r>
    <n v="50929"/>
    <n v="30527"/>
    <x v="239"/>
    <n v="2077"/>
    <x v="11"/>
    <n v="2"/>
    <n v="448.74"/>
    <d v="2025-12-15T00:00:00"/>
    <d v="2025-12-22T00:00:00"/>
    <x v="0"/>
    <s v="OK"/>
    <s v="OK"/>
    <x v="2"/>
    <n v="7"/>
    <n v="1"/>
    <n v="224.37"/>
  </r>
  <r>
    <n v="50930"/>
    <n v="30527"/>
    <x v="239"/>
    <n v="2077"/>
    <x v="5"/>
    <n v="2"/>
    <n v="202.88"/>
    <d v="2025-12-14T00:00:00"/>
    <d v="2025-12-20T00:00:00"/>
    <x v="0"/>
    <s v="OK"/>
    <s v="OK"/>
    <x v="1"/>
    <n v="6"/>
    <n v="0"/>
    <n v="101.44"/>
  </r>
  <r>
    <n v="50931"/>
    <n v="30528"/>
    <x v="199"/>
    <n v="2495"/>
    <x v="10"/>
    <n v="2"/>
    <n v="430.68"/>
    <d v="2025-01-08T00:00:00"/>
    <d v="2025-01-16T00:00:00"/>
    <x v="0"/>
    <s v="OK"/>
    <s v="OK"/>
    <x v="3"/>
    <n v="8"/>
    <n v="1"/>
    <n v="215.34"/>
  </r>
  <r>
    <n v="50932"/>
    <n v="30528"/>
    <x v="199"/>
    <n v="2495"/>
    <x v="7"/>
    <n v="1"/>
    <n v="253.86"/>
    <d v="2025-01-08T00:00:00"/>
    <d v="2025-01-09T00:00:00"/>
    <x v="0"/>
    <s v="OK"/>
    <s v="OK"/>
    <x v="0"/>
    <n v="1"/>
    <n v="0"/>
    <n v="253.86"/>
  </r>
  <r>
    <n v="50933"/>
    <n v="30528"/>
    <x v="199"/>
    <n v="2495"/>
    <x v="10"/>
    <n v="1"/>
    <n v="215.34"/>
    <d v="2025-01-08T00:00:00"/>
    <d v="2025-01-14T00:00:00"/>
    <x v="0"/>
    <s v="OK"/>
    <s v="OK"/>
    <x v="3"/>
    <n v="6"/>
    <n v="0"/>
    <n v="215.34"/>
  </r>
  <r>
    <n v="50934"/>
    <n v="30528"/>
    <x v="199"/>
    <n v="2495"/>
    <x v="7"/>
    <n v="1"/>
    <n v="253.86"/>
    <d v="2025-01-09T00:00:00"/>
    <d v="2025-01-13T00:00:00"/>
    <x v="0"/>
    <s v="OK"/>
    <s v="OK"/>
    <x v="0"/>
    <n v="4"/>
    <n v="0"/>
    <n v="253.86"/>
  </r>
  <r>
    <n v="50935"/>
    <n v="30529"/>
    <x v="40"/>
    <n v="2055"/>
    <x v="0"/>
    <n v="1"/>
    <n v="199.81"/>
    <d v="2025-11-01T00:00:00"/>
    <d v="2025-11-02T00:00:00"/>
    <x v="0"/>
    <s v="OK"/>
    <s v="OK"/>
    <x v="0"/>
    <n v="1"/>
    <n v="1"/>
    <n v="199.81"/>
  </r>
  <r>
    <n v="50936"/>
    <n v="30529"/>
    <x v="40"/>
    <n v="2055"/>
    <x v="0"/>
    <n v="1"/>
    <n v="199.81"/>
    <d v="2025-11-03T00:00:00"/>
    <d v="2025-11-10T00:00:00"/>
    <x v="0"/>
    <s v="OK"/>
    <s v="OK"/>
    <x v="0"/>
    <n v="7"/>
    <n v="0"/>
    <n v="199.81"/>
  </r>
  <r>
    <n v="50937"/>
    <n v="30530"/>
    <x v="121"/>
    <n v="2420"/>
    <x v="9"/>
    <n v="1"/>
    <n v="40.28"/>
    <d v="2025-04-28T00:00:00"/>
    <d v="2025-05-03T00:00:00"/>
    <x v="0"/>
    <s v="OK"/>
    <s v="OK"/>
    <x v="0"/>
    <n v="5"/>
    <n v="1"/>
    <n v="40.28"/>
  </r>
  <r>
    <n v="50938"/>
    <n v="30531"/>
    <x v="268"/>
    <n v="2289"/>
    <x v="4"/>
    <n v="1"/>
    <n v="183.74"/>
    <d v="2025-02-11T00:00:00"/>
    <d v="2025-02-17T00:00:00"/>
    <x v="0"/>
    <s v="OK"/>
    <s v="OK"/>
    <x v="2"/>
    <n v="6"/>
    <n v="1"/>
    <n v="183.74"/>
  </r>
  <r>
    <n v="50939"/>
    <n v="30531"/>
    <x v="268"/>
    <n v="2289"/>
    <x v="3"/>
    <n v="1"/>
    <n v="118.6"/>
    <d v="2025-02-12T00:00:00"/>
    <d v="2025-02-15T00:00:00"/>
    <x v="0"/>
    <s v="OK"/>
    <s v="OK"/>
    <x v="2"/>
    <n v="3"/>
    <n v="0"/>
    <n v="118.6"/>
  </r>
  <r>
    <n v="50940"/>
    <n v="30531"/>
    <x v="268"/>
    <n v="2289"/>
    <x v="15"/>
    <n v="1"/>
    <n v="170.25"/>
    <d v="2025-02-10T00:00:00"/>
    <d v="2025-02-19T00:00:00"/>
    <x v="0"/>
    <s v="OK"/>
    <s v="OK"/>
    <x v="1"/>
    <n v="9"/>
    <n v="0"/>
    <n v="170.25"/>
  </r>
  <r>
    <n v="50941"/>
    <n v="30531"/>
    <x v="268"/>
    <n v="2289"/>
    <x v="12"/>
    <n v="2"/>
    <n v="130.52000000000001"/>
    <d v="2025-02-10T00:00:00"/>
    <d v="2025-02-17T00:00:00"/>
    <x v="0"/>
    <s v="OK"/>
    <s v="OK"/>
    <x v="3"/>
    <n v="7"/>
    <n v="0"/>
    <n v="65.260000000000005"/>
  </r>
  <r>
    <n v="50942"/>
    <n v="30532"/>
    <x v="235"/>
    <m/>
    <x v="8"/>
    <n v="1"/>
    <n v="203.04"/>
    <d v="2025-08-09T00:00:00"/>
    <d v="2025-09-15T00:00:00"/>
    <x v="0"/>
    <s v="OK"/>
    <s v="OK"/>
    <x v="2"/>
    <n v="37"/>
    <n v="1"/>
    <n v="203.04"/>
  </r>
  <r>
    <n v="50943"/>
    <n v="30532"/>
    <x v="235"/>
    <n v="2158"/>
    <x v="10"/>
    <n v="1"/>
    <n v="215.34"/>
    <d v="2025-09-07T00:00:00"/>
    <d v="2025-09-08T00:00:00"/>
    <x v="0"/>
    <s v="OK"/>
    <s v="OK"/>
    <x v="3"/>
    <n v="1"/>
    <n v="0"/>
    <n v="215.34"/>
  </r>
  <r>
    <n v="50944"/>
    <n v="30533"/>
    <x v="262"/>
    <n v="2090"/>
    <x v="12"/>
    <n v="5"/>
    <n v="326.3"/>
    <d v="2025-09-24T00:00:00"/>
    <d v="2025-09-28T00:00:00"/>
    <x v="0"/>
    <s v="OK"/>
    <s v="OK"/>
    <x v="3"/>
    <n v="4"/>
    <n v="1"/>
    <n v="65.260000000000005"/>
  </r>
  <r>
    <n v="50945"/>
    <n v="30533"/>
    <x v="262"/>
    <n v="2090"/>
    <x v="0"/>
    <n v="1"/>
    <n v="199.81"/>
    <d v="2025-09-24T00:00:00"/>
    <d v="2025-10-01T00:00:00"/>
    <x v="0"/>
    <s v="OK"/>
    <s v="OK"/>
    <x v="0"/>
    <n v="7"/>
    <n v="0"/>
    <n v="199.81"/>
  </r>
  <r>
    <n v="50946"/>
    <n v="30534"/>
    <x v="118"/>
    <n v="2100"/>
    <x v="7"/>
    <n v="1"/>
    <n v="253.86"/>
    <d v="2025-10-03T00:00:00"/>
    <d v="2025-10-10T00:00:00"/>
    <x v="0"/>
    <s v="OK"/>
    <s v="OK"/>
    <x v="0"/>
    <n v="7"/>
    <n v="1"/>
    <n v="253.86"/>
  </r>
  <r>
    <n v="50947"/>
    <n v="30534"/>
    <x v="118"/>
    <n v="2100"/>
    <x v="13"/>
    <n v="2"/>
    <n v="243"/>
    <d v="2025-10-05T00:00:00"/>
    <d v="2025-10-14T00:00:00"/>
    <x v="0"/>
    <s v="OK"/>
    <s v="OK"/>
    <x v="1"/>
    <n v="9"/>
    <n v="0"/>
    <n v="121.5"/>
  </r>
  <r>
    <n v="50948"/>
    <n v="30534"/>
    <x v="118"/>
    <n v="2100"/>
    <x v="11"/>
    <n v="1"/>
    <n v="224.37"/>
    <d v="2025-10-03T00:00:00"/>
    <d v="2025-10-13T00:00:00"/>
    <x v="0"/>
    <s v="OK"/>
    <s v="OK"/>
    <x v="2"/>
    <n v="10"/>
    <n v="0"/>
    <n v="224.37"/>
  </r>
  <r>
    <n v="50949"/>
    <n v="30535"/>
    <x v="130"/>
    <n v="2485"/>
    <x v="13"/>
    <n v="1"/>
    <n v="121.5"/>
    <s v=""/>
    <s v=""/>
    <x v="3"/>
    <s v="Missing date"/>
    <s v="Missing date"/>
    <x v="1"/>
    <s v=""/>
    <n v="1"/>
    <n v="121.5"/>
  </r>
  <r>
    <n v="50950"/>
    <n v="30535"/>
    <x v="130"/>
    <n v="2485"/>
    <x v="12"/>
    <n v="1"/>
    <n v="65.260000000000005"/>
    <s v=""/>
    <s v=""/>
    <x v="3"/>
    <s v="Missing date"/>
    <s v="Missing date"/>
    <x v="3"/>
    <s v=""/>
    <n v="0"/>
    <n v="65.260000000000005"/>
  </r>
  <r>
    <n v="50951"/>
    <n v="30535"/>
    <x v="130"/>
    <n v="2485"/>
    <x v="9"/>
    <n v="1"/>
    <n v="40.28"/>
    <d v="2025-05-21T00:00:00"/>
    <s v=""/>
    <x v="3"/>
    <s v="Missing date"/>
    <s v="OK"/>
    <x v="0"/>
    <s v=""/>
    <n v="0"/>
    <n v="40.28"/>
  </r>
  <r>
    <n v="50952"/>
    <n v="30536"/>
    <x v="247"/>
    <n v="2558"/>
    <x v="2"/>
    <n v="1"/>
    <n v="241.54"/>
    <d v="2025-08-10T00:00:00"/>
    <d v="2025-08-13T00:00:00"/>
    <x v="0"/>
    <s v="OK"/>
    <s v="OK"/>
    <x v="1"/>
    <n v="3"/>
    <n v="1"/>
    <n v="241.54"/>
  </r>
  <r>
    <n v="50953"/>
    <n v="30537"/>
    <x v="277"/>
    <n v="2391"/>
    <x v="14"/>
    <n v="2"/>
    <n v="239.48"/>
    <d v="2025-06-16T00:00:00"/>
    <d v="2025-06-25T00:00:00"/>
    <x v="0"/>
    <s v="OK"/>
    <s v="OK"/>
    <x v="3"/>
    <n v="9"/>
    <n v="1"/>
    <n v="119.74"/>
  </r>
  <r>
    <n v="50954"/>
    <n v="30538"/>
    <x v="58"/>
    <n v="2046"/>
    <x v="14"/>
    <n v="1"/>
    <n v="119.74"/>
    <d v="2025-10-14T00:00:00"/>
    <d v="2025-10-22T00:00:00"/>
    <x v="0"/>
    <s v="OK"/>
    <s v="OK"/>
    <x v="3"/>
    <n v="8"/>
    <n v="1"/>
    <n v="119.74"/>
  </r>
  <r>
    <n v="50955"/>
    <n v="30539"/>
    <x v="222"/>
    <n v="2270"/>
    <x v="9"/>
    <n v="1"/>
    <n v="40.28"/>
    <d v="2025-12-03T00:00:00"/>
    <d v="2025-12-13T00:00:00"/>
    <x v="0"/>
    <s v="OK"/>
    <s v="OK"/>
    <x v="0"/>
    <n v="10"/>
    <n v="1"/>
    <n v="40.28"/>
  </r>
  <r>
    <n v="50956"/>
    <n v="30540"/>
    <x v="11"/>
    <n v="2578"/>
    <x v="4"/>
    <n v="2"/>
    <n v="367.48"/>
    <d v="2025-07-30T00:00:00"/>
    <d v="2025-08-05T00:00:00"/>
    <x v="0"/>
    <s v="OK"/>
    <s v="OK"/>
    <x v="2"/>
    <n v="6"/>
    <n v="1"/>
    <n v="183.74"/>
  </r>
  <r>
    <n v="50957"/>
    <n v="30541"/>
    <x v="202"/>
    <n v="2088"/>
    <x v="10"/>
    <n v="1"/>
    <n v="215.34"/>
    <d v="2025-06-17T00:00:00"/>
    <d v="2025-06-19T00:00:00"/>
    <x v="0"/>
    <s v="OK"/>
    <s v="OK"/>
    <x v="3"/>
    <n v="2"/>
    <n v="1"/>
    <n v="215.34"/>
  </r>
  <r>
    <n v="50958"/>
    <n v="30541"/>
    <x v="202"/>
    <n v="2088"/>
    <x v="1"/>
    <n v="2"/>
    <n v="412.18"/>
    <d v="2025-06-19T00:00:00"/>
    <d v="2025-06-22T00:00:00"/>
    <x v="0"/>
    <s v="OK"/>
    <s v="OK"/>
    <x v="0"/>
    <n v="3"/>
    <n v="0"/>
    <n v="206.09"/>
  </r>
  <r>
    <n v="50959"/>
    <n v="30542"/>
    <x v="219"/>
    <n v="2567"/>
    <x v="15"/>
    <n v="3"/>
    <n v="510.75"/>
    <d v="2025-10-17T00:00:00"/>
    <d v="2025-10-27T00:00:00"/>
    <x v="0"/>
    <s v="OK"/>
    <s v="OK"/>
    <x v="1"/>
    <n v="10"/>
    <n v="1"/>
    <n v="170.25"/>
  </r>
  <r>
    <n v="50960"/>
    <n v="30543"/>
    <x v="278"/>
    <n v="2536"/>
    <x v="12"/>
    <n v="2"/>
    <n v="130.52000000000001"/>
    <d v="2025-10-28T00:00:00"/>
    <d v="2025-10-31T00:00:00"/>
    <x v="0"/>
    <s v="OK"/>
    <s v="OK"/>
    <x v="3"/>
    <n v="3"/>
    <n v="1"/>
    <n v="65.260000000000005"/>
  </r>
  <r>
    <n v="50961"/>
    <n v="30544"/>
    <x v="188"/>
    <n v="2587"/>
    <x v="12"/>
    <n v="3"/>
    <n v="195.78"/>
    <s v=""/>
    <s v=""/>
    <x v="2"/>
    <s v="Missing date"/>
    <s v="Missing date"/>
    <x v="3"/>
    <s v=""/>
    <n v="1"/>
    <n v="65.260000000000005"/>
  </r>
  <r>
    <n v="50962"/>
    <n v="30545"/>
    <x v="116"/>
    <n v="2307"/>
    <x v="3"/>
    <n v="3"/>
    <n v="355.8"/>
    <d v="2025-07-02T00:00:00"/>
    <d v="2025-07-11T00:00:00"/>
    <x v="0"/>
    <s v="OK"/>
    <s v="OK"/>
    <x v="2"/>
    <n v="9"/>
    <n v="1"/>
    <n v="118.60000000000001"/>
  </r>
  <r>
    <n v="50963"/>
    <n v="30545"/>
    <x v="116"/>
    <n v="2307"/>
    <x v="6"/>
    <n v="4"/>
    <n v="126.92"/>
    <d v="2025-07-02T00:00:00"/>
    <d v="2025-07-05T00:00:00"/>
    <x v="0"/>
    <s v="OK"/>
    <s v="OK"/>
    <x v="2"/>
    <n v="3"/>
    <n v="0"/>
    <n v="31.73"/>
  </r>
  <r>
    <n v="50964"/>
    <n v="30545"/>
    <x v="116"/>
    <n v="2307"/>
    <x v="4"/>
    <n v="4"/>
    <n v="734.96"/>
    <d v="2025-07-03T00:00:00"/>
    <d v="2025-07-09T00:00:00"/>
    <x v="0"/>
    <s v="OK"/>
    <s v="OK"/>
    <x v="2"/>
    <n v="6"/>
    <n v="0"/>
    <n v="183.74"/>
  </r>
  <r>
    <n v="50965"/>
    <n v="30546"/>
    <x v="279"/>
    <n v="2460"/>
    <x v="7"/>
    <n v="1"/>
    <n v="253.86"/>
    <d v="2025-02-26T00:00:00"/>
    <d v="2025-02-27T00:00:00"/>
    <x v="0"/>
    <s v="OK"/>
    <s v="OK"/>
    <x v="0"/>
    <n v="1"/>
    <n v="1"/>
    <n v="253.86"/>
  </r>
  <r>
    <n v="50966"/>
    <n v="30546"/>
    <x v="279"/>
    <n v="2460"/>
    <x v="0"/>
    <n v="1"/>
    <n v="199.81"/>
    <d v="2025-02-25T00:00:00"/>
    <d v="2025-03-07T00:00:00"/>
    <x v="0"/>
    <s v="OK"/>
    <s v="OK"/>
    <x v="0"/>
    <n v="10"/>
    <n v="0"/>
    <n v="199.81"/>
  </r>
  <r>
    <n v="50967"/>
    <n v="30547"/>
    <x v="182"/>
    <n v="2198"/>
    <x v="10"/>
    <n v="3"/>
    <n v="646.02"/>
    <d v="2025-02-02T00:00:00"/>
    <d v="2025-02-09T00:00:00"/>
    <x v="0"/>
    <s v="OK"/>
    <s v="OK"/>
    <x v="3"/>
    <n v="7"/>
    <n v="1"/>
    <n v="215.34"/>
  </r>
  <r>
    <n v="50968"/>
    <n v="30548"/>
    <x v="7"/>
    <n v="2081"/>
    <x v="10"/>
    <n v="1"/>
    <n v="215.34"/>
    <d v="2025-09-15T00:00:00"/>
    <d v="2025-09-22T00:00:00"/>
    <x v="1"/>
    <s v="OK"/>
    <s v="OK"/>
    <x v="3"/>
    <n v="7"/>
    <n v="1"/>
    <n v="215.34"/>
  </r>
  <r>
    <n v="50969"/>
    <n v="30549"/>
    <x v="168"/>
    <n v="2207"/>
    <x v="6"/>
    <n v="1"/>
    <n v="31.73"/>
    <d v="2025-03-21T00:00:00"/>
    <d v="2025-03-29T00:00:00"/>
    <x v="1"/>
    <s v="OK"/>
    <s v="OK"/>
    <x v="2"/>
    <n v="8"/>
    <n v="1"/>
    <n v="31.73"/>
  </r>
  <r>
    <n v="50970"/>
    <n v="30549"/>
    <x v="168"/>
    <n v="2207"/>
    <x v="9"/>
    <n v="2"/>
    <n v="80.56"/>
    <d v="2025-03-21T00:00:00"/>
    <d v="2025-03-27T00:00:00"/>
    <x v="1"/>
    <s v="OK"/>
    <s v="OK"/>
    <x v="0"/>
    <n v="6"/>
    <n v="0"/>
    <n v="40.28"/>
  </r>
  <r>
    <n v="50971"/>
    <n v="30549"/>
    <x v="168"/>
    <n v="2207"/>
    <x v="5"/>
    <n v="3"/>
    <n v="304.32"/>
    <d v="2025-03-19T00:00:00"/>
    <d v="2025-03-22T00:00:00"/>
    <x v="1"/>
    <s v="OK"/>
    <s v="OK"/>
    <x v="1"/>
    <n v="3"/>
    <n v="0"/>
    <n v="101.44"/>
  </r>
  <r>
    <n v="50972"/>
    <n v="30550"/>
    <x v="195"/>
    <n v="2069"/>
    <x v="15"/>
    <n v="2"/>
    <n v="340.5"/>
    <d v="2025-11-02T00:00:00"/>
    <d v="2025-11-03T00:00:00"/>
    <x v="0"/>
    <s v="OK"/>
    <s v="OK"/>
    <x v="1"/>
    <n v="1"/>
    <n v="1"/>
    <n v="170.25"/>
  </r>
  <r>
    <n v="50973"/>
    <n v="30550"/>
    <x v="195"/>
    <n v="2069"/>
    <x v="5"/>
    <n v="3"/>
    <n v="304.32"/>
    <d v="2025-11-01T00:00:00"/>
    <d v="2025-11-02T00:00:00"/>
    <x v="0"/>
    <s v="OK"/>
    <s v="OK"/>
    <x v="1"/>
    <n v="1"/>
    <n v="0"/>
    <n v="101.44"/>
  </r>
  <r>
    <n v="50974"/>
    <n v="30551"/>
    <x v="162"/>
    <n v="2283"/>
    <x v="8"/>
    <n v="3"/>
    <n v="609.12"/>
    <d v="2025-12-31T00:00:00"/>
    <d v="2026-01-08T00:00:00"/>
    <x v="0"/>
    <s v="OK"/>
    <s v="OK"/>
    <x v="2"/>
    <n v="8"/>
    <n v="1"/>
    <n v="203.04"/>
  </r>
  <r>
    <n v="50975"/>
    <n v="30552"/>
    <x v="186"/>
    <n v="2536"/>
    <x v="4"/>
    <n v="1"/>
    <n v="183.74"/>
    <s v=""/>
    <s v=""/>
    <x v="3"/>
    <s v="Missing date"/>
    <s v="Missing date"/>
    <x v="2"/>
    <s v=""/>
    <n v="1"/>
    <n v="183.74"/>
  </r>
  <r>
    <n v="50976"/>
    <n v="30552"/>
    <x v="186"/>
    <n v="2536"/>
    <x v="6"/>
    <n v="1"/>
    <n v="31.73"/>
    <s v=""/>
    <s v=""/>
    <x v="3"/>
    <s v="Missing date"/>
    <s v="Missing date"/>
    <x v="2"/>
    <s v=""/>
    <n v="0"/>
    <n v="31.73"/>
  </r>
  <r>
    <n v="50977"/>
    <n v="30552"/>
    <x v="186"/>
    <n v="2536"/>
    <x v="4"/>
    <n v="1"/>
    <n v="183.74"/>
    <s v=""/>
    <s v=""/>
    <x v="3"/>
    <s v="Missing date"/>
    <s v="Missing date"/>
    <x v="2"/>
    <s v=""/>
    <n v="0"/>
    <n v="183.74"/>
  </r>
  <r>
    <n v="50978"/>
    <n v="30553"/>
    <x v="280"/>
    <n v="2577"/>
    <x v="13"/>
    <n v="3"/>
    <n v="364.5"/>
    <s v=""/>
    <s v=""/>
    <x v="3"/>
    <s v="Missing date"/>
    <s v="Missing date"/>
    <x v="1"/>
    <s v=""/>
    <n v="1"/>
    <n v="121.5"/>
  </r>
  <r>
    <n v="50979"/>
    <n v="30554"/>
    <x v="281"/>
    <n v="2353"/>
    <x v="9"/>
    <n v="1"/>
    <n v="40.28"/>
    <s v=""/>
    <s v=""/>
    <x v="2"/>
    <s v="Missing date"/>
    <s v="Missing date"/>
    <x v="0"/>
    <s v=""/>
    <n v="1"/>
    <n v="40.28"/>
  </r>
  <r>
    <n v="50980"/>
    <n v="30555"/>
    <x v="282"/>
    <n v="2393"/>
    <x v="12"/>
    <n v="2"/>
    <n v="130.52000000000001"/>
    <d v="2025-05-27T00:00:00"/>
    <d v="2025-06-05T00:00:00"/>
    <x v="0"/>
    <s v="OK"/>
    <s v="OK"/>
    <x v="3"/>
    <n v="9"/>
    <n v="1"/>
    <n v="65.260000000000005"/>
  </r>
  <r>
    <n v="50981"/>
    <n v="30556"/>
    <x v="20"/>
    <n v="2039"/>
    <x v="15"/>
    <n v="1"/>
    <n v="170.25"/>
    <d v="2025-08-11T00:00:00"/>
    <d v="2025-08-15T00:00:00"/>
    <x v="0"/>
    <s v="OK"/>
    <s v="OK"/>
    <x v="1"/>
    <n v="4"/>
    <n v="1"/>
    <n v="170.25"/>
  </r>
  <r>
    <n v="50982"/>
    <n v="30556"/>
    <x v="20"/>
    <n v="2039"/>
    <x v="6"/>
    <n v="1"/>
    <n v="31.73"/>
    <d v="2025-08-12T00:00:00"/>
    <d v="2025-08-15T00:00:00"/>
    <x v="0"/>
    <s v="OK"/>
    <s v="OK"/>
    <x v="2"/>
    <n v="3"/>
    <n v="0"/>
    <n v="31.73"/>
  </r>
  <r>
    <n v="50983"/>
    <n v="30557"/>
    <x v="218"/>
    <n v="2412"/>
    <x v="5"/>
    <n v="2"/>
    <n v="202.88"/>
    <d v="2025-05-27T00:00:00"/>
    <d v="2025-06-02T00:00:00"/>
    <x v="0"/>
    <s v="OK"/>
    <s v="OK"/>
    <x v="1"/>
    <n v="6"/>
    <n v="1"/>
    <n v="101.44"/>
  </r>
  <r>
    <n v="50984"/>
    <n v="30558"/>
    <x v="178"/>
    <n v="2244"/>
    <x v="12"/>
    <n v="2"/>
    <n v="130.52000000000001"/>
    <d v="2025-02-16T00:00:00"/>
    <d v="2025-02-17T00:00:00"/>
    <x v="0"/>
    <s v="OK"/>
    <s v="OK"/>
    <x v="3"/>
    <n v="1"/>
    <n v="1"/>
    <n v="65.260000000000005"/>
  </r>
  <r>
    <n v="50985"/>
    <n v="30558"/>
    <x v="178"/>
    <n v="2244"/>
    <x v="9"/>
    <n v="2"/>
    <n v="80.56"/>
    <d v="2025-02-16T00:00:00"/>
    <d v="2025-02-22T00:00:00"/>
    <x v="0"/>
    <s v="OK"/>
    <s v="OK"/>
    <x v="0"/>
    <n v="6"/>
    <n v="0"/>
    <n v="40.28"/>
  </r>
  <r>
    <n v="50986"/>
    <n v="30558"/>
    <x v="178"/>
    <n v="2244"/>
    <x v="2"/>
    <n v="1"/>
    <n v="241.54"/>
    <d v="2025-02-17T00:00:00"/>
    <d v="2025-02-18T00:00:00"/>
    <x v="0"/>
    <s v="OK"/>
    <s v="OK"/>
    <x v="1"/>
    <n v="1"/>
    <n v="0"/>
    <n v="241.54"/>
  </r>
  <r>
    <n v="50987"/>
    <n v="30559"/>
    <x v="233"/>
    <n v="2021"/>
    <x v="13"/>
    <n v="2"/>
    <n v="243"/>
    <d v="2025-08-03T00:00:00"/>
    <d v="2025-08-06T00:00:00"/>
    <x v="0"/>
    <s v="OK"/>
    <s v="OK"/>
    <x v="1"/>
    <n v="3"/>
    <n v="1"/>
    <n v="121.5"/>
  </r>
  <r>
    <n v="50988"/>
    <n v="30560"/>
    <x v="283"/>
    <n v="2319"/>
    <x v="12"/>
    <n v="1"/>
    <n v="65.260000000000005"/>
    <d v="2025-10-01T00:00:00"/>
    <d v="2025-10-03T00:00:00"/>
    <x v="0"/>
    <s v="OK"/>
    <s v="OK"/>
    <x v="3"/>
    <n v="2"/>
    <n v="1"/>
    <n v="65.260000000000005"/>
  </r>
  <r>
    <n v="50989"/>
    <n v="30561"/>
    <x v="56"/>
    <n v="2101"/>
    <x v="1"/>
    <n v="3"/>
    <n v="618.27"/>
    <d v="2025-12-14T00:00:00"/>
    <d v="2025-12-24T00:00:00"/>
    <x v="1"/>
    <s v="OK"/>
    <s v="OK"/>
    <x v="0"/>
    <n v="10"/>
    <n v="1"/>
    <n v="206.09"/>
  </r>
  <r>
    <n v="50990"/>
    <n v="30562"/>
    <x v="151"/>
    <n v="2138"/>
    <x v="14"/>
    <n v="3"/>
    <n v="359.22"/>
    <d v="2025-07-04T00:00:00"/>
    <d v="2025-07-10T00:00:00"/>
    <x v="0"/>
    <s v="OK"/>
    <s v="OK"/>
    <x v="3"/>
    <n v="6"/>
    <n v="1"/>
    <n v="119.74000000000001"/>
  </r>
  <r>
    <n v="50991"/>
    <n v="30563"/>
    <x v="146"/>
    <n v="2329"/>
    <x v="10"/>
    <n v="3"/>
    <n v="646.02"/>
    <d v="2025-01-15T00:00:00"/>
    <d v="2025-01-22T00:00:00"/>
    <x v="0"/>
    <s v="OK"/>
    <s v="OK"/>
    <x v="3"/>
    <n v="7"/>
    <n v="1"/>
    <n v="215.34"/>
  </r>
  <r>
    <n v="50992"/>
    <n v="30564"/>
    <x v="270"/>
    <n v="2092"/>
    <x v="0"/>
    <n v="3"/>
    <n v="599.42999999999995"/>
    <d v="2025-09-05T00:00:00"/>
    <d v="2025-09-11T00:00:00"/>
    <x v="0"/>
    <s v="OK"/>
    <s v="OK"/>
    <x v="0"/>
    <n v="6"/>
    <n v="1"/>
    <n v="199.80999999999997"/>
  </r>
  <r>
    <n v="50993"/>
    <n v="30565"/>
    <x v="131"/>
    <n v="2417"/>
    <x v="2"/>
    <n v="3"/>
    <n v="724.62"/>
    <d v="2025-09-17T00:00:00"/>
    <d v="2025-09-20T00:00:00"/>
    <x v="0"/>
    <s v="OK"/>
    <s v="OK"/>
    <x v="1"/>
    <n v="3"/>
    <n v="1"/>
    <n v="241.54"/>
  </r>
  <r>
    <n v="50994"/>
    <n v="30566"/>
    <x v="235"/>
    <n v="2058"/>
    <x v="7"/>
    <n v="4"/>
    <n v="1015.44"/>
    <d v="2025-05-10T00:00:00"/>
    <d v="2025-05-11T00:00:00"/>
    <x v="0"/>
    <s v="OK"/>
    <s v="OK"/>
    <x v="0"/>
    <n v="1"/>
    <n v="1"/>
    <n v="253.86"/>
  </r>
  <r>
    <n v="50995"/>
    <n v="30566"/>
    <x v="235"/>
    <n v="2058"/>
    <x v="11"/>
    <n v="1"/>
    <n v="224.37"/>
    <d v="2025-05-10T00:00:00"/>
    <d v="2025-05-19T00:00:00"/>
    <x v="0"/>
    <s v="OK"/>
    <s v="OK"/>
    <x v="2"/>
    <n v="9"/>
    <n v="0"/>
    <n v="224.37"/>
  </r>
  <r>
    <n v="50996"/>
    <n v="30567"/>
    <x v="126"/>
    <n v="2319"/>
    <x v="15"/>
    <n v="1"/>
    <n v="170.25"/>
    <d v="2025-02-21T00:00:00"/>
    <d v="2025-02-27T00:00:00"/>
    <x v="0"/>
    <s v="OK"/>
    <s v="OK"/>
    <x v="1"/>
    <n v="6"/>
    <n v="1"/>
    <n v="170.25"/>
  </r>
  <r>
    <n v="50997"/>
    <n v="30567"/>
    <x v="126"/>
    <n v="2319"/>
    <x v="6"/>
    <n v="5"/>
    <n v="158.65"/>
    <d v="2025-02-22T00:00:00"/>
    <d v="2025-02-23T00:00:00"/>
    <x v="0"/>
    <s v="OK"/>
    <s v="OK"/>
    <x v="2"/>
    <n v="1"/>
    <n v="0"/>
    <n v="31.73"/>
  </r>
  <r>
    <n v="50998"/>
    <n v="30567"/>
    <x v="126"/>
    <n v="2319"/>
    <x v="8"/>
    <n v="1"/>
    <n v="203.04"/>
    <d v="2025-02-22T00:00:00"/>
    <d v="2025-02-28T00:00:00"/>
    <x v="0"/>
    <s v="OK"/>
    <s v="OK"/>
    <x v="2"/>
    <n v="6"/>
    <n v="0"/>
    <n v="203.04"/>
  </r>
  <r>
    <n v="50999"/>
    <n v="30568"/>
    <x v="149"/>
    <n v="2178"/>
    <x v="0"/>
    <n v="1"/>
    <n v="199.81"/>
    <d v="2025-06-12T00:00:00"/>
    <d v="2025-12-11T00:00:00"/>
    <x v="0"/>
    <s v="OK"/>
    <s v="OK"/>
    <x v="0"/>
    <n v="182"/>
    <n v="1"/>
    <n v="199.81"/>
  </r>
  <r>
    <n v="51000"/>
    <n v="30569"/>
    <x v="284"/>
    <n v="2060"/>
    <x v="14"/>
    <n v="2"/>
    <n v="239.48"/>
    <d v="2025-03-04T00:00:00"/>
    <d v="2025-03-06T00:00:00"/>
    <x v="0"/>
    <s v="OK"/>
    <s v="OK"/>
    <x v="3"/>
    <n v="2"/>
    <n v="1"/>
    <n v="119.74"/>
  </r>
  <r>
    <n v="51001"/>
    <n v="30569"/>
    <x v="284"/>
    <n v="2060"/>
    <x v="3"/>
    <n v="1"/>
    <n v="118.6"/>
    <d v="2025-03-05T00:00:00"/>
    <d v="2025-03-14T00:00:00"/>
    <x v="0"/>
    <s v="OK"/>
    <s v="OK"/>
    <x v="2"/>
    <n v="9"/>
    <n v="0"/>
    <n v="118.6"/>
  </r>
  <r>
    <n v="51002"/>
    <n v="30570"/>
    <x v="285"/>
    <n v="2370"/>
    <x v="9"/>
    <n v="1"/>
    <n v="40.28"/>
    <d v="2025-11-26T00:00:00"/>
    <d v="2025-11-27T00:00:00"/>
    <x v="0"/>
    <s v="OK"/>
    <s v="OK"/>
    <x v="0"/>
    <n v="1"/>
    <n v="1"/>
    <n v="40.28"/>
  </r>
  <r>
    <n v="51003"/>
    <n v="30571"/>
    <x v="275"/>
    <n v="2378"/>
    <x v="15"/>
    <n v="1"/>
    <n v="170.25"/>
    <s v=""/>
    <s v=""/>
    <x v="3"/>
    <s v="Missing date"/>
    <s v="Missing date"/>
    <x v="1"/>
    <s v=""/>
    <n v="1"/>
    <n v="170.25"/>
  </r>
  <r>
    <n v="51004"/>
    <n v="30572"/>
    <x v="271"/>
    <n v="2127"/>
    <x v="1"/>
    <n v="2"/>
    <n v="412.18"/>
    <d v="2025-10-20T00:00:00"/>
    <d v="2025-10-21T00:00:00"/>
    <x v="0"/>
    <s v="OK"/>
    <s v="OK"/>
    <x v="0"/>
    <n v="1"/>
    <n v="1"/>
    <n v="206.09"/>
  </r>
  <r>
    <n v="51005"/>
    <n v="30572"/>
    <x v="271"/>
    <n v="2127"/>
    <x v="2"/>
    <n v="1"/>
    <n v="241.54"/>
    <d v="2025-10-21T00:00:00"/>
    <d v="2025-10-25T00:00:00"/>
    <x v="0"/>
    <s v="OK"/>
    <s v="OK"/>
    <x v="1"/>
    <n v="4"/>
    <n v="0"/>
    <n v="241.54"/>
  </r>
  <r>
    <n v="51006"/>
    <n v="30573"/>
    <x v="67"/>
    <n v="2501"/>
    <x v="7"/>
    <n v="2"/>
    <n v="507.72"/>
    <d v="2025-11-08T00:00:00"/>
    <d v="2025-12-11T00:00:00"/>
    <x v="0"/>
    <s v="OK"/>
    <s v="OK"/>
    <x v="0"/>
    <n v="33"/>
    <n v="1"/>
    <n v="253.86"/>
  </r>
  <r>
    <n v="51007"/>
    <n v="30574"/>
    <x v="138"/>
    <n v="2486"/>
    <x v="2"/>
    <n v="1"/>
    <n v="241.54"/>
    <d v="2025-06-25T00:00:00"/>
    <d v="2025-07-03T00:00:00"/>
    <x v="0"/>
    <s v="OK"/>
    <s v="OK"/>
    <x v="1"/>
    <n v="8"/>
    <n v="1"/>
    <n v="241.54"/>
  </r>
  <r>
    <n v="51008"/>
    <n v="30575"/>
    <x v="151"/>
    <n v="2353"/>
    <x v="9"/>
    <n v="1"/>
    <n v="40.28"/>
    <d v="2025-07-02T00:00:00"/>
    <d v="2025-10-07T00:00:00"/>
    <x v="0"/>
    <s v="OK"/>
    <s v="OK"/>
    <x v="0"/>
    <n v="97"/>
    <n v="1"/>
    <n v="40.28"/>
  </r>
  <r>
    <n v="51009"/>
    <n v="30576"/>
    <x v="147"/>
    <n v="2093"/>
    <x v="15"/>
    <n v="3"/>
    <n v="510.75"/>
    <d v="2025-07-17T00:00:00"/>
    <d v="2025-07-22T00:00:00"/>
    <x v="0"/>
    <s v="OK"/>
    <s v="OK"/>
    <x v="1"/>
    <n v="5"/>
    <n v="1"/>
    <n v="170.25"/>
  </r>
  <r>
    <n v="51010"/>
    <n v="30577"/>
    <x v="271"/>
    <n v="2051"/>
    <x v="0"/>
    <n v="2"/>
    <n v="399.62"/>
    <d v="2025-10-21T00:00:00"/>
    <d v="2025-10-28T00:00:00"/>
    <x v="0"/>
    <s v="OK"/>
    <s v="OK"/>
    <x v="0"/>
    <n v="7"/>
    <n v="1"/>
    <n v="199.81"/>
  </r>
  <r>
    <n v="51011"/>
    <n v="30577"/>
    <x v="271"/>
    <n v="2051"/>
    <x v="1"/>
    <n v="1"/>
    <n v="206.09"/>
    <d v="2025-10-21T00:00:00"/>
    <d v="2025-10-28T00:00:00"/>
    <x v="0"/>
    <s v="OK"/>
    <s v="OK"/>
    <x v="0"/>
    <n v="7"/>
    <n v="0"/>
    <n v="206.09"/>
  </r>
  <r>
    <n v="51012"/>
    <n v="30577"/>
    <x v="271"/>
    <n v="2051"/>
    <x v="1"/>
    <n v="3"/>
    <n v="618.27"/>
    <d v="2025-10-21T00:00:00"/>
    <d v="2025-10-23T00:00:00"/>
    <x v="0"/>
    <s v="OK"/>
    <s v="OK"/>
    <x v="0"/>
    <n v="2"/>
    <n v="0"/>
    <n v="206.09"/>
  </r>
  <r>
    <n v="51013"/>
    <n v="30578"/>
    <x v="99"/>
    <n v="2212"/>
    <x v="10"/>
    <n v="4"/>
    <n v="861.36"/>
    <d v="2025-08-04T00:00:00"/>
    <d v="2025-10-08T00:00:00"/>
    <x v="0"/>
    <s v="OK"/>
    <s v="OK"/>
    <x v="3"/>
    <n v="65"/>
    <n v="1"/>
    <n v="215.34"/>
  </r>
  <r>
    <n v="51014"/>
    <n v="30579"/>
    <x v="136"/>
    <n v="2526"/>
    <x v="8"/>
    <n v="3"/>
    <n v="609.12"/>
    <d v="2025-06-15T00:00:00"/>
    <d v="2025-06-25T00:00:00"/>
    <x v="0"/>
    <s v="OK"/>
    <s v="OK"/>
    <x v="2"/>
    <n v="10"/>
    <n v="1"/>
    <n v="203.04"/>
  </r>
  <r>
    <n v="51015"/>
    <n v="30579"/>
    <x v="136"/>
    <n v="2526"/>
    <x v="12"/>
    <n v="1"/>
    <n v="65.260000000000005"/>
    <d v="2025-06-13T00:00:00"/>
    <d v="2025-06-21T00:00:00"/>
    <x v="0"/>
    <s v="OK"/>
    <s v="OK"/>
    <x v="3"/>
    <n v="8"/>
    <n v="0"/>
    <n v="65.260000000000005"/>
  </r>
  <r>
    <n v="51016"/>
    <n v="30580"/>
    <x v="88"/>
    <n v="2136"/>
    <x v="8"/>
    <n v="2"/>
    <n v="406.08"/>
    <d v="2025-03-24T00:00:00"/>
    <d v="2025-03-31T00:00:00"/>
    <x v="0"/>
    <s v="OK"/>
    <s v="OK"/>
    <x v="2"/>
    <n v="7"/>
    <n v="1"/>
    <n v="203.04"/>
  </r>
  <r>
    <n v="51017"/>
    <n v="30581"/>
    <x v="2"/>
    <n v="2230"/>
    <x v="13"/>
    <n v="1"/>
    <n v="121.5"/>
    <d v="2025-05-11T00:00:00"/>
    <d v="2025-05-14T00:00:00"/>
    <x v="0"/>
    <s v="OK"/>
    <s v="OK"/>
    <x v="1"/>
    <n v="3"/>
    <n v="1"/>
    <n v="121.5"/>
  </r>
  <r>
    <n v="51018"/>
    <n v="30581"/>
    <x v="2"/>
    <n v="2230"/>
    <x v="9"/>
    <n v="1"/>
    <n v="40.28"/>
    <d v="2025-05-12T00:00:00"/>
    <d v="2025-05-14T00:00:00"/>
    <x v="0"/>
    <s v="OK"/>
    <s v="OK"/>
    <x v="0"/>
    <n v="2"/>
    <n v="0"/>
    <n v="40.28"/>
  </r>
  <r>
    <n v="51019"/>
    <n v="30582"/>
    <x v="219"/>
    <n v="2434"/>
    <x v="2"/>
    <n v="1"/>
    <n v="241.54"/>
    <s v=""/>
    <s v=""/>
    <x v="2"/>
    <s v="Missing date"/>
    <s v="Missing date"/>
    <x v="1"/>
    <s v=""/>
    <n v="1"/>
    <n v="241.54"/>
  </r>
  <r>
    <n v="51020"/>
    <n v="30582"/>
    <x v="219"/>
    <n v="2434"/>
    <x v="14"/>
    <n v="1"/>
    <n v="119.74"/>
    <s v=""/>
    <s v=""/>
    <x v="2"/>
    <s v="Missing date"/>
    <s v="Missing date"/>
    <x v="3"/>
    <s v=""/>
    <n v="0"/>
    <n v="119.74"/>
  </r>
  <r>
    <n v="51021"/>
    <n v="30583"/>
    <x v="173"/>
    <n v="2259"/>
    <x v="13"/>
    <n v="2"/>
    <n v="243"/>
    <d v="2025-02-10T00:00:00"/>
    <d v="2025-02-16T00:00:00"/>
    <x v="0"/>
    <s v="OK"/>
    <s v="OK"/>
    <x v="1"/>
    <n v="6"/>
    <n v="1"/>
    <n v="121.5"/>
  </r>
  <r>
    <n v="51022"/>
    <n v="30583"/>
    <x v="173"/>
    <n v="2259"/>
    <x v="15"/>
    <n v="4"/>
    <n v="681"/>
    <d v="2025-02-09T00:00:00"/>
    <d v="2025-02-13T00:00:00"/>
    <x v="0"/>
    <s v="OK"/>
    <s v="OK"/>
    <x v="1"/>
    <n v="4"/>
    <n v="0"/>
    <n v="170.25"/>
  </r>
  <r>
    <n v="51023"/>
    <n v="30584"/>
    <x v="103"/>
    <n v="2599"/>
    <x v="2"/>
    <n v="2"/>
    <n v="483.08"/>
    <d v="2025-07-19T00:00:00"/>
    <d v="2025-07-22T00:00:00"/>
    <x v="0"/>
    <s v="OK"/>
    <s v="OK"/>
    <x v="1"/>
    <n v="3"/>
    <n v="1"/>
    <n v="241.54"/>
  </r>
  <r>
    <n v="51024"/>
    <n v="30585"/>
    <x v="243"/>
    <n v="2575"/>
    <x v="13"/>
    <n v="1"/>
    <n v="121.5"/>
    <d v="2025-12-29T00:00:00"/>
    <d v="2026-01-05T00:00:00"/>
    <x v="0"/>
    <s v="OK"/>
    <s v="OK"/>
    <x v="1"/>
    <n v="7"/>
    <n v="1"/>
    <n v="121.5"/>
  </r>
  <r>
    <n v="51025"/>
    <n v="30585"/>
    <x v="243"/>
    <n v="2575"/>
    <x v="13"/>
    <n v="1"/>
    <n v="121.5"/>
    <d v="2025-12-29T00:00:00"/>
    <d v="2026-01-05T00:00:00"/>
    <x v="0"/>
    <s v="OK"/>
    <s v="OK"/>
    <x v="1"/>
    <n v="7"/>
    <n v="0"/>
    <n v="121.5"/>
  </r>
  <r>
    <n v="51026"/>
    <n v="30585"/>
    <x v="243"/>
    <n v="2575"/>
    <x v="4"/>
    <n v="2"/>
    <n v="367.48"/>
    <d v="2025-12-29T00:00:00"/>
    <d v="2026-01-08T00:00:00"/>
    <x v="0"/>
    <s v="OK"/>
    <s v="OK"/>
    <x v="2"/>
    <n v="10"/>
    <n v="0"/>
    <n v="183.74"/>
  </r>
  <r>
    <n v="51027"/>
    <n v="30586"/>
    <x v="95"/>
    <n v="2494"/>
    <x v="9"/>
    <n v="2"/>
    <n v="80.56"/>
    <d v="2025-01-06T00:00:00"/>
    <d v="2025-01-13T00:00:00"/>
    <x v="0"/>
    <s v="OK"/>
    <s v="OK"/>
    <x v="0"/>
    <n v="7"/>
    <n v="1"/>
    <n v="40.28"/>
  </r>
  <r>
    <n v="51028"/>
    <n v="30587"/>
    <x v="85"/>
    <n v="2333"/>
    <x v="9"/>
    <n v="1"/>
    <n v="40.28"/>
    <s v=""/>
    <s v=""/>
    <x v="2"/>
    <s v="Missing date"/>
    <s v="Missing date"/>
    <x v="0"/>
    <s v=""/>
    <n v="1"/>
    <n v="40.28"/>
  </r>
  <r>
    <n v="51029"/>
    <n v="30588"/>
    <x v="164"/>
    <n v="2306"/>
    <x v="1"/>
    <n v="1"/>
    <n v="206.09"/>
    <d v="2025-07-31T00:00:00"/>
    <d v="2025-08-01T00:00:00"/>
    <x v="0"/>
    <s v="OK"/>
    <s v="OK"/>
    <x v="0"/>
    <n v="1"/>
    <n v="1"/>
    <n v="206.09"/>
  </r>
  <r>
    <n v="51030"/>
    <n v="30589"/>
    <x v="169"/>
    <n v="2059"/>
    <x v="15"/>
    <n v="2"/>
    <n v="340.5"/>
    <s v=""/>
    <s v=""/>
    <x v="3"/>
    <s v="Missing date"/>
    <s v="Missing date"/>
    <x v="1"/>
    <s v=""/>
    <n v="1"/>
    <n v="170.25"/>
  </r>
  <r>
    <n v="51031"/>
    <n v="30589"/>
    <x v="169"/>
    <n v="2059"/>
    <x v="6"/>
    <n v="1"/>
    <n v="31.73"/>
    <s v=""/>
    <s v=""/>
    <x v="3"/>
    <s v="Missing date"/>
    <s v="Missing date"/>
    <x v="2"/>
    <s v=""/>
    <n v="0"/>
    <n v="31.73"/>
  </r>
  <r>
    <n v="51032"/>
    <n v="30589"/>
    <x v="169"/>
    <n v="2059"/>
    <x v="12"/>
    <n v="1"/>
    <n v="65.260000000000005"/>
    <s v=""/>
    <s v=""/>
    <x v="3"/>
    <s v="Missing date"/>
    <s v="Missing date"/>
    <x v="3"/>
    <s v=""/>
    <n v="0"/>
    <n v="65.260000000000005"/>
  </r>
  <r>
    <n v="51033"/>
    <n v="30590"/>
    <x v="286"/>
    <n v="2266"/>
    <x v="15"/>
    <n v="2"/>
    <n v="340.5"/>
    <s v=""/>
    <s v=""/>
    <x v="2"/>
    <s v="Missing date"/>
    <s v="Missing date"/>
    <x v="1"/>
    <s v=""/>
    <n v="1"/>
    <n v="170.25"/>
  </r>
  <r>
    <n v="51034"/>
    <n v="30591"/>
    <x v="229"/>
    <n v="2398"/>
    <x v="0"/>
    <n v="4"/>
    <n v="799.24"/>
    <d v="2025-07-26T00:00:00"/>
    <d v="2025-07-29T00:00:00"/>
    <x v="0"/>
    <s v="OK"/>
    <s v="OK"/>
    <x v="0"/>
    <n v="3"/>
    <n v="1"/>
    <n v="199.81"/>
  </r>
  <r>
    <n v="51035"/>
    <n v="30592"/>
    <x v="183"/>
    <n v="2352"/>
    <x v="1"/>
    <n v="4"/>
    <n v="824.36"/>
    <d v="2025-09-07T00:00:00"/>
    <d v="2025-09-17T00:00:00"/>
    <x v="0"/>
    <s v="OK"/>
    <s v="OK"/>
    <x v="0"/>
    <n v="10"/>
    <n v="1"/>
    <n v="206.09"/>
  </r>
  <r>
    <n v="51036"/>
    <n v="30593"/>
    <x v="287"/>
    <n v="2548"/>
    <x v="12"/>
    <n v="1"/>
    <n v="65.260000000000005"/>
    <d v="2025-12-25T00:00:00"/>
    <d v="2025-12-28T00:00:00"/>
    <x v="0"/>
    <s v="OK"/>
    <s v="OK"/>
    <x v="3"/>
    <n v="3"/>
    <n v="1"/>
    <n v="65.260000000000005"/>
  </r>
  <r>
    <n v="51037"/>
    <n v="30593"/>
    <x v="287"/>
    <n v="2548"/>
    <x v="2"/>
    <n v="3"/>
    <n v="724.62"/>
    <d v="2025-12-26T00:00:00"/>
    <d v="2026-03-01T00:00:00"/>
    <x v="0"/>
    <s v="OK"/>
    <s v="OK"/>
    <x v="1"/>
    <n v="65"/>
    <n v="0"/>
    <n v="241.54"/>
  </r>
  <r>
    <n v="51038"/>
    <n v="30594"/>
    <x v="66"/>
    <n v="2520"/>
    <x v="7"/>
    <n v="1"/>
    <n v="253.86"/>
    <d v="2025-02-18T00:00:00"/>
    <d v="2025-02-21T00:00:00"/>
    <x v="0"/>
    <s v="OK"/>
    <s v="OK"/>
    <x v="0"/>
    <n v="3"/>
    <n v="1"/>
    <n v="253.86"/>
  </r>
  <r>
    <n v="51039"/>
    <n v="30595"/>
    <x v="154"/>
    <n v="2572"/>
    <x v="4"/>
    <n v="2"/>
    <n v="367.48"/>
    <d v="2025-11-01T00:00:00"/>
    <d v="2025-11-08T00:00:00"/>
    <x v="0"/>
    <s v="OK"/>
    <s v="OK"/>
    <x v="2"/>
    <n v="7"/>
    <n v="1"/>
    <n v="183.74"/>
  </r>
  <r>
    <n v="51040"/>
    <n v="30595"/>
    <x v="154"/>
    <n v="2572"/>
    <x v="12"/>
    <n v="1"/>
    <n v="65.260000000000005"/>
    <d v="2025-10-31T00:00:00"/>
    <d v="2025-11-04T00:00:00"/>
    <x v="0"/>
    <s v="OK"/>
    <s v="OK"/>
    <x v="3"/>
    <n v="4"/>
    <n v="0"/>
    <n v="65.260000000000005"/>
  </r>
  <r>
    <n v="51041"/>
    <n v="30596"/>
    <x v="71"/>
    <n v="2132"/>
    <x v="7"/>
    <n v="1"/>
    <n v="253.86"/>
    <d v="2025-08-13T00:00:00"/>
    <d v="2025-08-19T00:00:00"/>
    <x v="0"/>
    <s v="OK"/>
    <s v="OK"/>
    <x v="0"/>
    <n v="6"/>
    <n v="1"/>
    <n v="253.86"/>
  </r>
  <r>
    <n v="51042"/>
    <n v="30596"/>
    <x v="71"/>
    <n v="2132"/>
    <x v="5"/>
    <n v="1"/>
    <n v="101.44"/>
    <d v="2025-08-14T00:00:00"/>
    <d v="2025-08-22T00:00:00"/>
    <x v="0"/>
    <s v="OK"/>
    <s v="OK"/>
    <x v="1"/>
    <n v="8"/>
    <n v="0"/>
    <n v="101.44"/>
  </r>
  <r>
    <n v="51043"/>
    <n v="30597"/>
    <x v="168"/>
    <n v="2092"/>
    <x v="1"/>
    <n v="1"/>
    <n v="206.09"/>
    <d v="2025-03-20T00:00:00"/>
    <d v="2025-03-21T00:00:00"/>
    <x v="0"/>
    <s v="OK"/>
    <s v="OK"/>
    <x v="0"/>
    <n v="1"/>
    <n v="1"/>
    <n v="206.09"/>
  </r>
  <r>
    <n v="51044"/>
    <n v="30597"/>
    <x v="168"/>
    <n v="2092"/>
    <x v="13"/>
    <n v="2"/>
    <n v="243"/>
    <d v="2025-03-21T00:00:00"/>
    <d v="2025-03-25T00:00:00"/>
    <x v="0"/>
    <s v="OK"/>
    <s v="OK"/>
    <x v="1"/>
    <n v="4"/>
    <n v="0"/>
    <n v="121.5"/>
  </r>
  <r>
    <n v="51045"/>
    <n v="30598"/>
    <x v="288"/>
    <n v="2431"/>
    <x v="5"/>
    <n v="3"/>
    <n v="304.32"/>
    <s v=""/>
    <s v=""/>
    <x v="3"/>
    <s v="Missing date"/>
    <s v="Missing date"/>
    <x v="1"/>
    <s v=""/>
    <n v="1"/>
    <n v="101.44"/>
  </r>
  <r>
    <n v="51046"/>
    <n v="30599"/>
    <x v="272"/>
    <n v="2600"/>
    <x v="4"/>
    <n v="2"/>
    <n v="367.48"/>
    <d v="2025-05-20T00:00:00"/>
    <d v="2025-05-30T00:00:00"/>
    <x v="0"/>
    <s v="OK"/>
    <s v="OK"/>
    <x v="2"/>
    <n v="10"/>
    <n v="1"/>
    <n v="183.74"/>
  </r>
  <r>
    <n v="51047"/>
    <n v="30600"/>
    <x v="171"/>
    <n v="2482"/>
    <x v="11"/>
    <n v="2"/>
    <n v="448.74"/>
    <d v="2025-06-21T00:00:00"/>
    <d v="2025-06-22T00:00:00"/>
    <x v="0"/>
    <s v="OK"/>
    <s v="OK"/>
    <x v="2"/>
    <n v="1"/>
    <n v="1"/>
    <n v="224.37"/>
  </r>
  <r>
    <n v="51048"/>
    <n v="30601"/>
    <x v="128"/>
    <n v="2484"/>
    <x v="4"/>
    <n v="1"/>
    <n v="183.74"/>
    <s v=""/>
    <s v=""/>
    <x v="2"/>
    <s v="Missing date"/>
    <s v="Missing date"/>
    <x v="2"/>
    <s v=""/>
    <n v="1"/>
    <n v="183.74"/>
  </r>
  <r>
    <n v="51049"/>
    <n v="30602"/>
    <x v="189"/>
    <n v="2391"/>
    <x v="10"/>
    <n v="1"/>
    <n v="215.34"/>
    <d v="2025-03-21T00:00:00"/>
    <d v="2025-03-30T00:00:00"/>
    <x v="0"/>
    <s v="OK"/>
    <s v="OK"/>
    <x v="3"/>
    <n v="9"/>
    <n v="1"/>
    <n v="215.34"/>
  </r>
  <r>
    <n v="51050"/>
    <n v="30603"/>
    <x v="289"/>
    <n v="2056"/>
    <x v="6"/>
    <n v="1"/>
    <n v="31.73"/>
    <s v=""/>
    <s v=""/>
    <x v="2"/>
    <s v="Missing date"/>
    <s v="Missing date"/>
    <x v="2"/>
    <s v=""/>
    <n v="1"/>
    <n v="31.73"/>
  </r>
  <r>
    <n v="51051"/>
    <n v="30604"/>
    <x v="83"/>
    <n v="2141"/>
    <x v="5"/>
    <n v="2"/>
    <n v="202.88"/>
    <d v="2025-04-23T00:00:00"/>
    <d v="2025-05-02T00:00:00"/>
    <x v="1"/>
    <s v="OK"/>
    <s v="OK"/>
    <x v="1"/>
    <n v="9"/>
    <n v="1"/>
    <n v="101.44"/>
  </r>
  <r>
    <n v="51052"/>
    <n v="30605"/>
    <x v="128"/>
    <n v="2420"/>
    <x v="14"/>
    <n v="1"/>
    <n v="119.74"/>
    <d v="2025-06-20T00:00:00"/>
    <d v="2025-06-22T00:00:00"/>
    <x v="1"/>
    <s v="OK"/>
    <s v="OK"/>
    <x v="3"/>
    <n v="2"/>
    <n v="1"/>
    <n v="119.74"/>
  </r>
  <r>
    <n v="51053"/>
    <n v="30606"/>
    <x v="274"/>
    <n v="2147"/>
    <x v="7"/>
    <n v="1"/>
    <n v="253.86"/>
    <d v="2025-11-19T00:00:00"/>
    <d v="2025-11-23T00:00:00"/>
    <x v="0"/>
    <s v="OK"/>
    <s v="OK"/>
    <x v="0"/>
    <n v="4"/>
    <n v="1"/>
    <n v="253.86"/>
  </r>
  <r>
    <n v="51054"/>
    <n v="30607"/>
    <x v="119"/>
    <n v="2083"/>
    <x v="7"/>
    <n v="1"/>
    <n v="253.86"/>
    <d v="2025-07-14T00:00:00"/>
    <d v="2025-07-15T00:00:00"/>
    <x v="0"/>
    <s v="OK"/>
    <s v="OK"/>
    <x v="0"/>
    <n v="1"/>
    <n v="1"/>
    <n v="253.86"/>
  </r>
  <r>
    <n v="51055"/>
    <n v="30608"/>
    <x v="290"/>
    <n v="2321"/>
    <x v="8"/>
    <n v="1"/>
    <n v="203.04"/>
    <d v="2025-04-27T00:00:00"/>
    <d v="2025-05-01T00:00:00"/>
    <x v="0"/>
    <s v="OK"/>
    <s v="OK"/>
    <x v="2"/>
    <n v="4"/>
    <n v="1"/>
    <n v="203.04"/>
  </r>
  <r>
    <n v="51056"/>
    <n v="30609"/>
    <x v="223"/>
    <n v="2463"/>
    <x v="7"/>
    <n v="4"/>
    <n v="1015.44"/>
    <d v="2025-03-24T00:00:00"/>
    <d v="2025-03-26T00:00:00"/>
    <x v="0"/>
    <s v="OK"/>
    <s v="OK"/>
    <x v="0"/>
    <n v="2"/>
    <n v="1"/>
    <n v="253.86"/>
  </r>
  <r>
    <n v="51057"/>
    <n v="30610"/>
    <x v="131"/>
    <n v="2591"/>
    <x v="12"/>
    <n v="5"/>
    <n v="326.3"/>
    <s v=""/>
    <s v=""/>
    <x v="3"/>
    <s v="Missing date"/>
    <s v="Missing date"/>
    <x v="3"/>
    <s v=""/>
    <n v="1"/>
    <n v="65.260000000000005"/>
  </r>
  <r>
    <n v="51058"/>
    <n v="30611"/>
    <x v="185"/>
    <n v="2091"/>
    <x v="10"/>
    <n v="2"/>
    <n v="430.68"/>
    <d v="2025-02-18T00:00:00"/>
    <d v="2025-02-28T00:00:00"/>
    <x v="0"/>
    <s v="OK"/>
    <s v="OK"/>
    <x v="3"/>
    <n v="10"/>
    <n v="1"/>
    <n v="215.34"/>
  </r>
  <r>
    <n v="51059"/>
    <n v="30611"/>
    <x v="185"/>
    <n v="2091"/>
    <x v="10"/>
    <n v="1"/>
    <n v="215.34"/>
    <d v="2025-02-18T00:00:00"/>
    <d v="2025-02-28T00:00:00"/>
    <x v="0"/>
    <s v="OK"/>
    <s v="OK"/>
    <x v="3"/>
    <n v="10"/>
    <n v="0"/>
    <n v="215.34"/>
  </r>
  <r>
    <n v="51060"/>
    <n v="30612"/>
    <x v="291"/>
    <n v="2414"/>
    <x v="12"/>
    <n v="1"/>
    <n v="65.260000000000005"/>
    <d v="2025-05-29T00:00:00"/>
    <d v="2025-05-31T00:00:00"/>
    <x v="0"/>
    <s v="OK"/>
    <s v="OK"/>
    <x v="3"/>
    <n v="2"/>
    <n v="1"/>
    <n v="65.260000000000005"/>
  </r>
  <r>
    <n v="51061"/>
    <n v="30612"/>
    <x v="291"/>
    <n v="2414"/>
    <x v="15"/>
    <n v="4"/>
    <n v="681"/>
    <d v="2025-05-30T00:00:00"/>
    <d v="2025-06-03T00:00:00"/>
    <x v="0"/>
    <s v="OK"/>
    <s v="OK"/>
    <x v="1"/>
    <n v="4"/>
    <n v="0"/>
    <n v="170.25"/>
  </r>
  <r>
    <n v="51062"/>
    <n v="30613"/>
    <x v="279"/>
    <n v="2005"/>
    <x v="0"/>
    <n v="1"/>
    <n v="199.81"/>
    <d v="2025-02-27T00:00:00"/>
    <d v="2025-03-06T00:00:00"/>
    <x v="0"/>
    <s v="OK"/>
    <s v="OK"/>
    <x v="0"/>
    <n v="7"/>
    <n v="1"/>
    <n v="199.81"/>
  </r>
  <r>
    <n v="51063"/>
    <n v="30613"/>
    <x v="279"/>
    <n v="2005"/>
    <x v="2"/>
    <n v="4"/>
    <n v="966.16"/>
    <d v="2025-02-26T00:00:00"/>
    <d v="2025-02-27T00:00:00"/>
    <x v="0"/>
    <s v="OK"/>
    <s v="OK"/>
    <x v="1"/>
    <n v="1"/>
    <n v="0"/>
    <n v="241.54"/>
  </r>
  <r>
    <n v="51064"/>
    <n v="30613"/>
    <x v="279"/>
    <n v="2005"/>
    <x v="8"/>
    <n v="4"/>
    <n v="812.16"/>
    <d v="2025-02-26T00:00:00"/>
    <d v="2025-04-03T00:00:00"/>
    <x v="0"/>
    <s v="OK"/>
    <s v="OK"/>
    <x v="2"/>
    <n v="36"/>
    <n v="0"/>
    <n v="203.04"/>
  </r>
  <r>
    <n v="51065"/>
    <n v="30613"/>
    <x v="279"/>
    <n v="2005"/>
    <x v="5"/>
    <n v="2"/>
    <n v="202.88"/>
    <d v="2025-02-27T00:00:00"/>
    <d v="2025-03-01T00:00:00"/>
    <x v="0"/>
    <s v="OK"/>
    <s v="OK"/>
    <x v="1"/>
    <n v="2"/>
    <n v="0"/>
    <n v="101.44"/>
  </r>
  <r>
    <n v="51066"/>
    <n v="30614"/>
    <x v="53"/>
    <n v="2544"/>
    <x v="8"/>
    <n v="1"/>
    <n v="203.04"/>
    <d v="2025-07-10T00:00:00"/>
    <d v="2025-07-14T00:00:00"/>
    <x v="0"/>
    <s v="OK"/>
    <s v="OK"/>
    <x v="2"/>
    <n v="4"/>
    <n v="1"/>
    <n v="203.04"/>
  </r>
  <r>
    <n v="51067"/>
    <n v="30614"/>
    <x v="53"/>
    <n v="2544"/>
    <x v="1"/>
    <n v="1"/>
    <n v="206.09"/>
    <d v="2025-07-09T00:00:00"/>
    <d v="2025-07-12T00:00:00"/>
    <x v="0"/>
    <s v="OK"/>
    <s v="OK"/>
    <x v="0"/>
    <n v="3"/>
    <n v="0"/>
    <n v="206.09"/>
  </r>
  <r>
    <n v="51068"/>
    <n v="30615"/>
    <x v="292"/>
    <n v="2232"/>
    <x v="2"/>
    <n v="2"/>
    <n v="483.08"/>
    <d v="2025-11-11T00:00:00"/>
    <d v="2025-11-21T00:00:00"/>
    <x v="0"/>
    <s v="OK"/>
    <s v="OK"/>
    <x v="1"/>
    <n v="10"/>
    <n v="1"/>
    <n v="241.54"/>
  </r>
  <r>
    <n v="51069"/>
    <n v="30616"/>
    <x v="244"/>
    <n v="2320"/>
    <x v="15"/>
    <n v="2"/>
    <n v="340.5"/>
    <d v="2025-07-23T00:00:00"/>
    <d v="2025-07-30T00:00:00"/>
    <x v="0"/>
    <s v="OK"/>
    <s v="OK"/>
    <x v="1"/>
    <n v="7"/>
    <n v="1"/>
    <n v="170.25"/>
  </r>
  <r>
    <n v="51070"/>
    <n v="30617"/>
    <x v="175"/>
    <n v="2516"/>
    <x v="7"/>
    <n v="2"/>
    <n v="507.72"/>
    <d v="2025-01-24T00:00:00"/>
    <d v="2025-01-30T00:00:00"/>
    <x v="0"/>
    <s v="OK"/>
    <s v="OK"/>
    <x v="0"/>
    <n v="6"/>
    <n v="1"/>
    <n v="253.86"/>
  </r>
  <r>
    <n v="51071"/>
    <n v="30617"/>
    <x v="175"/>
    <n v="2516"/>
    <x v="11"/>
    <n v="1"/>
    <n v="224.37"/>
    <d v="2025-01-24T00:00:00"/>
    <d v="2025-01-31T00:00:00"/>
    <x v="0"/>
    <s v="OK"/>
    <s v="OK"/>
    <x v="2"/>
    <n v="7"/>
    <n v="0"/>
    <n v="224.37"/>
  </r>
  <r>
    <n v="51072"/>
    <n v="30618"/>
    <x v="90"/>
    <n v="2047"/>
    <x v="13"/>
    <n v="1"/>
    <n v="121.5"/>
    <d v="2025-07-09T00:00:00"/>
    <d v="2025-07-17T00:00:00"/>
    <x v="0"/>
    <s v="OK"/>
    <s v="OK"/>
    <x v="1"/>
    <n v="8"/>
    <n v="1"/>
    <n v="121.5"/>
  </r>
  <r>
    <n v="51073"/>
    <n v="30619"/>
    <x v="274"/>
    <n v="2467"/>
    <x v="5"/>
    <n v="1"/>
    <n v="101.44"/>
    <d v="2025-11-21T00:00:00"/>
    <d v="2025-11-25T00:00:00"/>
    <x v="0"/>
    <s v="OK"/>
    <s v="OK"/>
    <x v="1"/>
    <n v="4"/>
    <n v="1"/>
    <n v="101.44"/>
  </r>
  <r>
    <n v="51074"/>
    <n v="30619"/>
    <x v="274"/>
    <n v="2467"/>
    <x v="10"/>
    <n v="1"/>
    <n v="215.34"/>
    <d v="2025-11-21T00:00:00"/>
    <d v="2025-11-24T00:00:00"/>
    <x v="0"/>
    <s v="OK"/>
    <s v="OK"/>
    <x v="3"/>
    <n v="3"/>
    <n v="0"/>
    <n v="215.34"/>
  </r>
  <r>
    <n v="51075"/>
    <n v="30620"/>
    <x v="77"/>
    <n v="2138"/>
    <x v="12"/>
    <n v="1"/>
    <n v="65.260000000000005"/>
    <d v="2025-08-29T00:00:00"/>
    <d v="2025-08-31T00:00:00"/>
    <x v="0"/>
    <s v="OK"/>
    <s v="OK"/>
    <x v="3"/>
    <n v="2"/>
    <n v="1"/>
    <n v="65.260000000000005"/>
  </r>
  <r>
    <n v="51076"/>
    <n v="30620"/>
    <x v="77"/>
    <n v="2138"/>
    <x v="2"/>
    <n v="1"/>
    <n v="241.54"/>
    <d v="2025-08-31T00:00:00"/>
    <d v="2025-09-07T00:00:00"/>
    <x v="0"/>
    <s v="OK"/>
    <s v="OK"/>
    <x v="1"/>
    <n v="7"/>
    <n v="0"/>
    <n v="241.54"/>
  </r>
  <r>
    <n v="51077"/>
    <n v="30620"/>
    <x v="77"/>
    <n v="2138"/>
    <x v="0"/>
    <n v="1"/>
    <n v="199.81"/>
    <d v="2025-08-29T00:00:00"/>
    <d v="2025-08-31T00:00:00"/>
    <x v="0"/>
    <s v="OK"/>
    <s v="OK"/>
    <x v="0"/>
    <n v="2"/>
    <n v="0"/>
    <n v="199.81"/>
  </r>
  <r>
    <n v="51078"/>
    <n v="30620"/>
    <x v="77"/>
    <n v="2138"/>
    <x v="7"/>
    <n v="2"/>
    <n v="507.72"/>
    <d v="2025-08-29T00:00:00"/>
    <d v="2025-08-30T00:00:00"/>
    <x v="0"/>
    <s v="OK"/>
    <s v="OK"/>
    <x v="0"/>
    <n v="1"/>
    <n v="0"/>
    <n v="253.86"/>
  </r>
  <r>
    <n v="51079"/>
    <n v="30621"/>
    <x v="225"/>
    <m/>
    <x v="1"/>
    <n v="1"/>
    <n v="206.09"/>
    <d v="2025-12-17T00:00:00"/>
    <d v="2025-12-25T00:00:00"/>
    <x v="0"/>
    <s v="OK"/>
    <s v="OK"/>
    <x v="0"/>
    <n v="8"/>
    <n v="1"/>
    <n v="206.09"/>
  </r>
  <r>
    <n v="51080"/>
    <n v="30621"/>
    <x v="225"/>
    <n v="2414"/>
    <x v="6"/>
    <n v="1"/>
    <n v="31.73"/>
    <d v="2025-12-18T00:00:00"/>
    <d v="2025-12-28T00:00:00"/>
    <x v="0"/>
    <s v="OK"/>
    <s v="OK"/>
    <x v="2"/>
    <n v="10"/>
    <n v="0"/>
    <n v="31.73"/>
  </r>
  <r>
    <n v="51081"/>
    <n v="30621"/>
    <x v="225"/>
    <n v="2414"/>
    <x v="0"/>
    <n v="1"/>
    <n v="199.81"/>
    <d v="2025-12-17T00:00:00"/>
    <d v="2025-12-21T00:00:00"/>
    <x v="0"/>
    <s v="OK"/>
    <s v="OK"/>
    <x v="0"/>
    <n v="4"/>
    <n v="0"/>
    <n v="199.81"/>
  </r>
  <r>
    <n v="51082"/>
    <n v="30622"/>
    <x v="281"/>
    <n v="2023"/>
    <x v="7"/>
    <n v="1"/>
    <n v="253.86"/>
    <d v="2025-09-10T00:00:00"/>
    <d v="2025-09-17T00:00:00"/>
    <x v="0"/>
    <s v="OK"/>
    <s v="OK"/>
    <x v="0"/>
    <n v="7"/>
    <n v="1"/>
    <n v="253.86"/>
  </r>
  <r>
    <n v="51083"/>
    <n v="30623"/>
    <x v="222"/>
    <n v="2127"/>
    <x v="3"/>
    <n v="4"/>
    <n v="474.4"/>
    <d v="2025-12-03T00:00:00"/>
    <d v="2025-12-05T00:00:00"/>
    <x v="0"/>
    <s v="OK"/>
    <s v="OK"/>
    <x v="2"/>
    <n v="2"/>
    <n v="1"/>
    <n v="118.6"/>
  </r>
  <r>
    <n v="51084"/>
    <n v="30623"/>
    <x v="222"/>
    <n v="2127"/>
    <x v="15"/>
    <n v="2"/>
    <n v="340.5"/>
    <d v="2025-12-01T00:00:00"/>
    <d v="2025-12-04T00:00:00"/>
    <x v="0"/>
    <s v="OK"/>
    <s v="OK"/>
    <x v="1"/>
    <n v="3"/>
    <n v="0"/>
    <n v="170.25"/>
  </r>
  <r>
    <n v="51085"/>
    <n v="30624"/>
    <x v="133"/>
    <n v="2262"/>
    <x v="3"/>
    <n v="1"/>
    <n v="118.6"/>
    <s v=""/>
    <s v=""/>
    <x v="3"/>
    <s v="Missing date"/>
    <s v="Missing date"/>
    <x v="2"/>
    <s v=""/>
    <n v="1"/>
    <n v="118.6"/>
  </r>
  <r>
    <n v="51086"/>
    <n v="30625"/>
    <x v="75"/>
    <n v="2050"/>
    <x v="8"/>
    <n v="1"/>
    <n v="203.04"/>
    <d v="2025-07-19T00:00:00"/>
    <d v="2025-07-24T00:00:00"/>
    <x v="0"/>
    <s v="OK"/>
    <s v="OK"/>
    <x v="2"/>
    <n v="5"/>
    <n v="1"/>
    <n v="203.04"/>
  </r>
  <r>
    <n v="51087"/>
    <n v="30625"/>
    <x v="75"/>
    <n v="2050"/>
    <x v="3"/>
    <n v="2"/>
    <n v="237.2"/>
    <d v="2025-07-19T00:00:00"/>
    <d v="2025-07-21T00:00:00"/>
    <x v="0"/>
    <s v="OK"/>
    <s v="OK"/>
    <x v="2"/>
    <n v="2"/>
    <n v="0"/>
    <n v="118.6"/>
  </r>
  <r>
    <n v="51088"/>
    <n v="30626"/>
    <x v="293"/>
    <n v="2119"/>
    <x v="15"/>
    <n v="3"/>
    <n v="510.75"/>
    <d v="2025-04-09T00:00:00"/>
    <d v="2025-04-11T00:00:00"/>
    <x v="0"/>
    <s v="OK"/>
    <s v="OK"/>
    <x v="1"/>
    <n v="2"/>
    <n v="1"/>
    <n v="170.25"/>
  </r>
  <r>
    <n v="51089"/>
    <n v="30627"/>
    <x v="12"/>
    <n v="2127"/>
    <x v="12"/>
    <n v="2"/>
    <n v="130.52000000000001"/>
    <d v="2025-08-29T00:00:00"/>
    <d v="2025-09-07T00:00:00"/>
    <x v="0"/>
    <s v="OK"/>
    <s v="OK"/>
    <x v="3"/>
    <n v="9"/>
    <n v="1"/>
    <n v="65.260000000000005"/>
  </r>
  <r>
    <n v="51090"/>
    <n v="30627"/>
    <x v="12"/>
    <n v="2127"/>
    <x v="6"/>
    <n v="2"/>
    <n v="63.46"/>
    <d v="2025-08-30T00:00:00"/>
    <d v="2025-09-02T00:00:00"/>
    <x v="0"/>
    <s v="OK"/>
    <s v="OK"/>
    <x v="2"/>
    <n v="3"/>
    <n v="0"/>
    <n v="31.73"/>
  </r>
  <r>
    <n v="51091"/>
    <n v="30628"/>
    <x v="102"/>
    <n v="2211"/>
    <x v="8"/>
    <n v="1"/>
    <n v="203.04"/>
    <d v="2025-09-30T00:00:00"/>
    <d v="2025-10-08T00:00:00"/>
    <x v="0"/>
    <s v="OK"/>
    <s v="OK"/>
    <x v="2"/>
    <n v="8"/>
    <n v="1"/>
    <n v="203.04"/>
  </r>
  <r>
    <n v="51092"/>
    <n v="30628"/>
    <x v="102"/>
    <n v="2211"/>
    <x v="13"/>
    <n v="1"/>
    <n v="121.5"/>
    <d v="2025-09-30T00:00:00"/>
    <d v="2025-10-10T00:00:00"/>
    <x v="0"/>
    <s v="OK"/>
    <s v="OK"/>
    <x v="1"/>
    <n v="10"/>
    <n v="0"/>
    <n v="121.5"/>
  </r>
  <r>
    <n v="51093"/>
    <n v="30629"/>
    <x v="263"/>
    <n v="2431"/>
    <x v="9"/>
    <n v="2"/>
    <n v="80.56"/>
    <d v="2025-07-22T00:00:00"/>
    <d v="2025-07-30T00:00:00"/>
    <x v="0"/>
    <s v="OK"/>
    <s v="OK"/>
    <x v="0"/>
    <n v="8"/>
    <n v="1"/>
    <n v="40.28"/>
  </r>
  <r>
    <n v="51094"/>
    <n v="30630"/>
    <x v="43"/>
    <n v="2141"/>
    <x v="4"/>
    <n v="1"/>
    <n v="183.74"/>
    <d v="2025-12-08T00:00:00"/>
    <d v="2025-12-17T00:00:00"/>
    <x v="0"/>
    <s v="OK"/>
    <s v="OK"/>
    <x v="2"/>
    <n v="9"/>
    <n v="1"/>
    <n v="183.74"/>
  </r>
  <r>
    <n v="51095"/>
    <n v="30631"/>
    <x v="212"/>
    <n v="2524"/>
    <x v="4"/>
    <n v="2"/>
    <n v="367.48"/>
    <d v="2025-07-26T00:00:00"/>
    <d v="2025-07-29T00:00:00"/>
    <x v="0"/>
    <s v="OK"/>
    <s v="OK"/>
    <x v="2"/>
    <n v="3"/>
    <n v="1"/>
    <n v="183.74"/>
  </r>
  <r>
    <n v="51096"/>
    <n v="30632"/>
    <x v="113"/>
    <n v="2290"/>
    <x v="4"/>
    <n v="3"/>
    <n v="551.22"/>
    <d v="2025-11-11T00:00:00"/>
    <d v="2025-11-18T00:00:00"/>
    <x v="0"/>
    <s v="OK"/>
    <s v="OK"/>
    <x v="2"/>
    <n v="7"/>
    <n v="1"/>
    <n v="183.74"/>
  </r>
  <r>
    <n v="51097"/>
    <n v="30633"/>
    <x v="114"/>
    <n v="2510"/>
    <x v="0"/>
    <n v="2"/>
    <n v="399.62"/>
    <d v="2025-08-06T00:00:00"/>
    <d v="2025-08-07T00:00:00"/>
    <x v="0"/>
    <s v="OK"/>
    <s v="OK"/>
    <x v="0"/>
    <n v="1"/>
    <n v="1"/>
    <n v="199.81"/>
  </r>
  <r>
    <n v="51098"/>
    <n v="30634"/>
    <x v="282"/>
    <n v="2270"/>
    <x v="0"/>
    <n v="1"/>
    <n v="199.81"/>
    <s v=""/>
    <s v=""/>
    <x v="3"/>
    <s v="Missing date"/>
    <s v="Missing date"/>
    <x v="0"/>
    <s v=""/>
    <n v="1"/>
    <n v="199.81"/>
  </r>
  <r>
    <n v="51099"/>
    <n v="30634"/>
    <x v="282"/>
    <n v="2270"/>
    <x v="10"/>
    <n v="1"/>
    <n v="215.34"/>
    <s v=""/>
    <s v=""/>
    <x v="3"/>
    <s v="Missing date"/>
    <s v="Missing date"/>
    <x v="3"/>
    <s v=""/>
    <n v="0"/>
    <n v="215.34"/>
  </r>
  <r>
    <n v="51100"/>
    <n v="30635"/>
    <x v="294"/>
    <n v="2041"/>
    <x v="0"/>
    <n v="1"/>
    <n v="199.81"/>
    <d v="2025-10-11T00:00:00"/>
    <d v="2025-10-20T00:00:00"/>
    <x v="0"/>
    <s v="OK"/>
    <s v="OK"/>
    <x v="0"/>
    <n v="9"/>
    <n v="1"/>
    <n v="199.81"/>
  </r>
  <r>
    <n v="51101"/>
    <n v="30635"/>
    <x v="294"/>
    <n v="2041"/>
    <x v="12"/>
    <n v="2"/>
    <n v="130.52000000000001"/>
    <d v="2025-10-12T00:00:00"/>
    <d v="2025-10-19T00:00:00"/>
    <x v="0"/>
    <s v="OK"/>
    <s v="OK"/>
    <x v="3"/>
    <n v="7"/>
    <n v="0"/>
    <n v="65.260000000000005"/>
  </r>
  <r>
    <n v="51102"/>
    <n v="30636"/>
    <x v="245"/>
    <n v="2339"/>
    <x v="8"/>
    <n v="4"/>
    <n v="812.16"/>
    <d v="2025-07-13T00:00:00"/>
    <d v="2025-07-16T00:00:00"/>
    <x v="0"/>
    <s v="OK"/>
    <s v="OK"/>
    <x v="2"/>
    <n v="3"/>
    <n v="1"/>
    <n v="203.04"/>
  </r>
  <r>
    <n v="51103"/>
    <n v="30636"/>
    <x v="245"/>
    <n v="2339"/>
    <x v="11"/>
    <n v="1"/>
    <n v="224.37"/>
    <d v="2025-07-13T00:00:00"/>
    <d v="2025-07-18T00:00:00"/>
    <x v="0"/>
    <s v="OK"/>
    <s v="OK"/>
    <x v="2"/>
    <n v="5"/>
    <n v="0"/>
    <n v="224.37"/>
  </r>
  <r>
    <n v="51104"/>
    <n v="30637"/>
    <x v="15"/>
    <n v="2114"/>
    <x v="12"/>
    <n v="2"/>
    <n v="130.52000000000001"/>
    <d v="2027-06-03T00:00:00"/>
    <s v=""/>
    <x v="3"/>
    <s v="Missing date"/>
    <s v="OK"/>
    <x v="3"/>
    <s v=""/>
    <n v="1"/>
    <n v="65.260000000000005"/>
  </r>
  <r>
    <n v="51105"/>
    <n v="30638"/>
    <x v="286"/>
    <n v="2093"/>
    <x v="11"/>
    <n v="1"/>
    <n v="224.37"/>
    <s v=""/>
    <s v=""/>
    <x v="3"/>
    <s v="Missing date"/>
    <s v="Missing date"/>
    <x v="2"/>
    <s v=""/>
    <n v="1"/>
    <n v="224.37"/>
  </r>
  <r>
    <n v="51106"/>
    <n v="30638"/>
    <x v="286"/>
    <n v="2093"/>
    <x v="4"/>
    <n v="1"/>
    <n v="183.74"/>
    <s v=""/>
    <s v=""/>
    <x v="3"/>
    <s v="Missing date"/>
    <s v="Missing date"/>
    <x v="2"/>
    <s v=""/>
    <n v="0"/>
    <n v="183.74"/>
  </r>
  <r>
    <n v="51107"/>
    <n v="30639"/>
    <x v="267"/>
    <n v="2237"/>
    <x v="13"/>
    <n v="2"/>
    <n v="243"/>
    <d v="2025-05-24T00:00:00"/>
    <d v="2025-05-31T00:00:00"/>
    <x v="0"/>
    <s v="OK"/>
    <s v="OK"/>
    <x v="1"/>
    <n v="7"/>
    <n v="1"/>
    <n v="121.5"/>
  </r>
  <r>
    <n v="51108"/>
    <n v="30639"/>
    <x v="267"/>
    <n v="2237"/>
    <x v="9"/>
    <n v="2"/>
    <n v="80.56"/>
    <d v="2025-05-25T00:00:00"/>
    <d v="2025-05-29T00:00:00"/>
    <x v="0"/>
    <s v="OK"/>
    <s v="OK"/>
    <x v="0"/>
    <n v="4"/>
    <n v="0"/>
    <n v="40.28"/>
  </r>
  <r>
    <n v="51109"/>
    <n v="30639"/>
    <x v="267"/>
    <n v="2237"/>
    <x v="14"/>
    <n v="1"/>
    <n v="119.74"/>
    <d v="2025-05-24T00:00:00"/>
    <d v="2025-05-28T00:00:00"/>
    <x v="0"/>
    <s v="OK"/>
    <s v="OK"/>
    <x v="3"/>
    <n v="4"/>
    <n v="0"/>
    <n v="119.74"/>
  </r>
  <r>
    <n v="51110"/>
    <n v="30640"/>
    <x v="295"/>
    <n v="2052"/>
    <x v="7"/>
    <n v="2"/>
    <n v="507.72"/>
    <d v="2025-03-28T00:00:00"/>
    <d v="2025-04-04T00:00:00"/>
    <x v="0"/>
    <s v="OK"/>
    <s v="OK"/>
    <x v="0"/>
    <n v="7"/>
    <n v="1"/>
    <n v="253.86"/>
  </r>
  <r>
    <n v="51111"/>
    <n v="30640"/>
    <x v="295"/>
    <n v="2052"/>
    <x v="3"/>
    <n v="1"/>
    <n v="118.6"/>
    <d v="2025-03-26T00:00:00"/>
    <d v="2025-03-28T00:00:00"/>
    <x v="0"/>
    <s v="OK"/>
    <s v="OK"/>
    <x v="2"/>
    <n v="2"/>
    <n v="0"/>
    <n v="118.6"/>
  </r>
  <r>
    <n v="51112"/>
    <n v="30640"/>
    <x v="295"/>
    <n v="2052"/>
    <x v="13"/>
    <n v="2"/>
    <n v="243"/>
    <d v="2025-03-28T00:00:00"/>
    <d v="2025-04-01T00:00:00"/>
    <x v="0"/>
    <s v="OK"/>
    <s v="OK"/>
    <x v="1"/>
    <n v="4"/>
    <n v="0"/>
    <n v="121.5"/>
  </r>
  <r>
    <n v="51113"/>
    <n v="30640"/>
    <x v="295"/>
    <n v="2052"/>
    <x v="2"/>
    <n v="4"/>
    <n v="966.16"/>
    <d v="2025-03-28T00:00:00"/>
    <d v="2025-04-05T00:00:00"/>
    <x v="0"/>
    <s v="OK"/>
    <s v="OK"/>
    <x v="1"/>
    <n v="8"/>
    <n v="0"/>
    <n v="241.54"/>
  </r>
  <r>
    <n v="51114"/>
    <n v="30641"/>
    <x v="136"/>
    <n v="2321"/>
    <x v="4"/>
    <n v="4"/>
    <n v="734.96"/>
    <d v="2025-06-14T00:00:00"/>
    <d v="2025-06-16T00:00:00"/>
    <x v="0"/>
    <s v="OK"/>
    <s v="OK"/>
    <x v="2"/>
    <n v="2"/>
    <n v="1"/>
    <n v="183.74"/>
  </r>
  <r>
    <n v="51115"/>
    <n v="30641"/>
    <x v="136"/>
    <n v="2321"/>
    <x v="4"/>
    <n v="2"/>
    <n v="367.48"/>
    <d v="2025-06-14T00:00:00"/>
    <d v="2025-06-21T00:00:00"/>
    <x v="0"/>
    <s v="OK"/>
    <s v="OK"/>
    <x v="2"/>
    <n v="7"/>
    <n v="0"/>
    <n v="183.74"/>
  </r>
  <r>
    <n v="51116"/>
    <n v="30642"/>
    <x v="62"/>
    <n v="2047"/>
    <x v="6"/>
    <n v="3"/>
    <n v="95.19"/>
    <d v="2025-12-04T00:00:00"/>
    <d v="2025-12-05T00:00:00"/>
    <x v="0"/>
    <s v="OK"/>
    <s v="OK"/>
    <x v="2"/>
    <n v="1"/>
    <n v="1"/>
    <n v="31.73"/>
  </r>
  <r>
    <n v="51117"/>
    <n v="30643"/>
    <x v="154"/>
    <n v="2175"/>
    <x v="14"/>
    <n v="2"/>
    <n v="239.48"/>
    <d v="2025-10-31T00:00:00"/>
    <d v="2025-11-09T00:00:00"/>
    <x v="0"/>
    <s v="OK"/>
    <s v="OK"/>
    <x v="3"/>
    <n v="9"/>
    <n v="1"/>
    <n v="119.74"/>
  </r>
  <r>
    <n v="51118"/>
    <n v="30643"/>
    <x v="154"/>
    <n v="2175"/>
    <x v="9"/>
    <n v="2"/>
    <n v="80.56"/>
    <d v="2025-10-31T00:00:00"/>
    <d v="2025-11-02T00:00:00"/>
    <x v="0"/>
    <s v="OK"/>
    <s v="OK"/>
    <x v="0"/>
    <n v="2"/>
    <n v="0"/>
    <n v="40.28"/>
  </r>
  <r>
    <n v="51119"/>
    <n v="30644"/>
    <x v="19"/>
    <n v="2096"/>
    <x v="5"/>
    <n v="1"/>
    <n v="101.44"/>
    <d v="2025-02-26T00:00:00"/>
    <d v="2025-04-03T00:00:00"/>
    <x v="0"/>
    <s v="OK"/>
    <s v="OK"/>
    <x v="1"/>
    <n v="36"/>
    <n v="1"/>
    <n v="101.44"/>
  </r>
  <r>
    <n v="51120"/>
    <n v="30645"/>
    <x v="296"/>
    <n v="2188"/>
    <x v="15"/>
    <n v="3"/>
    <n v="510.75"/>
    <d v="2025-10-22T00:00:00"/>
    <d v="2025-10-26T00:00:00"/>
    <x v="0"/>
    <s v="OK"/>
    <s v="OK"/>
    <x v="1"/>
    <n v="4"/>
    <n v="1"/>
    <n v="170.25"/>
  </r>
  <r>
    <n v="51121"/>
    <n v="30646"/>
    <x v="297"/>
    <n v="2468"/>
    <x v="15"/>
    <n v="1"/>
    <n v="170.25"/>
    <d v="2025-05-19T00:00:00"/>
    <d v="2025-05-21T00:00:00"/>
    <x v="0"/>
    <s v="OK"/>
    <s v="OK"/>
    <x v="1"/>
    <n v="2"/>
    <n v="1"/>
    <n v="170.25"/>
  </r>
  <r>
    <n v="51122"/>
    <n v="30647"/>
    <x v="298"/>
    <n v="2490"/>
    <x v="7"/>
    <n v="1"/>
    <n v="253.86"/>
    <d v="2025-02-25T00:00:00"/>
    <s v=""/>
    <x v="3"/>
    <s v="Missing date"/>
    <s v="OK"/>
    <x v="0"/>
    <s v=""/>
    <n v="1"/>
    <n v="253.86"/>
  </r>
  <r>
    <n v="51123"/>
    <n v="30648"/>
    <x v="119"/>
    <n v="2061"/>
    <x v="7"/>
    <n v="2"/>
    <n v="507.72"/>
    <d v="2025-07-16T00:00:00"/>
    <d v="2025-07-17T00:00:00"/>
    <x v="1"/>
    <s v="OK"/>
    <s v="OK"/>
    <x v="0"/>
    <n v="1"/>
    <n v="1"/>
    <n v="253.86"/>
  </r>
  <r>
    <n v="51124"/>
    <n v="30648"/>
    <x v="119"/>
    <n v="2061"/>
    <x v="4"/>
    <n v="3"/>
    <n v="551.22"/>
    <d v="2025-07-16T00:00:00"/>
    <d v="2025-07-23T00:00:00"/>
    <x v="1"/>
    <s v="OK"/>
    <s v="OK"/>
    <x v="2"/>
    <n v="7"/>
    <n v="0"/>
    <n v="183.74"/>
  </r>
  <r>
    <n v="51125"/>
    <n v="30648"/>
    <x v="119"/>
    <n v="2061"/>
    <x v="10"/>
    <n v="2"/>
    <n v="430.68"/>
    <d v="2025-07-15T00:00:00"/>
    <d v="2025-07-16T00:00:00"/>
    <x v="1"/>
    <s v="OK"/>
    <s v="OK"/>
    <x v="3"/>
    <n v="1"/>
    <n v="0"/>
    <n v="215.34"/>
  </r>
  <r>
    <n v="51126"/>
    <n v="30649"/>
    <x v="113"/>
    <n v="2495"/>
    <x v="14"/>
    <n v="1"/>
    <n v="119.74"/>
    <d v="2025-12-08T00:00:00"/>
    <s v=""/>
    <x v="3"/>
    <s v="Missing date"/>
    <s v="OK"/>
    <x v="3"/>
    <s v=""/>
    <n v="1"/>
    <n v="119.74"/>
  </r>
  <r>
    <n v="51127"/>
    <n v="30650"/>
    <x v="106"/>
    <n v="2389"/>
    <x v="8"/>
    <n v="2"/>
    <n v="406.08"/>
    <s v=""/>
    <s v=""/>
    <x v="3"/>
    <s v="Missing date"/>
    <s v="Missing date"/>
    <x v="2"/>
    <s v=""/>
    <n v="1"/>
    <n v="203.04"/>
  </r>
  <r>
    <n v="51128"/>
    <n v="30650"/>
    <x v="106"/>
    <n v="2389"/>
    <x v="6"/>
    <n v="2"/>
    <n v="63.46"/>
    <s v=""/>
    <s v=""/>
    <x v="3"/>
    <s v="Missing date"/>
    <s v="Missing date"/>
    <x v="2"/>
    <s v=""/>
    <n v="0"/>
    <n v="31.73"/>
  </r>
  <r>
    <n v="51129"/>
    <n v="30651"/>
    <x v="103"/>
    <n v="2500"/>
    <x v="10"/>
    <n v="1"/>
    <n v="215.34"/>
    <d v="2025-07-17T00:00:00"/>
    <d v="2025-07-25T00:00:00"/>
    <x v="0"/>
    <s v="OK"/>
    <s v="OK"/>
    <x v="3"/>
    <n v="8"/>
    <n v="1"/>
    <n v="215.34"/>
  </r>
  <r>
    <n v="51130"/>
    <n v="30652"/>
    <x v="228"/>
    <n v="2452"/>
    <x v="9"/>
    <n v="3"/>
    <n v="120.84"/>
    <d v="2025-07-20T00:00:00"/>
    <d v="2025-07-30T00:00:00"/>
    <x v="0"/>
    <s v="OK"/>
    <s v="OK"/>
    <x v="0"/>
    <n v="10"/>
    <n v="1"/>
    <n v="40.28"/>
  </r>
  <r>
    <n v="51131"/>
    <n v="30652"/>
    <x v="228"/>
    <n v="2452"/>
    <x v="5"/>
    <n v="3"/>
    <n v="304.32"/>
    <d v="2025-07-21T00:00:00"/>
    <d v="2025-07-31T00:00:00"/>
    <x v="0"/>
    <s v="OK"/>
    <s v="OK"/>
    <x v="1"/>
    <n v="10"/>
    <n v="0"/>
    <n v="101.44"/>
  </r>
  <r>
    <n v="51132"/>
    <n v="30652"/>
    <x v="228"/>
    <n v="2452"/>
    <x v="8"/>
    <n v="1"/>
    <n v="203.04"/>
    <d v="2025-07-22T00:00:00"/>
    <d v="2025-07-23T00:00:00"/>
    <x v="0"/>
    <s v="OK"/>
    <s v="OK"/>
    <x v="2"/>
    <n v="1"/>
    <n v="0"/>
    <n v="203.04"/>
  </r>
  <r>
    <n v="51133"/>
    <n v="30653"/>
    <x v="54"/>
    <n v="2538"/>
    <x v="1"/>
    <n v="1"/>
    <n v="206.09"/>
    <s v=""/>
    <s v=""/>
    <x v="3"/>
    <s v="Missing date"/>
    <s v="Missing date"/>
    <x v="0"/>
    <s v=""/>
    <n v="1"/>
    <n v="206.09"/>
  </r>
  <r>
    <n v="51134"/>
    <n v="30654"/>
    <x v="182"/>
    <n v="2347"/>
    <x v="4"/>
    <n v="4"/>
    <n v="734.96"/>
    <d v="2025-02-01T00:00:00"/>
    <d v="2025-02-03T00:00:00"/>
    <x v="0"/>
    <s v="OK"/>
    <s v="OK"/>
    <x v="2"/>
    <n v="2"/>
    <n v="1"/>
    <n v="183.74"/>
  </r>
  <r>
    <n v="51135"/>
    <n v="30655"/>
    <x v="299"/>
    <n v="2444"/>
    <x v="1"/>
    <n v="2"/>
    <n v="412.18"/>
    <d v="2025-01-23T00:00:00"/>
    <d v="2025-01-24T00:00:00"/>
    <x v="0"/>
    <s v="OK"/>
    <s v="OK"/>
    <x v="0"/>
    <n v="1"/>
    <n v="1"/>
    <n v="206.09"/>
  </r>
  <r>
    <n v="51136"/>
    <n v="30655"/>
    <x v="299"/>
    <n v="2444"/>
    <x v="12"/>
    <n v="1"/>
    <n v="65.260000000000005"/>
    <d v="2025-01-23T00:00:00"/>
    <d v="2025-01-31T00:00:00"/>
    <x v="0"/>
    <s v="OK"/>
    <s v="OK"/>
    <x v="3"/>
    <n v="8"/>
    <n v="0"/>
    <n v="65.260000000000005"/>
  </r>
  <r>
    <n v="51137"/>
    <n v="30656"/>
    <x v="174"/>
    <n v="2355"/>
    <x v="15"/>
    <n v="4"/>
    <n v="681"/>
    <d v="2025-08-25T00:00:00"/>
    <d v="2025-08-29T00:00:00"/>
    <x v="0"/>
    <s v="OK"/>
    <s v="OK"/>
    <x v="1"/>
    <n v="4"/>
    <n v="1"/>
    <n v="170.25"/>
  </r>
  <r>
    <n v="51138"/>
    <n v="30657"/>
    <x v="300"/>
    <n v="2153"/>
    <x v="3"/>
    <n v="2"/>
    <n v="237.2"/>
    <d v="2025-09-08T00:00:00"/>
    <s v=""/>
    <x v="3"/>
    <s v="Missing date"/>
    <s v="OK"/>
    <x v="2"/>
    <s v=""/>
    <n v="1"/>
    <n v="118.6"/>
  </r>
  <r>
    <n v="51139"/>
    <n v="30657"/>
    <x v="300"/>
    <n v="2153"/>
    <x v="7"/>
    <n v="1"/>
    <n v="253.86"/>
    <s v=""/>
    <s v=""/>
    <x v="3"/>
    <s v="Missing date"/>
    <s v="Missing date"/>
    <x v="0"/>
    <s v=""/>
    <n v="0"/>
    <n v="253.86"/>
  </r>
  <r>
    <n v="51140"/>
    <n v="30658"/>
    <x v="286"/>
    <n v="2481"/>
    <x v="7"/>
    <n v="2"/>
    <n v="507.72"/>
    <d v="2025-06-26T00:00:00"/>
    <s v=""/>
    <x v="3"/>
    <s v="Missing date"/>
    <s v="OK"/>
    <x v="0"/>
    <s v=""/>
    <n v="1"/>
    <n v="253.86"/>
  </r>
  <r>
    <n v="51141"/>
    <n v="30659"/>
    <x v="301"/>
    <n v="2504"/>
    <x v="5"/>
    <n v="1"/>
    <n v="101.44"/>
    <d v="2025-10-25T00:00:00"/>
    <d v="2025-11-04T00:00:00"/>
    <x v="0"/>
    <s v="OK"/>
    <s v="OK"/>
    <x v="1"/>
    <n v="10"/>
    <n v="1"/>
    <n v="101.44"/>
  </r>
  <r>
    <n v="51142"/>
    <n v="30660"/>
    <x v="252"/>
    <n v="2285"/>
    <x v="1"/>
    <n v="1"/>
    <n v="206.09"/>
    <d v="2025-05-03T00:00:00"/>
    <d v="2025-05-05T00:00:00"/>
    <x v="0"/>
    <s v="OK"/>
    <s v="OK"/>
    <x v="0"/>
    <n v="2"/>
    <n v="1"/>
    <n v="206.09"/>
  </r>
  <r>
    <n v="51143"/>
    <n v="30661"/>
    <x v="214"/>
    <n v="2564"/>
    <x v="15"/>
    <n v="1"/>
    <n v="170.25"/>
    <d v="2025-09-08T00:00:00"/>
    <d v="2025-09-15T00:00:00"/>
    <x v="0"/>
    <s v="OK"/>
    <s v="OK"/>
    <x v="1"/>
    <n v="7"/>
    <n v="1"/>
    <n v="170.25"/>
  </r>
  <r>
    <n v="51144"/>
    <n v="30661"/>
    <x v="302"/>
    <n v="2564"/>
    <x v="1"/>
    <n v="4"/>
    <n v="824.36"/>
    <d v="2025-09-10T00:00:00"/>
    <d v="2025-09-12T00:00:00"/>
    <x v="0"/>
    <s v="OK"/>
    <s v="OK"/>
    <x v="0"/>
    <n v="2"/>
    <n v="0"/>
    <n v="206.09"/>
  </r>
  <r>
    <n v="51145"/>
    <n v="30662"/>
    <x v="190"/>
    <n v="2081"/>
    <x v="14"/>
    <n v="1"/>
    <n v="119.74"/>
    <d v="2025-06-08T00:00:00"/>
    <d v="2025-06-09T00:00:00"/>
    <x v="0"/>
    <s v="OK"/>
    <s v="OK"/>
    <x v="3"/>
    <n v="1"/>
    <n v="1"/>
    <n v="119.74"/>
  </r>
  <r>
    <n v="51146"/>
    <n v="30662"/>
    <x v="266"/>
    <n v="2081"/>
    <x v="11"/>
    <n v="2"/>
    <n v="448.74"/>
    <d v="2025-06-07T00:00:00"/>
    <d v="2025-06-15T00:00:00"/>
    <x v="0"/>
    <s v="OK"/>
    <s v="OK"/>
    <x v="2"/>
    <n v="8"/>
    <n v="0"/>
    <n v="224.37"/>
  </r>
  <r>
    <n v="51147"/>
    <n v="30662"/>
    <x v="266"/>
    <n v="2081"/>
    <x v="12"/>
    <n v="3"/>
    <n v="195.78"/>
    <d v="2025-06-07T00:00:00"/>
    <d v="2025-08-06T00:00:00"/>
    <x v="0"/>
    <s v="OK"/>
    <s v="OK"/>
    <x v="3"/>
    <n v="60"/>
    <n v="0"/>
    <n v="65.260000000000005"/>
  </r>
  <r>
    <n v="51148"/>
    <n v="30663"/>
    <x v="216"/>
    <n v="2458"/>
    <x v="12"/>
    <n v="1"/>
    <n v="65.260000000000005"/>
    <d v="2025-01-30T00:00:00"/>
    <d v="2025-05-02T00:00:00"/>
    <x v="0"/>
    <s v="OK"/>
    <s v="OK"/>
    <x v="3"/>
    <n v="92"/>
    <n v="1"/>
    <n v="65.260000000000005"/>
  </r>
  <r>
    <n v="51149"/>
    <n v="30664"/>
    <x v="159"/>
    <n v="2019"/>
    <x v="10"/>
    <n v="1"/>
    <n v="215.34"/>
    <d v="2025-03-06T00:00:00"/>
    <d v="2025-03-15T00:00:00"/>
    <x v="0"/>
    <s v="OK"/>
    <s v="OK"/>
    <x v="3"/>
    <n v="9"/>
    <n v="1"/>
    <n v="215.34"/>
  </r>
  <r>
    <n v="51150"/>
    <n v="30664"/>
    <x v="159"/>
    <n v="2019"/>
    <x v="3"/>
    <n v="2"/>
    <n v="237.2"/>
    <d v="2025-03-06T00:00:00"/>
    <d v="2025-03-14T00:00:00"/>
    <x v="0"/>
    <s v="OK"/>
    <s v="OK"/>
    <x v="2"/>
    <n v="8"/>
    <n v="0"/>
    <n v="118.6"/>
  </r>
  <r>
    <n v="51151"/>
    <n v="30664"/>
    <x v="159"/>
    <n v="2019"/>
    <x v="8"/>
    <n v="2"/>
    <n v="406.08"/>
    <d v="2025-03-06T00:00:00"/>
    <d v="2025-03-15T00:00:00"/>
    <x v="0"/>
    <s v="OK"/>
    <s v="OK"/>
    <x v="2"/>
    <n v="9"/>
    <n v="0"/>
    <n v="203.04"/>
  </r>
  <r>
    <n v="51152"/>
    <n v="30664"/>
    <x v="159"/>
    <n v="2019"/>
    <x v="11"/>
    <n v="1"/>
    <n v="224.37"/>
    <d v="2025-03-07T00:00:00"/>
    <d v="2025-08-03T00:00:00"/>
    <x v="0"/>
    <s v="OK"/>
    <s v="OK"/>
    <x v="2"/>
    <n v="149"/>
    <n v="0"/>
    <n v="224.37"/>
  </r>
  <r>
    <n v="51153"/>
    <n v="30665"/>
    <x v="0"/>
    <n v="2312"/>
    <x v="0"/>
    <n v="1"/>
    <n v="199.81"/>
    <s v=""/>
    <s v=""/>
    <x v="2"/>
    <s v="Missing date"/>
    <s v="Missing date"/>
    <x v="0"/>
    <s v=""/>
    <n v="1"/>
    <n v="199.81"/>
  </r>
  <r>
    <n v="51154"/>
    <n v="30666"/>
    <x v="303"/>
    <n v="2468"/>
    <x v="2"/>
    <n v="1"/>
    <n v="241.54"/>
    <d v="2025-08-08T00:00:00"/>
    <d v="2025-09-08T00:00:00"/>
    <x v="1"/>
    <s v="OK"/>
    <s v="OK"/>
    <x v="1"/>
    <n v="31"/>
    <n v="1"/>
    <n v="241.54"/>
  </r>
  <r>
    <n v="51155"/>
    <n v="30667"/>
    <x v="113"/>
    <n v="2056"/>
    <x v="14"/>
    <n v="1"/>
    <n v="119.74"/>
    <s v=""/>
    <s v=""/>
    <x v="3"/>
    <s v="Missing date"/>
    <s v="Missing date"/>
    <x v="3"/>
    <s v=""/>
    <n v="1"/>
    <n v="119.74"/>
  </r>
  <r>
    <n v="51156"/>
    <n v="30667"/>
    <x v="292"/>
    <n v="2056"/>
    <x v="12"/>
    <n v="5"/>
    <n v="326.3"/>
    <s v=""/>
    <s v=""/>
    <x v="3"/>
    <s v="Missing date"/>
    <s v="Missing date"/>
    <x v="3"/>
    <s v=""/>
    <n v="0"/>
    <n v="65.260000000000005"/>
  </r>
  <r>
    <n v="51157"/>
    <n v="30667"/>
    <x v="292"/>
    <n v="2056"/>
    <x v="2"/>
    <n v="4"/>
    <n v="966.16"/>
    <s v=""/>
    <s v=""/>
    <x v="3"/>
    <s v="Missing date"/>
    <s v="Missing date"/>
    <x v="1"/>
    <s v=""/>
    <n v="0"/>
    <n v="241.54"/>
  </r>
  <r>
    <n v="51158"/>
    <n v="30668"/>
    <x v="52"/>
    <n v="2117"/>
    <x v="1"/>
    <n v="2"/>
    <n v="412.18"/>
    <d v="2025-01-22T00:00:00"/>
    <d v="2025-01-29T00:00:00"/>
    <x v="0"/>
    <s v="OK"/>
    <s v="OK"/>
    <x v="0"/>
    <n v="7"/>
    <n v="1"/>
    <n v="206.09"/>
  </r>
  <r>
    <n v="51159"/>
    <n v="30669"/>
    <x v="304"/>
    <n v="2003"/>
    <x v="13"/>
    <n v="1"/>
    <n v="121.5"/>
    <d v="2025-01-27T00:00:00"/>
    <d v="2025-02-02T00:00:00"/>
    <x v="0"/>
    <s v="OK"/>
    <s v="OK"/>
    <x v="1"/>
    <n v="6"/>
    <n v="1"/>
    <n v="121.5"/>
  </r>
  <r>
    <n v="51160"/>
    <n v="30670"/>
    <x v="305"/>
    <n v="2561"/>
    <x v="4"/>
    <n v="5"/>
    <n v="918.7"/>
    <d v="2025-01-30T00:00:00"/>
    <d v="2025-06-02T00:00:00"/>
    <x v="0"/>
    <s v="OK"/>
    <s v="OK"/>
    <x v="2"/>
    <n v="123"/>
    <n v="1"/>
    <n v="183.74"/>
  </r>
  <r>
    <n v="51161"/>
    <n v="30670"/>
    <x v="305"/>
    <n v="2561"/>
    <x v="3"/>
    <n v="2"/>
    <n v="237.2"/>
    <d v="2025-01-30T00:00:00"/>
    <d v="2025-02-09T00:00:00"/>
    <x v="0"/>
    <s v="OK"/>
    <s v="OK"/>
    <x v="2"/>
    <n v="10"/>
    <n v="0"/>
    <n v="118.6"/>
  </r>
  <r>
    <n v="51162"/>
    <n v="30671"/>
    <x v="306"/>
    <n v="2169"/>
    <x v="10"/>
    <n v="3"/>
    <n v="646.02"/>
    <d v="2025-06-27T00:00:00"/>
    <d v="2025-07-05T00:00:00"/>
    <x v="0"/>
    <s v="OK"/>
    <s v="OK"/>
    <x v="3"/>
    <n v="8"/>
    <n v="1"/>
    <n v="215.34"/>
  </r>
  <r>
    <n v="51163"/>
    <n v="30672"/>
    <x v="61"/>
    <n v="2110"/>
    <x v="0"/>
    <n v="1"/>
    <n v="199.81"/>
    <d v="2025-05-16T00:00:00"/>
    <d v="2025-05-26T00:00:00"/>
    <x v="0"/>
    <s v="OK"/>
    <s v="OK"/>
    <x v="0"/>
    <n v="10"/>
    <n v="1"/>
    <n v="199.81"/>
  </r>
  <r>
    <n v="51164"/>
    <n v="30673"/>
    <x v="307"/>
    <n v="2193"/>
    <x v="15"/>
    <n v="1"/>
    <n v="170.25"/>
    <d v="2025-10-06T00:00:00"/>
    <d v="2025-10-07T00:00:00"/>
    <x v="0"/>
    <s v="OK"/>
    <s v="OK"/>
    <x v="1"/>
    <n v="1"/>
    <n v="1"/>
    <n v="170.25"/>
  </r>
  <r>
    <n v="51165"/>
    <n v="30674"/>
    <x v="175"/>
    <n v="2221"/>
    <x v="0"/>
    <n v="2"/>
    <n v="399.62"/>
    <d v="2025-01-23T00:00:00"/>
    <d v="2025-02-01T00:00:00"/>
    <x v="0"/>
    <s v="OK"/>
    <s v="OK"/>
    <x v="0"/>
    <n v="9"/>
    <n v="1"/>
    <n v="199.81"/>
  </r>
  <r>
    <n v="51166"/>
    <n v="30675"/>
    <x v="298"/>
    <n v="2347"/>
    <x v="10"/>
    <n v="1"/>
    <n v="215.34"/>
    <d v="2025-02-23T00:00:00"/>
    <d v="2025-03-02T00:00:00"/>
    <x v="0"/>
    <s v="OK"/>
    <s v="OK"/>
    <x v="3"/>
    <n v="7"/>
    <n v="1"/>
    <n v="215.34"/>
  </r>
  <r>
    <n v="51167"/>
    <n v="30676"/>
    <x v="255"/>
    <n v="2048"/>
    <x v="4"/>
    <n v="2"/>
    <n v="367.48"/>
    <s v=""/>
    <s v=""/>
    <x v="2"/>
    <s v="Missing date"/>
    <s v="Missing date"/>
    <x v="2"/>
    <s v=""/>
    <n v="1"/>
    <n v="183.74"/>
  </r>
  <r>
    <n v="51168"/>
    <n v="30676"/>
    <x v="255"/>
    <n v="2048"/>
    <x v="14"/>
    <n v="2"/>
    <n v="239.48"/>
    <s v=""/>
    <s v=""/>
    <x v="2"/>
    <s v="Missing date"/>
    <s v="Missing date"/>
    <x v="3"/>
    <s v=""/>
    <n v="0"/>
    <n v="119.74"/>
  </r>
  <r>
    <n v="51169"/>
    <n v="30677"/>
    <x v="307"/>
    <n v="2469"/>
    <x v="6"/>
    <n v="1"/>
    <n v="31.73"/>
    <d v="2025-10-07T00:00:00"/>
    <d v="2025-10-13T00:00:00"/>
    <x v="0"/>
    <s v="OK"/>
    <s v="OK"/>
    <x v="2"/>
    <n v="6"/>
    <n v="1"/>
    <n v="31.73"/>
  </r>
  <r>
    <n v="51170"/>
    <n v="30677"/>
    <x v="307"/>
    <n v="2469"/>
    <x v="12"/>
    <n v="4"/>
    <n v="261.04000000000002"/>
    <d v="2025-10-06T00:00:00"/>
    <d v="2025-10-12T00:00:00"/>
    <x v="0"/>
    <s v="OK"/>
    <s v="OK"/>
    <x v="3"/>
    <n v="6"/>
    <n v="0"/>
    <n v="65.260000000000005"/>
  </r>
  <r>
    <n v="51171"/>
    <n v="30678"/>
    <x v="307"/>
    <n v="2005"/>
    <x v="3"/>
    <n v="3"/>
    <n v="355.8"/>
    <d v="2025-10-08T00:00:00"/>
    <d v="2025-10-15T00:00:00"/>
    <x v="0"/>
    <s v="OK"/>
    <s v="OK"/>
    <x v="2"/>
    <n v="7"/>
    <n v="1"/>
    <n v="118.60000000000001"/>
  </r>
  <r>
    <n v="51172"/>
    <n v="30678"/>
    <x v="2"/>
    <n v="2005"/>
    <x v="10"/>
    <n v="4"/>
    <n v="861.36"/>
    <d v="2025-08-10T00:00:00"/>
    <d v="2025-10-13T00:00:00"/>
    <x v="0"/>
    <s v="OK"/>
    <s v="OK"/>
    <x v="3"/>
    <n v="64"/>
    <n v="0"/>
    <n v="215.34"/>
  </r>
  <r>
    <n v="51173"/>
    <n v="30678"/>
    <x v="307"/>
    <n v="2005"/>
    <x v="12"/>
    <n v="1"/>
    <n v="65.260000000000005"/>
    <d v="2025-10-06T00:00:00"/>
    <d v="2025-10-07T00:00:00"/>
    <x v="0"/>
    <s v="OK"/>
    <s v="OK"/>
    <x v="3"/>
    <n v="1"/>
    <n v="0"/>
    <n v="65.260000000000005"/>
  </r>
  <r>
    <n v="51174"/>
    <n v="30679"/>
    <x v="308"/>
    <n v="2521"/>
    <x v="7"/>
    <n v="1"/>
    <n v="253.86"/>
    <s v=""/>
    <s v=""/>
    <x v="3"/>
    <s v="Missing date"/>
    <s v="Missing date"/>
    <x v="0"/>
    <s v=""/>
    <n v="1"/>
    <n v="253.86"/>
  </r>
  <r>
    <n v="51175"/>
    <n v="30680"/>
    <x v="268"/>
    <n v="2178"/>
    <x v="6"/>
    <n v="2"/>
    <n v="63.46"/>
    <d v="2025-02-12T00:00:00"/>
    <d v="2025-02-18T00:00:00"/>
    <x v="0"/>
    <s v="OK"/>
    <s v="OK"/>
    <x v="2"/>
    <n v="6"/>
    <n v="1"/>
    <n v="31.73"/>
  </r>
  <r>
    <n v="51176"/>
    <n v="30680"/>
    <x v="268"/>
    <n v="2178"/>
    <x v="4"/>
    <n v="1"/>
    <n v="183.74"/>
    <d v="2025-02-12T00:00:00"/>
    <d v="2025-02-20T00:00:00"/>
    <x v="0"/>
    <s v="OK"/>
    <s v="OK"/>
    <x v="2"/>
    <n v="8"/>
    <n v="0"/>
    <n v="183.74"/>
  </r>
  <r>
    <n v="51177"/>
    <n v="30681"/>
    <x v="213"/>
    <n v="2397"/>
    <x v="5"/>
    <n v="1"/>
    <n v="101.44"/>
    <d v="2025-04-05T00:00:00"/>
    <d v="2025-04-06T00:00:00"/>
    <x v="0"/>
    <s v="OK"/>
    <s v="OK"/>
    <x v="1"/>
    <n v="1"/>
    <n v="1"/>
    <n v="101.44"/>
  </r>
  <r>
    <n v="51178"/>
    <n v="30682"/>
    <x v="261"/>
    <n v="2517"/>
    <x v="10"/>
    <n v="3"/>
    <n v="646.02"/>
    <s v=""/>
    <s v=""/>
    <x v="2"/>
    <s v="Missing date"/>
    <s v="Missing date"/>
    <x v="3"/>
    <s v=""/>
    <n v="1"/>
    <n v="215.34"/>
  </r>
  <r>
    <n v="51179"/>
    <n v="30683"/>
    <x v="166"/>
    <n v="2255"/>
    <x v="5"/>
    <n v="1"/>
    <n v="101.44"/>
    <d v="2025-01-16T00:00:00"/>
    <d v="2025-01-24T00:00:00"/>
    <x v="0"/>
    <s v="OK"/>
    <s v="OK"/>
    <x v="1"/>
    <n v="8"/>
    <n v="1"/>
    <n v="101.44"/>
  </r>
  <r>
    <n v="51180"/>
    <n v="30683"/>
    <x v="166"/>
    <n v="2255"/>
    <x v="13"/>
    <n v="2"/>
    <n v="243"/>
    <d v="2025-01-16T00:00:00"/>
    <d v="2025-01-21T00:00:00"/>
    <x v="0"/>
    <s v="OK"/>
    <s v="OK"/>
    <x v="1"/>
    <n v="5"/>
    <n v="0"/>
    <n v="121.5"/>
  </r>
  <r>
    <n v="51181"/>
    <n v="30684"/>
    <x v="256"/>
    <n v="2464"/>
    <x v="6"/>
    <n v="1"/>
    <n v="31.73"/>
    <s v=""/>
    <s v=""/>
    <x v="3"/>
    <s v="Missing date"/>
    <s v="Missing date"/>
    <x v="2"/>
    <s v=""/>
    <n v="1"/>
    <n v="31.73"/>
  </r>
  <r>
    <n v="51182"/>
    <n v="30684"/>
    <x v="256"/>
    <n v="2464"/>
    <x v="13"/>
    <n v="1"/>
    <n v="121.5"/>
    <s v=""/>
    <s v=""/>
    <x v="3"/>
    <s v="Missing date"/>
    <s v="Missing date"/>
    <x v="1"/>
    <s v=""/>
    <n v="0"/>
    <n v="121.5"/>
  </r>
  <r>
    <n v="51183"/>
    <n v="30685"/>
    <x v="265"/>
    <n v="2561"/>
    <x v="0"/>
    <n v="1"/>
    <n v="199.81"/>
    <s v=""/>
    <s v=""/>
    <x v="2"/>
    <s v="Missing date"/>
    <s v="Missing date"/>
    <x v="0"/>
    <s v=""/>
    <n v="1"/>
    <n v="199.81"/>
  </r>
  <r>
    <n v="51184"/>
    <n v="30686"/>
    <x v="127"/>
    <n v="2206"/>
    <x v="13"/>
    <n v="1"/>
    <n v="121.5"/>
    <d v="2025-02-12T00:00:00"/>
    <d v="2025-02-22T00:00:00"/>
    <x v="0"/>
    <s v="OK"/>
    <s v="OK"/>
    <x v="1"/>
    <n v="10"/>
    <n v="1"/>
    <n v="121.5"/>
  </r>
  <r>
    <n v="51185"/>
    <n v="30687"/>
    <x v="240"/>
    <n v="2354"/>
    <x v="6"/>
    <n v="1"/>
    <n v="31.73"/>
    <s v=""/>
    <s v=""/>
    <x v="2"/>
    <s v="Missing date"/>
    <s v="Missing date"/>
    <x v="2"/>
    <s v=""/>
    <n v="1"/>
    <n v="31.73"/>
  </r>
  <r>
    <n v="51186"/>
    <n v="30688"/>
    <x v="30"/>
    <n v="2183"/>
    <x v="5"/>
    <n v="1"/>
    <n v="101.44"/>
    <d v="2025-04-17T00:00:00"/>
    <d v="2025-04-27T00:00:00"/>
    <x v="0"/>
    <s v="OK"/>
    <s v="OK"/>
    <x v="1"/>
    <n v="10"/>
    <n v="1"/>
    <n v="101.44"/>
  </r>
  <r>
    <n v="51187"/>
    <n v="30688"/>
    <x v="30"/>
    <n v="2183"/>
    <x v="4"/>
    <n v="1"/>
    <n v="183.74"/>
    <d v="2025-04-15T00:00:00"/>
    <d v="2025-04-17T00:00:00"/>
    <x v="0"/>
    <s v="OK"/>
    <s v="OK"/>
    <x v="2"/>
    <n v="2"/>
    <n v="0"/>
    <n v="183.74"/>
  </r>
  <r>
    <n v="51188"/>
    <n v="30688"/>
    <x v="30"/>
    <n v="2183"/>
    <x v="2"/>
    <n v="1"/>
    <n v="241.54"/>
    <d v="2025-04-15T00:00:00"/>
    <d v="2025-04-19T00:00:00"/>
    <x v="0"/>
    <s v="OK"/>
    <s v="OK"/>
    <x v="1"/>
    <n v="4"/>
    <n v="0"/>
    <n v="241.54"/>
  </r>
  <r>
    <n v="51189"/>
    <n v="30689"/>
    <x v="31"/>
    <n v="2576"/>
    <x v="10"/>
    <n v="1"/>
    <n v="215.34"/>
    <d v="2025-04-16T00:00:00"/>
    <d v="2025-04-18T00:00:00"/>
    <x v="0"/>
    <s v="OK"/>
    <s v="OK"/>
    <x v="3"/>
    <n v="2"/>
    <n v="1"/>
    <n v="215.34"/>
  </r>
  <r>
    <n v="51190"/>
    <n v="30689"/>
    <x v="31"/>
    <n v="2576"/>
    <x v="13"/>
    <n v="1"/>
    <n v="121.5"/>
    <d v="2025-04-16T00:00:00"/>
    <d v="2025-04-21T00:00:00"/>
    <x v="0"/>
    <s v="OK"/>
    <s v="OK"/>
    <x v="1"/>
    <n v="5"/>
    <n v="0"/>
    <n v="121.5"/>
  </r>
  <r>
    <n v="51191"/>
    <n v="30689"/>
    <x v="31"/>
    <n v="2576"/>
    <x v="16"/>
    <n v="1"/>
    <s v=""/>
    <d v="2025-04-14T00:00:00"/>
    <d v="2025-04-21T00:00:00"/>
    <x v="0"/>
    <s v="OK"/>
    <s v="OK"/>
    <x v="4"/>
    <n v="7"/>
    <n v="0"/>
    <s v=""/>
  </r>
  <r>
    <n v="51192"/>
    <n v="30690"/>
    <x v="122"/>
    <n v="2014"/>
    <x v="8"/>
    <n v="1"/>
    <n v="203.04"/>
    <d v="2025-01-17T00:00:00"/>
    <d v="2025-01-21T00:00:00"/>
    <x v="0"/>
    <s v="OK"/>
    <s v="OK"/>
    <x v="2"/>
    <n v="4"/>
    <n v="1"/>
    <n v="203.04"/>
  </r>
  <r>
    <n v="51193"/>
    <n v="30690"/>
    <x v="122"/>
    <n v="2014"/>
    <x v="15"/>
    <n v="1"/>
    <n v="170.25"/>
    <d v="2025-01-15T00:00:00"/>
    <d v="2025-01-16T00:00:00"/>
    <x v="0"/>
    <s v="OK"/>
    <s v="OK"/>
    <x v="1"/>
    <n v="1"/>
    <n v="0"/>
    <n v="170.25"/>
  </r>
  <r>
    <n v="51194"/>
    <n v="30690"/>
    <x v="122"/>
    <n v="2014"/>
    <x v="6"/>
    <n v="1"/>
    <n v="31.73"/>
    <d v="2025-01-15T00:00:00"/>
    <d v="2025-01-22T00:00:00"/>
    <x v="0"/>
    <s v="OK"/>
    <s v="OK"/>
    <x v="2"/>
    <n v="7"/>
    <n v="0"/>
    <n v="31.73"/>
  </r>
  <r>
    <n v="51195"/>
    <n v="30691"/>
    <x v="309"/>
    <n v="2055"/>
    <x v="0"/>
    <n v="1"/>
    <n v="199.81"/>
    <d v="2025-04-20T00:00:00"/>
    <d v="2025-04-21T00:00:00"/>
    <x v="0"/>
    <s v="OK"/>
    <s v="OK"/>
    <x v="0"/>
    <n v="1"/>
    <n v="1"/>
    <n v="199.81"/>
  </r>
  <r>
    <n v="51196"/>
    <n v="30692"/>
    <x v="295"/>
    <n v="2274"/>
    <x v="7"/>
    <n v="2"/>
    <n v="507.72"/>
    <d v="2025-03-27T00:00:00"/>
    <d v="2025-04-06T00:00:00"/>
    <x v="0"/>
    <s v="OK"/>
    <s v="OK"/>
    <x v="0"/>
    <n v="10"/>
    <n v="1"/>
    <n v="253.86"/>
  </r>
  <r>
    <n v="51197"/>
    <n v="30693"/>
    <x v="108"/>
    <n v="2294"/>
    <x v="6"/>
    <n v="2"/>
    <n v="63.46"/>
    <d v="2025-04-30T00:00:00"/>
    <d v="2025-05-02T00:00:00"/>
    <x v="0"/>
    <s v="OK"/>
    <s v="OK"/>
    <x v="2"/>
    <n v="2"/>
    <n v="1"/>
    <n v="31.73"/>
  </r>
  <r>
    <n v="51198"/>
    <n v="30693"/>
    <x v="108"/>
    <n v="2294"/>
    <x v="3"/>
    <n v="2"/>
    <n v="237.2"/>
    <d v="2025-05-01T00:00:00"/>
    <d v="2025-05-07T00:00:00"/>
    <x v="0"/>
    <s v="OK"/>
    <s v="OK"/>
    <x v="2"/>
    <n v="6"/>
    <n v="0"/>
    <n v="118.6"/>
  </r>
  <r>
    <n v="51199"/>
    <n v="30693"/>
    <x v="108"/>
    <n v="2294"/>
    <x v="13"/>
    <n v="3"/>
    <n v="364.5"/>
    <d v="2025-05-02T00:00:00"/>
    <d v="2025-05-04T00:00:00"/>
    <x v="0"/>
    <s v="OK"/>
    <s v="OK"/>
    <x v="1"/>
    <n v="2"/>
    <n v="0"/>
    <n v="121.5"/>
  </r>
  <r>
    <n v="51200"/>
    <n v="30693"/>
    <x v="108"/>
    <n v="2294"/>
    <x v="0"/>
    <n v="1"/>
    <n v="199.81"/>
    <d v="2025-05-01T00:00:00"/>
    <d v="2025-05-03T00:00:00"/>
    <x v="0"/>
    <s v="OK"/>
    <s v="OK"/>
    <x v="0"/>
    <n v="2"/>
    <n v="0"/>
    <n v="199.81"/>
  </r>
  <r>
    <n v="51201"/>
    <n v="30694"/>
    <x v="108"/>
    <n v="2555"/>
    <x v="14"/>
    <n v="2"/>
    <n v="239.48"/>
    <d v="2025-05-01T00:00:00"/>
    <d v="2025-05-02T00:00:00"/>
    <x v="0"/>
    <s v="OK"/>
    <s v="OK"/>
    <x v="3"/>
    <n v="1"/>
    <n v="1"/>
    <n v="119.74"/>
  </r>
  <r>
    <n v="51202"/>
    <n v="30695"/>
    <x v="166"/>
    <n v="2105"/>
    <x v="1"/>
    <n v="1"/>
    <n v="206.09"/>
    <d v="2025-01-14T00:00:00"/>
    <d v="2025-01-23T00:00:00"/>
    <x v="0"/>
    <s v="OK"/>
    <s v="OK"/>
    <x v="0"/>
    <n v="9"/>
    <n v="1"/>
    <n v="206.09"/>
  </r>
  <r>
    <n v="51203"/>
    <n v="30696"/>
    <x v="60"/>
    <n v="2575"/>
    <x v="13"/>
    <n v="1"/>
    <n v="121.5"/>
    <d v="2025-08-23T00:00:00"/>
    <d v="2025-08-24T00:00:00"/>
    <x v="0"/>
    <s v="OK"/>
    <s v="OK"/>
    <x v="1"/>
    <n v="1"/>
    <n v="1"/>
    <n v="121.5"/>
  </r>
  <r>
    <n v="51204"/>
    <n v="30696"/>
    <x v="60"/>
    <n v="2575"/>
    <x v="3"/>
    <n v="1"/>
    <n v="118.6"/>
    <d v="2025-08-24T00:00:00"/>
    <d v="2025-08-28T00:00:00"/>
    <x v="0"/>
    <s v="OK"/>
    <s v="OK"/>
    <x v="2"/>
    <n v="4"/>
    <n v="0"/>
    <n v="118.6"/>
  </r>
  <r>
    <n v="51205"/>
    <n v="30697"/>
    <x v="310"/>
    <n v="2391"/>
    <x v="5"/>
    <n v="1"/>
    <n v="101.44"/>
    <d v="2025-08-18T00:00:00"/>
    <d v="2025-08-21T00:00:00"/>
    <x v="0"/>
    <s v="OK"/>
    <s v="OK"/>
    <x v="1"/>
    <n v="3"/>
    <n v="1"/>
    <n v="101.44"/>
  </r>
  <r>
    <n v="51206"/>
    <n v="30697"/>
    <x v="310"/>
    <n v="2391"/>
    <x v="3"/>
    <n v="4"/>
    <n v="474.4"/>
    <d v="2025-08-17T00:00:00"/>
    <d v="2025-08-21T00:00:00"/>
    <x v="0"/>
    <s v="OK"/>
    <s v="OK"/>
    <x v="2"/>
    <n v="4"/>
    <n v="0"/>
    <n v="118.6"/>
  </r>
  <r>
    <n v="51207"/>
    <n v="30698"/>
    <x v="311"/>
    <n v="2014"/>
    <x v="0"/>
    <n v="1"/>
    <n v="199.81"/>
    <d v="2025-10-05T00:00:00"/>
    <d v="2025-10-06T00:00:00"/>
    <x v="0"/>
    <s v="OK"/>
    <s v="OK"/>
    <x v="0"/>
    <n v="1"/>
    <n v="1"/>
    <n v="199.81"/>
  </r>
  <r>
    <n v="51208"/>
    <n v="30699"/>
    <x v="188"/>
    <n v="2454"/>
    <x v="2"/>
    <n v="1"/>
    <n v="241.54"/>
    <s v=""/>
    <s v=""/>
    <x v="3"/>
    <s v="Missing date"/>
    <s v="Missing date"/>
    <x v="1"/>
    <s v=""/>
    <n v="1"/>
    <n v="241.54"/>
  </r>
  <r>
    <n v="51209"/>
    <n v="30700"/>
    <x v="224"/>
    <n v="2560"/>
    <x v="0"/>
    <n v="2"/>
    <n v="399.62"/>
    <d v="2025-12-13T00:00:00"/>
    <d v="2025-12-14T00:00:00"/>
    <x v="0"/>
    <s v="OK"/>
    <s v="OK"/>
    <x v="0"/>
    <n v="1"/>
    <n v="1"/>
    <n v="199.81"/>
  </r>
  <r>
    <n v="51210"/>
    <n v="30700"/>
    <x v="224"/>
    <n v="2560"/>
    <x v="0"/>
    <n v="1"/>
    <n v="199.81"/>
    <d v="2025-12-12T00:00:00"/>
    <d v="2025-12-13T00:00:00"/>
    <x v="0"/>
    <s v="OK"/>
    <s v="OK"/>
    <x v="0"/>
    <n v="1"/>
    <n v="0"/>
    <n v="199.81"/>
  </r>
  <r>
    <n v="51211"/>
    <n v="30700"/>
    <x v="224"/>
    <n v="2560"/>
    <x v="13"/>
    <n v="2"/>
    <n v="243"/>
    <d v="2025-12-12T00:00:00"/>
    <d v="2025-12-13T00:00:00"/>
    <x v="0"/>
    <s v="OK"/>
    <s v="OK"/>
    <x v="1"/>
    <n v="1"/>
    <n v="0"/>
    <n v="121.5"/>
  </r>
  <r>
    <n v="51212"/>
    <n v="30700"/>
    <x v="224"/>
    <n v="2560"/>
    <x v="14"/>
    <n v="4"/>
    <n v="478.96"/>
    <d v="2025-12-14T00:00:00"/>
    <d v="2025-12-24T00:00:00"/>
    <x v="0"/>
    <s v="OK"/>
    <s v="OK"/>
    <x v="3"/>
    <n v="10"/>
    <n v="0"/>
    <n v="119.74"/>
  </r>
  <r>
    <n v="51213"/>
    <n v="30701"/>
    <x v="119"/>
    <n v="2182"/>
    <x v="11"/>
    <n v="1"/>
    <n v="224.37"/>
    <d v="2025-07-15T00:00:00"/>
    <d v="2025-07-20T00:00:00"/>
    <x v="1"/>
    <s v="OK"/>
    <s v="OK"/>
    <x v="2"/>
    <n v="5"/>
    <n v="1"/>
    <n v="224.37"/>
  </r>
  <r>
    <n v="51214"/>
    <n v="30701"/>
    <x v="119"/>
    <n v="2182"/>
    <x v="7"/>
    <n v="2"/>
    <n v="507.72"/>
    <d v="2025-07-14T00:00:00"/>
    <d v="2025-07-23T00:00:00"/>
    <x v="1"/>
    <s v="OK"/>
    <s v="OK"/>
    <x v="0"/>
    <n v="9"/>
    <n v="0"/>
    <n v="253.86"/>
  </r>
  <r>
    <n v="51215"/>
    <n v="30702"/>
    <x v="173"/>
    <n v="2178"/>
    <x v="4"/>
    <n v="1"/>
    <n v="183.74"/>
    <d v="2025-02-08T00:00:00"/>
    <d v="2025-02-09T00:00:00"/>
    <x v="0"/>
    <s v="OK"/>
    <s v="OK"/>
    <x v="2"/>
    <n v="1"/>
    <n v="1"/>
    <n v="183.74"/>
  </r>
  <r>
    <n v="51216"/>
    <n v="30703"/>
    <x v="248"/>
    <n v="2387"/>
    <x v="9"/>
    <n v="2"/>
    <n v="80.56"/>
    <d v="2025-12-23T00:00:00"/>
    <d v="2025-12-29T00:00:00"/>
    <x v="0"/>
    <s v="OK"/>
    <s v="OK"/>
    <x v="0"/>
    <n v="6"/>
    <n v="1"/>
    <n v="40.28"/>
  </r>
  <r>
    <n v="51217"/>
    <n v="30703"/>
    <x v="248"/>
    <n v="2387"/>
    <x v="9"/>
    <n v="3"/>
    <n v="120.84"/>
    <d v="2025-12-23T00:00:00"/>
    <d v="2026-01-02T00:00:00"/>
    <x v="0"/>
    <s v="OK"/>
    <s v="OK"/>
    <x v="0"/>
    <n v="10"/>
    <n v="0"/>
    <n v="40.28"/>
  </r>
  <r>
    <n v="51218"/>
    <n v="30704"/>
    <x v="64"/>
    <n v="2134"/>
    <x v="9"/>
    <n v="1"/>
    <n v="40.28"/>
    <d v="2025-05-31T00:00:00"/>
    <d v="2025-06-03T00:00:00"/>
    <x v="0"/>
    <s v="OK"/>
    <s v="OK"/>
    <x v="0"/>
    <n v="3"/>
    <n v="1"/>
    <n v="40.28"/>
  </r>
  <r>
    <n v="51219"/>
    <n v="30704"/>
    <x v="64"/>
    <n v="2134"/>
    <x v="8"/>
    <n v="4"/>
    <n v="812.16"/>
    <d v="2025-05-31T00:00:00"/>
    <d v="2025-06-03T00:00:00"/>
    <x v="0"/>
    <s v="OK"/>
    <s v="OK"/>
    <x v="2"/>
    <n v="3"/>
    <n v="0"/>
    <n v="203.04"/>
  </r>
  <r>
    <n v="51220"/>
    <n v="30704"/>
    <x v="64"/>
    <n v="2134"/>
    <x v="5"/>
    <n v="1"/>
    <n v="101.44"/>
    <d v="2025-05-30T00:00:00"/>
    <d v="2025-06-02T00:00:00"/>
    <x v="0"/>
    <s v="OK"/>
    <s v="OK"/>
    <x v="1"/>
    <n v="3"/>
    <n v="0"/>
    <n v="101.44"/>
  </r>
  <r>
    <n v="51221"/>
    <n v="30705"/>
    <x v="277"/>
    <n v="2478"/>
    <x v="6"/>
    <n v="1"/>
    <n v="31.73"/>
    <d v="2025-06-16T00:00:00"/>
    <d v="2025-06-22T00:00:00"/>
    <x v="0"/>
    <s v="OK"/>
    <s v="OK"/>
    <x v="2"/>
    <n v="6"/>
    <n v="1"/>
    <n v="31.73"/>
  </r>
  <r>
    <n v="51222"/>
    <n v="30706"/>
    <x v="161"/>
    <n v="2041"/>
    <x v="5"/>
    <n v="1"/>
    <n v="101.44"/>
    <d v="2025-11-20T00:00:00"/>
    <d v="2025-11-24T00:00:00"/>
    <x v="0"/>
    <s v="OK"/>
    <s v="OK"/>
    <x v="1"/>
    <n v="4"/>
    <n v="1"/>
    <n v="101.44"/>
  </r>
  <r>
    <n v="51223"/>
    <n v="30707"/>
    <x v="283"/>
    <n v="2053"/>
    <x v="13"/>
    <n v="1"/>
    <n v="121.5"/>
    <s v=""/>
    <s v=""/>
    <x v="3"/>
    <s v="Missing date"/>
    <s v="Missing date"/>
    <x v="1"/>
    <s v=""/>
    <n v="1"/>
    <n v="121.5"/>
  </r>
  <r>
    <n v="51224"/>
    <n v="30708"/>
    <x v="278"/>
    <n v="2587"/>
    <x v="11"/>
    <n v="2"/>
    <n v="448.74"/>
    <d v="2025-10-30T00:00:00"/>
    <d v="2025-11-07T00:00:00"/>
    <x v="0"/>
    <s v="OK"/>
    <s v="OK"/>
    <x v="2"/>
    <n v="8"/>
    <n v="1"/>
    <n v="224.37"/>
  </r>
  <r>
    <n v="51225"/>
    <n v="30709"/>
    <x v="126"/>
    <n v="2326"/>
    <x v="7"/>
    <n v="1"/>
    <n v="253.86"/>
    <d v="2025-02-22T00:00:00"/>
    <d v="2025-03-03T00:00:00"/>
    <x v="0"/>
    <s v="OK"/>
    <s v="OK"/>
    <x v="0"/>
    <n v="9"/>
    <n v="1"/>
    <n v="253.86"/>
  </r>
  <r>
    <n v="51226"/>
    <n v="30709"/>
    <x v="126"/>
    <n v="2326"/>
    <x v="11"/>
    <n v="1"/>
    <n v="224.37"/>
    <d v="2025-02-21T00:00:00"/>
    <d v="2025-03-02T00:00:00"/>
    <x v="0"/>
    <s v="OK"/>
    <s v="OK"/>
    <x v="2"/>
    <n v="9"/>
    <n v="0"/>
    <n v="224.37"/>
  </r>
  <r>
    <n v="51227"/>
    <n v="30710"/>
    <x v="312"/>
    <n v="2518"/>
    <x v="15"/>
    <n v="1"/>
    <n v="170.25"/>
    <d v="2025-01-16T00:00:00"/>
    <d v="2025-01-20T00:00:00"/>
    <x v="0"/>
    <s v="OK"/>
    <s v="OK"/>
    <x v="1"/>
    <n v="4"/>
    <n v="1"/>
    <n v="170.25"/>
  </r>
  <r>
    <n v="51228"/>
    <n v="30711"/>
    <x v="6"/>
    <n v="2095"/>
    <x v="0"/>
    <n v="2"/>
    <n v="399.62"/>
    <d v="2025-07-28T00:00:00"/>
    <d v="2025-07-30T00:00:00"/>
    <x v="0"/>
    <s v="OK"/>
    <s v="OK"/>
    <x v="0"/>
    <n v="2"/>
    <n v="1"/>
    <n v="199.81"/>
  </r>
  <r>
    <n v="51229"/>
    <n v="30712"/>
    <x v="187"/>
    <n v="2340"/>
    <x v="13"/>
    <n v="1"/>
    <n v="121.5"/>
    <d v="2025-09-02T00:00:00"/>
    <d v="2025-09-08T00:00:00"/>
    <x v="0"/>
    <s v="OK"/>
    <s v="OK"/>
    <x v="1"/>
    <n v="6"/>
    <n v="1"/>
    <n v="121.5"/>
  </r>
  <r>
    <n v="51230"/>
    <n v="30713"/>
    <x v="236"/>
    <n v="2224"/>
    <x v="12"/>
    <n v="1"/>
    <n v="65.260000000000005"/>
    <d v="2025-11-14T00:00:00"/>
    <d v="2025-11-20T00:00:00"/>
    <x v="1"/>
    <s v="OK"/>
    <s v="OK"/>
    <x v="3"/>
    <n v="6"/>
    <n v="1"/>
    <n v="65.260000000000005"/>
  </r>
  <r>
    <n v="51231"/>
    <n v="30714"/>
    <x v="313"/>
    <n v="2575"/>
    <x v="8"/>
    <n v="1"/>
    <n v="203.04"/>
    <d v="2026-01-09T00:00:00"/>
    <s v=""/>
    <x v="3"/>
    <s v="Missing date"/>
    <s v="OK"/>
    <x v="2"/>
    <s v=""/>
    <n v="1"/>
    <n v="203.04"/>
  </r>
  <r>
    <n v="51232"/>
    <n v="30714"/>
    <x v="23"/>
    <n v="2575"/>
    <x v="2"/>
    <n v="3"/>
    <n v="724.62"/>
    <s v=""/>
    <s v=""/>
    <x v="3"/>
    <s v="Missing date"/>
    <s v="Missing date"/>
    <x v="1"/>
    <s v=""/>
    <n v="0"/>
    <n v="241.54"/>
  </r>
  <r>
    <n v="51233"/>
    <n v="30715"/>
    <x v="163"/>
    <n v="2250"/>
    <x v="5"/>
    <n v="3"/>
    <n v="304.32"/>
    <d v="2025-06-11T00:00:00"/>
    <d v="2025-06-13T00:00:00"/>
    <x v="1"/>
    <s v="OK"/>
    <s v="OK"/>
    <x v="1"/>
    <n v="2"/>
    <n v="1"/>
    <n v="101.44"/>
  </r>
  <r>
    <n v="51234"/>
    <n v="30716"/>
    <x v="21"/>
    <n v="2391"/>
    <x v="4"/>
    <n v="1"/>
    <n v="183.74"/>
    <s v=""/>
    <s v=""/>
    <x v="2"/>
    <s v="Missing date"/>
    <s v="Missing date"/>
    <x v="2"/>
    <s v=""/>
    <n v="1"/>
    <n v="183.74"/>
  </r>
  <r>
    <n v="51235"/>
    <n v="30717"/>
    <x v="94"/>
    <n v="2396"/>
    <x v="13"/>
    <n v="1"/>
    <n v="121.5"/>
    <d v="2025-07-06T00:00:00"/>
    <d v="2025-07-16T00:00:00"/>
    <x v="0"/>
    <s v="OK"/>
    <s v="OK"/>
    <x v="1"/>
    <n v="10"/>
    <n v="1"/>
    <n v="121.5"/>
  </r>
  <r>
    <n v="51236"/>
    <n v="30717"/>
    <x v="93"/>
    <n v="2396"/>
    <x v="8"/>
    <n v="1"/>
    <n v="203.04"/>
    <d v="2025-07-06T00:00:00"/>
    <d v="2025-07-15T00:00:00"/>
    <x v="0"/>
    <s v="OK"/>
    <s v="OK"/>
    <x v="2"/>
    <n v="9"/>
    <n v="0"/>
    <n v="203.04"/>
  </r>
  <r>
    <n v="51237"/>
    <n v="30717"/>
    <x v="93"/>
    <n v="2396"/>
    <x v="2"/>
    <n v="4"/>
    <n v="966.16"/>
    <d v="2025-07-07T00:00:00"/>
    <d v="2025-07-13T00:00:00"/>
    <x v="0"/>
    <s v="OK"/>
    <s v="OK"/>
    <x v="1"/>
    <n v="6"/>
    <n v="0"/>
    <n v="241.54"/>
  </r>
  <r>
    <n v="51238"/>
    <n v="30718"/>
    <x v="53"/>
    <n v="2527"/>
    <x v="14"/>
    <n v="1"/>
    <n v="119.74"/>
    <s v=""/>
    <s v=""/>
    <x v="3"/>
    <s v="Missing date"/>
    <s v="Missing date"/>
    <x v="3"/>
    <s v=""/>
    <n v="1"/>
    <n v="119.74"/>
  </r>
  <r>
    <n v="51239"/>
    <n v="30718"/>
    <x v="303"/>
    <n v="2527"/>
    <x v="13"/>
    <n v="4"/>
    <n v="486"/>
    <s v=""/>
    <s v=""/>
    <x v="3"/>
    <s v="Missing date"/>
    <s v="Missing date"/>
    <x v="1"/>
    <s v=""/>
    <n v="0"/>
    <n v="121.5"/>
  </r>
  <r>
    <n v="51240"/>
    <n v="30719"/>
    <x v="167"/>
    <n v="2198"/>
    <x v="11"/>
    <n v="1"/>
    <n v="224.37"/>
    <d v="2025-03-18T00:00:00"/>
    <d v="2025-03-20T00:00:00"/>
    <x v="0"/>
    <s v="OK"/>
    <s v="OK"/>
    <x v="2"/>
    <n v="2"/>
    <n v="1"/>
    <n v="224.37"/>
  </r>
  <r>
    <n v="51241"/>
    <n v="30720"/>
    <x v="282"/>
    <n v="2099"/>
    <x v="8"/>
    <n v="1"/>
    <n v="203.04"/>
    <d v="2025-05-28T00:00:00"/>
    <d v="2025-05-31T00:00:00"/>
    <x v="0"/>
    <s v="OK"/>
    <s v="OK"/>
    <x v="2"/>
    <n v="3"/>
    <n v="1"/>
    <n v="203.04"/>
  </r>
  <r>
    <n v="51242"/>
    <n v="30720"/>
    <x v="282"/>
    <n v="2099"/>
    <x v="11"/>
    <n v="4"/>
    <n v="897.48"/>
    <d v="2025-05-28T00:00:00"/>
    <d v="2025-06-06T00:00:00"/>
    <x v="0"/>
    <s v="OK"/>
    <s v="OK"/>
    <x v="2"/>
    <n v="9"/>
    <n v="0"/>
    <n v="224.37"/>
  </r>
  <r>
    <n v="51243"/>
    <n v="30720"/>
    <x v="282"/>
    <n v="2099"/>
    <x v="0"/>
    <n v="1"/>
    <n v="199.81"/>
    <d v="2025-05-26T00:00:00"/>
    <d v="2025-05-27T00:00:00"/>
    <x v="0"/>
    <s v="OK"/>
    <s v="OK"/>
    <x v="0"/>
    <n v="1"/>
    <n v="0"/>
    <n v="199.81"/>
  </r>
  <r>
    <n v="51244"/>
    <n v="30720"/>
    <x v="282"/>
    <n v="2099"/>
    <x v="0"/>
    <n v="2"/>
    <n v="399.62"/>
    <d v="2025-05-28T00:00:00"/>
    <d v="2025-06-06T00:00:00"/>
    <x v="0"/>
    <s v="OK"/>
    <s v="OK"/>
    <x v="0"/>
    <n v="9"/>
    <n v="0"/>
    <n v="199.81"/>
  </r>
  <r>
    <n v="51245"/>
    <n v="30721"/>
    <x v="251"/>
    <n v="2435"/>
    <x v="0"/>
    <n v="1"/>
    <n v="199.81"/>
    <s v=""/>
    <s v=""/>
    <x v="3"/>
    <s v="Missing date"/>
    <s v="Missing date"/>
    <x v="0"/>
    <s v=""/>
    <n v="1"/>
    <n v="199.81"/>
  </r>
  <r>
    <n v="51246"/>
    <n v="30721"/>
    <x v="251"/>
    <n v="2435"/>
    <x v="10"/>
    <n v="3"/>
    <n v="646.02"/>
    <s v=""/>
    <s v=""/>
    <x v="3"/>
    <s v="Missing date"/>
    <s v="Missing date"/>
    <x v="3"/>
    <s v=""/>
    <n v="0"/>
    <n v="215.34"/>
  </r>
  <r>
    <n v="51247"/>
    <n v="30721"/>
    <x v="251"/>
    <n v="2435"/>
    <x v="11"/>
    <n v="3"/>
    <n v="673.11"/>
    <s v=""/>
    <s v=""/>
    <x v="3"/>
    <s v="Missing date"/>
    <s v="Missing date"/>
    <x v="2"/>
    <s v=""/>
    <n v="0"/>
    <n v="224.37"/>
  </r>
  <r>
    <n v="51248"/>
    <n v="30722"/>
    <x v="17"/>
    <n v="2158"/>
    <x v="5"/>
    <n v="1"/>
    <n v="101.44"/>
    <d v="2025-10-28T00:00:00"/>
    <d v="2025-11-06T00:00:00"/>
    <x v="0"/>
    <s v="OK"/>
    <s v="OK"/>
    <x v="1"/>
    <n v="9"/>
    <n v="1"/>
    <n v="101.44"/>
  </r>
  <r>
    <n v="51249"/>
    <n v="30723"/>
    <x v="55"/>
    <n v="2039"/>
    <x v="3"/>
    <n v="2"/>
    <n v="237.2"/>
    <d v="2025-07-07T00:00:00"/>
    <d v="2025-07-09T00:00:00"/>
    <x v="0"/>
    <s v="OK"/>
    <s v="OK"/>
    <x v="2"/>
    <n v="2"/>
    <n v="1"/>
    <n v="118.6"/>
  </r>
  <r>
    <n v="51250"/>
    <n v="30724"/>
    <x v="221"/>
    <n v="2183"/>
    <x v="11"/>
    <n v="1"/>
    <n v="224.37"/>
    <s v=""/>
    <s v=""/>
    <x v="3"/>
    <s v="Missing date"/>
    <s v="Missing date"/>
    <x v="2"/>
    <s v=""/>
    <n v="1"/>
    <n v="224.37"/>
  </r>
  <r>
    <n v="51251"/>
    <n v="30725"/>
    <x v="314"/>
    <n v="2234"/>
    <x v="10"/>
    <n v="2"/>
    <n v="430.68"/>
    <s v=""/>
    <s v=""/>
    <x v="2"/>
    <s v="Missing date"/>
    <s v="Missing date"/>
    <x v="3"/>
    <s v=""/>
    <n v="1"/>
    <n v="215.34"/>
  </r>
  <r>
    <n v="51252"/>
    <n v="30726"/>
    <x v="304"/>
    <n v="2398"/>
    <x v="15"/>
    <n v="3"/>
    <n v="510.75"/>
    <d v="2025-01-27T00:00:00"/>
    <d v="2025-01-30T00:00:00"/>
    <x v="0"/>
    <s v="OK"/>
    <s v="OK"/>
    <x v="1"/>
    <n v="3"/>
    <n v="1"/>
    <n v="170.25"/>
  </r>
  <r>
    <n v="51253"/>
    <n v="30727"/>
    <x v="125"/>
    <n v="2444"/>
    <x v="15"/>
    <n v="2"/>
    <n v="340.5"/>
    <d v="2025-11-12T00:00:00"/>
    <d v="2025-11-17T00:00:00"/>
    <x v="0"/>
    <s v="OK"/>
    <s v="OK"/>
    <x v="1"/>
    <n v="5"/>
    <n v="1"/>
    <n v="170.25"/>
  </r>
  <r>
    <n v="51254"/>
    <n v="30728"/>
    <x v="94"/>
    <n v="2122"/>
    <x v="11"/>
    <n v="1"/>
    <n v="224.37"/>
    <d v="2025-05-08T00:00:00"/>
    <d v="2025-05-17T00:00:00"/>
    <x v="0"/>
    <s v="OK"/>
    <s v="OK"/>
    <x v="2"/>
    <n v="9"/>
    <n v="1"/>
    <n v="224.37"/>
  </r>
  <r>
    <n v="51255"/>
    <n v="30728"/>
    <x v="94"/>
    <n v="2122"/>
    <x v="3"/>
    <n v="4"/>
    <n v="474.4"/>
    <d v="2025-05-10T00:00:00"/>
    <d v="2025-05-15T00:00:00"/>
    <x v="0"/>
    <s v="OK"/>
    <s v="OK"/>
    <x v="2"/>
    <n v="5"/>
    <n v="0"/>
    <n v="118.6"/>
  </r>
  <r>
    <n v="51256"/>
    <n v="30729"/>
    <x v="278"/>
    <n v="2075"/>
    <x v="4"/>
    <n v="1"/>
    <n v="183.74"/>
    <d v="2025-10-30T00:00:00"/>
    <d v="2025-11-09T00:00:00"/>
    <x v="0"/>
    <s v="OK"/>
    <s v="OK"/>
    <x v="2"/>
    <n v="10"/>
    <n v="1"/>
    <n v="183.74"/>
  </r>
  <r>
    <n v="51257"/>
    <n v="30729"/>
    <x v="278"/>
    <n v="2075"/>
    <x v="13"/>
    <n v="1"/>
    <n v="121.5"/>
    <d v="2025-10-30T00:00:00"/>
    <d v="2025-10-31T00:00:00"/>
    <x v="0"/>
    <s v="OK"/>
    <s v="OK"/>
    <x v="1"/>
    <n v="1"/>
    <n v="0"/>
    <n v="121.5"/>
  </r>
  <r>
    <n v="51258"/>
    <n v="30730"/>
    <x v="19"/>
    <n v="2309"/>
    <x v="13"/>
    <n v="1"/>
    <n v="121.5"/>
    <d v="2025-02-27T00:00:00"/>
    <d v="2025-04-03T00:00:00"/>
    <x v="0"/>
    <s v="OK"/>
    <s v="OK"/>
    <x v="1"/>
    <n v="35"/>
    <n v="1"/>
    <n v="121.5"/>
  </r>
  <r>
    <n v="51259"/>
    <n v="30731"/>
    <x v="46"/>
    <n v="2449"/>
    <x v="8"/>
    <n v="1"/>
    <n v="203.04"/>
    <d v="2025-01-06T00:00:00"/>
    <d v="2025-01-08T00:00:00"/>
    <x v="0"/>
    <s v="OK"/>
    <s v="OK"/>
    <x v="2"/>
    <n v="2"/>
    <n v="1"/>
    <n v="203.04"/>
  </r>
  <r>
    <n v="51260"/>
    <n v="30731"/>
    <x v="46"/>
    <n v="2449"/>
    <x v="12"/>
    <n v="1"/>
    <n v="65.260000000000005"/>
    <d v="2025-01-06T00:00:00"/>
    <d v="2025-01-10T00:00:00"/>
    <x v="0"/>
    <s v="OK"/>
    <s v="OK"/>
    <x v="3"/>
    <n v="4"/>
    <n v="0"/>
    <n v="65.260000000000005"/>
  </r>
  <r>
    <n v="51261"/>
    <n v="30732"/>
    <x v="173"/>
    <n v="2161"/>
    <x v="6"/>
    <n v="2"/>
    <n v="63.46"/>
    <d v="2025-02-10T00:00:00"/>
    <d v="2025-02-17T00:00:00"/>
    <x v="0"/>
    <s v="OK"/>
    <s v="OK"/>
    <x v="2"/>
    <n v="7"/>
    <n v="1"/>
    <n v="31.73"/>
  </r>
  <r>
    <n v="51262"/>
    <n v="30733"/>
    <x v="311"/>
    <n v="2401"/>
    <x v="13"/>
    <n v="3"/>
    <n v="364.5"/>
    <s v=""/>
    <s v=""/>
    <x v="3"/>
    <s v="Missing date"/>
    <s v="Missing date"/>
    <x v="1"/>
    <s v=""/>
    <n v="1"/>
    <n v="121.5"/>
  </r>
  <r>
    <n v="51263"/>
    <n v="30734"/>
    <x v="122"/>
    <n v="2148"/>
    <x v="2"/>
    <n v="1"/>
    <n v="241.54"/>
    <d v="2025-01-17T00:00:00"/>
    <d v="2025-01-18T00:00:00"/>
    <x v="0"/>
    <s v="OK"/>
    <s v="OK"/>
    <x v="1"/>
    <n v="1"/>
    <n v="1"/>
    <n v="241.54"/>
  </r>
  <r>
    <n v="51264"/>
    <n v="30734"/>
    <x v="122"/>
    <n v="2148"/>
    <x v="8"/>
    <n v="5"/>
    <n v="1015.2"/>
    <d v="2025-01-15T00:00:00"/>
    <d v="2025-01-22T00:00:00"/>
    <x v="0"/>
    <s v="OK"/>
    <s v="OK"/>
    <x v="2"/>
    <n v="7"/>
    <n v="0"/>
    <n v="203.04000000000002"/>
  </r>
  <r>
    <n v="51265"/>
    <n v="30735"/>
    <x v="206"/>
    <n v="2567"/>
    <x v="6"/>
    <n v="3"/>
    <n v="95.19"/>
    <s v=""/>
    <s v=""/>
    <x v="2"/>
    <s v="Missing date"/>
    <s v="Missing date"/>
    <x v="2"/>
    <s v=""/>
    <n v="1"/>
    <n v="31.73"/>
  </r>
  <r>
    <n v="51266"/>
    <n v="30735"/>
    <x v="206"/>
    <n v="2567"/>
    <x v="4"/>
    <n v="1"/>
    <n v="183.74"/>
    <s v=""/>
    <s v=""/>
    <x v="2"/>
    <s v="Missing date"/>
    <s v="Missing date"/>
    <x v="2"/>
    <s v=""/>
    <n v="0"/>
    <n v="183.74"/>
  </r>
  <r>
    <n v="51267"/>
    <n v="30735"/>
    <x v="206"/>
    <n v="2567"/>
    <x v="3"/>
    <n v="2"/>
    <n v="237.2"/>
    <s v=""/>
    <s v=""/>
    <x v="2"/>
    <s v="Missing date"/>
    <s v="Missing date"/>
    <x v="2"/>
    <s v=""/>
    <n v="0"/>
    <n v="118.6"/>
  </r>
  <r>
    <n v="51268"/>
    <n v="30736"/>
    <x v="315"/>
    <n v="2006"/>
    <x v="15"/>
    <n v="1"/>
    <n v="170.25"/>
    <d v="2025-04-06T00:00:00"/>
    <d v="2025-10-04T00:00:00"/>
    <x v="0"/>
    <s v="OK"/>
    <s v="OK"/>
    <x v="1"/>
    <n v="181"/>
    <n v="1"/>
    <n v="170.25"/>
  </r>
  <r>
    <n v="51269"/>
    <n v="30736"/>
    <x v="315"/>
    <n v="2006"/>
    <x v="11"/>
    <n v="2"/>
    <n v="448.74"/>
    <d v="2025-04-05T00:00:00"/>
    <d v="2025-04-06T00:00:00"/>
    <x v="0"/>
    <s v="OK"/>
    <s v="OK"/>
    <x v="2"/>
    <n v="1"/>
    <n v="0"/>
    <n v="224.37"/>
  </r>
  <r>
    <n v="51270"/>
    <n v="30737"/>
    <x v="316"/>
    <n v="2313"/>
    <x v="2"/>
    <n v="1"/>
    <n v="241.54"/>
    <d v="2025-10-19T00:00:00"/>
    <d v="2025-10-23T00:00:00"/>
    <x v="0"/>
    <s v="OK"/>
    <s v="OK"/>
    <x v="1"/>
    <n v="4"/>
    <n v="1"/>
    <n v="241.54"/>
  </r>
  <r>
    <n v="51271"/>
    <n v="30737"/>
    <x v="316"/>
    <n v="2313"/>
    <x v="0"/>
    <n v="4"/>
    <n v="799.24"/>
    <d v="2025-10-20T00:00:00"/>
    <d v="2025-10-25T00:00:00"/>
    <x v="0"/>
    <s v="OK"/>
    <s v="OK"/>
    <x v="0"/>
    <n v="5"/>
    <n v="0"/>
    <n v="199.81"/>
  </r>
  <r>
    <n v="51272"/>
    <n v="30738"/>
    <x v="317"/>
    <n v="2423"/>
    <x v="6"/>
    <n v="1"/>
    <n v="31.73"/>
    <s v=""/>
    <s v=""/>
    <x v="2"/>
    <s v="Missing date"/>
    <s v="Missing date"/>
    <x v="2"/>
    <s v=""/>
    <n v="1"/>
    <n v="31.73"/>
  </r>
  <r>
    <n v="51273"/>
    <n v="30738"/>
    <x v="317"/>
    <n v="2423"/>
    <x v="7"/>
    <n v="1"/>
    <n v="253.86"/>
    <s v=""/>
    <s v=""/>
    <x v="2"/>
    <s v="Missing date"/>
    <s v="Missing date"/>
    <x v="0"/>
    <s v=""/>
    <n v="0"/>
    <n v="253.86"/>
  </r>
  <r>
    <n v="51274"/>
    <n v="30739"/>
    <x v="318"/>
    <n v="2189"/>
    <x v="9"/>
    <n v="3"/>
    <n v="120.84"/>
    <d v="2025-06-15T00:00:00"/>
    <d v="2025-06-25T00:00:00"/>
    <x v="0"/>
    <s v="OK"/>
    <s v="OK"/>
    <x v="0"/>
    <n v="10"/>
    <n v="1"/>
    <n v="40.28"/>
  </r>
  <r>
    <n v="51275"/>
    <n v="30740"/>
    <x v="159"/>
    <n v="2199"/>
    <x v="3"/>
    <n v="1"/>
    <n v="118.6"/>
    <d v="2025-03-08T00:00:00"/>
    <d v="2025-03-12T00:00:00"/>
    <x v="0"/>
    <s v="OK"/>
    <s v="OK"/>
    <x v="2"/>
    <n v="4"/>
    <n v="1"/>
    <n v="118.6"/>
  </r>
  <r>
    <n v="51276"/>
    <n v="30740"/>
    <x v="159"/>
    <n v="2199"/>
    <x v="14"/>
    <n v="3"/>
    <n v="359.22"/>
    <d v="2025-03-08T00:00:00"/>
    <d v="2025-03-18T00:00:00"/>
    <x v="0"/>
    <s v="OK"/>
    <s v="OK"/>
    <x v="3"/>
    <n v="10"/>
    <n v="0"/>
    <n v="119.74000000000001"/>
  </r>
  <r>
    <n v="51277"/>
    <n v="30741"/>
    <x v="212"/>
    <n v="2563"/>
    <x v="11"/>
    <n v="2"/>
    <n v="448.74"/>
    <d v="2025-07-26T00:00:00"/>
    <d v="2025-08-02T00:00:00"/>
    <x v="0"/>
    <s v="OK"/>
    <s v="OK"/>
    <x v="2"/>
    <n v="7"/>
    <n v="1"/>
    <n v="224.37"/>
  </r>
  <r>
    <n v="51278"/>
    <n v="30741"/>
    <x v="212"/>
    <n v="2563"/>
    <x v="9"/>
    <n v="2"/>
    <n v="80.56"/>
    <d v="2025-07-28T00:00:00"/>
    <d v="2025-07-31T00:00:00"/>
    <x v="0"/>
    <s v="OK"/>
    <s v="OK"/>
    <x v="0"/>
    <n v="3"/>
    <n v="0"/>
    <n v="40.28"/>
  </r>
  <r>
    <n v="51279"/>
    <n v="30742"/>
    <x v="143"/>
    <n v="2101"/>
    <x v="12"/>
    <n v="1"/>
    <n v="65.260000000000005"/>
    <d v="2025-08-16T00:00:00"/>
    <d v="2025-08-26T00:00:00"/>
    <x v="0"/>
    <s v="OK"/>
    <s v="OK"/>
    <x v="3"/>
    <n v="10"/>
    <n v="1"/>
    <n v="65.260000000000005"/>
  </r>
  <r>
    <n v="51280"/>
    <n v="30742"/>
    <x v="143"/>
    <n v="2101"/>
    <x v="5"/>
    <n v="2"/>
    <n v="202.88"/>
    <d v="2025-08-17T00:00:00"/>
    <d v="2025-08-21T00:00:00"/>
    <x v="0"/>
    <s v="OK"/>
    <s v="OK"/>
    <x v="1"/>
    <n v="4"/>
    <n v="0"/>
    <n v="101.44"/>
  </r>
  <r>
    <n v="51281"/>
    <n v="30743"/>
    <x v="66"/>
    <n v="2366"/>
    <x v="1"/>
    <n v="2"/>
    <n v="412.18"/>
    <d v="2025-02-20T00:00:00"/>
    <d v="2025-02-28T00:00:00"/>
    <x v="0"/>
    <s v="OK"/>
    <s v="OK"/>
    <x v="0"/>
    <n v="8"/>
    <n v="1"/>
    <n v="206.09"/>
  </r>
  <r>
    <n v="51282"/>
    <n v="30743"/>
    <x v="66"/>
    <n v="2366"/>
    <x v="4"/>
    <n v="1"/>
    <n v="183.74"/>
    <d v="2025-02-19T00:00:00"/>
    <d v="2025-02-28T00:00:00"/>
    <x v="0"/>
    <s v="OK"/>
    <s v="OK"/>
    <x v="2"/>
    <n v="9"/>
    <n v="0"/>
    <n v="183.74"/>
  </r>
  <r>
    <n v="51283"/>
    <n v="30743"/>
    <x v="66"/>
    <n v="2366"/>
    <x v="13"/>
    <n v="1"/>
    <n v="121.5"/>
    <d v="2025-02-20T00:00:00"/>
    <d v="2025-02-26T00:00:00"/>
    <x v="0"/>
    <s v="OK"/>
    <s v="OK"/>
    <x v="1"/>
    <n v="6"/>
    <n v="0"/>
    <n v="121.5"/>
  </r>
  <r>
    <n v="51284"/>
    <n v="30744"/>
    <x v="319"/>
    <n v="2072"/>
    <x v="5"/>
    <n v="2"/>
    <n v="202.88"/>
    <s v=""/>
    <s v=""/>
    <x v="2"/>
    <s v="Missing date"/>
    <s v="Missing date"/>
    <x v="1"/>
    <s v=""/>
    <n v="1"/>
    <n v="101.44"/>
  </r>
  <r>
    <n v="51285"/>
    <n v="30744"/>
    <x v="319"/>
    <n v="2072"/>
    <x v="12"/>
    <n v="1"/>
    <n v="65.260000000000005"/>
    <s v=""/>
    <s v=""/>
    <x v="2"/>
    <s v="Missing date"/>
    <s v="Missing date"/>
    <x v="3"/>
    <s v=""/>
    <n v="0"/>
    <n v="65.260000000000005"/>
  </r>
  <r>
    <n v="51286"/>
    <n v="30745"/>
    <x v="320"/>
    <n v="2462"/>
    <x v="13"/>
    <n v="2"/>
    <n v="243"/>
    <d v="2025-01-03T00:00:00"/>
    <d v="2025-01-10T00:00:00"/>
    <x v="0"/>
    <s v="OK"/>
    <s v="OK"/>
    <x v="1"/>
    <n v="7"/>
    <n v="1"/>
    <n v="121.5"/>
  </r>
  <r>
    <n v="51287"/>
    <n v="30746"/>
    <x v="171"/>
    <n v="2599"/>
    <x v="2"/>
    <n v="2"/>
    <n v="483.08"/>
    <d v="2025-06-20T00:00:00"/>
    <d v="2025-06-22T00:00:00"/>
    <x v="0"/>
    <s v="OK"/>
    <s v="OK"/>
    <x v="1"/>
    <n v="2"/>
    <n v="1"/>
    <n v="241.54"/>
  </r>
  <r>
    <n v="51288"/>
    <n v="30746"/>
    <x v="171"/>
    <n v="2599"/>
    <x v="5"/>
    <n v="4"/>
    <n v="405.76"/>
    <d v="2025-06-22T00:00:00"/>
    <d v="2025-06-27T00:00:00"/>
    <x v="0"/>
    <s v="OK"/>
    <s v="OK"/>
    <x v="1"/>
    <n v="5"/>
    <n v="0"/>
    <n v="101.44"/>
  </r>
  <r>
    <n v="51289"/>
    <n v="30746"/>
    <x v="171"/>
    <n v="2599"/>
    <x v="10"/>
    <n v="2"/>
    <n v="430.68"/>
    <d v="2025-06-22T00:00:00"/>
    <d v="2025-07-02T00:00:00"/>
    <x v="0"/>
    <s v="OK"/>
    <s v="OK"/>
    <x v="3"/>
    <n v="10"/>
    <n v="0"/>
    <n v="215.34"/>
  </r>
  <r>
    <n v="51290"/>
    <n v="30746"/>
    <x v="171"/>
    <n v="2599"/>
    <x v="7"/>
    <n v="1"/>
    <n v="253.86"/>
    <d v="2025-06-21T00:00:00"/>
    <d v="2025-06-22T00:00:00"/>
    <x v="0"/>
    <s v="OK"/>
    <s v="OK"/>
    <x v="0"/>
    <n v="1"/>
    <n v="0"/>
    <n v="253.86"/>
  </r>
  <r>
    <n v="51291"/>
    <n v="30747"/>
    <x v="75"/>
    <n v="2005"/>
    <x v="1"/>
    <n v="1"/>
    <n v="206.09"/>
    <d v="2025-07-20T00:00:00"/>
    <d v="2025-07-29T00:00:00"/>
    <x v="0"/>
    <s v="OK"/>
    <s v="OK"/>
    <x v="0"/>
    <n v="9"/>
    <n v="1"/>
    <n v="206.09"/>
  </r>
  <r>
    <n v="51292"/>
    <n v="30747"/>
    <x v="75"/>
    <n v="2005"/>
    <x v="10"/>
    <n v="1"/>
    <n v="215.34"/>
    <d v="2025-07-20T00:00:00"/>
    <d v="2025-07-24T00:00:00"/>
    <x v="0"/>
    <s v="OK"/>
    <s v="OK"/>
    <x v="3"/>
    <n v="4"/>
    <n v="0"/>
    <n v="215.34"/>
  </r>
  <r>
    <n v="51293"/>
    <n v="30748"/>
    <x v="271"/>
    <n v="2284"/>
    <x v="6"/>
    <n v="1"/>
    <n v="31.73"/>
    <s v=""/>
    <s v=""/>
    <x v="3"/>
    <s v="Missing date"/>
    <s v="Missing date"/>
    <x v="2"/>
    <s v=""/>
    <n v="1"/>
    <n v="31.73"/>
  </r>
  <r>
    <n v="51294"/>
    <n v="30749"/>
    <x v="55"/>
    <n v="2340"/>
    <x v="14"/>
    <n v="3"/>
    <n v="359.22"/>
    <s v=""/>
    <s v=""/>
    <x v="2"/>
    <s v="Missing date"/>
    <s v="Missing date"/>
    <x v="3"/>
    <s v=""/>
    <n v="1"/>
    <n v="119.74000000000001"/>
  </r>
  <r>
    <n v="51295"/>
    <n v="30750"/>
    <x v="36"/>
    <n v="2457"/>
    <x v="13"/>
    <n v="1"/>
    <n v="121.5"/>
    <d v="2025-12-22T00:00:00"/>
    <d v="2025-12-23T00:00:00"/>
    <x v="0"/>
    <s v="OK"/>
    <s v="OK"/>
    <x v="1"/>
    <n v="1"/>
    <n v="1"/>
    <n v="121.5"/>
  </r>
  <r>
    <n v="51296"/>
    <n v="30751"/>
    <x v="138"/>
    <n v="2499"/>
    <x v="7"/>
    <n v="2"/>
    <n v="507.72"/>
    <d v="2025-06-23T00:00:00"/>
    <d v="2025-07-01T00:00:00"/>
    <x v="0"/>
    <s v="OK"/>
    <s v="OK"/>
    <x v="0"/>
    <n v="8"/>
    <n v="1"/>
    <n v="253.86"/>
  </r>
  <r>
    <n v="51297"/>
    <n v="30752"/>
    <x v="20"/>
    <n v="2084"/>
    <x v="6"/>
    <n v="1"/>
    <n v="31.73"/>
    <s v=""/>
    <s v=""/>
    <x v="3"/>
    <s v="Missing date"/>
    <s v="Missing date"/>
    <x v="2"/>
    <s v=""/>
    <n v="1"/>
    <n v="31.73"/>
  </r>
  <r>
    <n v="51298"/>
    <n v="30752"/>
    <x v="20"/>
    <n v="2084"/>
    <x v="0"/>
    <n v="1"/>
    <n v="199.81"/>
    <s v=""/>
    <s v=""/>
    <x v="3"/>
    <s v="Missing date"/>
    <s v="Missing date"/>
    <x v="0"/>
    <s v=""/>
    <n v="0"/>
    <n v="199.81"/>
  </r>
  <r>
    <n v="51299"/>
    <n v="30753"/>
    <x v="295"/>
    <n v="2079"/>
    <x v="8"/>
    <n v="1"/>
    <n v="203.04"/>
    <d v="2025-03-27T00:00:00"/>
    <d v="2025-05-04T00:00:00"/>
    <x v="0"/>
    <s v="OK"/>
    <s v="OK"/>
    <x v="2"/>
    <n v="38"/>
    <n v="1"/>
    <n v="203.04"/>
  </r>
  <r>
    <n v="51300"/>
    <n v="30753"/>
    <x v="295"/>
    <n v="2079"/>
    <x v="8"/>
    <n v="1"/>
    <n v="203.04"/>
    <d v="2025-03-26T00:00:00"/>
    <d v="2025-03-30T00:00:00"/>
    <x v="0"/>
    <s v="OK"/>
    <s v="OK"/>
    <x v="2"/>
    <n v="4"/>
    <n v="0"/>
    <n v="203.04"/>
  </r>
  <r>
    <n v="51301"/>
    <n v="30753"/>
    <x v="295"/>
    <n v="2079"/>
    <x v="15"/>
    <n v="1"/>
    <n v="170.25"/>
    <d v="2025-03-27T00:00:00"/>
    <d v="2025-04-01T00:00:00"/>
    <x v="0"/>
    <s v="OK"/>
    <s v="OK"/>
    <x v="1"/>
    <n v="5"/>
    <n v="0"/>
    <n v="170.25"/>
  </r>
  <r>
    <n v="51302"/>
    <n v="30754"/>
    <x v="321"/>
    <n v="2218"/>
    <x v="9"/>
    <n v="3"/>
    <n v="120.84"/>
    <s v=""/>
    <s v=""/>
    <x v="2"/>
    <s v="Missing date"/>
    <s v="Missing date"/>
    <x v="0"/>
    <s v=""/>
    <n v="1"/>
    <n v="40.28"/>
  </r>
  <r>
    <n v="51303"/>
    <n v="30755"/>
    <x v="322"/>
    <n v="2557"/>
    <x v="12"/>
    <n v="1"/>
    <n v="65.260000000000005"/>
    <s v=""/>
    <s v=""/>
    <x v="2"/>
    <s v="Missing date"/>
    <s v="Missing date"/>
    <x v="3"/>
    <s v=""/>
    <n v="1"/>
    <n v="65.260000000000005"/>
  </r>
  <r>
    <n v="51304"/>
    <n v="30755"/>
    <x v="322"/>
    <n v="2557"/>
    <x v="6"/>
    <n v="1"/>
    <n v="31.73"/>
    <s v=""/>
    <s v=""/>
    <x v="2"/>
    <s v="Missing date"/>
    <s v="Missing date"/>
    <x v="2"/>
    <s v=""/>
    <n v="0"/>
    <n v="31.73"/>
  </r>
  <r>
    <n v="51305"/>
    <n v="30755"/>
    <x v="322"/>
    <n v="2557"/>
    <x v="2"/>
    <n v="1"/>
    <n v="241.54"/>
    <s v=""/>
    <s v=""/>
    <x v="2"/>
    <s v="Missing date"/>
    <s v="Missing date"/>
    <x v="1"/>
    <s v=""/>
    <n v="0"/>
    <n v="241.54"/>
  </r>
  <r>
    <n v="51306"/>
    <n v="30756"/>
    <x v="31"/>
    <n v="2402"/>
    <x v="13"/>
    <n v="1"/>
    <n v="121.5"/>
    <d v="2025-04-14T00:00:00"/>
    <d v="2025-04-20T00:00:00"/>
    <x v="0"/>
    <s v="OK"/>
    <s v="OK"/>
    <x v="1"/>
    <n v="6"/>
    <n v="1"/>
    <n v="121.5"/>
  </r>
  <r>
    <n v="51307"/>
    <n v="30756"/>
    <x v="31"/>
    <n v="2402"/>
    <x v="6"/>
    <n v="2"/>
    <n v="63.46"/>
    <d v="2025-04-16T00:00:00"/>
    <d v="2025-04-21T00:00:00"/>
    <x v="0"/>
    <s v="OK"/>
    <s v="OK"/>
    <x v="2"/>
    <n v="5"/>
    <n v="0"/>
    <n v="31.73"/>
  </r>
  <r>
    <n v="51308"/>
    <n v="30757"/>
    <x v="90"/>
    <n v="2476"/>
    <x v="11"/>
    <n v="1"/>
    <n v="224.37"/>
    <d v="2025-07-08T00:00:00"/>
    <d v="2025-07-18T00:00:00"/>
    <x v="0"/>
    <s v="OK"/>
    <s v="OK"/>
    <x v="2"/>
    <n v="10"/>
    <n v="1"/>
    <n v="224.37"/>
  </r>
  <r>
    <n v="51309"/>
    <n v="30757"/>
    <x v="90"/>
    <n v="2476"/>
    <x v="15"/>
    <n v="1"/>
    <n v="170.25"/>
    <d v="2025-07-08T00:00:00"/>
    <d v="2025-07-18T00:00:00"/>
    <x v="0"/>
    <s v="OK"/>
    <s v="OK"/>
    <x v="1"/>
    <n v="10"/>
    <n v="0"/>
    <n v="170.25"/>
  </r>
  <r>
    <n v="51310"/>
    <n v="30758"/>
    <x v="32"/>
    <n v="2373"/>
    <x v="1"/>
    <n v="1"/>
    <n v="206.09"/>
    <d v="2025-05-01T00:00:00"/>
    <d v="2025-07-05T00:00:00"/>
    <x v="0"/>
    <s v="OK"/>
    <s v="OK"/>
    <x v="0"/>
    <n v="65"/>
    <n v="1"/>
    <n v="206.09"/>
  </r>
  <r>
    <n v="51311"/>
    <n v="30758"/>
    <x v="32"/>
    <n v="2373"/>
    <x v="7"/>
    <n v="1"/>
    <n v="253.86"/>
    <d v="2025-05-01T00:00:00"/>
    <d v="2025-05-03T00:00:00"/>
    <x v="0"/>
    <s v="OK"/>
    <s v="OK"/>
    <x v="0"/>
    <n v="2"/>
    <n v="0"/>
    <n v="253.86"/>
  </r>
  <r>
    <n v="51312"/>
    <n v="30758"/>
    <x v="32"/>
    <n v="2373"/>
    <x v="6"/>
    <n v="1"/>
    <n v="31.73"/>
    <d v="2025-05-01T00:00:00"/>
    <d v="2025-05-04T00:00:00"/>
    <x v="0"/>
    <s v="OK"/>
    <s v="OK"/>
    <x v="2"/>
    <n v="3"/>
    <n v="0"/>
    <n v="31.73"/>
  </r>
  <r>
    <n v="51313"/>
    <n v="30759"/>
    <x v="323"/>
    <n v="2457"/>
    <x v="6"/>
    <n v="1"/>
    <n v="31.73"/>
    <d v="2025-04-25T00:00:00"/>
    <d v="2025-04-29T00:00:00"/>
    <x v="0"/>
    <s v="OK"/>
    <s v="OK"/>
    <x v="2"/>
    <n v="4"/>
    <n v="1"/>
    <n v="31.73"/>
  </r>
  <r>
    <n v="51314"/>
    <n v="30760"/>
    <x v="241"/>
    <n v="2496"/>
    <x v="3"/>
    <n v="2"/>
    <n v="237.2"/>
    <s v=""/>
    <s v=""/>
    <x v="2"/>
    <s v="Missing date"/>
    <s v="Missing date"/>
    <x v="2"/>
    <s v=""/>
    <n v="1"/>
    <n v="118.6"/>
  </r>
  <r>
    <n v="51315"/>
    <n v="30761"/>
    <x v="278"/>
    <n v="2225"/>
    <x v="1"/>
    <n v="2"/>
    <n v="412.18"/>
    <d v="2025-10-30T00:00:00"/>
    <s v=""/>
    <x v="3"/>
    <s v="Missing date"/>
    <s v="OK"/>
    <x v="0"/>
    <s v=""/>
    <n v="1"/>
    <n v="206.09"/>
  </r>
  <r>
    <n v="51316"/>
    <n v="30762"/>
    <x v="316"/>
    <n v="2379"/>
    <x v="0"/>
    <n v="2"/>
    <n v="399.62"/>
    <d v="2025-10-19T00:00:00"/>
    <d v="2025-10-29T00:00:00"/>
    <x v="0"/>
    <s v="OK"/>
    <s v="OK"/>
    <x v="0"/>
    <n v="10"/>
    <n v="1"/>
    <n v="199.81"/>
  </r>
  <r>
    <n v="51317"/>
    <n v="30763"/>
    <x v="285"/>
    <n v="2531"/>
    <x v="2"/>
    <n v="1"/>
    <n v="241.54"/>
    <s v=""/>
    <s v=""/>
    <x v="2"/>
    <s v="Missing date"/>
    <s v="Missing date"/>
    <x v="1"/>
    <s v=""/>
    <n v="1"/>
    <n v="241.54"/>
  </r>
  <r>
    <n v="51318"/>
    <n v="30764"/>
    <x v="296"/>
    <n v="2398"/>
    <x v="14"/>
    <n v="1"/>
    <n v="119.74"/>
    <d v="2025-10-22T00:00:00"/>
    <d v="2025-10-31T00:00:00"/>
    <x v="0"/>
    <s v="OK"/>
    <s v="OK"/>
    <x v="3"/>
    <n v="9"/>
    <n v="1"/>
    <n v="119.74"/>
  </r>
  <r>
    <n v="51319"/>
    <n v="30764"/>
    <x v="296"/>
    <n v="2398"/>
    <x v="3"/>
    <n v="1"/>
    <n v="118.6"/>
    <d v="2025-10-21T00:00:00"/>
    <d v="2025-10-30T00:00:00"/>
    <x v="0"/>
    <s v="OK"/>
    <s v="OK"/>
    <x v="2"/>
    <n v="9"/>
    <n v="0"/>
    <n v="118.6"/>
  </r>
  <r>
    <n v="51320"/>
    <n v="30765"/>
    <x v="201"/>
    <n v="2041"/>
    <x v="5"/>
    <n v="5"/>
    <n v="507.2"/>
    <d v="2025-06-22T00:00:00"/>
    <d v="2025-06-28T00:00:00"/>
    <x v="1"/>
    <s v="OK"/>
    <s v="OK"/>
    <x v="1"/>
    <n v="6"/>
    <n v="1"/>
    <n v="101.44"/>
  </r>
  <r>
    <n v="51321"/>
    <n v="30766"/>
    <x v="198"/>
    <n v="2106"/>
    <x v="9"/>
    <n v="4"/>
    <n v="161.12"/>
    <d v="2025-11-15T00:00:00"/>
    <d v="2025-11-20T00:00:00"/>
    <x v="0"/>
    <s v="OK"/>
    <s v="OK"/>
    <x v="0"/>
    <n v="5"/>
    <n v="1"/>
    <n v="40.28"/>
  </r>
  <r>
    <n v="51322"/>
    <n v="30766"/>
    <x v="198"/>
    <n v="2106"/>
    <x v="9"/>
    <n v="1"/>
    <n v="40.28"/>
    <d v="2025-11-15T00:00:00"/>
    <d v="2025-11-17T00:00:00"/>
    <x v="0"/>
    <s v="OK"/>
    <s v="OK"/>
    <x v="0"/>
    <n v="2"/>
    <n v="0"/>
    <n v="40.28"/>
  </r>
  <r>
    <n v="51323"/>
    <n v="30766"/>
    <x v="198"/>
    <n v="2106"/>
    <x v="7"/>
    <n v="1"/>
    <n v="253.86"/>
    <d v="2025-11-17T00:00:00"/>
    <d v="2025-11-20T00:00:00"/>
    <x v="0"/>
    <s v="OK"/>
    <s v="OK"/>
    <x v="0"/>
    <n v="3"/>
    <n v="0"/>
    <n v="253.86"/>
  </r>
  <r>
    <n v="51324"/>
    <n v="30767"/>
    <x v="163"/>
    <n v="2386"/>
    <x v="2"/>
    <n v="1"/>
    <n v="241.54"/>
    <d v="2025-06-13T00:00:00"/>
    <d v="2025-06-16T00:00:00"/>
    <x v="0"/>
    <s v="OK"/>
    <s v="OK"/>
    <x v="1"/>
    <n v="3"/>
    <n v="1"/>
    <n v="241.54"/>
  </r>
  <r>
    <n v="51325"/>
    <n v="30768"/>
    <x v="91"/>
    <n v="2080"/>
    <x v="15"/>
    <n v="1"/>
    <n v="170.25"/>
    <d v="2025-04-02T00:00:00"/>
    <d v="2025-04-09T00:00:00"/>
    <x v="0"/>
    <s v="OK"/>
    <s v="OK"/>
    <x v="1"/>
    <n v="7"/>
    <n v="1"/>
    <n v="170.25"/>
  </r>
  <r>
    <n v="51326"/>
    <n v="30769"/>
    <x v="218"/>
    <n v="2229"/>
    <x v="2"/>
    <n v="3"/>
    <n v="724.62"/>
    <d v="2025-05-27T00:00:00"/>
    <d v="2025-06-06T00:00:00"/>
    <x v="0"/>
    <s v="OK"/>
    <s v="OK"/>
    <x v="1"/>
    <n v="10"/>
    <n v="1"/>
    <n v="241.54"/>
  </r>
  <r>
    <n v="51327"/>
    <n v="30769"/>
    <x v="218"/>
    <n v="2229"/>
    <x v="2"/>
    <n v="2"/>
    <n v="483.08"/>
    <d v="2025-05-28T00:00:00"/>
    <d v="2025-06-02T00:00:00"/>
    <x v="0"/>
    <s v="OK"/>
    <s v="OK"/>
    <x v="1"/>
    <n v="5"/>
    <n v="0"/>
    <n v="241.54"/>
  </r>
  <r>
    <n v="51328"/>
    <n v="30770"/>
    <x v="61"/>
    <n v="2499"/>
    <x v="8"/>
    <n v="1"/>
    <n v="203.04"/>
    <s v=""/>
    <s v=""/>
    <x v="3"/>
    <s v="Missing date"/>
    <s v="Missing date"/>
    <x v="2"/>
    <s v=""/>
    <n v="1"/>
    <n v="203.04"/>
  </r>
  <r>
    <n v="51329"/>
    <n v="30771"/>
    <x v="30"/>
    <n v="2143"/>
    <x v="1"/>
    <n v="1"/>
    <n v="206.09"/>
    <d v="2025-04-17T00:00:00"/>
    <d v="2025-04-25T00:00:00"/>
    <x v="0"/>
    <s v="OK"/>
    <s v="OK"/>
    <x v="0"/>
    <n v="8"/>
    <n v="1"/>
    <n v="206.09"/>
  </r>
  <r>
    <n v="51330"/>
    <n v="30771"/>
    <x v="30"/>
    <n v="2143"/>
    <x v="11"/>
    <n v="3"/>
    <n v="673.11"/>
    <d v="2025-04-16T00:00:00"/>
    <d v="2025-04-21T00:00:00"/>
    <x v="0"/>
    <s v="OK"/>
    <s v="OK"/>
    <x v="2"/>
    <n v="5"/>
    <n v="0"/>
    <n v="224.37"/>
  </r>
  <r>
    <n v="51331"/>
    <n v="30772"/>
    <x v="187"/>
    <n v="2527"/>
    <x v="0"/>
    <n v="3"/>
    <n v="599.42999999999995"/>
    <d v="2025-09-02T00:00:00"/>
    <d v="2025-09-09T00:00:00"/>
    <x v="0"/>
    <s v="OK"/>
    <s v="OK"/>
    <x v="0"/>
    <n v="7"/>
    <n v="1"/>
    <n v="199.80999999999997"/>
  </r>
  <r>
    <n v="51332"/>
    <n v="30772"/>
    <x v="137"/>
    <n v="2527"/>
    <x v="6"/>
    <n v="2"/>
    <n v="63.46"/>
    <d v="2025-02-09T00:00:00"/>
    <d v="2025-09-04T00:00:00"/>
    <x v="0"/>
    <s v="OK"/>
    <s v="OK"/>
    <x v="2"/>
    <n v="207"/>
    <n v="0"/>
    <n v="31.73"/>
  </r>
  <r>
    <n v="51333"/>
    <n v="30773"/>
    <x v="259"/>
    <n v="2192"/>
    <x v="4"/>
    <n v="2"/>
    <n v="367.48"/>
    <d v="2025-03-17T00:00:00"/>
    <d v="2025-03-25T00:00:00"/>
    <x v="0"/>
    <s v="OK"/>
    <s v="OK"/>
    <x v="2"/>
    <n v="8"/>
    <n v="1"/>
    <n v="183.74"/>
  </r>
  <r>
    <n v="51334"/>
    <n v="30773"/>
    <x v="259"/>
    <n v="2192"/>
    <x v="1"/>
    <n v="2"/>
    <n v="412.18"/>
    <d v="2025-03-18T00:00:00"/>
    <d v="2025-03-22T00:00:00"/>
    <x v="0"/>
    <s v="OK"/>
    <s v="OK"/>
    <x v="0"/>
    <n v="4"/>
    <n v="0"/>
    <n v="206.09"/>
  </r>
  <r>
    <n v="51335"/>
    <n v="30773"/>
    <x v="259"/>
    <n v="2192"/>
    <x v="10"/>
    <n v="3"/>
    <n v="646.02"/>
    <d v="2025-03-17T00:00:00"/>
    <d v="2025-03-18T00:00:00"/>
    <x v="0"/>
    <s v="OK"/>
    <s v="OK"/>
    <x v="3"/>
    <n v="1"/>
    <n v="0"/>
    <n v="215.34"/>
  </r>
  <r>
    <n v="51336"/>
    <n v="30773"/>
    <x v="259"/>
    <n v="2192"/>
    <x v="5"/>
    <n v="2"/>
    <n v="202.88"/>
    <d v="2025-03-17T00:00:00"/>
    <d v="2025-03-23T00:00:00"/>
    <x v="0"/>
    <s v="OK"/>
    <s v="OK"/>
    <x v="1"/>
    <n v="6"/>
    <n v="0"/>
    <n v="101.44"/>
  </r>
  <r>
    <n v="51337"/>
    <n v="30774"/>
    <x v="324"/>
    <n v="2117"/>
    <x v="12"/>
    <n v="1"/>
    <n v="65.260000000000005"/>
    <d v="2025-07-16T00:00:00"/>
    <d v="2025-07-25T00:00:00"/>
    <x v="0"/>
    <s v="OK"/>
    <s v="OK"/>
    <x v="3"/>
    <n v="9"/>
    <n v="1"/>
    <n v="65.260000000000005"/>
  </r>
  <r>
    <n v="51338"/>
    <n v="30775"/>
    <x v="68"/>
    <n v="2491"/>
    <x v="7"/>
    <n v="2"/>
    <n v="507.72"/>
    <d v="2025-08-30T00:00:00"/>
    <d v="2025-09-02T00:00:00"/>
    <x v="0"/>
    <s v="OK"/>
    <s v="OK"/>
    <x v="0"/>
    <n v="3"/>
    <n v="1"/>
    <n v="253.86"/>
  </r>
  <r>
    <n v="51339"/>
    <n v="30776"/>
    <x v="114"/>
    <n v="2421"/>
    <x v="3"/>
    <n v="1"/>
    <n v="118.6"/>
    <d v="2025-05-10T00:00:00"/>
    <d v="2025-05-19T00:00:00"/>
    <x v="0"/>
    <s v="OK"/>
    <s v="OK"/>
    <x v="2"/>
    <n v="9"/>
    <n v="1"/>
    <n v="118.6"/>
  </r>
  <r>
    <n v="51340"/>
    <n v="30777"/>
    <x v="156"/>
    <n v="2131"/>
    <x v="7"/>
    <n v="1"/>
    <n v="253.86"/>
    <d v="2025-10-07T00:00:00"/>
    <d v="2025-10-13T00:00:00"/>
    <x v="0"/>
    <s v="OK"/>
    <s v="OK"/>
    <x v="0"/>
    <n v="6"/>
    <n v="1"/>
    <n v="253.86"/>
  </r>
  <r>
    <n v="51341"/>
    <n v="30778"/>
    <x v="259"/>
    <n v="2138"/>
    <x v="3"/>
    <n v="1"/>
    <n v="118.6"/>
    <d v="2025-03-18T00:00:00"/>
    <d v="2025-03-20T00:00:00"/>
    <x v="0"/>
    <s v="OK"/>
    <s v="OK"/>
    <x v="2"/>
    <n v="2"/>
    <n v="1"/>
    <n v="118.6"/>
  </r>
  <r>
    <n v="51342"/>
    <n v="30779"/>
    <x v="132"/>
    <n v="2587"/>
    <x v="7"/>
    <n v="1"/>
    <n v="253.86"/>
    <d v="2025-11-23T00:00:00"/>
    <d v="2025-11-26T00:00:00"/>
    <x v="0"/>
    <s v="OK"/>
    <s v="OK"/>
    <x v="0"/>
    <n v="3"/>
    <n v="1"/>
    <n v="253.86"/>
  </r>
  <r>
    <n v="51343"/>
    <n v="30779"/>
    <x v="132"/>
    <n v="2587"/>
    <x v="9"/>
    <n v="3"/>
    <n v="120.84"/>
    <d v="2025-11-22T00:00:00"/>
    <d v="2025-11-27T00:00:00"/>
    <x v="0"/>
    <s v="OK"/>
    <s v="OK"/>
    <x v="0"/>
    <n v="5"/>
    <n v="0"/>
    <n v="40.28"/>
  </r>
  <r>
    <n v="51344"/>
    <n v="30779"/>
    <x v="132"/>
    <n v="2587"/>
    <x v="7"/>
    <n v="2"/>
    <n v="507.72"/>
    <d v="2025-11-24T00:00:00"/>
    <d v="2025-11-28T00:00:00"/>
    <x v="0"/>
    <s v="OK"/>
    <s v="OK"/>
    <x v="0"/>
    <n v="4"/>
    <n v="0"/>
    <n v="253.86"/>
  </r>
  <r>
    <n v="51345"/>
    <n v="30780"/>
    <x v="184"/>
    <n v="2530"/>
    <x v="8"/>
    <n v="1"/>
    <n v="203.04"/>
    <d v="2025-03-31T00:00:00"/>
    <d v="2025-04-02T00:00:00"/>
    <x v="1"/>
    <s v="OK"/>
    <s v="OK"/>
    <x v="2"/>
    <n v="2"/>
    <n v="1"/>
    <n v="203.04"/>
  </r>
  <r>
    <n v="51346"/>
    <n v="30781"/>
    <x v="36"/>
    <n v="2291"/>
    <x v="0"/>
    <n v="1"/>
    <n v="199.81"/>
    <d v="2025-12-22T00:00:00"/>
    <d v="2025-12-31T00:00:00"/>
    <x v="1"/>
    <s v="OK"/>
    <s v="OK"/>
    <x v="0"/>
    <n v="9"/>
    <n v="1"/>
    <n v="199.81"/>
  </r>
  <r>
    <n v="51347"/>
    <n v="30781"/>
    <x v="36"/>
    <n v="2291"/>
    <x v="14"/>
    <n v="1"/>
    <n v="119.74"/>
    <d v="2025-12-22T00:00:00"/>
    <d v="2025-12-23T00:00:00"/>
    <x v="1"/>
    <s v="OK"/>
    <s v="OK"/>
    <x v="3"/>
    <n v="1"/>
    <n v="0"/>
    <n v="119.74"/>
  </r>
  <r>
    <n v="51348"/>
    <n v="30782"/>
    <x v="94"/>
    <n v="2483"/>
    <x v="7"/>
    <n v="3"/>
    <n v="761.58"/>
    <s v=""/>
    <s v=""/>
    <x v="2"/>
    <s v="Missing date"/>
    <s v="Missing date"/>
    <x v="0"/>
    <s v=""/>
    <n v="1"/>
    <n v="253.86"/>
  </r>
  <r>
    <n v="51349"/>
    <n v="30782"/>
    <x v="94"/>
    <n v="2483"/>
    <x v="1"/>
    <n v="1"/>
    <n v="206.09"/>
    <s v=""/>
    <s v=""/>
    <x v="2"/>
    <s v="Missing date"/>
    <s v="Missing date"/>
    <x v="0"/>
    <s v=""/>
    <n v="0"/>
    <n v="206.09"/>
  </r>
  <r>
    <n v="51350"/>
    <n v="30783"/>
    <x v="51"/>
    <n v="2421"/>
    <x v="7"/>
    <n v="1"/>
    <n v="253.86"/>
    <d v="2025-12-06T00:00:00"/>
    <d v="2025-12-07T00:00:00"/>
    <x v="0"/>
    <s v="OK"/>
    <s v="OK"/>
    <x v="0"/>
    <n v="1"/>
    <n v="1"/>
    <n v="253.86"/>
  </r>
  <r>
    <n v="51351"/>
    <n v="30784"/>
    <x v="44"/>
    <n v="2524"/>
    <x v="5"/>
    <n v="1"/>
    <n v="101.44"/>
    <d v="2025-09-30T00:00:00"/>
    <d v="2025-10-05T00:00:00"/>
    <x v="0"/>
    <s v="OK"/>
    <s v="OK"/>
    <x v="1"/>
    <n v="5"/>
    <n v="1"/>
    <n v="101.44"/>
  </r>
  <r>
    <n v="51352"/>
    <n v="30785"/>
    <x v="0"/>
    <n v="2465"/>
    <x v="11"/>
    <n v="1"/>
    <n v="224.37"/>
    <d v="2025-02-04T00:00:00"/>
    <d v="2025-02-08T00:00:00"/>
    <x v="0"/>
    <s v="OK"/>
    <s v="OK"/>
    <x v="2"/>
    <n v="4"/>
    <n v="1"/>
    <n v="224.37"/>
  </r>
  <r>
    <n v="51353"/>
    <n v="30786"/>
    <x v="325"/>
    <n v="2236"/>
    <x v="6"/>
    <n v="1"/>
    <n v="31.73"/>
    <d v="2025-12-17T00:00:00"/>
    <d v="2025-12-18T00:00:00"/>
    <x v="0"/>
    <s v="OK"/>
    <s v="OK"/>
    <x v="2"/>
    <n v="1"/>
    <n v="1"/>
    <n v="31.73"/>
  </r>
  <r>
    <n v="51354"/>
    <n v="30786"/>
    <x v="325"/>
    <n v="2236"/>
    <x v="4"/>
    <n v="2"/>
    <n v="367.48"/>
    <d v="2025-12-16T00:00:00"/>
    <d v="2025-12-17T00:00:00"/>
    <x v="0"/>
    <s v="OK"/>
    <s v="OK"/>
    <x v="2"/>
    <n v="1"/>
    <n v="0"/>
    <n v="183.74"/>
  </r>
  <r>
    <n v="51355"/>
    <n v="30787"/>
    <x v="219"/>
    <n v="2017"/>
    <x v="10"/>
    <n v="1"/>
    <n v="215.34"/>
    <d v="2025-10-17T00:00:00"/>
    <d v="2025-10-20T00:00:00"/>
    <x v="0"/>
    <s v="OK"/>
    <s v="OK"/>
    <x v="3"/>
    <n v="3"/>
    <n v="1"/>
    <n v="215.34"/>
  </r>
  <r>
    <n v="51356"/>
    <n v="30787"/>
    <x v="219"/>
    <n v="2017"/>
    <x v="6"/>
    <n v="1"/>
    <n v="31.73"/>
    <d v="2025-10-16T00:00:00"/>
    <d v="2025-10-21T00:00:00"/>
    <x v="0"/>
    <s v="OK"/>
    <s v="OK"/>
    <x v="2"/>
    <n v="5"/>
    <n v="0"/>
    <n v="31.73"/>
  </r>
  <r>
    <n v="51357"/>
    <n v="30788"/>
    <x v="255"/>
    <n v="2099"/>
    <x v="3"/>
    <n v="3"/>
    <n v="355.8"/>
    <d v="2025-01-11T00:00:00"/>
    <d v="2025-01-14T00:00:00"/>
    <x v="0"/>
    <s v="OK"/>
    <s v="OK"/>
    <x v="2"/>
    <n v="3"/>
    <n v="1"/>
    <n v="118.60000000000001"/>
  </r>
  <r>
    <n v="51358"/>
    <n v="30789"/>
    <x v="246"/>
    <n v="2545"/>
    <x v="4"/>
    <n v="1"/>
    <n v="183.74"/>
    <d v="2025-05-06T00:00:00"/>
    <d v="2025-06-06T00:00:00"/>
    <x v="0"/>
    <s v="OK"/>
    <s v="OK"/>
    <x v="2"/>
    <n v="31"/>
    <n v="1"/>
    <n v="183.74"/>
  </r>
  <r>
    <n v="51359"/>
    <n v="30789"/>
    <x v="200"/>
    <n v="2545"/>
    <x v="11"/>
    <n v="1"/>
    <n v="224.37"/>
    <d v="2025-06-04T00:00:00"/>
    <d v="2025-07-06T00:00:00"/>
    <x v="0"/>
    <s v="OK"/>
    <s v="OK"/>
    <x v="2"/>
    <n v="32"/>
    <n v="0"/>
    <n v="224.37"/>
  </r>
  <r>
    <n v="51360"/>
    <n v="30790"/>
    <x v="211"/>
    <n v="2494"/>
    <x v="8"/>
    <n v="2"/>
    <n v="406.08"/>
    <d v="2025-09-05T00:00:00"/>
    <d v="2025-09-14T00:00:00"/>
    <x v="0"/>
    <s v="OK"/>
    <s v="OK"/>
    <x v="2"/>
    <n v="9"/>
    <n v="1"/>
    <n v="203.04"/>
  </r>
  <r>
    <n v="51361"/>
    <n v="30791"/>
    <x v="120"/>
    <n v="2442"/>
    <x v="2"/>
    <n v="2"/>
    <n v="483.08"/>
    <d v="2025-03-12T00:00:00"/>
    <d v="2025-03-21T00:00:00"/>
    <x v="0"/>
    <s v="OK"/>
    <s v="OK"/>
    <x v="1"/>
    <n v="9"/>
    <n v="1"/>
    <n v="241.54"/>
  </r>
  <r>
    <n v="51362"/>
    <n v="30791"/>
    <x v="120"/>
    <n v="2442"/>
    <x v="3"/>
    <n v="3"/>
    <n v="355.8"/>
    <d v="2025-03-12T00:00:00"/>
    <d v="2025-03-16T00:00:00"/>
    <x v="0"/>
    <s v="OK"/>
    <s v="OK"/>
    <x v="2"/>
    <n v="4"/>
    <n v="0"/>
    <n v="118.60000000000001"/>
  </r>
  <r>
    <n v="51363"/>
    <n v="30791"/>
    <x v="120"/>
    <n v="2442"/>
    <x v="10"/>
    <n v="2"/>
    <n v="430.68"/>
    <d v="2025-03-12T00:00:00"/>
    <d v="2025-03-21T00:00:00"/>
    <x v="0"/>
    <s v="OK"/>
    <s v="OK"/>
    <x v="3"/>
    <n v="9"/>
    <n v="0"/>
    <n v="215.34"/>
  </r>
  <r>
    <n v="51364"/>
    <n v="30791"/>
    <x v="120"/>
    <n v="2442"/>
    <x v="1"/>
    <n v="1"/>
    <n v="206.09"/>
    <d v="2025-03-12T00:00:00"/>
    <d v="2025-03-14T00:00:00"/>
    <x v="0"/>
    <s v="OK"/>
    <s v="OK"/>
    <x v="0"/>
    <n v="2"/>
    <n v="0"/>
    <n v="206.09"/>
  </r>
  <r>
    <n v="51365"/>
    <n v="30792"/>
    <x v="101"/>
    <n v="2494"/>
    <x v="15"/>
    <n v="3"/>
    <n v="510.75"/>
    <s v=""/>
    <s v=""/>
    <x v="3"/>
    <s v="Missing date"/>
    <s v="Missing date"/>
    <x v="1"/>
    <s v=""/>
    <n v="1"/>
    <n v="170.25"/>
  </r>
  <r>
    <n v="51366"/>
    <n v="30793"/>
    <x v="279"/>
    <n v="2590"/>
    <x v="6"/>
    <n v="2"/>
    <n v="63.46"/>
    <d v="2025-02-26T00:00:00"/>
    <d v="2025-03-07T00:00:00"/>
    <x v="0"/>
    <s v="OK"/>
    <s v="OK"/>
    <x v="2"/>
    <n v="9"/>
    <n v="1"/>
    <n v="31.73"/>
  </r>
  <r>
    <n v="51367"/>
    <n v="30793"/>
    <x v="279"/>
    <n v="2590"/>
    <x v="9"/>
    <n v="1"/>
    <n v="40.28"/>
    <d v="2025-02-27T00:00:00"/>
    <d v="2025-03-05T00:00:00"/>
    <x v="0"/>
    <s v="OK"/>
    <s v="OK"/>
    <x v="0"/>
    <n v="6"/>
    <n v="0"/>
    <n v="40.28"/>
  </r>
  <r>
    <n v="51368"/>
    <n v="30793"/>
    <x v="279"/>
    <n v="2590"/>
    <x v="12"/>
    <n v="2"/>
    <n v="130.52000000000001"/>
    <d v="2025-02-27T00:00:00"/>
    <d v="2025-05-03T00:00:00"/>
    <x v="0"/>
    <s v="OK"/>
    <s v="OK"/>
    <x v="3"/>
    <n v="65"/>
    <n v="0"/>
    <n v="65.260000000000005"/>
  </r>
  <r>
    <n v="51369"/>
    <n v="30794"/>
    <x v="71"/>
    <n v="2239"/>
    <x v="11"/>
    <n v="1"/>
    <n v="224.37"/>
    <s v=""/>
    <s v=""/>
    <x v="2"/>
    <s v="Missing date"/>
    <s v="Missing date"/>
    <x v="2"/>
    <s v=""/>
    <n v="1"/>
    <n v="224.37"/>
  </r>
  <r>
    <n v="51370"/>
    <n v="30794"/>
    <x v="35"/>
    <n v="2239"/>
    <x v="13"/>
    <n v="1"/>
    <n v="121.5"/>
    <s v=""/>
    <s v=""/>
    <x v="2"/>
    <s v="Missing date"/>
    <s v="Missing date"/>
    <x v="1"/>
    <s v=""/>
    <n v="0"/>
    <n v="121.5"/>
  </r>
  <r>
    <n v="51371"/>
    <n v="30794"/>
    <x v="71"/>
    <n v="2239"/>
    <x v="10"/>
    <n v="1"/>
    <n v="215.34"/>
    <s v=""/>
    <s v=""/>
    <x v="2"/>
    <s v="Missing date"/>
    <s v="Missing date"/>
    <x v="3"/>
    <s v=""/>
    <n v="0"/>
    <n v="215.34"/>
  </r>
  <r>
    <n v="51372"/>
    <n v="30795"/>
    <x v="69"/>
    <n v="2264"/>
    <x v="8"/>
    <n v="2"/>
    <n v="406.08"/>
    <d v="2025-09-27T00:00:00"/>
    <d v="2025-10-07T00:00:00"/>
    <x v="0"/>
    <s v="OK"/>
    <s v="OK"/>
    <x v="2"/>
    <n v="10"/>
    <n v="1"/>
    <n v="203.04"/>
  </r>
  <r>
    <n v="51373"/>
    <n v="30796"/>
    <x v="10"/>
    <n v="2592"/>
    <x v="8"/>
    <n v="1"/>
    <n v="203.04"/>
    <d v="2025-10-20T00:00:00"/>
    <d v="2025-10-22T00:00:00"/>
    <x v="0"/>
    <s v="OK"/>
    <s v="OK"/>
    <x v="2"/>
    <n v="2"/>
    <n v="1"/>
    <n v="203.04"/>
  </r>
  <r>
    <n v="51374"/>
    <n v="30797"/>
    <x v="255"/>
    <n v="2385"/>
    <x v="5"/>
    <n v="1"/>
    <n v="101.44"/>
    <d v="2025-01-13T00:00:00"/>
    <d v="2025-01-15T00:00:00"/>
    <x v="0"/>
    <s v="OK"/>
    <s v="OK"/>
    <x v="1"/>
    <n v="2"/>
    <n v="1"/>
    <n v="101.44"/>
  </r>
  <r>
    <n v="51375"/>
    <n v="30798"/>
    <x v="72"/>
    <n v="2419"/>
    <x v="6"/>
    <n v="3"/>
    <n v="95.19"/>
    <d v="2025-09-22T00:00:00"/>
    <d v="2025-09-26T00:00:00"/>
    <x v="0"/>
    <s v="OK"/>
    <s v="OK"/>
    <x v="2"/>
    <n v="4"/>
    <n v="1"/>
    <n v="31.73"/>
  </r>
  <r>
    <n v="51376"/>
    <n v="30799"/>
    <x v="326"/>
    <n v="2437"/>
    <x v="9"/>
    <n v="1"/>
    <n v="40.28"/>
    <d v="2025-08-01T00:00:00"/>
    <d v="2025-08-09T00:00:00"/>
    <x v="0"/>
    <s v="OK"/>
    <s v="OK"/>
    <x v="0"/>
    <n v="8"/>
    <n v="1"/>
    <n v="40.28"/>
  </r>
  <r>
    <n v="51377"/>
    <n v="30800"/>
    <x v="277"/>
    <n v="2268"/>
    <x v="10"/>
    <n v="1"/>
    <n v="215.34"/>
    <s v=""/>
    <s v=""/>
    <x v="3"/>
    <s v="Missing date"/>
    <s v="Missing date"/>
    <x v="3"/>
    <s v=""/>
    <n v="1"/>
    <n v="215.34"/>
  </r>
  <r>
    <n v="51378"/>
    <n v="30800"/>
    <x v="277"/>
    <n v="2268"/>
    <x v="9"/>
    <n v="1"/>
    <n v="40.28"/>
    <s v=""/>
    <s v=""/>
    <x v="3"/>
    <s v="Missing date"/>
    <s v="Missing date"/>
    <x v="0"/>
    <s v=""/>
    <n v="0"/>
    <n v="40.28"/>
  </r>
  <r>
    <n v="51379"/>
    <n v="30801"/>
    <x v="145"/>
    <n v="2407"/>
    <x v="10"/>
    <n v="4"/>
    <n v="861.36"/>
    <d v="2025-06-26T00:00:00"/>
    <d v="2025-06-29T00:00:00"/>
    <x v="0"/>
    <s v="OK"/>
    <s v="OK"/>
    <x v="3"/>
    <n v="3"/>
    <n v="1"/>
    <n v="215.34"/>
  </r>
  <r>
    <n v="51380"/>
    <n v="30802"/>
    <x v="242"/>
    <n v="2566"/>
    <x v="12"/>
    <n v="1"/>
    <n v="65.260000000000005"/>
    <d v="2025-03-04T00:00:00"/>
    <s v=""/>
    <x v="3"/>
    <s v="Missing date"/>
    <s v="OK"/>
    <x v="3"/>
    <s v=""/>
    <n v="1"/>
    <n v="65.260000000000005"/>
  </r>
  <r>
    <n v="51381"/>
    <n v="30802"/>
    <x v="242"/>
    <n v="2566"/>
    <x v="12"/>
    <n v="1"/>
    <n v="65.260000000000005"/>
    <s v=""/>
    <s v=""/>
    <x v="3"/>
    <s v="Missing date"/>
    <s v="Missing date"/>
    <x v="3"/>
    <s v=""/>
    <n v="0"/>
    <n v="65.260000000000005"/>
  </r>
  <r>
    <n v="51382"/>
    <n v="30802"/>
    <x v="242"/>
    <n v="2566"/>
    <x v="13"/>
    <n v="1"/>
    <n v="121.5"/>
    <s v=""/>
    <s v=""/>
    <x v="3"/>
    <s v="Missing date"/>
    <s v="Missing date"/>
    <x v="1"/>
    <s v=""/>
    <n v="0"/>
    <n v="121.5"/>
  </r>
  <r>
    <n v="51383"/>
    <n v="30802"/>
    <x v="0"/>
    <n v="2566"/>
    <x v="15"/>
    <n v="2"/>
    <n v="340.5"/>
    <s v=""/>
    <s v=""/>
    <x v="3"/>
    <s v="Missing date"/>
    <s v="Missing date"/>
    <x v="1"/>
    <s v=""/>
    <n v="0"/>
    <n v="170.25"/>
  </r>
  <r>
    <n v="51384"/>
    <n v="30803"/>
    <x v="135"/>
    <n v="2122"/>
    <x v="14"/>
    <n v="1"/>
    <n v="119.74"/>
    <d v="2025-02-03T00:00:00"/>
    <d v="2025-10-02T00:00:00"/>
    <x v="0"/>
    <s v="OK"/>
    <s v="OK"/>
    <x v="3"/>
    <n v="241"/>
    <n v="1"/>
    <n v="119.74"/>
  </r>
  <r>
    <n v="51385"/>
    <n v="30804"/>
    <x v="158"/>
    <n v="2166"/>
    <x v="15"/>
    <n v="4"/>
    <n v="681"/>
    <d v="2025-04-19T00:00:00"/>
    <d v="2025-04-24T00:00:00"/>
    <x v="0"/>
    <s v="OK"/>
    <s v="OK"/>
    <x v="1"/>
    <n v="5"/>
    <n v="1"/>
    <n v="170.25"/>
  </r>
  <r>
    <n v="51386"/>
    <n v="30804"/>
    <x v="158"/>
    <n v="2166"/>
    <x v="5"/>
    <n v="3"/>
    <n v="304.32"/>
    <d v="2025-04-20T00:00:00"/>
    <d v="2025-04-25T00:00:00"/>
    <x v="0"/>
    <s v="OK"/>
    <s v="OK"/>
    <x v="1"/>
    <n v="5"/>
    <n v="0"/>
    <n v="101.44"/>
  </r>
  <r>
    <n v="51387"/>
    <n v="30804"/>
    <x v="158"/>
    <n v="2166"/>
    <x v="3"/>
    <n v="1"/>
    <n v="118.6"/>
    <d v="2025-04-20T00:00:00"/>
    <d v="2025-04-25T00:00:00"/>
    <x v="0"/>
    <s v="OK"/>
    <s v="OK"/>
    <x v="2"/>
    <n v="5"/>
    <n v="0"/>
    <n v="118.6"/>
  </r>
  <r>
    <n v="51388"/>
    <n v="30805"/>
    <x v="327"/>
    <n v="2165"/>
    <x v="8"/>
    <n v="2"/>
    <n v="406.08"/>
    <d v="2025-09-16T00:00:00"/>
    <d v="2025-09-26T00:00:00"/>
    <x v="0"/>
    <s v="OK"/>
    <s v="OK"/>
    <x v="2"/>
    <n v="10"/>
    <n v="1"/>
    <n v="203.04"/>
  </r>
  <r>
    <n v="51389"/>
    <n v="30806"/>
    <x v="26"/>
    <n v="2094"/>
    <x v="12"/>
    <n v="4"/>
    <n v="261.04000000000002"/>
    <s v=""/>
    <s v=""/>
    <x v="3"/>
    <s v="Missing date"/>
    <s v="Missing date"/>
    <x v="3"/>
    <s v=""/>
    <n v="1"/>
    <n v="65.260000000000005"/>
  </r>
  <r>
    <n v="51390"/>
    <n v="30806"/>
    <x v="26"/>
    <n v="2094"/>
    <x v="10"/>
    <n v="1"/>
    <n v="215.34"/>
    <d v="2027-07-08T00:00:00"/>
    <s v=""/>
    <x v="3"/>
    <s v="Missing date"/>
    <s v="OK"/>
    <x v="3"/>
    <s v=""/>
    <n v="0"/>
    <n v="215.34"/>
  </r>
  <r>
    <n v="51391"/>
    <n v="30806"/>
    <x v="26"/>
    <n v="2094"/>
    <x v="9"/>
    <n v="1"/>
    <n v="40.28"/>
    <d v="2025-09-02T00:00:00"/>
    <s v=""/>
    <x v="3"/>
    <s v="Missing date"/>
    <s v="OK"/>
    <x v="0"/>
    <s v=""/>
    <n v="0"/>
    <n v="40.28"/>
  </r>
  <r>
    <n v="51392"/>
    <n v="30807"/>
    <x v="43"/>
    <n v="2082"/>
    <x v="15"/>
    <n v="1"/>
    <n v="170.25"/>
    <d v="2025-12-08T00:00:00"/>
    <d v="2025-12-12T00:00:00"/>
    <x v="0"/>
    <s v="OK"/>
    <s v="OK"/>
    <x v="1"/>
    <n v="4"/>
    <n v="1"/>
    <n v="170.25"/>
  </r>
  <r>
    <n v="51393"/>
    <n v="30807"/>
    <x v="43"/>
    <n v="2082"/>
    <x v="15"/>
    <n v="2"/>
    <n v="340.5"/>
    <d v="2025-12-06T00:00:00"/>
    <d v="2025-12-09T00:00:00"/>
    <x v="0"/>
    <s v="OK"/>
    <s v="OK"/>
    <x v="1"/>
    <n v="3"/>
    <n v="0"/>
    <n v="170.25"/>
  </r>
  <r>
    <n v="51394"/>
    <n v="30807"/>
    <x v="43"/>
    <n v="2082"/>
    <x v="13"/>
    <n v="1"/>
    <n v="121.5"/>
    <d v="2025-12-06T00:00:00"/>
    <d v="2025-12-07T00:00:00"/>
    <x v="0"/>
    <s v="OK"/>
    <s v="OK"/>
    <x v="1"/>
    <n v="1"/>
    <n v="0"/>
    <n v="121.5"/>
  </r>
  <r>
    <n v="51395"/>
    <n v="30807"/>
    <x v="43"/>
    <n v="2082"/>
    <x v="3"/>
    <n v="1"/>
    <n v="118.6"/>
    <d v="2025-12-06T00:00:00"/>
    <d v="2025-12-12T00:00:00"/>
    <x v="0"/>
    <s v="OK"/>
    <s v="OK"/>
    <x v="2"/>
    <n v="6"/>
    <n v="0"/>
    <n v="118.6"/>
  </r>
  <r>
    <n v="51396"/>
    <n v="30808"/>
    <x v="85"/>
    <n v="2180"/>
    <x v="14"/>
    <n v="2"/>
    <n v="239.48"/>
    <d v="2025-02-15T00:00:00"/>
    <d v="2025-02-22T00:00:00"/>
    <x v="0"/>
    <s v="OK"/>
    <s v="OK"/>
    <x v="3"/>
    <n v="7"/>
    <n v="1"/>
    <n v="119.74"/>
  </r>
  <r>
    <n v="51397"/>
    <n v="30808"/>
    <x v="85"/>
    <n v="2180"/>
    <x v="8"/>
    <n v="1"/>
    <n v="203.04"/>
    <d v="2025-02-15T00:00:00"/>
    <d v="2025-02-17T00:00:00"/>
    <x v="0"/>
    <s v="OK"/>
    <s v="OK"/>
    <x v="2"/>
    <n v="2"/>
    <n v="0"/>
    <n v="203.04"/>
  </r>
  <r>
    <n v="51398"/>
    <n v="30809"/>
    <x v="100"/>
    <n v="2207"/>
    <x v="13"/>
    <n v="1"/>
    <n v="121.5"/>
    <d v="2025-01-09T00:00:00"/>
    <s v=""/>
    <x v="3"/>
    <s v="Missing date"/>
    <s v="OK"/>
    <x v="1"/>
    <s v=""/>
    <n v="1"/>
    <n v="121.5"/>
  </r>
  <r>
    <n v="51399"/>
    <n v="30810"/>
    <x v="328"/>
    <n v="2523"/>
    <x v="1"/>
    <n v="1"/>
    <n v="206.09"/>
    <d v="2025-03-09T00:00:00"/>
    <d v="2025-03-16T00:00:00"/>
    <x v="0"/>
    <s v="OK"/>
    <s v="OK"/>
    <x v="0"/>
    <n v="7"/>
    <n v="1"/>
    <n v="206.09"/>
  </r>
  <r>
    <n v="51400"/>
    <n v="30811"/>
    <x v="219"/>
    <n v="2174"/>
    <x v="2"/>
    <n v="2"/>
    <n v="483.08"/>
    <d v="2025-10-17T00:00:00"/>
    <d v="2025-10-27T00:00:00"/>
    <x v="0"/>
    <s v="OK"/>
    <s v="OK"/>
    <x v="1"/>
    <n v="10"/>
    <n v="1"/>
    <n v="241.54"/>
  </r>
  <r>
    <n v="51401"/>
    <n v="30811"/>
    <x v="219"/>
    <n v="2174"/>
    <x v="1"/>
    <n v="1"/>
    <n v="206.09"/>
    <d v="2025-10-17T00:00:00"/>
    <d v="2025-10-26T00:00:00"/>
    <x v="0"/>
    <s v="OK"/>
    <s v="OK"/>
    <x v="0"/>
    <n v="9"/>
    <n v="0"/>
    <n v="206.09"/>
  </r>
  <r>
    <n v="51402"/>
    <n v="30811"/>
    <x v="219"/>
    <n v="2174"/>
    <x v="8"/>
    <n v="1"/>
    <n v="203.04"/>
    <d v="2025-10-17T00:00:00"/>
    <d v="2025-10-25T00:00:00"/>
    <x v="0"/>
    <s v="OK"/>
    <s v="OK"/>
    <x v="2"/>
    <n v="8"/>
    <n v="0"/>
    <n v="203.04"/>
  </r>
  <r>
    <n v="51403"/>
    <n v="30812"/>
    <x v="180"/>
    <n v="2162"/>
    <x v="9"/>
    <n v="1"/>
    <n v="40.28"/>
    <d v="2025-06-08T00:00:00"/>
    <d v="2025-06-11T00:00:00"/>
    <x v="0"/>
    <s v="OK"/>
    <s v="OK"/>
    <x v="0"/>
    <n v="3"/>
    <n v="1"/>
    <n v="40.28"/>
  </r>
  <r>
    <n v="51404"/>
    <n v="30813"/>
    <x v="70"/>
    <n v="2410"/>
    <x v="15"/>
    <n v="2"/>
    <n v="340.5"/>
    <d v="2025-02-26T00:00:00"/>
    <d v="2025-03-03T00:00:00"/>
    <x v="0"/>
    <s v="OK"/>
    <s v="OK"/>
    <x v="1"/>
    <n v="5"/>
    <n v="1"/>
    <n v="170.25"/>
  </r>
  <r>
    <n v="51405"/>
    <n v="30813"/>
    <x v="70"/>
    <n v="2410"/>
    <x v="15"/>
    <n v="1"/>
    <n v="170.25"/>
    <d v="2025-02-25T00:00:00"/>
    <d v="2025-03-03T00:00:00"/>
    <x v="0"/>
    <s v="OK"/>
    <s v="OK"/>
    <x v="1"/>
    <n v="6"/>
    <n v="0"/>
    <n v="170.25"/>
  </r>
  <r>
    <n v="51406"/>
    <n v="30813"/>
    <x v="70"/>
    <n v="2410"/>
    <x v="0"/>
    <n v="2"/>
    <n v="399.62"/>
    <d v="2025-02-24T00:00:00"/>
    <d v="2025-02-28T00:00:00"/>
    <x v="0"/>
    <s v="OK"/>
    <s v="OK"/>
    <x v="0"/>
    <n v="4"/>
    <n v="0"/>
    <n v="199.81"/>
  </r>
  <r>
    <n v="51407"/>
    <n v="30814"/>
    <x v="75"/>
    <n v="2531"/>
    <x v="11"/>
    <n v="1"/>
    <n v="224.37"/>
    <d v="2025-07-21T00:00:00"/>
    <d v="2025-07-31T00:00:00"/>
    <x v="0"/>
    <s v="OK"/>
    <s v="OK"/>
    <x v="2"/>
    <n v="10"/>
    <n v="1"/>
    <n v="224.37"/>
  </r>
  <r>
    <n v="51408"/>
    <n v="30815"/>
    <x v="101"/>
    <n v="2093"/>
    <x v="2"/>
    <n v="2"/>
    <n v="483.08"/>
    <d v="2025-08-23T00:00:00"/>
    <d v="2025-08-31T00:00:00"/>
    <x v="0"/>
    <s v="OK"/>
    <s v="OK"/>
    <x v="1"/>
    <n v="8"/>
    <n v="1"/>
    <n v="241.54"/>
  </r>
  <r>
    <n v="51409"/>
    <n v="30816"/>
    <x v="191"/>
    <n v="2356"/>
    <x v="9"/>
    <n v="1"/>
    <n v="40.28"/>
    <d v="2025-06-02T00:00:00"/>
    <d v="2025-06-07T00:00:00"/>
    <x v="1"/>
    <s v="OK"/>
    <s v="OK"/>
    <x v="0"/>
    <n v="5"/>
    <n v="1"/>
    <n v="40.28"/>
  </r>
  <r>
    <n v="51410"/>
    <n v="30817"/>
    <x v="110"/>
    <n v="2232"/>
    <x v="0"/>
    <n v="2"/>
    <n v="399.62"/>
    <d v="2025-09-21T00:00:00"/>
    <d v="2025-09-26T00:00:00"/>
    <x v="0"/>
    <s v="OK"/>
    <s v="OK"/>
    <x v="0"/>
    <n v="5"/>
    <n v="1"/>
    <n v="199.81"/>
  </r>
  <r>
    <n v="51411"/>
    <n v="30818"/>
    <x v="30"/>
    <n v="2466"/>
    <x v="8"/>
    <n v="2"/>
    <n v="406.08"/>
    <s v=""/>
    <s v=""/>
    <x v="2"/>
    <s v="Missing date"/>
    <s v="Missing date"/>
    <x v="2"/>
    <s v=""/>
    <n v="1"/>
    <n v="203.04"/>
  </r>
  <r>
    <n v="51412"/>
    <n v="30818"/>
    <x v="30"/>
    <n v="2466"/>
    <x v="9"/>
    <n v="2"/>
    <n v="80.56"/>
    <s v=""/>
    <s v=""/>
    <x v="2"/>
    <s v="Missing date"/>
    <s v="Missing date"/>
    <x v="0"/>
    <s v=""/>
    <n v="0"/>
    <n v="40.28"/>
  </r>
  <r>
    <n v="51413"/>
    <n v="30819"/>
    <x v="251"/>
    <n v="2180"/>
    <x v="4"/>
    <n v="1"/>
    <n v="183.74"/>
    <d v="2025-01-28T00:00:00"/>
    <d v="2025-02-01T00:00:00"/>
    <x v="0"/>
    <s v="OK"/>
    <s v="OK"/>
    <x v="2"/>
    <n v="4"/>
    <n v="1"/>
    <n v="183.74"/>
  </r>
  <r>
    <n v="51414"/>
    <n v="30819"/>
    <x v="251"/>
    <n v="2180"/>
    <x v="11"/>
    <n v="2"/>
    <n v="448.74"/>
    <d v="2025-01-29T00:00:00"/>
    <d v="2025-02-04T00:00:00"/>
    <x v="0"/>
    <s v="OK"/>
    <s v="OK"/>
    <x v="2"/>
    <n v="6"/>
    <n v="0"/>
    <n v="224.37"/>
  </r>
  <r>
    <n v="51415"/>
    <n v="30819"/>
    <x v="251"/>
    <n v="2180"/>
    <x v="13"/>
    <n v="1"/>
    <n v="121.5"/>
    <d v="2025-01-27T00:00:00"/>
    <d v="2025-02-02T00:00:00"/>
    <x v="0"/>
    <s v="OK"/>
    <s v="OK"/>
    <x v="1"/>
    <n v="6"/>
    <n v="0"/>
    <n v="121.5"/>
  </r>
  <r>
    <n v="51416"/>
    <n v="30819"/>
    <x v="251"/>
    <n v="2180"/>
    <x v="5"/>
    <n v="1"/>
    <n v="101.44"/>
    <d v="2025-01-28T00:00:00"/>
    <d v="2025-02-07T00:00:00"/>
    <x v="0"/>
    <s v="OK"/>
    <s v="OK"/>
    <x v="1"/>
    <n v="10"/>
    <n v="0"/>
    <n v="101.44"/>
  </r>
  <r>
    <n v="51417"/>
    <n v="30820"/>
    <x v="61"/>
    <n v="2120"/>
    <x v="9"/>
    <n v="2"/>
    <n v="80.56"/>
    <s v=""/>
    <s v=""/>
    <x v="3"/>
    <s v="Missing date"/>
    <s v="Missing date"/>
    <x v="0"/>
    <s v=""/>
    <n v="1"/>
    <n v="40.28"/>
  </r>
  <r>
    <n v="51418"/>
    <n v="30821"/>
    <x v="54"/>
    <n v="2589"/>
    <x v="14"/>
    <n v="1"/>
    <n v="119.74"/>
    <d v="2025-04-08T00:00:00"/>
    <d v="2025-04-15T00:00:00"/>
    <x v="0"/>
    <s v="OK"/>
    <s v="OK"/>
    <x v="3"/>
    <n v="7"/>
    <n v="1"/>
    <n v="119.74"/>
  </r>
  <r>
    <n v="51419"/>
    <n v="30821"/>
    <x v="54"/>
    <n v="2589"/>
    <x v="15"/>
    <n v="1"/>
    <n v="170.25"/>
    <d v="2025-04-10T00:00:00"/>
    <d v="2025-04-11T00:00:00"/>
    <x v="0"/>
    <s v="OK"/>
    <s v="OK"/>
    <x v="1"/>
    <n v="1"/>
    <n v="0"/>
    <n v="170.25"/>
  </r>
  <r>
    <n v="51420"/>
    <n v="30821"/>
    <x v="54"/>
    <n v="2589"/>
    <x v="12"/>
    <n v="1"/>
    <n v="65.260000000000005"/>
    <d v="2025-04-09T00:00:00"/>
    <d v="2025-04-18T00:00:00"/>
    <x v="0"/>
    <s v="OK"/>
    <s v="OK"/>
    <x v="3"/>
    <n v="9"/>
    <n v="0"/>
    <n v="65.260000000000005"/>
  </r>
  <r>
    <n v="51421"/>
    <n v="30822"/>
    <x v="183"/>
    <n v="2250"/>
    <x v="14"/>
    <n v="4"/>
    <n v="478.96"/>
    <d v="2025-09-06T00:00:00"/>
    <d v="2025-10-09T00:00:00"/>
    <x v="0"/>
    <s v="OK"/>
    <s v="OK"/>
    <x v="3"/>
    <n v="33"/>
    <n v="1"/>
    <n v="119.74"/>
  </r>
  <r>
    <n v="51422"/>
    <n v="30823"/>
    <x v="50"/>
    <n v="2472"/>
    <x v="8"/>
    <n v="2"/>
    <n v="406.08"/>
    <s v=""/>
    <s v=""/>
    <x v="2"/>
    <s v="Missing date"/>
    <s v="Missing date"/>
    <x v="2"/>
    <s v=""/>
    <n v="1"/>
    <n v="203.04"/>
  </r>
  <r>
    <n v="51423"/>
    <n v="30824"/>
    <x v="212"/>
    <n v="2494"/>
    <x v="11"/>
    <n v="1"/>
    <n v="224.37"/>
    <d v="2025-07-28T00:00:00"/>
    <d v="2025-07-31T00:00:00"/>
    <x v="0"/>
    <s v="OK"/>
    <s v="OK"/>
    <x v="2"/>
    <n v="3"/>
    <n v="1"/>
    <n v="224.37"/>
  </r>
  <r>
    <n v="51424"/>
    <n v="30825"/>
    <x v="129"/>
    <n v="2392"/>
    <x v="1"/>
    <n v="5"/>
    <n v="1030.45"/>
    <d v="2025-03-02T00:00:00"/>
    <d v="2025-09-03T00:00:00"/>
    <x v="0"/>
    <s v="OK"/>
    <s v="OK"/>
    <x v="0"/>
    <n v="185"/>
    <n v="1"/>
    <n v="206.09"/>
  </r>
  <r>
    <n v="51425"/>
    <n v="30826"/>
    <x v="250"/>
    <n v="2236"/>
    <x v="10"/>
    <n v="4"/>
    <n v="861.36"/>
    <s v=""/>
    <s v=""/>
    <x v="3"/>
    <s v="Missing date"/>
    <s v="Missing date"/>
    <x v="3"/>
    <s v=""/>
    <n v="1"/>
    <n v="215.34"/>
  </r>
  <r>
    <n v="51426"/>
    <n v="30827"/>
    <x v="298"/>
    <n v="2529"/>
    <x v="9"/>
    <n v="2"/>
    <n v="80.56"/>
    <d v="2025-02-23T00:00:00"/>
    <d v="2025-03-01T00:00:00"/>
    <x v="0"/>
    <s v="OK"/>
    <s v="OK"/>
    <x v="0"/>
    <n v="6"/>
    <n v="1"/>
    <n v="40.28"/>
  </r>
  <r>
    <n v="51427"/>
    <n v="30828"/>
    <x v="222"/>
    <n v="2255"/>
    <x v="15"/>
    <n v="1"/>
    <n v="170.25"/>
    <d v="2025-12-01T00:00:00"/>
    <d v="2025-12-11T00:00:00"/>
    <x v="0"/>
    <s v="OK"/>
    <s v="OK"/>
    <x v="1"/>
    <n v="10"/>
    <n v="1"/>
    <n v="170.25"/>
  </r>
  <r>
    <n v="51428"/>
    <n v="30828"/>
    <x v="222"/>
    <n v="2255"/>
    <x v="5"/>
    <n v="1"/>
    <n v="101.44"/>
    <d v="2025-12-02T00:00:00"/>
    <d v="2025-12-12T00:00:00"/>
    <x v="0"/>
    <s v="OK"/>
    <s v="OK"/>
    <x v="1"/>
    <n v="10"/>
    <n v="0"/>
    <n v="101.44"/>
  </r>
  <r>
    <n v="51429"/>
    <n v="30829"/>
    <x v="329"/>
    <n v="2078"/>
    <x v="7"/>
    <n v="1"/>
    <n v="253.86"/>
    <d v="2025-02-04T00:00:00"/>
    <d v="2025-02-10T00:00:00"/>
    <x v="0"/>
    <s v="OK"/>
    <s v="OK"/>
    <x v="0"/>
    <n v="6"/>
    <n v="1"/>
    <n v="253.86"/>
  </r>
  <r>
    <n v="51430"/>
    <n v="30829"/>
    <x v="329"/>
    <n v="2078"/>
    <x v="12"/>
    <n v="2"/>
    <n v="130.52000000000001"/>
    <d v="2025-02-02T00:00:00"/>
    <d v="2025-02-07T00:00:00"/>
    <x v="0"/>
    <s v="OK"/>
    <s v="OK"/>
    <x v="3"/>
    <n v="5"/>
    <n v="0"/>
    <n v="65.260000000000005"/>
  </r>
  <r>
    <n v="51431"/>
    <n v="30829"/>
    <x v="329"/>
    <n v="2078"/>
    <x v="5"/>
    <n v="1"/>
    <n v="101.44"/>
    <d v="2025-03-02T00:00:00"/>
    <d v="2025-12-02T00:00:00"/>
    <x v="0"/>
    <s v="OK"/>
    <s v="OK"/>
    <x v="1"/>
    <n v="275"/>
    <n v="0"/>
    <n v="101.44"/>
  </r>
  <r>
    <n v="51432"/>
    <n v="30830"/>
    <x v="50"/>
    <n v="2363"/>
    <x v="9"/>
    <n v="1"/>
    <n v="40.28"/>
    <d v="2025-05-12T00:00:00"/>
    <d v="2025-10-12T00:00:00"/>
    <x v="0"/>
    <s v="OK"/>
    <s v="OK"/>
    <x v="0"/>
    <n v="153"/>
    <n v="1"/>
    <n v="40.28"/>
  </r>
  <r>
    <n v="51433"/>
    <n v="30830"/>
    <x v="50"/>
    <n v="2363"/>
    <x v="7"/>
    <n v="1"/>
    <n v="253.86"/>
    <d v="2025-12-06T00:00:00"/>
    <d v="2025-12-08T00:00:00"/>
    <x v="0"/>
    <s v="OK"/>
    <s v="OK"/>
    <x v="0"/>
    <n v="2"/>
    <n v="0"/>
    <n v="253.86"/>
  </r>
  <r>
    <n v="51434"/>
    <n v="30831"/>
    <x v="231"/>
    <n v="2195"/>
    <x v="0"/>
    <n v="2"/>
    <n v="399.62"/>
    <d v="2025-06-07T00:00:00"/>
    <d v="2025-10-06T00:00:00"/>
    <x v="0"/>
    <s v="OK"/>
    <s v="OK"/>
    <x v="0"/>
    <n v="121"/>
    <n v="1"/>
    <n v="199.81"/>
  </r>
  <r>
    <n v="51435"/>
    <n v="30831"/>
    <x v="231"/>
    <n v="2195"/>
    <x v="1"/>
    <n v="1"/>
    <n v="206.09"/>
    <d v="2025-06-08T00:00:00"/>
    <d v="2025-06-14T00:00:00"/>
    <x v="0"/>
    <s v="OK"/>
    <s v="OK"/>
    <x v="0"/>
    <n v="6"/>
    <n v="0"/>
    <n v="206.09"/>
  </r>
  <r>
    <n v="51436"/>
    <n v="30831"/>
    <x v="231"/>
    <n v="2195"/>
    <x v="1"/>
    <n v="3"/>
    <n v="618.27"/>
    <d v="2025-06-09T00:00:00"/>
    <d v="2025-06-14T00:00:00"/>
    <x v="0"/>
    <s v="OK"/>
    <s v="OK"/>
    <x v="0"/>
    <n v="5"/>
    <n v="0"/>
    <n v="206.09"/>
  </r>
  <r>
    <n v="51437"/>
    <n v="30832"/>
    <x v="274"/>
    <n v="2272"/>
    <x v="0"/>
    <n v="3"/>
    <n v="599.42999999999995"/>
    <d v="2025-11-19T00:00:00"/>
    <d v="2025-11-25T00:00:00"/>
    <x v="0"/>
    <s v="OK"/>
    <s v="OK"/>
    <x v="0"/>
    <n v="6"/>
    <n v="1"/>
    <n v="199.80999999999997"/>
  </r>
  <r>
    <n v="51438"/>
    <n v="30832"/>
    <x v="274"/>
    <n v="2272"/>
    <x v="1"/>
    <n v="1"/>
    <n v="206.09"/>
    <d v="2025-11-21T00:00:00"/>
    <d v="2025-11-30T00:00:00"/>
    <x v="0"/>
    <s v="OK"/>
    <s v="OK"/>
    <x v="0"/>
    <n v="9"/>
    <n v="0"/>
    <n v="206.09"/>
  </r>
  <r>
    <n v="51439"/>
    <n v="30833"/>
    <x v="30"/>
    <n v="2365"/>
    <x v="4"/>
    <n v="1"/>
    <n v="183.74"/>
    <d v="2025-04-16T00:00:00"/>
    <d v="2025-04-21T00:00:00"/>
    <x v="0"/>
    <s v="OK"/>
    <s v="OK"/>
    <x v="2"/>
    <n v="5"/>
    <n v="1"/>
    <n v="183.74"/>
  </r>
  <r>
    <n v="51440"/>
    <n v="30834"/>
    <x v="214"/>
    <n v="2123"/>
    <x v="12"/>
    <n v="2"/>
    <n v="130.52000000000001"/>
    <s v=""/>
    <s v=""/>
    <x v="2"/>
    <s v="Missing date"/>
    <s v="Missing date"/>
    <x v="3"/>
    <s v=""/>
    <n v="1"/>
    <n v="65.260000000000005"/>
  </r>
  <r>
    <n v="51441"/>
    <n v="30834"/>
    <x v="214"/>
    <n v="2123"/>
    <x v="8"/>
    <n v="1"/>
    <n v="203.04"/>
    <s v=""/>
    <s v=""/>
    <x v="2"/>
    <s v="Missing date"/>
    <s v="Missing date"/>
    <x v="2"/>
    <s v=""/>
    <n v="0"/>
    <n v="203.04"/>
  </r>
  <r>
    <n v="51442"/>
    <n v="30835"/>
    <x v="330"/>
    <n v="2555"/>
    <x v="12"/>
    <n v="1"/>
    <n v="65.260000000000005"/>
    <d v="2025-06-29T00:00:00"/>
    <d v="2025-07-02T00:00:00"/>
    <x v="1"/>
    <s v="OK"/>
    <s v="OK"/>
    <x v="3"/>
    <n v="3"/>
    <n v="1"/>
    <n v="65.260000000000005"/>
  </r>
  <r>
    <n v="51443"/>
    <n v="30835"/>
    <x v="330"/>
    <n v="2555"/>
    <x v="2"/>
    <n v="1"/>
    <n v="241.54"/>
    <d v="2025-07-01T00:00:00"/>
    <d v="2025-07-05T00:00:00"/>
    <x v="1"/>
    <s v="OK"/>
    <s v="OK"/>
    <x v="1"/>
    <n v="4"/>
    <n v="0"/>
    <n v="241.54"/>
  </r>
  <r>
    <n v="51444"/>
    <n v="30835"/>
    <x v="330"/>
    <n v="2555"/>
    <x v="5"/>
    <n v="1"/>
    <n v="101.44"/>
    <d v="2025-06-30T00:00:00"/>
    <d v="2025-07-08T00:00:00"/>
    <x v="1"/>
    <s v="OK"/>
    <s v="OK"/>
    <x v="1"/>
    <n v="8"/>
    <n v="0"/>
    <n v="101.44"/>
  </r>
  <r>
    <n v="51445"/>
    <n v="30836"/>
    <x v="195"/>
    <n v="2505"/>
    <x v="9"/>
    <n v="3"/>
    <n v="120.84"/>
    <s v=""/>
    <s v=""/>
    <x v="2"/>
    <s v="Missing date"/>
    <s v="Missing date"/>
    <x v="0"/>
    <s v=""/>
    <n v="1"/>
    <n v="40.28"/>
  </r>
  <r>
    <n v="51446"/>
    <n v="30837"/>
    <x v="12"/>
    <n v="2503"/>
    <x v="9"/>
    <n v="1"/>
    <n v="40.28"/>
    <d v="2025-08-29T00:00:00"/>
    <d v="2025-09-06T00:00:00"/>
    <x v="0"/>
    <s v="OK"/>
    <s v="OK"/>
    <x v="0"/>
    <n v="8"/>
    <n v="1"/>
    <n v="40.28"/>
  </r>
  <r>
    <n v="51447"/>
    <n v="30837"/>
    <x v="12"/>
    <n v="2503"/>
    <x v="15"/>
    <n v="1"/>
    <n v="170.25"/>
    <d v="2025-08-28T00:00:00"/>
    <d v="2025-08-29T00:00:00"/>
    <x v="0"/>
    <s v="OK"/>
    <s v="OK"/>
    <x v="1"/>
    <n v="1"/>
    <n v="0"/>
    <n v="170.25"/>
  </r>
  <r>
    <n v="51448"/>
    <n v="30838"/>
    <x v="54"/>
    <n v="2228"/>
    <x v="6"/>
    <n v="2"/>
    <n v="63.46"/>
    <d v="2025-04-09T00:00:00"/>
    <d v="2025-04-14T00:00:00"/>
    <x v="0"/>
    <s v="OK"/>
    <s v="OK"/>
    <x v="2"/>
    <n v="5"/>
    <n v="1"/>
    <n v="31.73"/>
  </r>
  <r>
    <n v="51449"/>
    <n v="30839"/>
    <x v="271"/>
    <n v="2056"/>
    <x v="10"/>
    <n v="1"/>
    <n v="215.34"/>
    <d v="2025-10-20T00:00:00"/>
    <d v="2025-10-29T00:00:00"/>
    <x v="0"/>
    <s v="OK"/>
    <s v="OK"/>
    <x v="3"/>
    <n v="9"/>
    <n v="1"/>
    <n v="215.34"/>
  </r>
  <r>
    <n v="51450"/>
    <n v="30840"/>
    <x v="5"/>
    <n v="2490"/>
    <x v="3"/>
    <n v="1"/>
    <n v="118.6"/>
    <s v=""/>
    <s v=""/>
    <x v="2"/>
    <s v="Missing date"/>
    <s v="Missing date"/>
    <x v="2"/>
    <s v=""/>
    <n v="1"/>
    <n v="118.6"/>
  </r>
  <r>
    <n v="51451"/>
    <n v="30840"/>
    <x v="5"/>
    <n v="2490"/>
    <x v="2"/>
    <n v="3"/>
    <n v="724.62"/>
    <s v=""/>
    <s v=""/>
    <x v="2"/>
    <s v="Missing date"/>
    <s v="Missing date"/>
    <x v="1"/>
    <s v=""/>
    <n v="0"/>
    <n v="241.54"/>
  </r>
  <r>
    <n v="51452"/>
    <n v="30841"/>
    <x v="32"/>
    <n v="2404"/>
    <x v="7"/>
    <n v="3"/>
    <n v="761.58"/>
    <s v=""/>
    <s v=""/>
    <x v="2"/>
    <s v="Missing date"/>
    <s v="Missing date"/>
    <x v="0"/>
    <s v=""/>
    <n v="1"/>
    <n v="253.86"/>
  </r>
  <r>
    <n v="51453"/>
    <n v="30842"/>
    <x v="168"/>
    <n v="2469"/>
    <x v="14"/>
    <n v="1"/>
    <n v="119.74"/>
    <d v="2025-03-20T00:00:00"/>
    <d v="2025-03-30T00:00:00"/>
    <x v="1"/>
    <s v="OK"/>
    <s v="OK"/>
    <x v="3"/>
    <n v="10"/>
    <n v="1"/>
    <n v="119.74"/>
  </r>
  <r>
    <n v="51454"/>
    <n v="30843"/>
    <x v="1"/>
    <n v="2324"/>
    <x v="8"/>
    <n v="1"/>
    <n v="203.04"/>
    <d v="2025-08-22T00:00:00"/>
    <d v="2025-08-23T00:00:00"/>
    <x v="0"/>
    <s v="OK"/>
    <s v="OK"/>
    <x v="2"/>
    <n v="1"/>
    <n v="1"/>
    <n v="203.04"/>
  </r>
  <r>
    <n v="51455"/>
    <n v="30843"/>
    <x v="1"/>
    <n v="2324"/>
    <x v="0"/>
    <n v="5"/>
    <n v="999.05"/>
    <d v="2025-08-21T00:00:00"/>
    <d v="2025-08-23T00:00:00"/>
    <x v="0"/>
    <s v="OK"/>
    <s v="OK"/>
    <x v="0"/>
    <n v="2"/>
    <n v="0"/>
    <n v="199.81"/>
  </r>
  <r>
    <n v="51456"/>
    <n v="30844"/>
    <x v="239"/>
    <n v="2389"/>
    <x v="5"/>
    <n v="1"/>
    <n v="101.44"/>
    <d v="2025-12-14T00:00:00"/>
    <d v="2025-12-18T00:00:00"/>
    <x v="0"/>
    <s v="OK"/>
    <s v="OK"/>
    <x v="1"/>
    <n v="4"/>
    <n v="1"/>
    <n v="101.44"/>
  </r>
  <r>
    <n v="51457"/>
    <n v="30845"/>
    <x v="245"/>
    <n v="2371"/>
    <x v="9"/>
    <n v="1"/>
    <n v="40.28"/>
    <d v="2025-07-13T00:00:00"/>
    <d v="2025-07-23T00:00:00"/>
    <x v="0"/>
    <s v="OK"/>
    <s v="OK"/>
    <x v="0"/>
    <n v="10"/>
    <n v="1"/>
    <n v="40.28"/>
  </r>
  <r>
    <n v="51458"/>
    <n v="30845"/>
    <x v="245"/>
    <n v="2371"/>
    <x v="7"/>
    <n v="1"/>
    <n v="253.86"/>
    <d v="2025-07-14T00:00:00"/>
    <d v="2025-07-19T00:00:00"/>
    <x v="0"/>
    <s v="OK"/>
    <s v="OK"/>
    <x v="0"/>
    <n v="5"/>
    <n v="0"/>
    <n v="253.86"/>
  </r>
  <r>
    <n v="51459"/>
    <n v="30846"/>
    <x v="151"/>
    <n v="2562"/>
    <x v="9"/>
    <n v="1"/>
    <n v="40.28"/>
    <d v="2025-07-02T00:00:00"/>
    <d v="2025-07-04T00:00:00"/>
    <x v="0"/>
    <s v="OK"/>
    <s v="OK"/>
    <x v="0"/>
    <n v="2"/>
    <n v="1"/>
    <n v="40.28"/>
  </r>
  <r>
    <n v="51460"/>
    <n v="30847"/>
    <x v="331"/>
    <n v="2483"/>
    <x v="5"/>
    <n v="1"/>
    <n v="101.44"/>
    <d v="2025-08-21T00:00:00"/>
    <d v="2025-08-29T00:00:00"/>
    <x v="1"/>
    <s v="OK"/>
    <s v="OK"/>
    <x v="1"/>
    <n v="8"/>
    <n v="1"/>
    <n v="101.44"/>
  </r>
  <r>
    <n v="51461"/>
    <n v="30848"/>
    <x v="256"/>
    <n v="2375"/>
    <x v="10"/>
    <n v="1"/>
    <n v="215.34"/>
    <d v="2025-03-16T00:00:00"/>
    <d v="2025-03-17T00:00:00"/>
    <x v="0"/>
    <s v="OK"/>
    <s v="OK"/>
    <x v="3"/>
    <n v="1"/>
    <n v="1"/>
    <n v="215.34"/>
  </r>
  <r>
    <n v="51462"/>
    <n v="30849"/>
    <x v="12"/>
    <n v="2216"/>
    <x v="2"/>
    <n v="2"/>
    <n v="483.08"/>
    <d v="2025-08-28T00:00:00"/>
    <d v="2025-09-01T00:00:00"/>
    <x v="0"/>
    <s v="OK"/>
    <s v="OK"/>
    <x v="1"/>
    <n v="4"/>
    <n v="1"/>
    <n v="241.54"/>
  </r>
  <r>
    <n v="51463"/>
    <n v="30850"/>
    <x v="329"/>
    <n v="2374"/>
    <x v="9"/>
    <n v="2"/>
    <n v="80.56"/>
    <s v=""/>
    <s v=""/>
    <x v="3"/>
    <s v="Missing date"/>
    <s v="Missing date"/>
    <x v="0"/>
    <s v=""/>
    <n v="1"/>
    <n v="40.28"/>
  </r>
  <r>
    <n v="51464"/>
    <n v="30851"/>
    <x v="168"/>
    <n v="2586"/>
    <x v="1"/>
    <n v="1"/>
    <n v="206.09"/>
    <d v="2025-03-19T00:00:00"/>
    <d v="2025-03-24T00:00:00"/>
    <x v="0"/>
    <s v="OK"/>
    <s v="OK"/>
    <x v="0"/>
    <n v="5"/>
    <n v="1"/>
    <n v="206.09"/>
  </r>
  <r>
    <n v="51465"/>
    <n v="30852"/>
    <x v="223"/>
    <n v="2103"/>
    <x v="1"/>
    <n v="5"/>
    <n v="1030.45"/>
    <d v="2025-03-24T00:00:00"/>
    <d v="2025-04-03T00:00:00"/>
    <x v="0"/>
    <s v="OK"/>
    <s v="OK"/>
    <x v="0"/>
    <n v="10"/>
    <n v="1"/>
    <n v="206.09"/>
  </r>
  <r>
    <n v="51466"/>
    <n v="30853"/>
    <x v="274"/>
    <n v="2569"/>
    <x v="15"/>
    <n v="1"/>
    <n v="170.25"/>
    <d v="2025-11-21T00:00:00"/>
    <d v="2025-11-30T00:00:00"/>
    <x v="0"/>
    <s v="OK"/>
    <s v="OK"/>
    <x v="1"/>
    <n v="9"/>
    <n v="1"/>
    <n v="170.25"/>
  </r>
  <r>
    <n v="51467"/>
    <n v="30854"/>
    <x v="108"/>
    <n v="2201"/>
    <x v="6"/>
    <n v="1"/>
    <n v="31.73"/>
    <d v="2025-05-02T00:00:00"/>
    <d v="2025-05-03T00:00:00"/>
    <x v="0"/>
    <s v="OK"/>
    <s v="OK"/>
    <x v="2"/>
    <n v="1"/>
    <n v="1"/>
    <n v="31.73"/>
  </r>
  <r>
    <n v="51468"/>
    <n v="30855"/>
    <x v="220"/>
    <n v="2485"/>
    <x v="7"/>
    <n v="1"/>
    <n v="253.86"/>
    <s v=""/>
    <s v=""/>
    <x v="3"/>
    <s v="Missing date"/>
    <s v="Missing date"/>
    <x v="0"/>
    <s v=""/>
    <n v="1"/>
    <n v="253.86"/>
  </r>
  <r>
    <n v="51469"/>
    <n v="30856"/>
    <x v="280"/>
    <n v="2138"/>
    <x v="5"/>
    <n v="1"/>
    <n v="101.44"/>
    <d v="2025-06-18T00:00:00"/>
    <d v="2025-06-27T00:00:00"/>
    <x v="1"/>
    <s v="OK"/>
    <s v="OK"/>
    <x v="1"/>
    <n v="9"/>
    <n v="1"/>
    <n v="101.44"/>
  </r>
  <r>
    <n v="51470"/>
    <n v="30856"/>
    <x v="280"/>
    <n v="2138"/>
    <x v="12"/>
    <n v="1"/>
    <n v="65.260000000000005"/>
    <d v="2025-06-16T00:00:00"/>
    <d v="2025-06-22T00:00:00"/>
    <x v="1"/>
    <s v="OK"/>
    <s v="OK"/>
    <x v="3"/>
    <n v="6"/>
    <n v="0"/>
    <n v="65.260000000000005"/>
  </r>
  <r>
    <n v="51471"/>
    <n v="30857"/>
    <x v="6"/>
    <n v="2308"/>
    <x v="3"/>
    <n v="1"/>
    <n v="118.6"/>
    <d v="2025-07-27T00:00:00"/>
    <d v="2025-08-01T00:00:00"/>
    <x v="0"/>
    <s v="OK"/>
    <s v="OK"/>
    <x v="2"/>
    <n v="5"/>
    <n v="1"/>
    <n v="118.6"/>
  </r>
  <r>
    <n v="51472"/>
    <n v="30858"/>
    <x v="332"/>
    <n v="2408"/>
    <x v="7"/>
    <n v="1"/>
    <n v="253.86"/>
    <d v="2025-03-03T00:00:00"/>
    <d v="2025-03-05T00:00:00"/>
    <x v="0"/>
    <s v="OK"/>
    <s v="OK"/>
    <x v="0"/>
    <n v="2"/>
    <n v="1"/>
    <n v="253.86"/>
  </r>
  <r>
    <n v="51473"/>
    <n v="30858"/>
    <x v="332"/>
    <n v="2408"/>
    <x v="3"/>
    <n v="4"/>
    <n v="474.4"/>
    <d v="2025-03-02T00:00:00"/>
    <d v="2025-03-03T00:00:00"/>
    <x v="0"/>
    <s v="OK"/>
    <s v="OK"/>
    <x v="2"/>
    <n v="1"/>
    <n v="0"/>
    <n v="118.6"/>
  </r>
  <r>
    <n v="51474"/>
    <n v="30859"/>
    <x v="266"/>
    <n v="2221"/>
    <x v="12"/>
    <n v="1"/>
    <n v="65.260000000000005"/>
    <s v=""/>
    <s v=""/>
    <x v="3"/>
    <s v="Missing date"/>
    <s v="Missing date"/>
    <x v="3"/>
    <s v=""/>
    <n v="1"/>
    <n v="65.260000000000005"/>
  </r>
  <r>
    <n v="51475"/>
    <n v="30859"/>
    <x v="190"/>
    <n v="2221"/>
    <x v="4"/>
    <n v="1"/>
    <n v="183.74"/>
    <s v=""/>
    <s v=""/>
    <x v="3"/>
    <s v="Missing date"/>
    <s v="Missing date"/>
    <x v="2"/>
    <s v=""/>
    <n v="0"/>
    <n v="183.74"/>
  </r>
  <r>
    <n v="51476"/>
    <n v="30860"/>
    <x v="6"/>
    <n v="2343"/>
    <x v="2"/>
    <n v="2"/>
    <n v="483.08"/>
    <d v="2025-07-29T00:00:00"/>
    <d v="2025-08-01T00:00:00"/>
    <x v="0"/>
    <s v="OK"/>
    <s v="OK"/>
    <x v="1"/>
    <n v="3"/>
    <n v="1"/>
    <n v="241.54"/>
  </r>
  <r>
    <n v="51477"/>
    <n v="30861"/>
    <x v="287"/>
    <n v="2574"/>
    <x v="9"/>
    <n v="3"/>
    <n v="120.84"/>
    <d v="2025-12-25T00:00:00"/>
    <d v="2026-01-02T00:00:00"/>
    <x v="0"/>
    <s v="OK"/>
    <s v="OK"/>
    <x v="0"/>
    <n v="8"/>
    <n v="1"/>
    <n v="40.28"/>
  </r>
  <r>
    <n v="51478"/>
    <n v="30862"/>
    <x v="10"/>
    <n v="2353"/>
    <x v="4"/>
    <n v="2"/>
    <n v="367.48"/>
    <d v="2025-10-21T00:00:00"/>
    <d v="2025-10-28T00:00:00"/>
    <x v="0"/>
    <s v="OK"/>
    <s v="OK"/>
    <x v="2"/>
    <n v="7"/>
    <n v="1"/>
    <n v="183.74"/>
  </r>
  <r>
    <n v="51479"/>
    <n v="30862"/>
    <x v="10"/>
    <n v="2353"/>
    <x v="2"/>
    <n v="1"/>
    <n v="241.54"/>
    <d v="2025-10-20T00:00:00"/>
    <d v="2025-10-30T00:00:00"/>
    <x v="0"/>
    <s v="OK"/>
    <s v="OK"/>
    <x v="1"/>
    <n v="10"/>
    <n v="0"/>
    <n v="241.54"/>
  </r>
  <r>
    <n v="51480"/>
    <n v="30862"/>
    <x v="10"/>
    <n v="2353"/>
    <x v="0"/>
    <n v="1"/>
    <n v="199.81"/>
    <d v="2025-10-19T00:00:00"/>
    <d v="2025-10-23T00:00:00"/>
    <x v="0"/>
    <s v="OK"/>
    <s v="OK"/>
    <x v="0"/>
    <n v="4"/>
    <n v="0"/>
    <n v="199.81"/>
  </r>
  <r>
    <n v="51481"/>
    <n v="30863"/>
    <x v="37"/>
    <n v="2591"/>
    <x v="7"/>
    <n v="1"/>
    <n v="253.86"/>
    <d v="2025-10-11T00:00:00"/>
    <d v="2025-12-10T00:00:00"/>
    <x v="0"/>
    <s v="OK"/>
    <s v="OK"/>
    <x v="0"/>
    <n v="60"/>
    <n v="1"/>
    <n v="253.86"/>
  </r>
  <r>
    <n v="51482"/>
    <n v="30863"/>
    <x v="37"/>
    <n v="2591"/>
    <x v="13"/>
    <n v="1"/>
    <n v="121.5"/>
    <d v="2025-10-11T00:00:00"/>
    <d v="2025-10-20T00:00:00"/>
    <x v="0"/>
    <s v="OK"/>
    <s v="OK"/>
    <x v="1"/>
    <n v="9"/>
    <n v="0"/>
    <n v="121.5"/>
  </r>
  <r>
    <n v="51483"/>
    <n v="30864"/>
    <x v="74"/>
    <n v="2364"/>
    <x v="12"/>
    <n v="3"/>
    <n v="195.78"/>
    <d v="2025-11-09T00:00:00"/>
    <d v="2025-11-14T00:00:00"/>
    <x v="0"/>
    <s v="OK"/>
    <s v="OK"/>
    <x v="3"/>
    <n v="5"/>
    <n v="1"/>
    <n v="65.260000000000005"/>
  </r>
  <r>
    <n v="51484"/>
    <n v="30865"/>
    <x v="53"/>
    <n v="2458"/>
    <x v="15"/>
    <n v="4"/>
    <n v="681"/>
    <s v=""/>
    <s v=""/>
    <x v="2"/>
    <s v="Missing date"/>
    <s v="Missing date"/>
    <x v="1"/>
    <s v=""/>
    <n v="1"/>
    <n v="170.25"/>
  </r>
  <r>
    <n v="51485"/>
    <n v="30866"/>
    <x v="139"/>
    <n v="2294"/>
    <x v="6"/>
    <n v="1"/>
    <n v="31.73"/>
    <d v="2025-10-05T00:00:00"/>
    <d v="2025-10-08T00:00:00"/>
    <x v="0"/>
    <s v="OK"/>
    <s v="OK"/>
    <x v="2"/>
    <n v="3"/>
    <n v="1"/>
    <n v="31.73"/>
  </r>
  <r>
    <n v="51486"/>
    <n v="30867"/>
    <x v="153"/>
    <n v="2172"/>
    <x v="5"/>
    <n v="2"/>
    <n v="202.88"/>
    <d v="2025-05-06T00:00:00"/>
    <d v="2025-11-05T00:00:00"/>
    <x v="0"/>
    <s v="OK"/>
    <s v="OK"/>
    <x v="1"/>
    <n v="183"/>
    <n v="1"/>
    <n v="101.44"/>
  </r>
  <r>
    <n v="51487"/>
    <n v="30868"/>
    <x v="56"/>
    <n v="2432"/>
    <x v="15"/>
    <n v="1"/>
    <n v="170.25"/>
    <d v="2025-12-15T00:00:00"/>
    <d v="2025-12-20T00:00:00"/>
    <x v="0"/>
    <s v="OK"/>
    <s v="OK"/>
    <x v="1"/>
    <n v="5"/>
    <n v="1"/>
    <n v="170.25"/>
  </r>
  <r>
    <n v="51488"/>
    <n v="30868"/>
    <x v="56"/>
    <n v="2432"/>
    <x v="11"/>
    <n v="3"/>
    <n v="673.11"/>
    <d v="2025-12-14T00:00:00"/>
    <d v="2025-12-23T00:00:00"/>
    <x v="0"/>
    <s v="OK"/>
    <s v="OK"/>
    <x v="2"/>
    <n v="9"/>
    <n v="0"/>
    <n v="224.37"/>
  </r>
  <r>
    <n v="51489"/>
    <n v="30869"/>
    <x v="120"/>
    <n v="2082"/>
    <x v="1"/>
    <n v="1"/>
    <n v="206.09"/>
    <d v="2025-03-10T00:00:00"/>
    <d v="2025-03-15T00:00:00"/>
    <x v="0"/>
    <s v="OK"/>
    <s v="OK"/>
    <x v="0"/>
    <n v="5"/>
    <n v="1"/>
    <n v="206.09"/>
  </r>
  <r>
    <n v="51490"/>
    <n v="30869"/>
    <x v="120"/>
    <n v="2082"/>
    <x v="5"/>
    <n v="4"/>
    <n v="405.76"/>
    <d v="2025-03-12T00:00:00"/>
    <d v="2025-03-20T00:00:00"/>
    <x v="0"/>
    <s v="OK"/>
    <s v="OK"/>
    <x v="1"/>
    <n v="8"/>
    <n v="0"/>
    <n v="101.44"/>
  </r>
  <r>
    <n v="51491"/>
    <n v="30869"/>
    <x v="120"/>
    <n v="2082"/>
    <x v="5"/>
    <n v="1"/>
    <n v="101.44"/>
    <d v="2025-03-12T00:00:00"/>
    <d v="2025-03-17T00:00:00"/>
    <x v="0"/>
    <s v="OK"/>
    <s v="OK"/>
    <x v="1"/>
    <n v="5"/>
    <n v="0"/>
    <n v="101.44"/>
  </r>
  <r>
    <n v="51492"/>
    <n v="30869"/>
    <x v="120"/>
    <n v="2082"/>
    <x v="13"/>
    <n v="1"/>
    <n v="121.5"/>
    <d v="2025-03-11T00:00:00"/>
    <d v="2025-03-13T00:00:00"/>
    <x v="0"/>
    <s v="OK"/>
    <s v="OK"/>
    <x v="1"/>
    <n v="2"/>
    <n v="0"/>
    <n v="121.5"/>
  </r>
  <r>
    <n v="51493"/>
    <n v="30870"/>
    <x v="333"/>
    <n v="2274"/>
    <x v="15"/>
    <n v="2"/>
    <n v="340.5"/>
    <d v="2025-10-19T00:00:00"/>
    <d v="2025-10-29T00:00:00"/>
    <x v="0"/>
    <s v="OK"/>
    <s v="OK"/>
    <x v="1"/>
    <n v="10"/>
    <n v="1"/>
    <n v="170.25"/>
  </r>
  <r>
    <n v="51494"/>
    <n v="30871"/>
    <x v="161"/>
    <n v="2278"/>
    <x v="2"/>
    <n v="2"/>
    <n v="483.08"/>
    <s v=""/>
    <s v=""/>
    <x v="2"/>
    <s v="Missing date"/>
    <s v="Missing date"/>
    <x v="1"/>
    <s v=""/>
    <n v="1"/>
    <n v="241.54"/>
  </r>
  <r>
    <n v="51495"/>
    <n v="30872"/>
    <x v="99"/>
    <n v="2534"/>
    <x v="10"/>
    <n v="1"/>
    <n v="215.34"/>
    <d v="2025-03-09T00:00:00"/>
    <d v="2025-03-10T00:00:00"/>
    <x v="1"/>
    <s v="OK"/>
    <s v="OK"/>
    <x v="3"/>
    <n v="1"/>
    <n v="1"/>
    <n v="215.34"/>
  </r>
  <r>
    <n v="51496"/>
    <n v="30873"/>
    <x v="17"/>
    <n v="2172"/>
    <x v="8"/>
    <n v="1"/>
    <n v="203.04"/>
    <d v="2025-10-27T00:00:00"/>
    <d v="2025-10-28T00:00:00"/>
    <x v="0"/>
    <s v="OK"/>
    <s v="OK"/>
    <x v="2"/>
    <n v="1"/>
    <n v="1"/>
    <n v="203.04"/>
  </r>
  <r>
    <n v="51497"/>
    <n v="30873"/>
    <x v="17"/>
    <n v="2172"/>
    <x v="6"/>
    <n v="1"/>
    <n v="31.73"/>
    <d v="2025-10-26T00:00:00"/>
    <d v="2025-10-28T00:00:00"/>
    <x v="0"/>
    <s v="OK"/>
    <s v="OK"/>
    <x v="2"/>
    <n v="2"/>
    <n v="0"/>
    <n v="31.73"/>
  </r>
  <r>
    <n v="51498"/>
    <n v="30874"/>
    <x v="193"/>
    <n v="2241"/>
    <x v="11"/>
    <n v="2"/>
    <n v="448.74"/>
    <d v="2025-05-16T00:00:00"/>
    <d v="2025-05-20T00:00:00"/>
    <x v="0"/>
    <s v="OK"/>
    <s v="OK"/>
    <x v="2"/>
    <n v="4"/>
    <n v="1"/>
    <n v="224.37"/>
  </r>
  <r>
    <n v="51499"/>
    <n v="30875"/>
    <x v="28"/>
    <n v="2216"/>
    <x v="4"/>
    <n v="1"/>
    <n v="183.74"/>
    <d v="2025-06-22T00:00:00"/>
    <d v="2025-06-23T00:00:00"/>
    <x v="0"/>
    <s v="OK"/>
    <s v="OK"/>
    <x v="2"/>
    <n v="1"/>
    <n v="1"/>
    <n v="183.74"/>
  </r>
  <r>
    <n v="51500"/>
    <n v="30875"/>
    <x v="28"/>
    <n v="2216"/>
    <x v="4"/>
    <n v="1"/>
    <n v="183.74"/>
    <d v="2025-06-22T00:00:00"/>
    <d v="2025-06-29T00:00:00"/>
    <x v="0"/>
    <s v="OK"/>
    <s v="OK"/>
    <x v="2"/>
    <n v="7"/>
    <n v="0"/>
    <n v="183.74"/>
  </r>
  <r>
    <n v="51501"/>
    <n v="30875"/>
    <x v="28"/>
    <n v="2216"/>
    <x v="11"/>
    <n v="1"/>
    <n v="224.37"/>
    <d v="2025-06-21T00:00:00"/>
    <d v="2025-06-29T00:00:00"/>
    <x v="0"/>
    <s v="OK"/>
    <s v="OK"/>
    <x v="2"/>
    <n v="8"/>
    <n v="0"/>
    <n v="224.37"/>
  </r>
  <r>
    <n v="51502"/>
    <n v="30876"/>
    <x v="269"/>
    <n v="2485"/>
    <x v="8"/>
    <n v="1"/>
    <n v="203.04"/>
    <d v="2025-10-08T00:00:00"/>
    <d v="2025-10-11T00:00:00"/>
    <x v="0"/>
    <s v="OK"/>
    <s v="OK"/>
    <x v="2"/>
    <n v="3"/>
    <n v="1"/>
    <n v="203.04"/>
  </r>
  <r>
    <n v="51503"/>
    <n v="30876"/>
    <x v="227"/>
    <n v="2485"/>
    <x v="15"/>
    <n v="1"/>
    <n v="170.25"/>
    <d v="2025-10-08T00:00:00"/>
    <d v="2025-10-14T00:00:00"/>
    <x v="0"/>
    <s v="OK"/>
    <s v="OK"/>
    <x v="1"/>
    <n v="6"/>
    <n v="0"/>
    <n v="170.25"/>
  </r>
  <r>
    <n v="51504"/>
    <n v="30876"/>
    <x v="227"/>
    <n v="2485"/>
    <x v="11"/>
    <n v="2"/>
    <n v="448.74"/>
    <d v="2025-10-09T00:00:00"/>
    <d v="2025-10-16T00:00:00"/>
    <x v="0"/>
    <s v="OK"/>
    <s v="OK"/>
    <x v="2"/>
    <n v="7"/>
    <n v="0"/>
    <n v="224.37"/>
  </r>
  <r>
    <n v="51505"/>
    <n v="30877"/>
    <x v="90"/>
    <n v="2107"/>
    <x v="6"/>
    <n v="2"/>
    <n v="63.46"/>
    <d v="2025-07-10T00:00:00"/>
    <d v="2025-07-15T00:00:00"/>
    <x v="0"/>
    <s v="OK"/>
    <s v="OK"/>
    <x v="2"/>
    <n v="5"/>
    <n v="1"/>
    <n v="31.73"/>
  </r>
  <r>
    <n v="51506"/>
    <n v="30878"/>
    <x v="13"/>
    <n v="2087"/>
    <x v="15"/>
    <n v="3"/>
    <n v="510.75"/>
    <d v="2025-07-27T00:00:00"/>
    <d v="2025-07-28T00:00:00"/>
    <x v="0"/>
    <s v="OK"/>
    <s v="OK"/>
    <x v="1"/>
    <n v="1"/>
    <n v="1"/>
    <n v="170.25"/>
  </r>
  <r>
    <n v="51507"/>
    <n v="30879"/>
    <x v="78"/>
    <n v="2317"/>
    <x v="13"/>
    <n v="3"/>
    <n v="364.5"/>
    <d v="2025-12-21T00:00:00"/>
    <d v="2025-12-26T00:00:00"/>
    <x v="0"/>
    <s v="OK"/>
    <s v="OK"/>
    <x v="1"/>
    <n v="5"/>
    <n v="1"/>
    <n v="121.5"/>
  </r>
  <r>
    <n v="51508"/>
    <n v="30879"/>
    <x v="78"/>
    <n v="2317"/>
    <x v="14"/>
    <n v="1"/>
    <n v="119.74"/>
    <d v="2025-12-20T00:00:00"/>
    <d v="2025-12-27T00:00:00"/>
    <x v="0"/>
    <s v="OK"/>
    <s v="OK"/>
    <x v="3"/>
    <n v="7"/>
    <n v="0"/>
    <n v="119.74"/>
  </r>
  <r>
    <n v="51509"/>
    <n v="30880"/>
    <x v="195"/>
    <n v="2130"/>
    <x v="7"/>
    <n v="1"/>
    <n v="253.86"/>
    <d v="2025-11-01T00:00:00"/>
    <d v="2025-11-09T00:00:00"/>
    <x v="0"/>
    <s v="OK"/>
    <s v="OK"/>
    <x v="0"/>
    <n v="8"/>
    <n v="1"/>
    <n v="253.86"/>
  </r>
  <r>
    <n v="51510"/>
    <n v="30880"/>
    <x v="195"/>
    <n v="2130"/>
    <x v="8"/>
    <n v="1"/>
    <n v="203.04"/>
    <d v="2025-11-02T00:00:00"/>
    <d v="2025-11-08T00:00:00"/>
    <x v="0"/>
    <s v="OK"/>
    <s v="OK"/>
    <x v="2"/>
    <n v="6"/>
    <n v="0"/>
    <n v="203.04"/>
  </r>
  <r>
    <n v="51511"/>
    <n v="30881"/>
    <x v="2"/>
    <n v="2036"/>
    <x v="5"/>
    <n v="1"/>
    <n v="101.44"/>
    <d v="2025-05-13T00:00:00"/>
    <d v="2025-05-21T00:00:00"/>
    <x v="0"/>
    <s v="OK"/>
    <s v="OK"/>
    <x v="1"/>
    <n v="8"/>
    <n v="1"/>
    <n v="101.44"/>
  </r>
  <r>
    <n v="51512"/>
    <n v="30882"/>
    <x v="325"/>
    <n v="2488"/>
    <x v="9"/>
    <n v="3"/>
    <n v="120.84"/>
    <d v="2025-12-16T00:00:00"/>
    <d v="2025-12-20T00:00:00"/>
    <x v="0"/>
    <s v="OK"/>
    <s v="OK"/>
    <x v="0"/>
    <n v="4"/>
    <n v="1"/>
    <n v="40.28"/>
  </r>
  <r>
    <n v="51513"/>
    <n v="30882"/>
    <x v="325"/>
    <n v="2488"/>
    <x v="14"/>
    <n v="5"/>
    <n v="598.70000000000005"/>
    <d v="2025-12-16T00:00:00"/>
    <d v="2025-12-18T00:00:00"/>
    <x v="0"/>
    <s v="OK"/>
    <s v="OK"/>
    <x v="3"/>
    <n v="2"/>
    <n v="0"/>
    <n v="119.74000000000001"/>
  </r>
  <r>
    <n v="51514"/>
    <n v="30883"/>
    <x v="312"/>
    <n v="2139"/>
    <x v="7"/>
    <n v="2"/>
    <n v="507.72"/>
    <d v="2025-01-17T00:00:00"/>
    <d v="2025-01-23T00:00:00"/>
    <x v="1"/>
    <s v="OK"/>
    <s v="OK"/>
    <x v="0"/>
    <n v="6"/>
    <n v="1"/>
    <n v="253.86"/>
  </r>
  <r>
    <n v="51515"/>
    <n v="30884"/>
    <x v="111"/>
    <n v="2468"/>
    <x v="10"/>
    <n v="2"/>
    <n v="430.68"/>
    <d v="2025-11-29T00:00:00"/>
    <d v="2025-12-04T00:00:00"/>
    <x v="0"/>
    <s v="OK"/>
    <s v="OK"/>
    <x v="3"/>
    <n v="5"/>
    <n v="1"/>
    <n v="215.34"/>
  </r>
  <r>
    <n v="51516"/>
    <n v="30884"/>
    <x v="111"/>
    <n v="2468"/>
    <x v="13"/>
    <n v="1"/>
    <n v="121.5"/>
    <d v="2025-11-29T00:00:00"/>
    <d v="2025-12-05T00:00:00"/>
    <x v="0"/>
    <s v="OK"/>
    <s v="OK"/>
    <x v="1"/>
    <n v="6"/>
    <n v="0"/>
    <n v="121.5"/>
  </r>
  <r>
    <n v="51517"/>
    <n v="30885"/>
    <x v="190"/>
    <n v="2356"/>
    <x v="1"/>
    <n v="3"/>
    <n v="618.27"/>
    <d v="2025-05-07T00:00:00"/>
    <d v="2025-05-15T00:00:00"/>
    <x v="0"/>
    <s v="OK"/>
    <s v="OK"/>
    <x v="0"/>
    <n v="8"/>
    <n v="1"/>
    <n v="206.09"/>
  </r>
  <r>
    <n v="51518"/>
    <n v="30886"/>
    <x v="131"/>
    <n v="2092"/>
    <x v="2"/>
    <n v="1"/>
    <n v="241.54"/>
    <d v="2025-09-17T00:00:00"/>
    <d v="2025-09-23T00:00:00"/>
    <x v="0"/>
    <s v="OK"/>
    <s v="OK"/>
    <x v="1"/>
    <n v="6"/>
    <n v="1"/>
    <n v="241.54"/>
  </r>
  <r>
    <n v="51519"/>
    <n v="30886"/>
    <x v="131"/>
    <n v="2092"/>
    <x v="10"/>
    <n v="1"/>
    <n v="215.34"/>
    <d v="2025-09-17T00:00:00"/>
    <d v="2025-09-21T00:00:00"/>
    <x v="0"/>
    <s v="OK"/>
    <s v="OK"/>
    <x v="3"/>
    <n v="4"/>
    <n v="0"/>
    <n v="215.34"/>
  </r>
  <r>
    <n v="51520"/>
    <n v="30887"/>
    <x v="180"/>
    <n v="2267"/>
    <x v="8"/>
    <n v="1"/>
    <n v="203.04"/>
    <d v="2025-07-08T00:00:00"/>
    <d v="2025-09-07T00:00:00"/>
    <x v="0"/>
    <s v="OK"/>
    <s v="OK"/>
    <x v="2"/>
    <n v="61"/>
    <n v="1"/>
    <n v="203.04"/>
  </r>
  <r>
    <n v="51521"/>
    <n v="30888"/>
    <x v="281"/>
    <n v="2001"/>
    <x v="6"/>
    <n v="1"/>
    <n v="31.73"/>
    <d v="2025-09-12T00:00:00"/>
    <d v="2025-09-15T00:00:00"/>
    <x v="0"/>
    <s v="OK"/>
    <s v="OK"/>
    <x v="2"/>
    <n v="3"/>
    <n v="1"/>
    <n v="31.73"/>
  </r>
  <r>
    <n v="51522"/>
    <n v="30889"/>
    <x v="29"/>
    <n v="2353"/>
    <x v="8"/>
    <n v="1"/>
    <n v="203.04"/>
    <d v="2025-07-01T00:00:00"/>
    <d v="2025-09-07T00:00:00"/>
    <x v="0"/>
    <s v="OK"/>
    <s v="OK"/>
    <x v="2"/>
    <n v="68"/>
    <n v="1"/>
    <n v="203.04"/>
  </r>
  <r>
    <n v="51523"/>
    <n v="30890"/>
    <x v="233"/>
    <n v="2504"/>
    <x v="12"/>
    <n v="3"/>
    <n v="195.78"/>
    <d v="2025-08-02T00:00:00"/>
    <d v="2025-08-03T00:00:00"/>
    <x v="1"/>
    <s v="OK"/>
    <s v="OK"/>
    <x v="3"/>
    <n v="1"/>
    <n v="1"/>
    <n v="65.260000000000005"/>
  </r>
  <r>
    <n v="51524"/>
    <n v="30891"/>
    <x v="235"/>
    <n v="2307"/>
    <x v="10"/>
    <n v="1"/>
    <n v="215.34"/>
    <d v="2025-07-09T00:00:00"/>
    <d v="2025-09-14T00:00:00"/>
    <x v="0"/>
    <s v="OK"/>
    <s v="OK"/>
    <x v="3"/>
    <n v="67"/>
    <n v="1"/>
    <n v="215.34"/>
  </r>
  <r>
    <n v="51525"/>
    <n v="30892"/>
    <x v="31"/>
    <n v="2300"/>
    <x v="8"/>
    <n v="1"/>
    <n v="203.04"/>
    <d v="2025-04-14T00:00:00"/>
    <d v="2025-04-21T00:00:00"/>
    <x v="0"/>
    <s v="OK"/>
    <s v="OK"/>
    <x v="2"/>
    <n v="7"/>
    <n v="1"/>
    <n v="203.04"/>
  </r>
  <r>
    <n v="51526"/>
    <n v="30892"/>
    <x v="31"/>
    <n v="2300"/>
    <x v="2"/>
    <n v="1"/>
    <n v="241.54"/>
    <d v="2025-04-16T00:00:00"/>
    <d v="2025-04-17T00:00:00"/>
    <x v="0"/>
    <s v="OK"/>
    <s v="OK"/>
    <x v="1"/>
    <n v="1"/>
    <n v="0"/>
    <n v="241.54"/>
  </r>
  <r>
    <n v="51527"/>
    <n v="30892"/>
    <x v="31"/>
    <n v="2300"/>
    <x v="0"/>
    <n v="1"/>
    <n v="199.81"/>
    <d v="2025-04-15T00:00:00"/>
    <d v="2025-04-21T00:00:00"/>
    <x v="0"/>
    <s v="OK"/>
    <s v="OK"/>
    <x v="0"/>
    <n v="6"/>
    <n v="0"/>
    <n v="199.81"/>
  </r>
  <r>
    <n v="51528"/>
    <n v="30893"/>
    <x v="60"/>
    <n v="2422"/>
    <x v="10"/>
    <n v="2"/>
    <n v="430.68"/>
    <s v=""/>
    <s v=""/>
    <x v="2"/>
    <s v="Missing date"/>
    <s v="Missing date"/>
    <x v="3"/>
    <s v=""/>
    <n v="1"/>
    <n v="215.34"/>
  </r>
  <r>
    <n v="51529"/>
    <n v="30893"/>
    <x v="60"/>
    <n v="2422"/>
    <x v="15"/>
    <n v="5"/>
    <n v="851.25"/>
    <s v=""/>
    <s v=""/>
    <x v="2"/>
    <s v="Missing date"/>
    <s v="Missing date"/>
    <x v="1"/>
    <s v=""/>
    <n v="0"/>
    <n v="170.25"/>
  </r>
  <r>
    <n v="51530"/>
    <n v="30893"/>
    <x v="60"/>
    <n v="2422"/>
    <x v="1"/>
    <n v="1"/>
    <n v="206.09"/>
    <s v=""/>
    <s v=""/>
    <x v="2"/>
    <s v="Missing date"/>
    <s v="Missing date"/>
    <x v="0"/>
    <s v=""/>
    <n v="0"/>
    <n v="206.09"/>
  </r>
  <r>
    <n v="51531"/>
    <n v="30893"/>
    <x v="60"/>
    <n v="2422"/>
    <x v="7"/>
    <n v="2"/>
    <n v="507.72"/>
    <s v=""/>
    <s v=""/>
    <x v="2"/>
    <s v="Missing date"/>
    <s v="Missing date"/>
    <x v="0"/>
    <s v=""/>
    <n v="0"/>
    <n v="253.86"/>
  </r>
  <r>
    <n v="51532"/>
    <n v="30894"/>
    <x v="128"/>
    <n v="2400"/>
    <x v="1"/>
    <n v="2"/>
    <n v="412.18"/>
    <s v=""/>
    <s v=""/>
    <x v="3"/>
    <s v="Missing date"/>
    <s v="Missing date"/>
    <x v="0"/>
    <s v=""/>
    <n v="1"/>
    <n v="206.09"/>
  </r>
  <r>
    <n v="51533"/>
    <n v="30894"/>
    <x v="128"/>
    <n v="2400"/>
    <x v="10"/>
    <n v="5"/>
    <n v="1076.7"/>
    <s v=""/>
    <s v=""/>
    <x v="3"/>
    <s v="Missing date"/>
    <s v="Missing date"/>
    <x v="3"/>
    <s v=""/>
    <n v="0"/>
    <n v="215.34"/>
  </r>
  <r>
    <n v="51534"/>
    <n v="30895"/>
    <x v="245"/>
    <n v="2530"/>
    <x v="9"/>
    <n v="2"/>
    <n v="80.56"/>
    <s v=""/>
    <s v=""/>
    <x v="3"/>
    <s v="Missing date"/>
    <s v="Missing date"/>
    <x v="0"/>
    <s v=""/>
    <n v="1"/>
    <n v="40.28"/>
  </r>
  <r>
    <n v="51535"/>
    <n v="30895"/>
    <x v="273"/>
    <n v="2530"/>
    <x v="9"/>
    <n v="1"/>
    <n v="40.28"/>
    <s v=""/>
    <s v=""/>
    <x v="3"/>
    <s v="Missing date"/>
    <s v="Missing date"/>
    <x v="0"/>
    <s v=""/>
    <n v="0"/>
    <n v="40.28"/>
  </r>
  <r>
    <n v="51536"/>
    <n v="30895"/>
    <x v="273"/>
    <n v="2530"/>
    <x v="11"/>
    <n v="2"/>
    <n v="448.74"/>
    <d v="2025-12-10T00:00:00"/>
    <s v=""/>
    <x v="3"/>
    <s v="Missing date"/>
    <s v="OK"/>
    <x v="2"/>
    <s v=""/>
    <n v="0"/>
    <n v="224.37"/>
  </r>
  <r>
    <n v="51537"/>
    <n v="30896"/>
    <x v="94"/>
    <n v="2297"/>
    <x v="14"/>
    <n v="2"/>
    <n v="239.48"/>
    <d v="2025-05-09T00:00:00"/>
    <d v="2025-05-16T00:00:00"/>
    <x v="0"/>
    <s v="OK"/>
    <s v="OK"/>
    <x v="3"/>
    <n v="7"/>
    <n v="1"/>
    <n v="119.74"/>
  </r>
  <r>
    <n v="51538"/>
    <n v="30896"/>
    <x v="94"/>
    <n v="2297"/>
    <x v="14"/>
    <n v="1"/>
    <n v="119.74"/>
    <d v="2025-05-08T00:00:00"/>
    <d v="2025-05-10T00:00:00"/>
    <x v="0"/>
    <s v="OK"/>
    <s v="OK"/>
    <x v="3"/>
    <n v="2"/>
    <n v="0"/>
    <n v="119.74"/>
  </r>
  <r>
    <n v="51539"/>
    <n v="30896"/>
    <x v="94"/>
    <n v="2297"/>
    <x v="9"/>
    <n v="1"/>
    <n v="40.28"/>
    <d v="2025-05-08T00:00:00"/>
    <d v="2025-05-11T00:00:00"/>
    <x v="0"/>
    <s v="OK"/>
    <s v="OK"/>
    <x v="0"/>
    <n v="3"/>
    <n v="0"/>
    <n v="40.28"/>
  </r>
  <r>
    <n v="51540"/>
    <n v="30897"/>
    <x v="45"/>
    <n v="2504"/>
    <x v="8"/>
    <n v="1"/>
    <n v="203.04"/>
    <d v="2025-02-01T00:00:00"/>
    <d v="2025-02-10T00:00:00"/>
    <x v="0"/>
    <s v="OK"/>
    <s v="OK"/>
    <x v="2"/>
    <n v="9"/>
    <n v="1"/>
    <n v="203.04"/>
  </r>
  <r>
    <n v="51541"/>
    <n v="30897"/>
    <x v="45"/>
    <n v="2504"/>
    <x v="6"/>
    <n v="1"/>
    <n v="31.73"/>
    <d v="2025-02-02T00:00:00"/>
    <d v="2025-02-08T00:00:00"/>
    <x v="0"/>
    <s v="OK"/>
    <s v="OK"/>
    <x v="2"/>
    <n v="6"/>
    <n v="0"/>
    <n v="31.73"/>
  </r>
  <r>
    <n v="51542"/>
    <n v="30898"/>
    <x v="197"/>
    <n v="2051"/>
    <x v="8"/>
    <n v="1"/>
    <n v="203.04"/>
    <d v="2025-12-07T00:00:00"/>
    <d v="2025-12-16T00:00:00"/>
    <x v="1"/>
    <s v="OK"/>
    <s v="OK"/>
    <x v="2"/>
    <n v="9"/>
    <n v="1"/>
    <n v="203.04"/>
  </r>
  <r>
    <n v="51543"/>
    <n v="30898"/>
    <x v="136"/>
    <n v="2051"/>
    <x v="7"/>
    <n v="1"/>
    <n v="253.86"/>
    <d v="2025-12-07T00:00:00"/>
    <d v="2025-12-08T00:00:00"/>
    <x v="1"/>
    <s v="OK"/>
    <s v="OK"/>
    <x v="0"/>
    <n v="1"/>
    <n v="0"/>
    <n v="253.86"/>
  </r>
  <r>
    <n v="51544"/>
    <n v="30898"/>
    <x v="197"/>
    <n v="2051"/>
    <x v="4"/>
    <n v="1"/>
    <n v="183.74"/>
    <d v="2025-12-09T00:00:00"/>
    <d v="2025-12-10T00:00:00"/>
    <x v="1"/>
    <s v="OK"/>
    <s v="OK"/>
    <x v="2"/>
    <n v="1"/>
    <n v="0"/>
    <n v="183.74"/>
  </r>
  <r>
    <n v="51545"/>
    <n v="30899"/>
    <x v="237"/>
    <n v="2289"/>
    <x v="14"/>
    <n v="2"/>
    <n v="239.48"/>
    <d v="2025-08-14T00:00:00"/>
    <d v="2025-08-16T00:00:00"/>
    <x v="0"/>
    <s v="OK"/>
    <s v="OK"/>
    <x v="3"/>
    <n v="2"/>
    <n v="1"/>
    <n v="119.74"/>
  </r>
  <r>
    <n v="51546"/>
    <n v="30899"/>
    <x v="237"/>
    <n v="2289"/>
    <x v="8"/>
    <n v="1"/>
    <n v="203.04"/>
    <d v="2025-08-15T00:00:00"/>
    <d v="2025-08-20T00:00:00"/>
    <x v="0"/>
    <s v="OK"/>
    <s v="OK"/>
    <x v="2"/>
    <n v="5"/>
    <n v="0"/>
    <n v="203.04"/>
  </r>
  <r>
    <n v="51547"/>
    <n v="30900"/>
    <x v="102"/>
    <n v="2239"/>
    <x v="8"/>
    <n v="1"/>
    <n v="203.04"/>
    <d v="2025-09-30T00:00:00"/>
    <d v="2025-10-01T00:00:00"/>
    <x v="0"/>
    <s v="OK"/>
    <s v="OK"/>
    <x v="2"/>
    <n v="1"/>
    <n v="1"/>
    <n v="203.04"/>
  </r>
  <r>
    <n v="51548"/>
    <n v="30900"/>
    <x v="102"/>
    <n v="2239"/>
    <x v="12"/>
    <n v="1"/>
    <n v="65.260000000000005"/>
    <d v="2025-10-01T00:00:00"/>
    <d v="2025-10-07T00:00:00"/>
    <x v="0"/>
    <s v="OK"/>
    <s v="OK"/>
    <x v="3"/>
    <n v="6"/>
    <n v="0"/>
    <n v="65.260000000000005"/>
  </r>
  <r>
    <n v="51549"/>
    <n v="30901"/>
    <x v="11"/>
    <n v="2223"/>
    <x v="13"/>
    <n v="2"/>
    <n v="243"/>
    <d v="2025-07-29T00:00:00"/>
    <d v="2025-07-30T00:00:00"/>
    <x v="0"/>
    <s v="OK"/>
    <s v="OK"/>
    <x v="1"/>
    <n v="1"/>
    <n v="1"/>
    <n v="121.5"/>
  </r>
  <r>
    <n v="51550"/>
    <n v="30902"/>
    <x v="5"/>
    <n v="2511"/>
    <x v="14"/>
    <n v="1"/>
    <n v="119.74"/>
    <d v="2025-03-14T00:00:00"/>
    <d v="2025-03-18T00:00:00"/>
    <x v="1"/>
    <s v="OK"/>
    <s v="OK"/>
    <x v="3"/>
    <n v="4"/>
    <n v="1"/>
    <n v="119.74"/>
  </r>
  <r>
    <n v="51551"/>
    <n v="30902"/>
    <x v="5"/>
    <n v="2511"/>
    <x v="3"/>
    <n v="1"/>
    <n v="118.6"/>
    <d v="2025-03-12T00:00:00"/>
    <d v="2025-03-17T00:00:00"/>
    <x v="1"/>
    <s v="OK"/>
    <s v="OK"/>
    <x v="2"/>
    <n v="5"/>
    <n v="0"/>
    <n v="118.6"/>
  </r>
  <r>
    <n v="51552"/>
    <n v="30903"/>
    <x v="19"/>
    <n v="2339"/>
    <x v="6"/>
    <n v="3"/>
    <n v="95.19"/>
    <d v="2025-02-28T00:00:00"/>
    <d v="2025-03-07T00:00:00"/>
    <x v="0"/>
    <s v="OK"/>
    <s v="OK"/>
    <x v="2"/>
    <n v="7"/>
    <n v="1"/>
    <n v="31.73"/>
  </r>
  <r>
    <n v="51553"/>
    <n v="30904"/>
    <x v="132"/>
    <n v="2058"/>
    <x v="15"/>
    <n v="1"/>
    <n v="170.25"/>
    <d v="2025-11-22T00:00:00"/>
    <d v="2025-11-30T00:00:00"/>
    <x v="0"/>
    <s v="OK"/>
    <s v="OK"/>
    <x v="1"/>
    <n v="8"/>
    <n v="1"/>
    <n v="170.25"/>
  </r>
  <r>
    <n v="51554"/>
    <n v="30904"/>
    <x v="132"/>
    <n v="2058"/>
    <x v="11"/>
    <n v="1"/>
    <n v="224.37"/>
    <d v="2025-11-24T00:00:00"/>
    <d v="2025-11-29T00:00:00"/>
    <x v="0"/>
    <s v="OK"/>
    <s v="OK"/>
    <x v="2"/>
    <n v="5"/>
    <n v="0"/>
    <n v="224.37"/>
  </r>
  <r>
    <n v="51555"/>
    <n v="30905"/>
    <x v="334"/>
    <n v="2557"/>
    <x v="0"/>
    <n v="1"/>
    <n v="199.81"/>
    <d v="2025-09-27T00:00:00"/>
    <d v="2025-09-29T00:00:00"/>
    <x v="0"/>
    <s v="OK"/>
    <s v="OK"/>
    <x v="0"/>
    <n v="2"/>
    <n v="1"/>
    <n v="199.81"/>
  </r>
  <r>
    <n v="51556"/>
    <n v="30905"/>
    <x v="334"/>
    <n v="2557"/>
    <x v="9"/>
    <n v="1"/>
    <n v="40.28"/>
    <d v="2025-09-28T00:00:00"/>
    <d v="2025-10-07T00:00:00"/>
    <x v="0"/>
    <s v="OK"/>
    <s v="OK"/>
    <x v="0"/>
    <n v="9"/>
    <n v="0"/>
    <n v="40.28"/>
  </r>
  <r>
    <n v="51557"/>
    <n v="30906"/>
    <x v="84"/>
    <n v="2391"/>
    <x v="4"/>
    <n v="2"/>
    <n v="367.48"/>
    <s v=""/>
    <s v=""/>
    <x v="3"/>
    <s v="Missing date"/>
    <s v="Missing date"/>
    <x v="2"/>
    <s v=""/>
    <n v="1"/>
    <n v="183.74"/>
  </r>
  <r>
    <n v="51558"/>
    <n v="30906"/>
    <x v="84"/>
    <n v="2391"/>
    <x v="1"/>
    <n v="3"/>
    <n v="618.27"/>
    <s v=""/>
    <s v=""/>
    <x v="3"/>
    <s v="Missing date"/>
    <s v="Missing date"/>
    <x v="0"/>
    <s v=""/>
    <n v="0"/>
    <n v="206.09"/>
  </r>
  <r>
    <n v="51559"/>
    <n v="30907"/>
    <x v="103"/>
    <n v="2454"/>
    <x v="3"/>
    <n v="1"/>
    <n v="118.6"/>
    <d v="2025-07-18T00:00:00"/>
    <d v="2025-07-26T00:00:00"/>
    <x v="0"/>
    <s v="OK"/>
    <s v="OK"/>
    <x v="2"/>
    <n v="8"/>
    <n v="1"/>
    <n v="118.6"/>
  </r>
  <r>
    <n v="51560"/>
    <n v="30908"/>
    <x v="246"/>
    <n v="2204"/>
    <x v="4"/>
    <n v="1"/>
    <n v="183.74"/>
    <d v="2025-06-04T00:00:00"/>
    <d v="2025-06-14T00:00:00"/>
    <x v="0"/>
    <s v="OK"/>
    <s v="OK"/>
    <x v="2"/>
    <n v="10"/>
    <n v="1"/>
    <n v="183.74"/>
  </r>
  <r>
    <n v="51561"/>
    <n v="30908"/>
    <x v="200"/>
    <n v="2204"/>
    <x v="0"/>
    <n v="2"/>
    <n v="399.62"/>
    <d v="2025-06-04T00:00:00"/>
    <d v="2025-07-06T00:00:00"/>
    <x v="0"/>
    <s v="OK"/>
    <s v="OK"/>
    <x v="0"/>
    <n v="32"/>
    <n v="0"/>
    <n v="199.81"/>
  </r>
  <r>
    <n v="51562"/>
    <n v="30908"/>
    <x v="200"/>
    <n v="2204"/>
    <x v="12"/>
    <n v="1"/>
    <n v="65.260000000000005"/>
    <d v="2025-06-05T00:00:00"/>
    <d v="2025-06-07T00:00:00"/>
    <x v="0"/>
    <s v="OK"/>
    <s v="OK"/>
    <x v="3"/>
    <n v="2"/>
    <n v="0"/>
    <n v="65.260000000000005"/>
  </r>
  <r>
    <n v="51563"/>
    <n v="30909"/>
    <x v="139"/>
    <n v="2399"/>
    <x v="13"/>
    <n v="3"/>
    <n v="364.5"/>
    <d v="2025-03-13T00:00:00"/>
    <d v="2025-03-14T00:00:00"/>
    <x v="0"/>
    <s v="OK"/>
    <s v="OK"/>
    <x v="1"/>
    <n v="1"/>
    <n v="1"/>
    <n v="121.5"/>
  </r>
  <r>
    <n v="51564"/>
    <n v="30909"/>
    <x v="139"/>
    <n v="2399"/>
    <x v="5"/>
    <n v="1"/>
    <n v="101.44"/>
    <d v="2025-03-12T00:00:00"/>
    <d v="2025-03-17T00:00:00"/>
    <x v="0"/>
    <s v="OK"/>
    <s v="OK"/>
    <x v="1"/>
    <n v="5"/>
    <n v="0"/>
    <n v="101.44"/>
  </r>
  <r>
    <n v="51565"/>
    <n v="30910"/>
    <x v="317"/>
    <n v="2163"/>
    <x v="3"/>
    <n v="4"/>
    <n v="474.4"/>
    <d v="2025-07-06T00:00:00"/>
    <d v="2025-07-14T00:00:00"/>
    <x v="0"/>
    <s v="OK"/>
    <s v="OK"/>
    <x v="2"/>
    <n v="8"/>
    <n v="1"/>
    <n v="118.6"/>
  </r>
  <r>
    <n v="51566"/>
    <n v="30911"/>
    <x v="132"/>
    <n v="2563"/>
    <x v="9"/>
    <n v="3"/>
    <n v="120.84"/>
    <d v="2025-11-24T00:00:00"/>
    <d v="2025-12-01T00:00:00"/>
    <x v="0"/>
    <s v="OK"/>
    <s v="OK"/>
    <x v="0"/>
    <n v="7"/>
    <n v="1"/>
    <n v="40.28"/>
  </r>
  <r>
    <n v="51567"/>
    <n v="30912"/>
    <x v="327"/>
    <n v="2493"/>
    <x v="0"/>
    <n v="3"/>
    <n v="599.42999999999995"/>
    <d v="2025-09-17T00:00:00"/>
    <d v="2025-09-23T00:00:00"/>
    <x v="0"/>
    <s v="OK"/>
    <s v="OK"/>
    <x v="0"/>
    <n v="6"/>
    <n v="1"/>
    <n v="199.80999999999997"/>
  </r>
  <r>
    <n v="51568"/>
    <n v="30913"/>
    <x v="316"/>
    <n v="2370"/>
    <x v="0"/>
    <n v="5"/>
    <n v="999.05"/>
    <s v=""/>
    <s v=""/>
    <x v="2"/>
    <s v="Missing date"/>
    <s v="Missing date"/>
    <x v="0"/>
    <s v=""/>
    <n v="1"/>
    <n v="199.81"/>
  </r>
  <r>
    <n v="51569"/>
    <n v="30913"/>
    <x v="316"/>
    <n v="2370"/>
    <x v="4"/>
    <n v="1"/>
    <n v="183.74"/>
    <s v=""/>
    <s v=""/>
    <x v="2"/>
    <s v="Missing date"/>
    <s v="Missing date"/>
    <x v="2"/>
    <s v=""/>
    <n v="0"/>
    <n v="183.74"/>
  </r>
  <r>
    <n v="51570"/>
    <n v="30914"/>
    <x v="185"/>
    <n v="2242"/>
    <x v="5"/>
    <n v="1"/>
    <n v="101.44"/>
    <d v="2025-02-19T00:00:00"/>
    <d v="2025-02-28T00:00:00"/>
    <x v="0"/>
    <s v="OK"/>
    <s v="OK"/>
    <x v="1"/>
    <n v="9"/>
    <n v="1"/>
    <n v="101.44"/>
  </r>
  <r>
    <n v="51571"/>
    <n v="30914"/>
    <x v="185"/>
    <n v="2242"/>
    <x v="8"/>
    <n v="1"/>
    <n v="203.04"/>
    <d v="2025-02-17T00:00:00"/>
    <d v="2025-02-27T00:00:00"/>
    <x v="0"/>
    <s v="OK"/>
    <s v="OK"/>
    <x v="2"/>
    <n v="10"/>
    <n v="0"/>
    <n v="203.04"/>
  </r>
  <r>
    <n v="51572"/>
    <n v="30914"/>
    <x v="185"/>
    <n v="2242"/>
    <x v="7"/>
    <n v="1"/>
    <n v="253.86"/>
    <d v="2025-02-19T00:00:00"/>
    <d v="2025-02-25T00:00:00"/>
    <x v="0"/>
    <s v="OK"/>
    <s v="OK"/>
    <x v="0"/>
    <n v="6"/>
    <n v="0"/>
    <n v="253.86"/>
  </r>
  <r>
    <n v="51573"/>
    <n v="30915"/>
    <x v="7"/>
    <n v="2283"/>
    <x v="15"/>
    <n v="1"/>
    <n v="170.25"/>
    <d v="2025-09-14T00:00:00"/>
    <d v="2025-09-21T00:00:00"/>
    <x v="0"/>
    <s v="OK"/>
    <s v="OK"/>
    <x v="1"/>
    <n v="7"/>
    <n v="1"/>
    <n v="170.25"/>
  </r>
  <r>
    <n v="51574"/>
    <n v="30916"/>
    <x v="206"/>
    <n v="2249"/>
    <x v="3"/>
    <n v="1"/>
    <n v="118.6"/>
    <d v="2025-10-14T00:00:00"/>
    <d v="2025-10-24T00:00:00"/>
    <x v="0"/>
    <s v="OK"/>
    <s v="OK"/>
    <x v="2"/>
    <n v="10"/>
    <n v="1"/>
    <n v="118.6"/>
  </r>
  <r>
    <n v="51575"/>
    <n v="30916"/>
    <x v="206"/>
    <n v="2249"/>
    <x v="12"/>
    <n v="1"/>
    <n v="65.260000000000005"/>
    <d v="2025-10-16T00:00:00"/>
    <d v="2025-10-22T00:00:00"/>
    <x v="0"/>
    <s v="OK"/>
    <s v="OK"/>
    <x v="3"/>
    <n v="6"/>
    <n v="0"/>
    <n v="65.260000000000005"/>
  </r>
  <r>
    <n v="51576"/>
    <n v="30916"/>
    <x v="206"/>
    <n v="2249"/>
    <x v="6"/>
    <n v="2"/>
    <n v="63.46"/>
    <d v="2025-10-16T00:00:00"/>
    <d v="2025-10-18T00:00:00"/>
    <x v="0"/>
    <s v="OK"/>
    <s v="OK"/>
    <x v="2"/>
    <n v="2"/>
    <n v="0"/>
    <n v="31.73"/>
  </r>
  <r>
    <n v="51577"/>
    <n v="30917"/>
    <x v="182"/>
    <n v="2381"/>
    <x v="1"/>
    <n v="1"/>
    <n v="206.09"/>
    <d v="2025-04-02T00:00:00"/>
    <s v=""/>
    <x v="3"/>
    <s v="Missing date"/>
    <s v="OK"/>
    <x v="0"/>
    <s v=""/>
    <n v="1"/>
    <n v="206.09"/>
  </r>
  <r>
    <n v="51578"/>
    <n v="30918"/>
    <x v="65"/>
    <n v="2094"/>
    <x v="5"/>
    <n v="1"/>
    <n v="101.44"/>
    <d v="2025-08-05T00:00:00"/>
    <d v="2025-10-08T00:00:00"/>
    <x v="0"/>
    <s v="OK"/>
    <s v="OK"/>
    <x v="1"/>
    <n v="64"/>
    <n v="1"/>
    <n v="101.44"/>
  </r>
  <r>
    <n v="51579"/>
    <n v="30918"/>
    <x v="335"/>
    <n v="2094"/>
    <x v="3"/>
    <n v="2"/>
    <n v="237.2"/>
    <d v="2025-08-07T00:00:00"/>
    <d v="2025-08-13T00:00:00"/>
    <x v="0"/>
    <s v="OK"/>
    <s v="OK"/>
    <x v="2"/>
    <n v="6"/>
    <n v="0"/>
    <n v="118.6"/>
  </r>
  <r>
    <n v="51580"/>
    <n v="30918"/>
    <x v="65"/>
    <n v="2094"/>
    <x v="3"/>
    <n v="2"/>
    <n v="237.2"/>
    <d v="2025-08-07T00:00:00"/>
    <d v="2025-08-12T00:00:00"/>
    <x v="0"/>
    <s v="OK"/>
    <s v="OK"/>
    <x v="2"/>
    <n v="5"/>
    <n v="0"/>
    <n v="118.6"/>
  </r>
  <r>
    <n v="51581"/>
    <n v="30919"/>
    <x v="86"/>
    <n v="2365"/>
    <x v="4"/>
    <n v="1"/>
    <n v="183.74"/>
    <d v="2025-04-05T00:00:00"/>
    <d v="2025-04-13T00:00:00"/>
    <x v="0"/>
    <s v="OK"/>
    <s v="OK"/>
    <x v="2"/>
    <n v="8"/>
    <n v="1"/>
    <n v="183.74"/>
  </r>
  <r>
    <n v="51582"/>
    <n v="30919"/>
    <x v="24"/>
    <n v="2365"/>
    <x v="6"/>
    <n v="1"/>
    <n v="31.73"/>
    <d v="2025-04-03T00:00:00"/>
    <d v="2025-04-07T00:00:00"/>
    <x v="0"/>
    <s v="OK"/>
    <s v="OK"/>
    <x v="2"/>
    <n v="4"/>
    <n v="0"/>
    <n v="31.73"/>
  </r>
  <r>
    <n v="51583"/>
    <n v="30919"/>
    <x v="24"/>
    <n v="2365"/>
    <x v="12"/>
    <n v="1"/>
    <n v="65.260000000000005"/>
    <d v="2025-04-04T00:00:00"/>
    <d v="2025-04-12T00:00:00"/>
    <x v="0"/>
    <s v="OK"/>
    <s v="OK"/>
    <x v="3"/>
    <n v="8"/>
    <n v="0"/>
    <n v="65.260000000000005"/>
  </r>
  <r>
    <n v="51584"/>
    <n v="30919"/>
    <x v="24"/>
    <n v="2365"/>
    <x v="1"/>
    <n v="2"/>
    <n v="412.18"/>
    <d v="2025-04-05T00:00:00"/>
    <d v="2025-04-06T00:00:00"/>
    <x v="0"/>
    <s v="OK"/>
    <s v="OK"/>
    <x v="0"/>
    <n v="1"/>
    <n v="0"/>
    <n v="206.09"/>
  </r>
  <r>
    <n v="51585"/>
    <n v="30920"/>
    <x v="214"/>
    <n v="2325"/>
    <x v="2"/>
    <n v="1"/>
    <n v="241.54"/>
    <d v="2025-07-12T00:00:00"/>
    <d v="2025-07-21T00:00:00"/>
    <x v="1"/>
    <s v="OK"/>
    <s v="OK"/>
    <x v="1"/>
    <n v="9"/>
    <n v="1"/>
    <n v="241.54"/>
  </r>
  <r>
    <n v="51586"/>
    <n v="30920"/>
    <x v="214"/>
    <n v="2325"/>
    <x v="14"/>
    <n v="1"/>
    <n v="119.74"/>
    <d v="2025-07-11T00:00:00"/>
    <d v="2025-07-18T00:00:00"/>
    <x v="1"/>
    <s v="OK"/>
    <s v="OK"/>
    <x v="3"/>
    <n v="7"/>
    <n v="0"/>
    <n v="119.74"/>
  </r>
  <r>
    <n v="51587"/>
    <n v="30921"/>
    <x v="74"/>
    <n v="2198"/>
    <x v="15"/>
    <n v="3"/>
    <n v="510.75"/>
    <d v="2025-06-14T00:00:00"/>
    <d v="2025-06-22T00:00:00"/>
    <x v="0"/>
    <s v="OK"/>
    <s v="OK"/>
    <x v="1"/>
    <n v="8"/>
    <n v="1"/>
    <n v="170.25"/>
  </r>
  <r>
    <n v="51588"/>
    <n v="30921"/>
    <x v="74"/>
    <n v="2198"/>
    <x v="2"/>
    <n v="3"/>
    <n v="724.62"/>
    <d v="2025-06-13T00:00:00"/>
    <d v="2025-06-23T00:00:00"/>
    <x v="0"/>
    <s v="OK"/>
    <s v="OK"/>
    <x v="1"/>
    <n v="10"/>
    <n v="0"/>
    <n v="241.54"/>
  </r>
  <r>
    <n v="51589"/>
    <n v="30922"/>
    <x v="150"/>
    <n v="2138"/>
    <x v="3"/>
    <n v="1"/>
    <n v="118.6"/>
    <d v="2025-07-24T00:00:00"/>
    <d v="2025-07-27T00:00:00"/>
    <x v="0"/>
    <s v="OK"/>
    <s v="OK"/>
    <x v="2"/>
    <n v="3"/>
    <n v="1"/>
    <n v="118.6"/>
  </r>
  <r>
    <n v="51590"/>
    <n v="30922"/>
    <x v="150"/>
    <n v="2138"/>
    <x v="12"/>
    <n v="1"/>
    <n v="65.260000000000005"/>
    <d v="2025-07-22T00:00:00"/>
    <d v="2025-07-23T00:00:00"/>
    <x v="0"/>
    <s v="OK"/>
    <s v="OK"/>
    <x v="3"/>
    <n v="1"/>
    <n v="0"/>
    <n v="65.260000000000005"/>
  </r>
  <r>
    <n v="51591"/>
    <n v="30923"/>
    <x v="199"/>
    <n v="2449"/>
    <x v="12"/>
    <n v="4"/>
    <n v="261.04000000000002"/>
    <d v="2025-01-10T00:00:00"/>
    <d v="2025-01-20T00:00:00"/>
    <x v="0"/>
    <s v="OK"/>
    <s v="OK"/>
    <x v="3"/>
    <n v="10"/>
    <n v="1"/>
    <n v="65.260000000000005"/>
  </r>
  <r>
    <n v="51592"/>
    <n v="30923"/>
    <x v="199"/>
    <n v="2449"/>
    <x v="0"/>
    <n v="4"/>
    <n v="799.24"/>
    <d v="2025-01-08T00:00:00"/>
    <d v="2025-01-12T00:00:00"/>
    <x v="0"/>
    <s v="OK"/>
    <s v="OK"/>
    <x v="0"/>
    <n v="4"/>
    <n v="0"/>
    <n v="199.81"/>
  </r>
  <r>
    <n v="51593"/>
    <n v="30923"/>
    <x v="199"/>
    <n v="2449"/>
    <x v="7"/>
    <n v="1"/>
    <n v="253.86"/>
    <d v="2025-01-08T00:00:00"/>
    <d v="2025-09-01T00:00:00"/>
    <x v="0"/>
    <s v="OK"/>
    <s v="OK"/>
    <x v="0"/>
    <n v="236"/>
    <n v="0"/>
    <n v="253.86"/>
  </r>
  <r>
    <n v="51594"/>
    <n v="30924"/>
    <x v="87"/>
    <n v="2557"/>
    <x v="14"/>
    <n v="1"/>
    <n v="119.74"/>
    <d v="2025-11-06T00:00:00"/>
    <d v="2025-11-07T00:00:00"/>
    <x v="0"/>
    <s v="OK"/>
    <s v="OK"/>
    <x v="3"/>
    <n v="1"/>
    <n v="1"/>
    <n v="119.74"/>
  </r>
  <r>
    <n v="51595"/>
    <n v="30925"/>
    <x v="10"/>
    <n v="2282"/>
    <x v="7"/>
    <n v="1"/>
    <n v="253.86"/>
    <s v=""/>
    <s v=""/>
    <x v="2"/>
    <s v="Missing date"/>
    <s v="Missing date"/>
    <x v="0"/>
    <s v=""/>
    <n v="1"/>
    <n v="253.86"/>
  </r>
  <r>
    <n v="51596"/>
    <n v="30925"/>
    <x v="10"/>
    <n v="2282"/>
    <x v="11"/>
    <n v="1"/>
    <n v="224.37"/>
    <s v=""/>
    <s v=""/>
    <x v="2"/>
    <s v="Missing date"/>
    <s v="Missing date"/>
    <x v="2"/>
    <s v=""/>
    <n v="0"/>
    <n v="224.37"/>
  </r>
  <r>
    <n v="51597"/>
    <n v="30925"/>
    <x v="10"/>
    <n v="2282"/>
    <x v="6"/>
    <n v="1"/>
    <n v="31.73"/>
    <s v=""/>
    <s v=""/>
    <x v="2"/>
    <s v="Missing date"/>
    <s v="Missing date"/>
    <x v="2"/>
    <s v=""/>
    <n v="0"/>
    <n v="31.73"/>
  </r>
  <r>
    <n v="51598"/>
    <n v="30926"/>
    <x v="314"/>
    <n v="2461"/>
    <x v="9"/>
    <n v="2"/>
    <n v="80.56"/>
    <d v="2025-07-08T00:00:00"/>
    <d v="2025-07-18T00:00:00"/>
    <x v="0"/>
    <s v="OK"/>
    <s v="OK"/>
    <x v="0"/>
    <n v="10"/>
    <n v="1"/>
    <n v="40.28"/>
  </r>
  <r>
    <n v="51599"/>
    <n v="30927"/>
    <x v="162"/>
    <n v="2555"/>
    <x v="8"/>
    <n v="1"/>
    <n v="203.04"/>
    <d v="2026-01-01T00:00:00"/>
    <d v="2026-06-01T00:00:00"/>
    <x v="0"/>
    <s v="OK"/>
    <s v="OK"/>
    <x v="2"/>
    <n v="151"/>
    <n v="1"/>
    <n v="203.04"/>
  </r>
  <r>
    <n v="51600"/>
    <n v="30927"/>
    <x v="162"/>
    <n v="2555"/>
    <x v="15"/>
    <n v="1"/>
    <n v="170.25"/>
    <d v="2026-01-01T00:00:00"/>
    <d v="2026-11-01T00:00:00"/>
    <x v="0"/>
    <s v="OK"/>
    <s v="OK"/>
    <x v="1"/>
    <n v="304"/>
    <n v="0"/>
    <n v="170.25"/>
  </r>
  <r>
    <n v="51601"/>
    <n v="30927"/>
    <x v="162"/>
    <n v="2555"/>
    <x v="7"/>
    <n v="2"/>
    <n v="507.72"/>
    <d v="2025-12-30T00:00:00"/>
    <d v="2026-05-01T00:00:00"/>
    <x v="0"/>
    <s v="OK"/>
    <s v="OK"/>
    <x v="0"/>
    <n v="122"/>
    <n v="0"/>
    <n v="253.86"/>
  </r>
  <r>
    <n v="51602"/>
    <n v="30928"/>
    <x v="249"/>
    <n v="2020"/>
    <x v="2"/>
    <n v="2"/>
    <n v="483.08"/>
    <d v="2025-01-22T00:00:00"/>
    <d v="2025-02-01T00:00:00"/>
    <x v="0"/>
    <s v="OK"/>
    <s v="OK"/>
    <x v="1"/>
    <n v="10"/>
    <n v="1"/>
    <n v="241.54"/>
  </r>
  <r>
    <n v="51603"/>
    <n v="30928"/>
    <x v="249"/>
    <n v="2020"/>
    <x v="1"/>
    <n v="1"/>
    <n v="206.09"/>
    <d v="2025-01-22T00:00:00"/>
    <d v="2025-01-27T00:00:00"/>
    <x v="0"/>
    <s v="OK"/>
    <s v="OK"/>
    <x v="0"/>
    <n v="5"/>
    <n v="0"/>
    <n v="206.09"/>
  </r>
  <r>
    <n v="51604"/>
    <n v="30928"/>
    <x v="249"/>
    <n v="2020"/>
    <x v="5"/>
    <n v="2"/>
    <n v="202.88"/>
    <d v="2025-01-22T00:00:00"/>
    <d v="2025-01-25T00:00:00"/>
    <x v="0"/>
    <s v="OK"/>
    <s v="OK"/>
    <x v="1"/>
    <n v="3"/>
    <n v="0"/>
    <n v="101.44"/>
  </r>
  <r>
    <n v="51605"/>
    <n v="30929"/>
    <x v="257"/>
    <n v="2065"/>
    <x v="15"/>
    <n v="4"/>
    <n v="681"/>
    <d v="2025-10-05T00:00:00"/>
    <d v="2025-10-15T00:00:00"/>
    <x v="0"/>
    <s v="OK"/>
    <s v="OK"/>
    <x v="1"/>
    <n v="10"/>
    <n v="1"/>
    <n v="170.25"/>
  </r>
  <r>
    <n v="51606"/>
    <n v="30929"/>
    <x v="257"/>
    <n v="2065"/>
    <x v="0"/>
    <n v="1"/>
    <n v="199.81"/>
    <d v="2025-10-06T00:00:00"/>
    <d v="2025-10-10T00:00:00"/>
    <x v="0"/>
    <s v="OK"/>
    <s v="OK"/>
    <x v="0"/>
    <n v="4"/>
    <n v="0"/>
    <n v="199.81"/>
  </r>
  <r>
    <n v="51607"/>
    <n v="30930"/>
    <x v="286"/>
    <n v="2537"/>
    <x v="6"/>
    <n v="1"/>
    <n v="31.73"/>
    <d v="2025-06-26T00:00:00"/>
    <d v="2025-07-01T00:00:00"/>
    <x v="0"/>
    <s v="OK"/>
    <s v="OK"/>
    <x v="2"/>
    <n v="5"/>
    <n v="1"/>
    <n v="31.73"/>
  </r>
  <r>
    <n v="51608"/>
    <n v="30930"/>
    <x v="286"/>
    <n v="2537"/>
    <x v="13"/>
    <n v="1"/>
    <n v="121.5"/>
    <d v="2025-06-26T00:00:00"/>
    <d v="2025-06-28T00:00:00"/>
    <x v="0"/>
    <s v="OK"/>
    <s v="OK"/>
    <x v="1"/>
    <n v="2"/>
    <n v="0"/>
    <n v="121.5"/>
  </r>
  <r>
    <n v="51609"/>
    <n v="30931"/>
    <x v="64"/>
    <n v="2331"/>
    <x v="5"/>
    <n v="2"/>
    <n v="202.88"/>
    <d v="2025-05-31T00:00:00"/>
    <d v="2025-06-03T00:00:00"/>
    <x v="0"/>
    <s v="OK"/>
    <s v="OK"/>
    <x v="1"/>
    <n v="3"/>
    <n v="1"/>
    <n v="101.44"/>
  </r>
  <r>
    <n v="51610"/>
    <n v="30932"/>
    <x v="284"/>
    <n v="2114"/>
    <x v="11"/>
    <n v="1"/>
    <n v="224.37"/>
    <d v="2025-03-06T00:00:00"/>
    <d v="2025-03-15T00:00:00"/>
    <x v="0"/>
    <s v="OK"/>
    <s v="OK"/>
    <x v="2"/>
    <n v="9"/>
    <n v="1"/>
    <n v="224.37"/>
  </r>
  <r>
    <n v="51611"/>
    <n v="30932"/>
    <x v="284"/>
    <n v="2114"/>
    <x v="3"/>
    <n v="1"/>
    <n v="118.6"/>
    <d v="2025-03-06T00:00:00"/>
    <d v="2025-03-12T00:00:00"/>
    <x v="0"/>
    <s v="OK"/>
    <s v="OK"/>
    <x v="2"/>
    <n v="6"/>
    <n v="0"/>
    <n v="118.6"/>
  </r>
  <r>
    <n v="51612"/>
    <n v="30933"/>
    <x v="42"/>
    <n v="2133"/>
    <x v="3"/>
    <n v="1"/>
    <n v="118.6"/>
    <d v="2025-10-12T00:00:00"/>
    <d v="2025-10-14T00:00:00"/>
    <x v="0"/>
    <s v="OK"/>
    <s v="OK"/>
    <x v="2"/>
    <n v="2"/>
    <n v="1"/>
    <n v="118.6"/>
  </r>
  <r>
    <n v="51613"/>
    <n v="30934"/>
    <x v="8"/>
    <n v="2207"/>
    <x v="0"/>
    <n v="1"/>
    <n v="199.81"/>
    <d v="2025-11-06T00:00:00"/>
    <d v="2025-11-08T00:00:00"/>
    <x v="0"/>
    <s v="OK"/>
    <s v="OK"/>
    <x v="0"/>
    <n v="2"/>
    <n v="1"/>
    <n v="199.81"/>
  </r>
  <r>
    <n v="51614"/>
    <n v="30934"/>
    <x v="48"/>
    <n v="2207"/>
    <x v="4"/>
    <n v="2"/>
    <n v="367.48"/>
    <d v="2025-05-11T00:00:00"/>
    <d v="2025-11-11T00:00:00"/>
    <x v="0"/>
    <s v="OK"/>
    <s v="OK"/>
    <x v="2"/>
    <n v="184"/>
    <n v="0"/>
    <n v="183.74"/>
  </r>
  <r>
    <n v="51615"/>
    <n v="30934"/>
    <x v="8"/>
    <n v="2207"/>
    <x v="3"/>
    <n v="1"/>
    <n v="118.6"/>
    <d v="2025-11-05T00:00:00"/>
    <d v="2025-11-13T00:00:00"/>
    <x v="0"/>
    <s v="OK"/>
    <s v="OK"/>
    <x v="2"/>
    <n v="8"/>
    <n v="0"/>
    <n v="118.6"/>
  </r>
  <r>
    <n v="51616"/>
    <n v="30935"/>
    <x v="54"/>
    <n v="2585"/>
    <x v="15"/>
    <n v="1"/>
    <n v="170.25"/>
    <d v="2025-04-09T00:00:00"/>
    <d v="2025-04-15T00:00:00"/>
    <x v="0"/>
    <s v="OK"/>
    <s v="OK"/>
    <x v="1"/>
    <n v="6"/>
    <n v="1"/>
    <n v="170.25"/>
  </r>
  <r>
    <n v="51617"/>
    <n v="30935"/>
    <x v="54"/>
    <n v="2585"/>
    <x v="12"/>
    <n v="1"/>
    <n v="65.260000000000005"/>
    <d v="2025-04-09T00:00:00"/>
    <d v="2025-04-14T00:00:00"/>
    <x v="0"/>
    <s v="OK"/>
    <s v="OK"/>
    <x v="3"/>
    <n v="5"/>
    <n v="0"/>
    <n v="65.260000000000005"/>
  </r>
  <r>
    <n v="51618"/>
    <n v="30936"/>
    <x v="205"/>
    <n v="2539"/>
    <x v="9"/>
    <n v="2"/>
    <n v="80.56"/>
    <d v="2025-10-07T00:00:00"/>
    <d v="2025-10-15T00:00:00"/>
    <x v="0"/>
    <s v="OK"/>
    <s v="OK"/>
    <x v="0"/>
    <n v="8"/>
    <n v="1"/>
    <n v="40.28"/>
  </r>
  <r>
    <n v="51619"/>
    <n v="30937"/>
    <x v="58"/>
    <n v="2051"/>
    <x v="11"/>
    <n v="1"/>
    <n v="224.37"/>
    <d v="2025-10-15T00:00:00"/>
    <d v="2025-10-23T00:00:00"/>
    <x v="0"/>
    <s v="OK"/>
    <s v="OK"/>
    <x v="2"/>
    <n v="8"/>
    <n v="1"/>
    <n v="224.37"/>
  </r>
  <r>
    <n v="51620"/>
    <n v="30938"/>
    <x v="28"/>
    <n v="2014"/>
    <x v="0"/>
    <n v="3"/>
    <n v="599.42999999999995"/>
    <s v=""/>
    <s v=""/>
    <x v="2"/>
    <s v="Missing date"/>
    <s v="Missing date"/>
    <x v="0"/>
    <s v=""/>
    <n v="1"/>
    <n v="199.80999999999997"/>
  </r>
  <r>
    <n v="51621"/>
    <n v="30938"/>
    <x v="28"/>
    <n v="2014"/>
    <x v="12"/>
    <n v="1"/>
    <n v="65.260000000000005"/>
    <s v=""/>
    <s v=""/>
    <x v="2"/>
    <s v="Missing date"/>
    <s v="Missing date"/>
    <x v="3"/>
    <s v=""/>
    <n v="0"/>
    <n v="65.260000000000005"/>
  </r>
  <r>
    <n v="51622"/>
    <n v="30939"/>
    <x v="92"/>
    <n v="2082"/>
    <x v="3"/>
    <n v="1"/>
    <n v="118.6"/>
    <d v="2025-05-19T00:00:00"/>
    <d v="2025-05-26T00:00:00"/>
    <x v="0"/>
    <s v="OK"/>
    <s v="OK"/>
    <x v="2"/>
    <n v="7"/>
    <n v="1"/>
    <n v="118.6"/>
  </r>
  <r>
    <n v="51623"/>
    <n v="30940"/>
    <x v="299"/>
    <n v="2370"/>
    <x v="10"/>
    <n v="1"/>
    <n v="215.34"/>
    <d v="2025-01-22T00:00:00"/>
    <d v="2025-01-25T00:00:00"/>
    <x v="0"/>
    <s v="OK"/>
    <s v="OK"/>
    <x v="3"/>
    <n v="3"/>
    <n v="1"/>
    <n v="215.34"/>
  </r>
  <r>
    <n v="51624"/>
    <n v="30940"/>
    <x v="299"/>
    <n v="2370"/>
    <x v="2"/>
    <n v="2"/>
    <n v="483.08"/>
    <d v="2025-01-23T00:00:00"/>
    <d v="2025-01-29T00:00:00"/>
    <x v="0"/>
    <s v="OK"/>
    <s v="OK"/>
    <x v="1"/>
    <n v="6"/>
    <n v="0"/>
    <n v="241.54"/>
  </r>
  <r>
    <n v="51625"/>
    <n v="30941"/>
    <x v="210"/>
    <n v="2060"/>
    <x v="9"/>
    <n v="1"/>
    <n v="40.28"/>
    <s v=""/>
    <s v=""/>
    <x v="3"/>
    <s v="Missing date"/>
    <s v="Missing date"/>
    <x v="0"/>
    <s v=""/>
    <n v="1"/>
    <n v="40.28"/>
  </r>
  <r>
    <n v="51626"/>
    <n v="30942"/>
    <x v="100"/>
    <n v="2073"/>
    <x v="11"/>
    <n v="1"/>
    <n v="224.37"/>
    <s v=""/>
    <s v=""/>
    <x v="3"/>
    <s v="Missing date"/>
    <s v="Missing date"/>
    <x v="2"/>
    <s v=""/>
    <n v="1"/>
    <n v="224.37"/>
  </r>
  <r>
    <n v="51627"/>
    <n v="30943"/>
    <x v="90"/>
    <n v="2532"/>
    <x v="1"/>
    <n v="2"/>
    <n v="412.18"/>
    <d v="2025-07-09T00:00:00"/>
    <d v="2025-07-12T00:00:00"/>
    <x v="0"/>
    <s v="OK"/>
    <s v="OK"/>
    <x v="0"/>
    <n v="3"/>
    <n v="1"/>
    <n v="206.09"/>
  </r>
  <r>
    <n v="51628"/>
    <n v="30944"/>
    <x v="272"/>
    <n v="2545"/>
    <x v="0"/>
    <n v="1"/>
    <n v="199.81"/>
    <d v="2025-05-20T00:00:00"/>
    <d v="2025-05-23T00:00:00"/>
    <x v="0"/>
    <s v="OK"/>
    <s v="OK"/>
    <x v="0"/>
    <n v="3"/>
    <n v="1"/>
    <n v="199.81"/>
  </r>
  <r>
    <n v="51629"/>
    <n v="30945"/>
    <x v="260"/>
    <n v="2539"/>
    <x v="7"/>
    <n v="3"/>
    <n v="761.58"/>
    <d v="2025-04-16T00:00:00"/>
    <d v="2025-04-25T00:00:00"/>
    <x v="0"/>
    <s v="OK"/>
    <s v="OK"/>
    <x v="0"/>
    <n v="9"/>
    <n v="1"/>
    <n v="253.86"/>
  </r>
  <r>
    <n v="51630"/>
    <n v="30946"/>
    <x v="40"/>
    <n v="2572"/>
    <x v="10"/>
    <n v="1"/>
    <n v="215.34"/>
    <d v="2025-11-01T00:00:00"/>
    <d v="2025-11-07T00:00:00"/>
    <x v="0"/>
    <s v="OK"/>
    <s v="OK"/>
    <x v="3"/>
    <n v="6"/>
    <n v="1"/>
    <n v="215.34"/>
  </r>
  <r>
    <n v="51631"/>
    <n v="30947"/>
    <x v="336"/>
    <n v="2109"/>
    <x v="2"/>
    <n v="1"/>
    <n v="241.54"/>
    <s v=""/>
    <s v=""/>
    <x v="3"/>
    <s v="Missing date"/>
    <s v="Missing date"/>
    <x v="1"/>
    <s v=""/>
    <n v="1"/>
    <n v="241.54"/>
  </r>
  <r>
    <n v="51632"/>
    <n v="30948"/>
    <x v="195"/>
    <n v="2438"/>
    <x v="7"/>
    <n v="1"/>
    <n v="253.86"/>
    <s v=""/>
    <s v=""/>
    <x v="2"/>
    <s v="Missing date"/>
    <s v="Missing date"/>
    <x v="0"/>
    <s v=""/>
    <n v="1"/>
    <n v="253.86"/>
  </r>
  <r>
    <n v="51633"/>
    <n v="30949"/>
    <x v="48"/>
    <n v="2185"/>
    <x v="5"/>
    <n v="3"/>
    <n v="304.32"/>
    <d v="2025-04-12T00:00:00"/>
    <d v="2025-04-18T00:00:00"/>
    <x v="0"/>
    <s v="OK"/>
    <s v="OK"/>
    <x v="1"/>
    <n v="6"/>
    <n v="1"/>
    <n v="101.44"/>
  </r>
  <r>
    <n v="51634"/>
    <n v="30949"/>
    <x v="48"/>
    <n v="2185"/>
    <x v="7"/>
    <n v="1"/>
    <n v="253.86"/>
    <d v="2025-04-12T00:00:00"/>
    <d v="2025-04-19T00:00:00"/>
    <x v="0"/>
    <s v="OK"/>
    <s v="OK"/>
    <x v="0"/>
    <n v="7"/>
    <n v="0"/>
    <n v="253.86"/>
  </r>
  <r>
    <n v="51635"/>
    <n v="30949"/>
    <x v="48"/>
    <n v="2185"/>
    <x v="14"/>
    <n v="1"/>
    <n v="119.74"/>
    <d v="2025-04-13T00:00:00"/>
    <d v="2025-04-16T00:00:00"/>
    <x v="0"/>
    <s v="OK"/>
    <s v="OK"/>
    <x v="3"/>
    <n v="3"/>
    <n v="0"/>
    <n v="119.74"/>
  </r>
  <r>
    <n v="51636"/>
    <n v="30950"/>
    <x v="244"/>
    <n v="2361"/>
    <x v="5"/>
    <n v="3"/>
    <n v="304.32"/>
    <s v=""/>
    <s v=""/>
    <x v="2"/>
    <s v="Missing date"/>
    <s v="Missing date"/>
    <x v="1"/>
    <s v=""/>
    <n v="1"/>
    <n v="101.44"/>
  </r>
  <r>
    <n v="51637"/>
    <n v="30951"/>
    <x v="11"/>
    <n v="2381"/>
    <x v="10"/>
    <n v="2"/>
    <n v="430.68"/>
    <d v="2025-07-30T00:00:00"/>
    <d v="2025-08-03T00:00:00"/>
    <x v="0"/>
    <s v="OK"/>
    <s v="OK"/>
    <x v="3"/>
    <n v="4"/>
    <n v="1"/>
    <n v="215.34"/>
  </r>
  <r>
    <n v="51638"/>
    <n v="30951"/>
    <x v="11"/>
    <n v="2381"/>
    <x v="5"/>
    <n v="1"/>
    <n v="101.44"/>
    <d v="2025-07-29T00:00:00"/>
    <d v="2025-08-05T00:00:00"/>
    <x v="0"/>
    <s v="OK"/>
    <s v="OK"/>
    <x v="1"/>
    <n v="7"/>
    <n v="0"/>
    <n v="101.44"/>
  </r>
  <r>
    <n v="51639"/>
    <n v="30952"/>
    <x v="279"/>
    <n v="2247"/>
    <x v="0"/>
    <n v="1"/>
    <n v="199.81"/>
    <d v="2025-02-27T00:00:00"/>
    <d v="2025-03-08T00:00:00"/>
    <x v="0"/>
    <s v="OK"/>
    <s v="OK"/>
    <x v="0"/>
    <n v="9"/>
    <n v="1"/>
    <n v="199.81"/>
  </r>
  <r>
    <n v="51640"/>
    <n v="30952"/>
    <x v="279"/>
    <n v="2247"/>
    <x v="15"/>
    <n v="1"/>
    <n v="170.25"/>
    <d v="2025-02-26T00:00:00"/>
    <d v="2025-03-03T00:00:00"/>
    <x v="0"/>
    <s v="OK"/>
    <s v="OK"/>
    <x v="1"/>
    <n v="5"/>
    <n v="0"/>
    <n v="170.25"/>
  </r>
  <r>
    <n v="51641"/>
    <n v="30953"/>
    <x v="67"/>
    <n v="2564"/>
    <x v="9"/>
    <n v="1"/>
    <n v="40.28"/>
    <s v=""/>
    <s v=""/>
    <x v="2"/>
    <s v="Missing date"/>
    <s v="Missing date"/>
    <x v="0"/>
    <s v=""/>
    <n v="1"/>
    <n v="40.28"/>
  </r>
  <r>
    <n v="51642"/>
    <n v="30953"/>
    <x v="67"/>
    <n v="2564"/>
    <x v="2"/>
    <n v="1"/>
    <n v="241.54"/>
    <s v=""/>
    <s v=""/>
    <x v="2"/>
    <s v="Missing date"/>
    <s v="Missing date"/>
    <x v="1"/>
    <s v=""/>
    <n v="0"/>
    <n v="241.54"/>
  </r>
  <r>
    <n v="51643"/>
    <n v="30953"/>
    <x v="67"/>
    <n v="2564"/>
    <x v="14"/>
    <n v="1"/>
    <n v="119.74"/>
    <s v=""/>
    <s v=""/>
    <x v="2"/>
    <s v="Missing date"/>
    <s v="Missing date"/>
    <x v="3"/>
    <s v=""/>
    <n v="0"/>
    <n v="119.74"/>
  </r>
  <r>
    <n v="51644"/>
    <n v="30953"/>
    <x v="337"/>
    <n v="2564"/>
    <x v="14"/>
    <n v="2"/>
    <n v="239.48"/>
    <s v=""/>
    <s v=""/>
    <x v="2"/>
    <s v="Missing date"/>
    <s v="Missing date"/>
    <x v="3"/>
    <s v=""/>
    <n v="0"/>
    <n v="119.74"/>
  </r>
  <r>
    <n v="51645"/>
    <n v="30954"/>
    <x v="98"/>
    <n v="2407"/>
    <x v="3"/>
    <n v="1"/>
    <n v="118.6"/>
    <d v="2025-05-01T00:00:00"/>
    <d v="2025-05-11T00:00:00"/>
    <x v="0"/>
    <s v="OK"/>
    <s v="OK"/>
    <x v="2"/>
    <n v="10"/>
    <n v="1"/>
    <n v="118.6"/>
  </r>
  <r>
    <n v="51646"/>
    <n v="30954"/>
    <x v="98"/>
    <n v="2407"/>
    <x v="13"/>
    <n v="1"/>
    <n v="121.5"/>
    <d v="2025-05-01T00:00:00"/>
    <d v="2025-08-05T00:00:00"/>
    <x v="0"/>
    <s v="OK"/>
    <s v="OK"/>
    <x v="1"/>
    <n v="96"/>
    <n v="0"/>
    <n v="121.5"/>
  </r>
  <r>
    <n v="51647"/>
    <n v="30954"/>
    <x v="98"/>
    <n v="2407"/>
    <x v="8"/>
    <n v="1"/>
    <n v="203.04"/>
    <d v="2025-05-03T00:00:00"/>
    <d v="2025-05-08T00:00:00"/>
    <x v="0"/>
    <s v="OK"/>
    <s v="OK"/>
    <x v="2"/>
    <n v="5"/>
    <n v="0"/>
    <n v="203.04"/>
  </r>
  <r>
    <n v="51648"/>
    <n v="30954"/>
    <x v="98"/>
    <n v="2407"/>
    <x v="6"/>
    <n v="2"/>
    <n v="63.46"/>
    <d v="2025-05-02T00:00:00"/>
    <d v="2025-05-08T00:00:00"/>
    <x v="0"/>
    <s v="OK"/>
    <s v="OK"/>
    <x v="2"/>
    <n v="6"/>
    <n v="0"/>
    <n v="31.73"/>
  </r>
  <r>
    <n v="51649"/>
    <n v="30955"/>
    <x v="285"/>
    <n v="2310"/>
    <x v="1"/>
    <n v="4"/>
    <n v="824.36"/>
    <d v="2025-11-26T00:00:00"/>
    <d v="2025-12-01T00:00:00"/>
    <x v="0"/>
    <s v="OK"/>
    <s v="OK"/>
    <x v="0"/>
    <n v="5"/>
    <n v="1"/>
    <n v="206.09"/>
  </r>
  <r>
    <n v="51650"/>
    <n v="30955"/>
    <x v="285"/>
    <n v="2310"/>
    <x v="0"/>
    <n v="2"/>
    <n v="399.62"/>
    <d v="2025-11-27T00:00:00"/>
    <d v="2025-12-06T00:00:00"/>
    <x v="0"/>
    <s v="OK"/>
    <s v="OK"/>
    <x v="0"/>
    <n v="9"/>
    <n v="0"/>
    <n v="199.81"/>
  </r>
  <r>
    <n v="51651"/>
    <n v="30955"/>
    <x v="285"/>
    <n v="2310"/>
    <x v="5"/>
    <n v="1"/>
    <n v="101.44"/>
    <d v="2025-11-28T00:00:00"/>
    <d v="2025-12-02T00:00:00"/>
    <x v="0"/>
    <s v="OK"/>
    <s v="OK"/>
    <x v="1"/>
    <n v="4"/>
    <n v="0"/>
    <n v="101.44"/>
  </r>
  <r>
    <n v="51652"/>
    <n v="30956"/>
    <x v="236"/>
    <n v="2023"/>
    <x v="9"/>
    <n v="2"/>
    <n v="80.56"/>
    <s v=""/>
    <s v=""/>
    <x v="3"/>
    <s v="Missing date"/>
    <s v="Missing date"/>
    <x v="0"/>
    <s v=""/>
    <n v="1"/>
    <n v="40.28"/>
  </r>
  <r>
    <n v="51653"/>
    <n v="30957"/>
    <x v="328"/>
    <n v="2524"/>
    <x v="6"/>
    <n v="1"/>
    <n v="31.73"/>
    <d v="2025-03-08T00:00:00"/>
    <d v="2025-03-18T00:00:00"/>
    <x v="0"/>
    <s v="OK"/>
    <s v="OK"/>
    <x v="2"/>
    <n v="10"/>
    <n v="1"/>
    <n v="31.73"/>
  </r>
  <r>
    <n v="51654"/>
    <n v="30958"/>
    <x v="57"/>
    <n v="2097"/>
    <x v="2"/>
    <n v="5"/>
    <n v="1207.7"/>
    <d v="2025-07-14T00:00:00"/>
    <d v="2025-07-16T00:00:00"/>
    <x v="0"/>
    <s v="OK"/>
    <s v="OK"/>
    <x v="1"/>
    <n v="2"/>
    <n v="1"/>
    <n v="241.54000000000002"/>
  </r>
  <r>
    <n v="51655"/>
    <n v="30958"/>
    <x v="57"/>
    <n v="2097"/>
    <x v="6"/>
    <n v="1"/>
    <n v="31.73"/>
    <d v="2025-07-12T00:00:00"/>
    <d v="2025-07-16T00:00:00"/>
    <x v="0"/>
    <s v="OK"/>
    <s v="OK"/>
    <x v="2"/>
    <n v="4"/>
    <n v="0"/>
    <n v="31.73"/>
  </r>
  <r>
    <n v="51656"/>
    <n v="30958"/>
    <x v="57"/>
    <n v="2097"/>
    <x v="6"/>
    <n v="1"/>
    <n v="31.73"/>
    <d v="2025-07-12T00:00:00"/>
    <d v="2025-07-17T00:00:00"/>
    <x v="0"/>
    <s v="OK"/>
    <s v="OK"/>
    <x v="2"/>
    <n v="5"/>
    <n v="0"/>
    <n v="31.73"/>
  </r>
  <r>
    <n v="51657"/>
    <n v="30959"/>
    <x v="88"/>
    <n v="2272"/>
    <x v="1"/>
    <n v="1"/>
    <n v="206.09"/>
    <d v="2025-03-24T00:00:00"/>
    <d v="2025-03-31T00:00:00"/>
    <x v="0"/>
    <s v="OK"/>
    <s v="OK"/>
    <x v="0"/>
    <n v="7"/>
    <n v="1"/>
    <n v="206.09"/>
  </r>
  <r>
    <n v="51658"/>
    <n v="30959"/>
    <x v="88"/>
    <n v="2272"/>
    <x v="1"/>
    <n v="2"/>
    <n v="412.18"/>
    <d v="2025-03-23T00:00:00"/>
    <d v="2025-03-31T00:00:00"/>
    <x v="0"/>
    <s v="OK"/>
    <s v="OK"/>
    <x v="0"/>
    <n v="8"/>
    <n v="0"/>
    <n v="206.09"/>
  </r>
  <r>
    <n v="51659"/>
    <n v="30960"/>
    <x v="84"/>
    <n v="2263"/>
    <x v="11"/>
    <n v="1"/>
    <n v="224.37"/>
    <s v=""/>
    <s v=""/>
    <x v="3"/>
    <s v="Missing date"/>
    <s v="Missing date"/>
    <x v="2"/>
    <s v=""/>
    <n v="1"/>
    <n v="224.37"/>
  </r>
  <r>
    <n v="51660"/>
    <n v="30961"/>
    <x v="316"/>
    <n v="2583"/>
    <x v="11"/>
    <n v="2"/>
    <n v="448.74"/>
    <s v=""/>
    <s v=""/>
    <x v="2"/>
    <s v="Missing date"/>
    <s v="Missing date"/>
    <x v="2"/>
    <s v=""/>
    <n v="1"/>
    <n v="224.37"/>
  </r>
  <r>
    <n v="51661"/>
    <n v="30962"/>
    <x v="250"/>
    <n v="2333"/>
    <x v="7"/>
    <n v="2"/>
    <n v="507.72"/>
    <s v=""/>
    <s v=""/>
    <x v="3"/>
    <s v="Missing date"/>
    <s v="Missing date"/>
    <x v="0"/>
    <s v=""/>
    <n v="1"/>
    <n v="253.86"/>
  </r>
  <r>
    <n v="51662"/>
    <n v="30963"/>
    <x v="42"/>
    <n v="2591"/>
    <x v="4"/>
    <n v="1"/>
    <n v="183.74"/>
    <s v=""/>
    <s v=""/>
    <x v="3"/>
    <s v="Missing date"/>
    <s v="Missing date"/>
    <x v="2"/>
    <s v=""/>
    <n v="1"/>
    <n v="183.74"/>
  </r>
  <r>
    <n v="51663"/>
    <n v="30963"/>
    <x v="42"/>
    <n v="2591"/>
    <x v="13"/>
    <n v="1"/>
    <n v="121.5"/>
    <d v="2026-02-10T00:00:00"/>
    <s v=""/>
    <x v="3"/>
    <s v="Missing date"/>
    <s v="OK"/>
    <x v="1"/>
    <s v=""/>
    <n v="0"/>
    <n v="121.5"/>
  </r>
  <r>
    <n v="51664"/>
    <n v="30963"/>
    <x v="42"/>
    <n v="2591"/>
    <x v="15"/>
    <n v="1"/>
    <n v="170.25"/>
    <d v="2025-10-14T00:00:00"/>
    <s v=""/>
    <x v="3"/>
    <s v="Missing date"/>
    <s v="OK"/>
    <x v="1"/>
    <s v=""/>
    <n v="0"/>
    <n v="170.25"/>
  </r>
  <r>
    <n v="51665"/>
    <n v="30964"/>
    <x v="314"/>
    <n v="2058"/>
    <x v="5"/>
    <n v="2"/>
    <n v="202.88"/>
    <s v=""/>
    <s v=""/>
    <x v="2"/>
    <s v="Missing date"/>
    <s v="Missing date"/>
    <x v="1"/>
    <s v=""/>
    <n v="1"/>
    <n v="101.44"/>
  </r>
  <r>
    <n v="51666"/>
    <n v="30965"/>
    <x v="287"/>
    <n v="2357"/>
    <x v="10"/>
    <n v="1"/>
    <n v="215.34"/>
    <s v=""/>
    <s v=""/>
    <x v="2"/>
    <s v="Missing date"/>
    <s v="Missing date"/>
    <x v="3"/>
    <s v=""/>
    <n v="1"/>
    <n v="215.34"/>
  </r>
  <r>
    <n v="51667"/>
    <n v="30966"/>
    <x v="91"/>
    <n v="2427"/>
    <x v="4"/>
    <n v="3"/>
    <n v="551.22"/>
    <s v=""/>
    <s v=""/>
    <x v="2"/>
    <s v="Missing date"/>
    <s v="Missing date"/>
    <x v="2"/>
    <s v=""/>
    <n v="1"/>
    <n v="183.74"/>
  </r>
  <r>
    <n v="51668"/>
    <n v="30966"/>
    <x v="91"/>
    <n v="2427"/>
    <x v="1"/>
    <n v="2"/>
    <n v="412.18"/>
    <s v=""/>
    <s v=""/>
    <x v="2"/>
    <s v="Missing date"/>
    <s v="Missing date"/>
    <x v="0"/>
    <s v=""/>
    <n v="0"/>
    <n v="206.09"/>
  </r>
  <r>
    <n v="51669"/>
    <n v="30967"/>
    <x v="146"/>
    <n v="2012"/>
    <x v="15"/>
    <n v="2"/>
    <n v="340.5"/>
    <d v="2025-01-14T00:00:00"/>
    <d v="2025-01-23T00:00:00"/>
    <x v="0"/>
    <s v="OK"/>
    <s v="OK"/>
    <x v="1"/>
    <n v="9"/>
    <n v="1"/>
    <n v="170.25"/>
  </r>
  <r>
    <n v="51670"/>
    <n v="30967"/>
    <x v="146"/>
    <n v="2012"/>
    <x v="3"/>
    <n v="1"/>
    <n v="118.6"/>
    <d v="2025-01-13T00:00:00"/>
    <d v="2025-01-20T00:00:00"/>
    <x v="0"/>
    <s v="OK"/>
    <s v="OK"/>
    <x v="2"/>
    <n v="7"/>
    <n v="0"/>
    <n v="118.6"/>
  </r>
  <r>
    <n v="51671"/>
    <n v="30968"/>
    <x v="37"/>
    <n v="2313"/>
    <x v="5"/>
    <n v="2"/>
    <n v="202.88"/>
    <d v="2025-10-12T00:00:00"/>
    <d v="2025-10-17T00:00:00"/>
    <x v="0"/>
    <s v="OK"/>
    <s v="OK"/>
    <x v="1"/>
    <n v="5"/>
    <n v="1"/>
    <n v="101.44"/>
  </r>
  <r>
    <n v="51672"/>
    <n v="30969"/>
    <x v="317"/>
    <n v="2553"/>
    <x v="5"/>
    <n v="2"/>
    <n v="202.88"/>
    <d v="2025-07-05T00:00:00"/>
    <d v="2025-07-10T00:00:00"/>
    <x v="0"/>
    <s v="OK"/>
    <s v="OK"/>
    <x v="1"/>
    <n v="5"/>
    <n v="1"/>
    <n v="101.44"/>
  </r>
  <r>
    <n v="51673"/>
    <n v="30970"/>
    <x v="236"/>
    <n v="2515"/>
    <x v="6"/>
    <n v="1"/>
    <n v="31.73"/>
    <d v="2025-11-15T00:00:00"/>
    <d v="2025-11-16T00:00:00"/>
    <x v="0"/>
    <s v="OK"/>
    <s v="OK"/>
    <x v="2"/>
    <n v="1"/>
    <n v="1"/>
    <n v="31.73"/>
  </r>
  <r>
    <n v="51674"/>
    <n v="30971"/>
    <x v="139"/>
    <n v="2052"/>
    <x v="15"/>
    <n v="1"/>
    <n v="170.25"/>
    <d v="2025-03-11T00:00:00"/>
    <d v="2025-03-13T00:00:00"/>
    <x v="0"/>
    <s v="OK"/>
    <s v="OK"/>
    <x v="1"/>
    <n v="2"/>
    <n v="1"/>
    <n v="170.25"/>
  </r>
  <r>
    <n v="51675"/>
    <n v="30971"/>
    <x v="139"/>
    <n v="2052"/>
    <x v="14"/>
    <n v="1"/>
    <n v="119.74"/>
    <d v="2025-03-12T00:00:00"/>
    <d v="2025-03-20T00:00:00"/>
    <x v="0"/>
    <s v="OK"/>
    <s v="OK"/>
    <x v="3"/>
    <n v="8"/>
    <n v="0"/>
    <n v="119.74"/>
  </r>
  <r>
    <n v="51676"/>
    <n v="30971"/>
    <x v="139"/>
    <n v="2052"/>
    <x v="11"/>
    <n v="1"/>
    <n v="224.37"/>
    <d v="2025-03-13T00:00:00"/>
    <d v="2025-03-15T00:00:00"/>
    <x v="0"/>
    <s v="OK"/>
    <s v="OK"/>
    <x v="2"/>
    <n v="2"/>
    <n v="0"/>
    <n v="224.37"/>
  </r>
  <r>
    <n v="51677"/>
    <n v="30971"/>
    <x v="139"/>
    <n v="2052"/>
    <x v="1"/>
    <n v="1"/>
    <n v="206.09"/>
    <d v="2025-03-13T00:00:00"/>
    <d v="2025-03-16T00:00:00"/>
    <x v="0"/>
    <s v="OK"/>
    <s v="OK"/>
    <x v="0"/>
    <n v="3"/>
    <n v="0"/>
    <n v="206.09"/>
  </r>
  <r>
    <n v="51678"/>
    <n v="30972"/>
    <x v="251"/>
    <n v="2443"/>
    <x v="15"/>
    <n v="1"/>
    <n v="170.25"/>
    <d v="2025-01-28T00:00:00"/>
    <d v="2025-02-04T00:00:00"/>
    <x v="0"/>
    <s v="OK"/>
    <s v="OK"/>
    <x v="1"/>
    <n v="7"/>
    <n v="1"/>
    <n v="170.25"/>
  </r>
  <r>
    <n v="51679"/>
    <n v="30972"/>
    <x v="251"/>
    <n v="2443"/>
    <x v="6"/>
    <n v="1"/>
    <n v="31.73"/>
    <d v="2025-01-27T00:00:00"/>
    <d v="2025-02-04T00:00:00"/>
    <x v="0"/>
    <s v="OK"/>
    <s v="OK"/>
    <x v="2"/>
    <n v="8"/>
    <n v="0"/>
    <n v="31.73"/>
  </r>
  <r>
    <n v="51680"/>
    <n v="30973"/>
    <x v="125"/>
    <n v="2136"/>
    <x v="12"/>
    <n v="1"/>
    <n v="65.260000000000005"/>
    <d v="2025-11-14T00:00:00"/>
    <d v="2025-11-18T00:00:00"/>
    <x v="0"/>
    <s v="OK"/>
    <s v="OK"/>
    <x v="3"/>
    <n v="4"/>
    <n v="1"/>
    <n v="65.260000000000005"/>
  </r>
  <r>
    <n v="51681"/>
    <n v="30973"/>
    <x v="125"/>
    <n v="2136"/>
    <x v="3"/>
    <n v="5"/>
    <n v="593"/>
    <d v="2025-11-14T00:00:00"/>
    <d v="2025-11-24T00:00:00"/>
    <x v="0"/>
    <s v="OK"/>
    <s v="OK"/>
    <x v="2"/>
    <n v="10"/>
    <n v="0"/>
    <n v="118.6"/>
  </r>
  <r>
    <n v="51682"/>
    <n v="30974"/>
    <x v="240"/>
    <n v="2562"/>
    <x v="11"/>
    <n v="3"/>
    <n v="673.11"/>
    <d v="2025-03-31T00:00:00"/>
    <d v="2025-04-02T00:00:00"/>
    <x v="0"/>
    <s v="OK"/>
    <s v="OK"/>
    <x v="2"/>
    <n v="2"/>
    <n v="1"/>
    <n v="224.37"/>
  </r>
  <r>
    <n v="51683"/>
    <n v="30975"/>
    <x v="212"/>
    <n v="2409"/>
    <x v="6"/>
    <n v="1"/>
    <n v="31.73"/>
    <d v="2025-07-27T00:00:00"/>
    <d v="2025-08-03T00:00:00"/>
    <x v="0"/>
    <s v="OK"/>
    <s v="OK"/>
    <x v="2"/>
    <n v="7"/>
    <n v="1"/>
    <n v="31.73"/>
  </r>
  <r>
    <n v="51684"/>
    <n v="30975"/>
    <x v="212"/>
    <n v="2409"/>
    <x v="6"/>
    <n v="1"/>
    <n v="31.73"/>
    <d v="2025-07-27T00:00:00"/>
    <d v="2025-08-02T00:00:00"/>
    <x v="0"/>
    <s v="OK"/>
    <s v="OK"/>
    <x v="2"/>
    <n v="6"/>
    <n v="0"/>
    <n v="31.73"/>
  </r>
  <r>
    <n v="51685"/>
    <n v="30976"/>
    <x v="117"/>
    <n v="2493"/>
    <x v="12"/>
    <n v="1"/>
    <n v="65.260000000000005"/>
    <d v="2025-04-24T00:00:00"/>
    <d v="2025-04-28T00:00:00"/>
    <x v="0"/>
    <s v="OK"/>
    <s v="OK"/>
    <x v="3"/>
    <n v="4"/>
    <n v="1"/>
    <n v="65.260000000000005"/>
  </r>
  <r>
    <n v="51686"/>
    <n v="30976"/>
    <x v="117"/>
    <n v="2493"/>
    <x v="15"/>
    <n v="3"/>
    <n v="510.75"/>
    <d v="2025-04-24T00:00:00"/>
    <d v="2025-04-26T00:00:00"/>
    <x v="0"/>
    <s v="OK"/>
    <s v="OK"/>
    <x v="1"/>
    <n v="2"/>
    <n v="0"/>
    <n v="170.25"/>
  </r>
  <r>
    <n v="51687"/>
    <n v="30976"/>
    <x v="117"/>
    <n v="2493"/>
    <x v="0"/>
    <n v="3"/>
    <n v="599.42999999999995"/>
    <d v="2025-04-24T00:00:00"/>
    <d v="2025-04-25T00:00:00"/>
    <x v="0"/>
    <s v="OK"/>
    <s v="OK"/>
    <x v="0"/>
    <n v="1"/>
    <n v="0"/>
    <n v="199.80999999999997"/>
  </r>
  <r>
    <n v="51688"/>
    <n v="30977"/>
    <x v="338"/>
    <n v="2575"/>
    <x v="1"/>
    <n v="2"/>
    <n v="412.18"/>
    <d v="2025-11-03T00:00:00"/>
    <d v="2025-11-10T00:00:00"/>
    <x v="0"/>
    <s v="OK"/>
    <s v="OK"/>
    <x v="0"/>
    <n v="7"/>
    <n v="1"/>
    <n v="206.09"/>
  </r>
  <r>
    <n v="51689"/>
    <n v="30978"/>
    <x v="333"/>
    <n v="2249"/>
    <x v="10"/>
    <n v="5"/>
    <n v="1076.7"/>
    <d v="2025-10-19T00:00:00"/>
    <d v="2025-10-26T00:00:00"/>
    <x v="0"/>
    <s v="OK"/>
    <s v="OK"/>
    <x v="3"/>
    <n v="7"/>
    <n v="1"/>
    <n v="215.34"/>
  </r>
  <r>
    <n v="51690"/>
    <n v="30978"/>
    <x v="333"/>
    <n v="2249"/>
    <x v="5"/>
    <n v="2"/>
    <n v="202.88"/>
    <d v="2025-10-17T00:00:00"/>
    <d v="2025-10-23T00:00:00"/>
    <x v="0"/>
    <s v="OK"/>
    <s v="OK"/>
    <x v="1"/>
    <n v="6"/>
    <n v="0"/>
    <n v="101.44"/>
  </r>
  <r>
    <n v="51691"/>
    <n v="30978"/>
    <x v="333"/>
    <n v="2249"/>
    <x v="11"/>
    <n v="3"/>
    <n v="673.11"/>
    <d v="2025-10-17T00:00:00"/>
    <d v="2025-10-24T00:00:00"/>
    <x v="0"/>
    <s v="OK"/>
    <s v="OK"/>
    <x v="2"/>
    <n v="7"/>
    <n v="0"/>
    <n v="224.37"/>
  </r>
  <r>
    <n v="51692"/>
    <n v="30979"/>
    <x v="120"/>
    <n v="2116"/>
    <x v="10"/>
    <n v="1"/>
    <n v="215.34"/>
    <d v="2025-03-12T00:00:00"/>
    <d v="2025-03-22T00:00:00"/>
    <x v="0"/>
    <s v="OK"/>
    <s v="OK"/>
    <x v="3"/>
    <n v="10"/>
    <n v="1"/>
    <n v="215.34"/>
  </r>
  <r>
    <n v="51693"/>
    <n v="30980"/>
    <x v="69"/>
    <n v="2375"/>
    <x v="5"/>
    <n v="1"/>
    <n v="101.44"/>
    <d v="2025-09-25T00:00:00"/>
    <d v="2025-10-05T00:00:00"/>
    <x v="0"/>
    <s v="OK"/>
    <s v="OK"/>
    <x v="1"/>
    <n v="10"/>
    <n v="1"/>
    <n v="101.44"/>
  </r>
  <r>
    <n v="51694"/>
    <n v="30981"/>
    <x v="198"/>
    <n v="2353"/>
    <x v="8"/>
    <n v="1"/>
    <n v="203.04"/>
    <d v="2025-11-16T00:00:00"/>
    <d v="2025-11-17T00:00:00"/>
    <x v="0"/>
    <s v="OK"/>
    <s v="OK"/>
    <x v="2"/>
    <n v="1"/>
    <n v="1"/>
    <n v="203.04"/>
  </r>
  <r>
    <n v="51695"/>
    <n v="30982"/>
    <x v="218"/>
    <n v="2313"/>
    <x v="2"/>
    <n v="4"/>
    <n v="966.16"/>
    <d v="2025-05-28T00:00:00"/>
    <d v="2025-06-07T00:00:00"/>
    <x v="0"/>
    <s v="OK"/>
    <s v="OK"/>
    <x v="1"/>
    <n v="10"/>
    <n v="1"/>
    <n v="241.54"/>
  </r>
  <r>
    <n v="51696"/>
    <n v="30982"/>
    <x v="218"/>
    <n v="2313"/>
    <x v="14"/>
    <n v="2"/>
    <n v="239.48"/>
    <d v="2025-05-28T00:00:00"/>
    <d v="2025-06-04T00:00:00"/>
    <x v="0"/>
    <s v="OK"/>
    <s v="OK"/>
    <x v="3"/>
    <n v="7"/>
    <n v="0"/>
    <n v="119.74"/>
  </r>
  <r>
    <n v="51697"/>
    <n v="30983"/>
    <x v="49"/>
    <n v="2150"/>
    <x v="1"/>
    <n v="1"/>
    <n v="206.09"/>
    <d v="2025-10-01T00:00:00"/>
    <d v="2025-10-09T00:00:00"/>
    <x v="0"/>
    <s v="OK"/>
    <s v="OK"/>
    <x v="0"/>
    <n v="8"/>
    <n v="1"/>
    <n v="206.09"/>
  </r>
  <r>
    <n v="51698"/>
    <n v="30983"/>
    <x v="49"/>
    <n v="2150"/>
    <x v="0"/>
    <n v="4"/>
    <n v="799.24"/>
    <d v="2025-10-01T00:00:00"/>
    <d v="2025-10-03T00:00:00"/>
    <x v="0"/>
    <s v="OK"/>
    <s v="OK"/>
    <x v="0"/>
    <n v="2"/>
    <n v="0"/>
    <n v="199.81"/>
  </r>
  <r>
    <n v="51699"/>
    <n v="30983"/>
    <x v="49"/>
    <n v="2150"/>
    <x v="2"/>
    <n v="1"/>
    <n v="241.54"/>
    <d v="2025-10-03T00:00:00"/>
    <d v="2025-10-04T00:00:00"/>
    <x v="0"/>
    <s v="OK"/>
    <s v="OK"/>
    <x v="1"/>
    <n v="1"/>
    <n v="0"/>
    <n v="241.54"/>
  </r>
  <r>
    <n v="51700"/>
    <n v="30984"/>
    <x v="181"/>
    <n v="2160"/>
    <x v="11"/>
    <n v="1"/>
    <n v="224.37"/>
    <d v="2025-06-09T00:00:00"/>
    <d v="2025-09-09T00:00:00"/>
    <x v="0"/>
    <s v="OK"/>
    <s v="OK"/>
    <x v="2"/>
    <n v="92"/>
    <n v="1"/>
    <n v="224.37"/>
  </r>
  <r>
    <n v="51701"/>
    <n v="30985"/>
    <x v="233"/>
    <n v="2116"/>
    <x v="1"/>
    <n v="1"/>
    <n v="206.09"/>
    <d v="2025-08-02T00:00:00"/>
    <d v="2025-09-08T00:00:00"/>
    <x v="0"/>
    <s v="OK"/>
    <s v="OK"/>
    <x v="0"/>
    <n v="37"/>
    <n v="1"/>
    <n v="206.09"/>
  </r>
  <r>
    <n v="51702"/>
    <n v="30985"/>
    <x v="258"/>
    <n v="2116"/>
    <x v="6"/>
    <n v="1"/>
    <n v="31.73"/>
    <d v="2025-08-03T00:00:00"/>
    <d v="2025-10-08T00:00:00"/>
    <x v="0"/>
    <s v="OK"/>
    <s v="OK"/>
    <x v="2"/>
    <n v="66"/>
    <n v="0"/>
    <n v="31.73"/>
  </r>
  <r>
    <n v="51703"/>
    <n v="30986"/>
    <x v="210"/>
    <n v="2295"/>
    <x v="4"/>
    <n v="3"/>
    <n v="551.22"/>
    <d v="2025-12-11T00:00:00"/>
    <d v="2025-12-13T00:00:00"/>
    <x v="0"/>
    <s v="OK"/>
    <s v="OK"/>
    <x v="2"/>
    <n v="2"/>
    <n v="1"/>
    <n v="183.74"/>
  </r>
  <r>
    <n v="51704"/>
    <n v="30986"/>
    <x v="210"/>
    <n v="2295"/>
    <x v="13"/>
    <n v="2"/>
    <n v="243"/>
    <d v="2025-12-10T00:00:00"/>
    <d v="2025-12-19T00:00:00"/>
    <x v="0"/>
    <s v="OK"/>
    <s v="OK"/>
    <x v="1"/>
    <n v="9"/>
    <n v="0"/>
    <n v="121.5"/>
  </r>
  <r>
    <n v="51705"/>
    <n v="30987"/>
    <x v="198"/>
    <n v="2461"/>
    <x v="5"/>
    <n v="1"/>
    <n v="101.44"/>
    <d v="2025-11-15T00:00:00"/>
    <d v="2025-11-19T00:00:00"/>
    <x v="0"/>
    <s v="OK"/>
    <s v="OK"/>
    <x v="1"/>
    <n v="4"/>
    <n v="1"/>
    <n v="101.44"/>
  </r>
  <r>
    <n v="51706"/>
    <n v="30988"/>
    <x v="205"/>
    <n v="2215"/>
    <x v="0"/>
    <n v="1"/>
    <n v="199.81"/>
    <d v="2025-04-12T00:00:00"/>
    <d v="2025-04-15T00:00:00"/>
    <x v="0"/>
    <s v="OK"/>
    <s v="OK"/>
    <x v="0"/>
    <n v="3"/>
    <n v="1"/>
    <n v="199.81"/>
  </r>
  <r>
    <n v="51707"/>
    <n v="30989"/>
    <x v="105"/>
    <n v="2209"/>
    <x v="9"/>
    <n v="1"/>
    <n v="40.28"/>
    <d v="2025-09-16T00:00:00"/>
    <d v="2025-09-17T00:00:00"/>
    <x v="0"/>
    <s v="OK"/>
    <s v="OK"/>
    <x v="0"/>
    <n v="1"/>
    <n v="1"/>
    <n v="40.28"/>
  </r>
  <r>
    <n v="51708"/>
    <n v="30990"/>
    <x v="281"/>
    <n v="2562"/>
    <x v="6"/>
    <n v="1"/>
    <n v="31.73"/>
    <d v="2025-09-11T00:00:00"/>
    <d v="2025-09-14T00:00:00"/>
    <x v="0"/>
    <s v="OK"/>
    <s v="OK"/>
    <x v="2"/>
    <n v="3"/>
    <n v="1"/>
    <n v="31.73"/>
  </r>
  <r>
    <n v="51709"/>
    <n v="30991"/>
    <x v="289"/>
    <n v="2019"/>
    <x v="3"/>
    <n v="1"/>
    <n v="118.6"/>
    <d v="2025-02-16T00:00:00"/>
    <d v="2025-02-20T00:00:00"/>
    <x v="0"/>
    <s v="OK"/>
    <s v="OK"/>
    <x v="2"/>
    <n v="4"/>
    <n v="1"/>
    <n v="118.6"/>
  </r>
  <r>
    <n v="51710"/>
    <n v="30992"/>
    <x v="205"/>
    <n v="2262"/>
    <x v="13"/>
    <n v="3"/>
    <n v="364.5"/>
    <d v="2025-04-11T00:00:00"/>
    <d v="2025-04-14T00:00:00"/>
    <x v="0"/>
    <s v="OK"/>
    <s v="OK"/>
    <x v="1"/>
    <n v="3"/>
    <n v="1"/>
    <n v="121.5"/>
  </r>
  <r>
    <n v="51711"/>
    <n v="30992"/>
    <x v="205"/>
    <n v="2262"/>
    <x v="0"/>
    <n v="1"/>
    <n v="199.81"/>
    <d v="2025-04-13T00:00:00"/>
    <d v="2025-04-18T00:00:00"/>
    <x v="0"/>
    <s v="OK"/>
    <s v="OK"/>
    <x v="0"/>
    <n v="5"/>
    <n v="0"/>
    <n v="199.81"/>
  </r>
  <r>
    <n v="51712"/>
    <n v="30992"/>
    <x v="205"/>
    <n v="2262"/>
    <x v="9"/>
    <n v="3"/>
    <n v="120.84"/>
    <d v="2025-04-12T00:00:00"/>
    <d v="2025-04-21T00:00:00"/>
    <x v="0"/>
    <s v="OK"/>
    <s v="OK"/>
    <x v="0"/>
    <n v="9"/>
    <n v="0"/>
    <n v="40.28"/>
  </r>
  <r>
    <n v="51713"/>
    <n v="30992"/>
    <x v="205"/>
    <n v="2262"/>
    <x v="3"/>
    <n v="1"/>
    <n v="118.6"/>
    <d v="2025-04-13T00:00:00"/>
    <d v="2025-04-15T00:00:00"/>
    <x v="0"/>
    <s v="OK"/>
    <s v="OK"/>
    <x v="2"/>
    <n v="2"/>
    <n v="0"/>
    <n v="118.6"/>
  </r>
  <r>
    <n v="51714"/>
    <n v="30993"/>
    <x v="339"/>
    <n v="2477"/>
    <x v="8"/>
    <n v="3"/>
    <n v="609.12"/>
    <d v="2025-09-02T00:00:00"/>
    <d v="2025-09-04T00:00:00"/>
    <x v="0"/>
    <s v="OK"/>
    <s v="OK"/>
    <x v="2"/>
    <n v="2"/>
    <n v="1"/>
    <n v="203.04"/>
  </r>
  <r>
    <n v="51715"/>
    <n v="30993"/>
    <x v="339"/>
    <n v="2477"/>
    <x v="11"/>
    <n v="1"/>
    <n v="224.37"/>
    <d v="2025-09-01T00:00:00"/>
    <d v="2025-09-06T00:00:00"/>
    <x v="0"/>
    <s v="OK"/>
    <s v="OK"/>
    <x v="2"/>
    <n v="5"/>
    <n v="0"/>
    <n v="224.37"/>
  </r>
  <r>
    <n v="51716"/>
    <n v="30993"/>
    <x v="339"/>
    <n v="2477"/>
    <x v="15"/>
    <n v="2"/>
    <n v="340.5"/>
    <d v="2025-09-01T00:00:00"/>
    <d v="2025-09-10T00:00:00"/>
    <x v="0"/>
    <s v="OK"/>
    <s v="OK"/>
    <x v="1"/>
    <n v="9"/>
    <n v="0"/>
    <n v="170.25"/>
  </r>
  <r>
    <n v="51717"/>
    <n v="30994"/>
    <x v="146"/>
    <n v="2278"/>
    <x v="2"/>
    <n v="1"/>
    <n v="241.54"/>
    <d v="2025-12-03T00:00:00"/>
    <d v="2025-12-09T00:00:00"/>
    <x v="0"/>
    <s v="OK"/>
    <s v="OK"/>
    <x v="1"/>
    <n v="6"/>
    <n v="1"/>
    <n v="241.54"/>
  </r>
  <r>
    <n v="51718"/>
    <n v="30995"/>
    <x v="18"/>
    <n v="2111"/>
    <x v="15"/>
    <n v="1"/>
    <n v="170.25"/>
    <d v="2025-02-10T00:00:00"/>
    <d v="2025-02-14T00:00:00"/>
    <x v="0"/>
    <s v="OK"/>
    <s v="OK"/>
    <x v="1"/>
    <n v="4"/>
    <n v="1"/>
    <n v="170.25"/>
  </r>
  <r>
    <n v="51719"/>
    <n v="30995"/>
    <x v="18"/>
    <n v="2111"/>
    <x v="1"/>
    <n v="1"/>
    <n v="206.09"/>
    <d v="2025-02-11T00:00:00"/>
    <d v="2025-02-18T00:00:00"/>
    <x v="0"/>
    <s v="OK"/>
    <s v="OK"/>
    <x v="0"/>
    <n v="7"/>
    <n v="0"/>
    <n v="206.09"/>
  </r>
  <r>
    <n v="51720"/>
    <n v="30995"/>
    <x v="18"/>
    <n v="2111"/>
    <x v="15"/>
    <n v="1"/>
    <n v="170.25"/>
    <d v="2025-02-09T00:00:00"/>
    <d v="2025-02-19T00:00:00"/>
    <x v="0"/>
    <s v="OK"/>
    <s v="OK"/>
    <x v="1"/>
    <n v="10"/>
    <n v="0"/>
    <n v="170.25"/>
  </r>
  <r>
    <n v="51721"/>
    <n v="30996"/>
    <x v="166"/>
    <n v="2521"/>
    <x v="4"/>
    <n v="2"/>
    <n v="367.48"/>
    <d v="2025-01-16T00:00:00"/>
    <d v="2025-01-18T00:00:00"/>
    <x v="1"/>
    <s v="OK"/>
    <s v="OK"/>
    <x v="2"/>
    <n v="2"/>
    <n v="1"/>
    <n v="183.74"/>
  </r>
  <r>
    <n v="51722"/>
    <n v="30997"/>
    <x v="122"/>
    <n v="2324"/>
    <x v="11"/>
    <n v="1"/>
    <n v="224.37"/>
    <d v="2025-01-15T00:00:00"/>
    <d v="2025-01-23T00:00:00"/>
    <x v="0"/>
    <s v="OK"/>
    <s v="OK"/>
    <x v="2"/>
    <n v="8"/>
    <n v="1"/>
    <n v="224.37"/>
  </r>
  <r>
    <n v="51723"/>
    <n v="30998"/>
    <x v="340"/>
    <n v="2191"/>
    <x v="14"/>
    <n v="1"/>
    <n v="119.74"/>
    <d v="2025-11-18T00:00:00"/>
    <d v="2025-11-26T00:00:00"/>
    <x v="0"/>
    <s v="OK"/>
    <s v="OK"/>
    <x v="3"/>
    <n v="8"/>
    <n v="1"/>
    <n v="119.74"/>
  </r>
  <r>
    <n v="51724"/>
    <n v="30998"/>
    <x v="340"/>
    <n v="2191"/>
    <x v="8"/>
    <n v="2"/>
    <n v="406.08"/>
    <d v="2025-11-19T00:00:00"/>
    <d v="2025-11-29T00:00:00"/>
    <x v="0"/>
    <s v="OK"/>
    <s v="OK"/>
    <x v="2"/>
    <n v="10"/>
    <n v="0"/>
    <n v="203.04"/>
  </r>
  <r>
    <n v="51725"/>
    <n v="30998"/>
    <x v="340"/>
    <n v="2191"/>
    <x v="3"/>
    <n v="1"/>
    <n v="118.6"/>
    <d v="2025-11-17T00:00:00"/>
    <d v="2025-11-20T00:00:00"/>
    <x v="0"/>
    <s v="OK"/>
    <s v="OK"/>
    <x v="2"/>
    <n v="3"/>
    <n v="0"/>
    <n v="118.6"/>
  </r>
  <r>
    <n v="51726"/>
    <n v="30999"/>
    <x v="31"/>
    <n v="2254"/>
    <x v="13"/>
    <n v="2"/>
    <n v="243"/>
    <s v=""/>
    <s v=""/>
    <x v="2"/>
    <s v="Missing date"/>
    <s v="Missing date"/>
    <x v="1"/>
    <s v=""/>
    <n v="1"/>
    <n v="121.5"/>
  </r>
  <r>
    <n v="51727"/>
    <n v="30999"/>
    <x v="31"/>
    <n v="2254"/>
    <x v="5"/>
    <n v="1"/>
    <n v="101.44"/>
    <s v=""/>
    <s v=""/>
    <x v="2"/>
    <s v="Missing date"/>
    <s v="Missing date"/>
    <x v="1"/>
    <s v=""/>
    <n v="0"/>
    <n v="101.44"/>
  </r>
  <r>
    <n v="51728"/>
    <n v="30999"/>
    <x v="31"/>
    <n v="2254"/>
    <x v="12"/>
    <n v="1"/>
    <n v="65.260000000000005"/>
    <s v=""/>
    <s v=""/>
    <x v="2"/>
    <s v="Missing date"/>
    <s v="Missing date"/>
    <x v="3"/>
    <s v=""/>
    <n v="0"/>
    <n v="65.260000000000005"/>
  </r>
  <r>
    <n v="51729"/>
    <n v="31000"/>
    <x v="280"/>
    <n v="2403"/>
    <x v="8"/>
    <n v="3"/>
    <n v="609.12"/>
    <d v="2025-06-17T00:00:00"/>
    <d v="2025-06-21T00:00:00"/>
    <x v="0"/>
    <s v="OK"/>
    <s v="OK"/>
    <x v="2"/>
    <n v="4"/>
    <n v="1"/>
    <n v="203.04"/>
  </r>
  <r>
    <n v="51730"/>
    <n v="31000"/>
    <x v="280"/>
    <n v="2403"/>
    <x v="2"/>
    <n v="2"/>
    <n v="483.08"/>
    <d v="2025-06-17T00:00:00"/>
    <d v="2025-06-22T00:00:00"/>
    <x v="0"/>
    <s v="OK"/>
    <s v="OK"/>
    <x v="1"/>
    <n v="5"/>
    <n v="0"/>
    <n v="241.54"/>
  </r>
  <r>
    <n v="51731"/>
    <n v="31001"/>
    <x v="284"/>
    <n v="2361"/>
    <x v="13"/>
    <n v="2"/>
    <n v="243"/>
    <d v="2025-03-05T00:00:00"/>
    <d v="2025-03-10T00:00:00"/>
    <x v="0"/>
    <s v="OK"/>
    <s v="OK"/>
    <x v="1"/>
    <n v="5"/>
    <n v="1"/>
    <n v="121.5"/>
  </r>
  <r>
    <n v="51732"/>
    <n v="31001"/>
    <x v="284"/>
    <n v="2361"/>
    <x v="1"/>
    <n v="1"/>
    <n v="206.09"/>
    <d v="2025-03-06T00:00:00"/>
    <d v="2025-03-14T00:00:00"/>
    <x v="0"/>
    <s v="OK"/>
    <s v="OK"/>
    <x v="0"/>
    <n v="8"/>
    <n v="0"/>
    <n v="206.09"/>
  </r>
  <r>
    <n v="51733"/>
    <n v="31002"/>
    <x v="153"/>
    <n v="2514"/>
    <x v="3"/>
    <n v="1"/>
    <n v="118.6"/>
    <d v="2025-05-08T00:00:00"/>
    <d v="2025-11-05T00:00:00"/>
    <x v="0"/>
    <s v="OK"/>
    <s v="OK"/>
    <x v="2"/>
    <n v="181"/>
    <n v="1"/>
    <n v="118.6"/>
  </r>
  <r>
    <n v="51734"/>
    <n v="31003"/>
    <x v="301"/>
    <n v="2264"/>
    <x v="8"/>
    <n v="1"/>
    <n v="203.04"/>
    <s v=""/>
    <s v=""/>
    <x v="2"/>
    <s v="Missing date"/>
    <s v="Missing date"/>
    <x v="2"/>
    <s v=""/>
    <n v="1"/>
    <n v="203.04"/>
  </r>
  <r>
    <n v="51735"/>
    <n v="31004"/>
    <x v="329"/>
    <n v="2569"/>
    <x v="1"/>
    <n v="2"/>
    <n v="412.18"/>
    <d v="2025-02-03T00:00:00"/>
    <d v="2025-06-02T00:00:00"/>
    <x v="1"/>
    <s v="OK"/>
    <s v="OK"/>
    <x v="0"/>
    <n v="119"/>
    <n v="1"/>
    <n v="206.09"/>
  </r>
  <r>
    <n v="51736"/>
    <n v="31005"/>
    <x v="293"/>
    <n v="2156"/>
    <x v="15"/>
    <n v="1"/>
    <n v="170.25"/>
    <d v="2025-04-08T00:00:00"/>
    <d v="2025-04-09T00:00:00"/>
    <x v="0"/>
    <s v="OK"/>
    <s v="OK"/>
    <x v="1"/>
    <n v="1"/>
    <n v="1"/>
    <n v="170.25"/>
  </r>
  <r>
    <n v="51737"/>
    <n v="31005"/>
    <x v="293"/>
    <n v="2156"/>
    <x v="6"/>
    <n v="1"/>
    <n v="31.73"/>
    <d v="2025-04-07T00:00:00"/>
    <d v="2025-04-12T00:00:00"/>
    <x v="0"/>
    <s v="OK"/>
    <s v="OK"/>
    <x v="2"/>
    <n v="5"/>
    <n v="0"/>
    <n v="31.73"/>
  </r>
  <r>
    <n v="51738"/>
    <n v="31005"/>
    <x v="293"/>
    <n v="2156"/>
    <x v="11"/>
    <n v="1"/>
    <n v="224.37"/>
    <d v="2025-04-08T00:00:00"/>
    <d v="2025-04-12T00:00:00"/>
    <x v="0"/>
    <s v="OK"/>
    <s v="OK"/>
    <x v="2"/>
    <n v="4"/>
    <n v="0"/>
    <n v="224.37"/>
  </r>
  <r>
    <n v="51739"/>
    <n v="31006"/>
    <x v="279"/>
    <n v="2392"/>
    <x v="1"/>
    <n v="1"/>
    <n v="206.09"/>
    <d v="2025-02-27T00:00:00"/>
    <d v="2025-03-02T00:00:00"/>
    <x v="0"/>
    <s v="OK"/>
    <s v="OK"/>
    <x v="0"/>
    <n v="3"/>
    <n v="1"/>
    <n v="206.09"/>
  </r>
  <r>
    <n v="51740"/>
    <n v="31007"/>
    <x v="59"/>
    <n v="2428"/>
    <x v="6"/>
    <n v="1"/>
    <n v="31.73"/>
    <d v="2025-12-21T00:00:00"/>
    <d v="2025-12-29T00:00:00"/>
    <x v="0"/>
    <s v="OK"/>
    <s v="OK"/>
    <x v="2"/>
    <n v="8"/>
    <n v="1"/>
    <n v="31.73"/>
  </r>
  <r>
    <n v="51741"/>
    <n v="31008"/>
    <x v="336"/>
    <n v="2437"/>
    <x v="5"/>
    <n v="2"/>
    <n v="202.88"/>
    <d v="2025-10-24T00:00:00"/>
    <d v="2025-10-29T00:00:00"/>
    <x v="1"/>
    <s v="OK"/>
    <s v="OK"/>
    <x v="1"/>
    <n v="5"/>
    <n v="1"/>
    <n v="101.44"/>
  </r>
  <r>
    <n v="51742"/>
    <n v="31009"/>
    <x v="332"/>
    <n v="2460"/>
    <x v="0"/>
    <n v="1"/>
    <n v="199.81"/>
    <d v="2025-03-01T00:00:00"/>
    <d v="2025-08-03T00:00:00"/>
    <x v="0"/>
    <s v="OK"/>
    <s v="OK"/>
    <x v="0"/>
    <n v="155"/>
    <n v="1"/>
    <n v="199.81"/>
  </r>
  <r>
    <n v="51743"/>
    <n v="31009"/>
    <x v="332"/>
    <n v="2460"/>
    <x v="6"/>
    <n v="3"/>
    <n v="95.19"/>
    <d v="2025-03-01T00:00:00"/>
    <d v="2025-05-03T00:00:00"/>
    <x v="0"/>
    <s v="OK"/>
    <s v="OK"/>
    <x v="2"/>
    <n v="63"/>
    <n v="0"/>
    <n v="31.73"/>
  </r>
  <r>
    <n v="51744"/>
    <n v="31009"/>
    <x v="332"/>
    <n v="2460"/>
    <x v="0"/>
    <n v="2"/>
    <n v="399.62"/>
    <d v="2025-03-03T00:00:00"/>
    <d v="2025-03-05T00:00:00"/>
    <x v="0"/>
    <s v="OK"/>
    <s v="OK"/>
    <x v="0"/>
    <n v="2"/>
    <n v="0"/>
    <n v="199.81"/>
  </r>
  <r>
    <n v="51745"/>
    <n v="31010"/>
    <x v="249"/>
    <n v="2142"/>
    <x v="6"/>
    <n v="2"/>
    <n v="63.46"/>
    <d v="2025-01-21T00:00:00"/>
    <d v="2025-01-24T00:00:00"/>
    <x v="0"/>
    <s v="OK"/>
    <s v="OK"/>
    <x v="2"/>
    <n v="3"/>
    <n v="1"/>
    <n v="31.73"/>
  </r>
  <r>
    <n v="51746"/>
    <n v="31011"/>
    <x v="199"/>
    <n v="2441"/>
    <x v="6"/>
    <n v="1"/>
    <n v="31.73"/>
    <d v="2025-01-08T00:00:00"/>
    <d v="2025-01-14T00:00:00"/>
    <x v="1"/>
    <s v="OK"/>
    <s v="OK"/>
    <x v="2"/>
    <n v="6"/>
    <n v="1"/>
    <n v="31.73"/>
  </r>
  <r>
    <n v="51747"/>
    <n v="31011"/>
    <x v="199"/>
    <n v="2441"/>
    <x v="7"/>
    <n v="1"/>
    <n v="253.86"/>
    <d v="2025-01-08T00:00:00"/>
    <d v="2025-01-14T00:00:00"/>
    <x v="1"/>
    <s v="OK"/>
    <s v="OK"/>
    <x v="0"/>
    <n v="6"/>
    <n v="0"/>
    <n v="253.86"/>
  </r>
  <r>
    <n v="51748"/>
    <n v="31012"/>
    <x v="74"/>
    <n v="2326"/>
    <x v="4"/>
    <n v="3"/>
    <n v="551.22"/>
    <d v="2025-06-14T00:00:00"/>
    <d v="2025-06-16T00:00:00"/>
    <x v="0"/>
    <s v="OK"/>
    <s v="OK"/>
    <x v="2"/>
    <n v="2"/>
    <n v="1"/>
    <n v="183.74"/>
  </r>
  <r>
    <n v="51749"/>
    <n v="31012"/>
    <x v="74"/>
    <n v="2326"/>
    <x v="7"/>
    <n v="1"/>
    <n v="253.86"/>
    <d v="2025-06-12T00:00:00"/>
    <d v="2025-06-18T00:00:00"/>
    <x v="0"/>
    <s v="OK"/>
    <s v="OK"/>
    <x v="0"/>
    <n v="6"/>
    <n v="0"/>
    <n v="253.86"/>
  </r>
  <r>
    <n v="51750"/>
    <n v="31013"/>
    <x v="264"/>
    <n v="2326"/>
    <x v="6"/>
    <n v="4"/>
    <n v="126.92"/>
    <s v=""/>
    <s v=""/>
    <x v="3"/>
    <s v="Missing date"/>
    <s v="Missing date"/>
    <x v="2"/>
    <s v=""/>
    <n v="1"/>
    <n v="31.73"/>
  </r>
  <r>
    <n v="51751"/>
    <n v="31014"/>
    <x v="21"/>
    <n v="2327"/>
    <x v="10"/>
    <n v="1"/>
    <n v="215.34"/>
    <s v=""/>
    <s v=""/>
    <x v="2"/>
    <s v="Missing date"/>
    <s v="Missing date"/>
    <x v="3"/>
    <s v=""/>
    <n v="1"/>
    <n v="215.34"/>
  </r>
  <r>
    <n v="51752"/>
    <n v="31014"/>
    <x v="21"/>
    <n v="2327"/>
    <x v="10"/>
    <n v="5"/>
    <n v="1076.7"/>
    <s v=""/>
    <s v=""/>
    <x v="2"/>
    <s v="Missing date"/>
    <s v="Missing date"/>
    <x v="3"/>
    <s v=""/>
    <n v="0"/>
    <n v="215.34"/>
  </r>
  <r>
    <n v="51753"/>
    <n v="31015"/>
    <x v="291"/>
    <n v="2311"/>
    <x v="9"/>
    <n v="1"/>
    <n v="40.28"/>
    <d v="2025-05-29T00:00:00"/>
    <d v="2025-06-07T00:00:00"/>
    <x v="0"/>
    <s v="OK"/>
    <s v="OK"/>
    <x v="0"/>
    <n v="9"/>
    <n v="1"/>
    <n v="40.28"/>
  </r>
  <r>
    <n v="51754"/>
    <n v="31015"/>
    <x v="291"/>
    <n v="2311"/>
    <x v="6"/>
    <n v="4"/>
    <n v="126.92"/>
    <d v="2025-05-30T00:00:00"/>
    <d v="2025-06-08T00:00:00"/>
    <x v="0"/>
    <s v="OK"/>
    <s v="OK"/>
    <x v="2"/>
    <n v="9"/>
    <n v="0"/>
    <n v="31.73"/>
  </r>
  <r>
    <n v="51755"/>
    <n v="31015"/>
    <x v="291"/>
    <n v="2311"/>
    <x v="0"/>
    <n v="1"/>
    <n v="199.81"/>
    <d v="2025-05-30T00:00:00"/>
    <d v="2025-06-06T00:00:00"/>
    <x v="0"/>
    <s v="OK"/>
    <s v="OK"/>
    <x v="0"/>
    <n v="7"/>
    <n v="0"/>
    <n v="199.81"/>
  </r>
  <r>
    <n v="51756"/>
    <n v="31016"/>
    <x v="205"/>
    <n v="2110"/>
    <x v="8"/>
    <n v="1"/>
    <n v="203.04"/>
    <d v="2025-04-13T00:00:00"/>
    <d v="2025-04-16T00:00:00"/>
    <x v="0"/>
    <s v="OK"/>
    <s v="OK"/>
    <x v="2"/>
    <n v="3"/>
    <n v="1"/>
    <n v="203.04"/>
  </r>
  <r>
    <n v="51757"/>
    <n v="31016"/>
    <x v="205"/>
    <n v="2110"/>
    <x v="9"/>
    <n v="2"/>
    <n v="80.56"/>
    <d v="2025-04-11T00:00:00"/>
    <d v="2025-04-18T00:00:00"/>
    <x v="0"/>
    <s v="OK"/>
    <s v="OK"/>
    <x v="0"/>
    <n v="7"/>
    <n v="0"/>
    <n v="40.28"/>
  </r>
  <r>
    <n v="51758"/>
    <n v="31017"/>
    <x v="104"/>
    <n v="2581"/>
    <x v="1"/>
    <n v="1"/>
    <n v="206.09"/>
    <d v="2025-04-07T00:00:00"/>
    <d v="2025-04-17T00:00:00"/>
    <x v="0"/>
    <s v="OK"/>
    <s v="OK"/>
    <x v="0"/>
    <n v="10"/>
    <n v="1"/>
    <n v="206.09"/>
  </r>
  <r>
    <n v="51759"/>
    <n v="31018"/>
    <x v="46"/>
    <n v="2237"/>
    <x v="2"/>
    <n v="1"/>
    <n v="241.54"/>
    <d v="2025-01-05T00:00:00"/>
    <d v="2025-01-06T00:00:00"/>
    <x v="0"/>
    <s v="OK"/>
    <s v="OK"/>
    <x v="1"/>
    <n v="1"/>
    <n v="1"/>
    <n v="241.54"/>
  </r>
  <r>
    <n v="51760"/>
    <n v="31019"/>
    <x v="139"/>
    <n v="2082"/>
    <x v="12"/>
    <n v="1"/>
    <n v="65.260000000000005"/>
    <d v="2025-10-04T00:00:00"/>
    <d v="2025-10-11T00:00:00"/>
    <x v="0"/>
    <s v="OK"/>
    <s v="OK"/>
    <x v="3"/>
    <n v="7"/>
    <n v="1"/>
    <n v="65.260000000000005"/>
  </r>
  <r>
    <n v="51761"/>
    <n v="31019"/>
    <x v="257"/>
    <n v="2082"/>
    <x v="6"/>
    <n v="3"/>
    <n v="95.19"/>
    <d v="2025-10-06T00:00:00"/>
    <d v="2025-10-09T00:00:00"/>
    <x v="0"/>
    <s v="OK"/>
    <s v="OK"/>
    <x v="2"/>
    <n v="3"/>
    <n v="0"/>
    <n v="31.73"/>
  </r>
  <r>
    <n v="51762"/>
    <n v="31020"/>
    <x v="157"/>
    <n v="2515"/>
    <x v="12"/>
    <n v="3"/>
    <n v="195.78"/>
    <s v=""/>
    <s v=""/>
    <x v="3"/>
    <s v="Missing date"/>
    <s v="Missing date"/>
    <x v="3"/>
    <s v=""/>
    <n v="1"/>
    <n v="65.260000000000005"/>
  </r>
  <r>
    <n v="51763"/>
    <n v="31020"/>
    <x v="157"/>
    <n v="2515"/>
    <x v="2"/>
    <n v="1"/>
    <n v="241.54"/>
    <d v="2025-08-05T00:00:00"/>
    <s v=""/>
    <x v="3"/>
    <s v="Missing date"/>
    <s v="OK"/>
    <x v="1"/>
    <s v=""/>
    <n v="0"/>
    <n v="241.54"/>
  </r>
  <r>
    <n v="51764"/>
    <n v="31020"/>
    <x v="18"/>
    <n v="2515"/>
    <x v="15"/>
    <n v="1"/>
    <n v="170.25"/>
    <s v=""/>
    <s v=""/>
    <x v="3"/>
    <s v="Missing date"/>
    <s v="Missing date"/>
    <x v="1"/>
    <s v=""/>
    <n v="0"/>
    <n v="170.25"/>
  </r>
  <r>
    <n v="51765"/>
    <n v="31020"/>
    <x v="157"/>
    <n v="2515"/>
    <x v="6"/>
    <n v="2"/>
    <n v="63.46"/>
    <d v="2025-08-05T00:00:00"/>
    <s v=""/>
    <x v="3"/>
    <s v="Missing date"/>
    <s v="OK"/>
    <x v="2"/>
    <s v=""/>
    <n v="0"/>
    <n v="31.73"/>
  </r>
  <r>
    <n v="51766"/>
    <n v="31021"/>
    <x v="280"/>
    <n v="2232"/>
    <x v="8"/>
    <n v="1"/>
    <n v="203.04"/>
    <d v="2025-06-17T00:00:00"/>
    <d v="2025-06-27T00:00:00"/>
    <x v="0"/>
    <s v="OK"/>
    <s v="OK"/>
    <x v="2"/>
    <n v="10"/>
    <n v="1"/>
    <n v="203.04"/>
  </r>
  <r>
    <n v="51767"/>
    <n v="31022"/>
    <x v="341"/>
    <n v="2277"/>
    <x v="1"/>
    <n v="1"/>
    <n v="206.09"/>
    <d v="2025-12-18T00:00:00"/>
    <d v="2025-12-20T00:00:00"/>
    <x v="1"/>
    <s v="OK"/>
    <s v="OK"/>
    <x v="0"/>
    <n v="2"/>
    <n v="1"/>
    <n v="206.09"/>
  </r>
  <r>
    <n v="51768"/>
    <n v="31023"/>
    <x v="136"/>
    <n v="2208"/>
    <x v="11"/>
    <n v="2"/>
    <n v="448.74"/>
    <d v="2025-06-14T00:00:00"/>
    <d v="2025-06-20T00:00:00"/>
    <x v="0"/>
    <s v="OK"/>
    <s v="OK"/>
    <x v="2"/>
    <n v="6"/>
    <n v="1"/>
    <n v="224.37"/>
  </r>
  <r>
    <n v="51769"/>
    <n v="31023"/>
    <x v="136"/>
    <n v="2208"/>
    <x v="7"/>
    <n v="1"/>
    <n v="253.86"/>
    <d v="2025-06-14T00:00:00"/>
    <d v="2025-06-19T00:00:00"/>
    <x v="0"/>
    <s v="OK"/>
    <s v="OK"/>
    <x v="0"/>
    <n v="5"/>
    <n v="0"/>
    <n v="253.86"/>
  </r>
  <r>
    <n v="51770"/>
    <n v="31023"/>
    <x v="136"/>
    <n v="2208"/>
    <x v="14"/>
    <n v="1"/>
    <n v="119.74"/>
    <d v="2025-06-13T00:00:00"/>
    <d v="2025-06-18T00:00:00"/>
    <x v="0"/>
    <s v="OK"/>
    <s v="OK"/>
    <x v="3"/>
    <n v="5"/>
    <n v="0"/>
    <n v="119.74"/>
  </r>
  <r>
    <n v="51771"/>
    <n v="31024"/>
    <x v="17"/>
    <n v="2502"/>
    <x v="14"/>
    <n v="1"/>
    <n v="119.74"/>
    <d v="2025-10-28T00:00:00"/>
    <d v="2025-11-03T00:00:00"/>
    <x v="0"/>
    <s v="OK"/>
    <s v="OK"/>
    <x v="3"/>
    <n v="6"/>
    <n v="1"/>
    <n v="119.74"/>
  </r>
  <r>
    <n v="51772"/>
    <n v="31024"/>
    <x v="17"/>
    <n v="2502"/>
    <x v="1"/>
    <n v="1"/>
    <n v="206.09"/>
    <d v="2025-10-27T00:00:00"/>
    <d v="2025-11-02T00:00:00"/>
    <x v="0"/>
    <s v="OK"/>
    <s v="OK"/>
    <x v="0"/>
    <n v="6"/>
    <n v="0"/>
    <n v="206.09"/>
  </r>
  <r>
    <n v="51773"/>
    <n v="31025"/>
    <x v="328"/>
    <n v="2438"/>
    <x v="3"/>
    <n v="1"/>
    <n v="118.6"/>
    <d v="2025-03-09T00:00:00"/>
    <d v="2025-03-13T00:00:00"/>
    <x v="0"/>
    <s v="OK"/>
    <s v="OK"/>
    <x v="2"/>
    <n v="4"/>
    <n v="1"/>
    <n v="118.6"/>
  </r>
  <r>
    <n v="51774"/>
    <n v="31025"/>
    <x v="328"/>
    <n v="2438"/>
    <x v="15"/>
    <n v="1"/>
    <n v="170.25"/>
    <d v="2025-03-10T00:00:00"/>
    <d v="2025-03-11T00:00:00"/>
    <x v="0"/>
    <s v="OK"/>
    <s v="OK"/>
    <x v="1"/>
    <n v="1"/>
    <n v="0"/>
    <n v="170.25"/>
  </r>
  <r>
    <n v="51775"/>
    <n v="31026"/>
    <x v="100"/>
    <n v="2321"/>
    <x v="3"/>
    <n v="1"/>
    <n v="118.6"/>
    <d v="2025-01-09T00:00:00"/>
    <d v="2025-01-15T00:00:00"/>
    <x v="0"/>
    <s v="OK"/>
    <s v="OK"/>
    <x v="2"/>
    <n v="6"/>
    <n v="1"/>
    <n v="118.6"/>
  </r>
  <r>
    <n v="51776"/>
    <n v="31027"/>
    <x v="342"/>
    <n v="2534"/>
    <x v="14"/>
    <n v="1"/>
    <n v="119.74"/>
    <d v="2025-11-28T00:00:00"/>
    <d v="2025-12-03T00:00:00"/>
    <x v="0"/>
    <s v="OK"/>
    <s v="OK"/>
    <x v="3"/>
    <n v="5"/>
    <n v="1"/>
    <n v="119.74"/>
  </r>
  <r>
    <n v="51777"/>
    <n v="31027"/>
    <x v="342"/>
    <n v="2534"/>
    <x v="3"/>
    <n v="2"/>
    <n v="237.2"/>
    <d v="2025-11-28T00:00:00"/>
    <d v="2025-12-08T00:00:00"/>
    <x v="0"/>
    <s v="OK"/>
    <s v="OK"/>
    <x v="2"/>
    <n v="10"/>
    <n v="0"/>
    <n v="118.6"/>
  </r>
  <r>
    <n v="51778"/>
    <n v="31028"/>
    <x v="250"/>
    <n v="2252"/>
    <x v="15"/>
    <n v="1"/>
    <n v="170.25"/>
    <d v="2025-06-03T00:00:00"/>
    <d v="2025-06-08T00:00:00"/>
    <x v="0"/>
    <s v="OK"/>
    <s v="OK"/>
    <x v="1"/>
    <n v="5"/>
    <n v="1"/>
    <n v="170.25"/>
  </r>
  <r>
    <n v="51779"/>
    <n v="31029"/>
    <x v="8"/>
    <n v="2041"/>
    <x v="3"/>
    <n v="2"/>
    <n v="237.2"/>
    <d v="2025-11-07T00:00:00"/>
    <d v="2025-11-08T00:00:00"/>
    <x v="0"/>
    <s v="OK"/>
    <s v="OK"/>
    <x v="2"/>
    <n v="1"/>
    <n v="1"/>
    <n v="118.6"/>
  </r>
  <r>
    <n v="51780"/>
    <n v="31029"/>
    <x v="48"/>
    <n v="2041"/>
    <x v="0"/>
    <n v="2"/>
    <n v="399.62"/>
    <d v="2025-11-05T00:00:00"/>
    <d v="2025-11-12T00:00:00"/>
    <x v="0"/>
    <s v="OK"/>
    <s v="OK"/>
    <x v="0"/>
    <n v="7"/>
    <n v="0"/>
    <n v="199.81"/>
  </r>
  <r>
    <n v="51781"/>
    <n v="31029"/>
    <x v="8"/>
    <n v="2041"/>
    <x v="13"/>
    <n v="1"/>
    <n v="121.5"/>
    <d v="2025-11-07T00:00:00"/>
    <d v="2025-11-14T00:00:00"/>
    <x v="0"/>
    <s v="OK"/>
    <s v="OK"/>
    <x v="1"/>
    <n v="7"/>
    <n v="0"/>
    <n v="121.5"/>
  </r>
  <r>
    <n v="51782"/>
    <n v="31030"/>
    <x v="154"/>
    <n v="2451"/>
    <x v="13"/>
    <n v="1"/>
    <n v="121.5"/>
    <d v="2025-11-01T00:00:00"/>
    <d v="2025-11-03T00:00:00"/>
    <x v="0"/>
    <s v="OK"/>
    <s v="OK"/>
    <x v="1"/>
    <n v="2"/>
    <n v="1"/>
    <n v="121.5"/>
  </r>
  <r>
    <n v="51783"/>
    <n v="31031"/>
    <x v="170"/>
    <n v="2293"/>
    <x v="10"/>
    <n v="1"/>
    <n v="215.34"/>
    <d v="2025-10-29T00:00:00"/>
    <d v="2025-11-05T00:00:00"/>
    <x v="0"/>
    <s v="OK"/>
    <s v="OK"/>
    <x v="3"/>
    <n v="7"/>
    <n v="1"/>
    <n v="215.34"/>
  </r>
  <r>
    <n v="51784"/>
    <n v="31031"/>
    <x v="170"/>
    <n v="2293"/>
    <x v="13"/>
    <n v="1"/>
    <n v="121.5"/>
    <d v="2025-10-29T00:00:00"/>
    <d v="2025-11-01T00:00:00"/>
    <x v="0"/>
    <s v="OK"/>
    <s v="OK"/>
    <x v="1"/>
    <n v="3"/>
    <n v="0"/>
    <n v="121.5"/>
  </r>
  <r>
    <n v="51785"/>
    <n v="31031"/>
    <x v="170"/>
    <n v="2293"/>
    <x v="3"/>
    <n v="1"/>
    <n v="118.6"/>
    <d v="2025-10-30T00:00:00"/>
    <d v="2025-11-05T00:00:00"/>
    <x v="0"/>
    <s v="OK"/>
    <s v="OK"/>
    <x v="2"/>
    <n v="6"/>
    <n v="0"/>
    <n v="118.6"/>
  </r>
  <r>
    <n v="51786"/>
    <n v="31032"/>
    <x v="126"/>
    <n v="2530"/>
    <x v="14"/>
    <n v="1"/>
    <n v="119.74"/>
    <s v=""/>
    <s v=""/>
    <x v="2"/>
    <s v="Missing date"/>
    <s v="Missing date"/>
    <x v="3"/>
    <s v=""/>
    <n v="1"/>
    <n v="119.74"/>
  </r>
  <r>
    <n v="51787"/>
    <n v="31032"/>
    <x v="126"/>
    <n v="2530"/>
    <x v="14"/>
    <n v="2"/>
    <n v="239.48"/>
    <s v=""/>
    <s v=""/>
    <x v="2"/>
    <s v="Missing date"/>
    <s v="Missing date"/>
    <x v="3"/>
    <s v=""/>
    <n v="0"/>
    <n v="119.74"/>
  </r>
  <r>
    <n v="51788"/>
    <n v="31033"/>
    <x v="166"/>
    <n v="2093"/>
    <x v="4"/>
    <n v="2"/>
    <n v="367.48"/>
    <d v="2025-01-14T00:00:00"/>
    <d v="2025-01-18T00:00:00"/>
    <x v="0"/>
    <s v="OK"/>
    <s v="OK"/>
    <x v="2"/>
    <n v="4"/>
    <n v="1"/>
    <n v="183.74"/>
  </r>
  <r>
    <n v="51789"/>
    <n v="31033"/>
    <x v="166"/>
    <n v="2093"/>
    <x v="7"/>
    <n v="1"/>
    <n v="253.86"/>
    <d v="2025-01-14T00:00:00"/>
    <d v="2025-01-16T00:00:00"/>
    <x v="0"/>
    <s v="OK"/>
    <s v="OK"/>
    <x v="0"/>
    <n v="2"/>
    <n v="0"/>
    <n v="253.86"/>
  </r>
  <r>
    <n v="51790"/>
    <n v="31034"/>
    <x v="56"/>
    <n v="2600"/>
    <x v="6"/>
    <n v="2"/>
    <n v="63.46"/>
    <s v=""/>
    <s v=""/>
    <x v="2"/>
    <s v="Missing date"/>
    <s v="Missing date"/>
    <x v="2"/>
    <s v=""/>
    <n v="1"/>
    <n v="31.73"/>
  </r>
  <r>
    <n v="51791"/>
    <n v="31035"/>
    <x v="71"/>
    <n v="2403"/>
    <x v="14"/>
    <n v="1"/>
    <n v="119.74"/>
    <d v="2025-08-13T00:00:00"/>
    <d v="2025-08-15T00:00:00"/>
    <x v="0"/>
    <s v="OK"/>
    <s v="OK"/>
    <x v="3"/>
    <n v="2"/>
    <n v="1"/>
    <n v="119.74"/>
  </r>
  <r>
    <n v="51792"/>
    <n v="31036"/>
    <x v="343"/>
    <n v="2026"/>
    <x v="0"/>
    <n v="2"/>
    <n v="399.62"/>
    <d v="2025-11-23T00:00:00"/>
    <d v="2025-11-30T00:00:00"/>
    <x v="0"/>
    <s v="OK"/>
    <s v="OK"/>
    <x v="0"/>
    <n v="7"/>
    <n v="1"/>
    <n v="199.81"/>
  </r>
  <r>
    <n v="51793"/>
    <n v="31037"/>
    <x v="194"/>
    <n v="2466"/>
    <x v="5"/>
    <n v="1"/>
    <n v="101.44"/>
    <d v="2025-11-30T00:00:00"/>
    <d v="2025-12-03T00:00:00"/>
    <x v="0"/>
    <s v="OK"/>
    <s v="OK"/>
    <x v="1"/>
    <n v="3"/>
    <n v="1"/>
    <n v="101.44"/>
  </r>
  <r>
    <n v="51794"/>
    <n v="31038"/>
    <x v="74"/>
    <n v="2168"/>
    <x v="4"/>
    <n v="1"/>
    <n v="183.74"/>
    <d v="2025-06-13T00:00:00"/>
    <d v="2025-06-16T00:00:00"/>
    <x v="0"/>
    <s v="OK"/>
    <s v="OK"/>
    <x v="2"/>
    <n v="3"/>
    <n v="1"/>
    <n v="183.74"/>
  </r>
  <r>
    <n v="51795"/>
    <n v="31038"/>
    <x v="74"/>
    <n v="2168"/>
    <x v="11"/>
    <n v="2"/>
    <n v="448.74"/>
    <d v="2025-06-12T00:00:00"/>
    <d v="2025-06-18T00:00:00"/>
    <x v="0"/>
    <s v="OK"/>
    <s v="OK"/>
    <x v="2"/>
    <n v="6"/>
    <n v="0"/>
    <n v="224.37"/>
  </r>
  <r>
    <n v="51796"/>
    <n v="31039"/>
    <x v="131"/>
    <n v="2117"/>
    <x v="2"/>
    <n v="1"/>
    <n v="241.54"/>
    <d v="2025-09-18T00:00:00"/>
    <d v="2025-09-24T00:00:00"/>
    <x v="0"/>
    <s v="OK"/>
    <s v="OK"/>
    <x v="1"/>
    <n v="6"/>
    <n v="1"/>
    <n v="241.54"/>
  </r>
  <r>
    <n v="51797"/>
    <n v="31039"/>
    <x v="131"/>
    <n v="2117"/>
    <x v="11"/>
    <n v="1"/>
    <n v="224.37"/>
    <d v="2025-09-19T00:00:00"/>
    <d v="2025-09-28T00:00:00"/>
    <x v="0"/>
    <s v="OK"/>
    <s v="OK"/>
    <x v="2"/>
    <n v="9"/>
    <n v="0"/>
    <n v="224.37"/>
  </r>
  <r>
    <n v="51798"/>
    <n v="31040"/>
    <x v="21"/>
    <n v="2537"/>
    <x v="7"/>
    <n v="2"/>
    <n v="507.72"/>
    <d v="2025-05-16T00:00:00"/>
    <d v="2025-05-23T00:00:00"/>
    <x v="0"/>
    <s v="OK"/>
    <s v="OK"/>
    <x v="0"/>
    <n v="7"/>
    <n v="1"/>
    <n v="253.86"/>
  </r>
  <r>
    <n v="51799"/>
    <n v="31041"/>
    <x v="2"/>
    <n v="2388"/>
    <x v="3"/>
    <n v="3"/>
    <n v="355.8"/>
    <d v="2025-05-12T00:00:00"/>
    <d v="2025-05-21T00:00:00"/>
    <x v="0"/>
    <s v="OK"/>
    <s v="OK"/>
    <x v="2"/>
    <n v="9"/>
    <n v="1"/>
    <n v="118.60000000000001"/>
  </r>
  <r>
    <n v="51800"/>
    <n v="31041"/>
    <x v="2"/>
    <n v="2388"/>
    <x v="7"/>
    <n v="2"/>
    <n v="507.72"/>
    <d v="2025-05-11T00:00:00"/>
    <d v="2025-05-20T00:00:00"/>
    <x v="0"/>
    <s v="OK"/>
    <s v="OK"/>
    <x v="0"/>
    <n v="9"/>
    <n v="0"/>
    <n v="253.86"/>
  </r>
  <r>
    <n v="51801"/>
    <n v="31041"/>
    <x v="2"/>
    <n v="2388"/>
    <x v="5"/>
    <n v="5"/>
    <n v="507.2"/>
    <d v="2025-05-12T00:00:00"/>
    <d v="2025-05-16T00:00:00"/>
    <x v="0"/>
    <s v="OK"/>
    <s v="OK"/>
    <x v="1"/>
    <n v="4"/>
    <n v="0"/>
    <n v="101.44"/>
  </r>
  <r>
    <n v="51802"/>
    <n v="31042"/>
    <x v="165"/>
    <n v="2580"/>
    <x v="6"/>
    <n v="1"/>
    <n v="31.73"/>
    <s v=""/>
    <s v=""/>
    <x v="2"/>
    <s v="Missing date"/>
    <s v="Missing date"/>
    <x v="2"/>
    <s v=""/>
    <n v="1"/>
    <n v="31.73"/>
  </r>
  <r>
    <n v="51803"/>
    <n v="31043"/>
    <x v="227"/>
    <n v="2167"/>
    <x v="7"/>
    <n v="1"/>
    <n v="253.86"/>
    <s v=""/>
    <s v=""/>
    <x v="2"/>
    <s v="Missing date"/>
    <s v="Missing date"/>
    <x v="0"/>
    <s v=""/>
    <n v="1"/>
    <n v="253.86"/>
  </r>
  <r>
    <n v="51804"/>
    <n v="31043"/>
    <x v="269"/>
    <n v="2167"/>
    <x v="3"/>
    <n v="1"/>
    <n v="118.6"/>
    <s v=""/>
    <s v=""/>
    <x v="2"/>
    <s v="Missing date"/>
    <s v="Missing date"/>
    <x v="2"/>
    <s v=""/>
    <n v="0"/>
    <n v="118.6"/>
  </r>
  <r>
    <n v="51805"/>
    <n v="31044"/>
    <x v="181"/>
    <n v="2430"/>
    <x v="14"/>
    <n v="3"/>
    <n v="359.22"/>
    <d v="2025-04-12T00:00:00"/>
    <d v="2025-04-20T00:00:00"/>
    <x v="0"/>
    <s v="OK"/>
    <s v="OK"/>
    <x v="3"/>
    <n v="8"/>
    <n v="1"/>
    <n v="119.74000000000001"/>
  </r>
  <r>
    <n v="51806"/>
    <n v="31045"/>
    <x v="96"/>
    <n v="2296"/>
    <x v="4"/>
    <n v="1"/>
    <n v="183.74"/>
    <d v="2025-09-19T00:00:00"/>
    <d v="2025-09-28T00:00:00"/>
    <x v="0"/>
    <s v="OK"/>
    <s v="OK"/>
    <x v="2"/>
    <n v="9"/>
    <n v="1"/>
    <n v="183.74"/>
  </r>
  <r>
    <n v="51807"/>
    <n v="31046"/>
    <x v="344"/>
    <n v="2135"/>
    <x v="8"/>
    <n v="1"/>
    <n v="203.04"/>
    <d v="2025-11-19T00:00:00"/>
    <d v="2025-11-28T00:00:00"/>
    <x v="1"/>
    <s v="OK"/>
    <s v="OK"/>
    <x v="2"/>
    <n v="9"/>
    <n v="1"/>
    <n v="203.04"/>
  </r>
  <r>
    <n v="51808"/>
    <n v="31046"/>
    <x v="344"/>
    <n v="2135"/>
    <x v="9"/>
    <n v="1"/>
    <n v="40.28"/>
    <d v="2025-11-18T00:00:00"/>
    <d v="2025-11-25T00:00:00"/>
    <x v="1"/>
    <s v="OK"/>
    <s v="OK"/>
    <x v="0"/>
    <n v="7"/>
    <n v="0"/>
    <n v="40.28"/>
  </r>
  <r>
    <n v="51809"/>
    <n v="31047"/>
    <x v="202"/>
    <n v="2013"/>
    <x v="12"/>
    <n v="1"/>
    <n v="65.260000000000005"/>
    <d v="2025-06-17T00:00:00"/>
    <d v="2025-06-18T00:00:00"/>
    <x v="0"/>
    <s v="OK"/>
    <s v="OK"/>
    <x v="3"/>
    <n v="1"/>
    <n v="1"/>
    <n v="65.260000000000005"/>
  </r>
  <r>
    <n v="51810"/>
    <n v="31048"/>
    <x v="9"/>
    <n v="2557"/>
    <x v="12"/>
    <n v="1"/>
    <n v="65.260000000000005"/>
    <d v="2025-05-23T00:00:00"/>
    <s v=""/>
    <x v="3"/>
    <s v="Missing date"/>
    <s v="OK"/>
    <x v="3"/>
    <s v=""/>
    <n v="1"/>
    <n v="65.260000000000005"/>
  </r>
  <r>
    <n v="51811"/>
    <n v="31048"/>
    <x v="9"/>
    <n v="2557"/>
    <x v="12"/>
    <n v="2"/>
    <n v="130.52000000000001"/>
    <s v=""/>
    <s v=""/>
    <x v="3"/>
    <s v="Missing date"/>
    <s v="Missing date"/>
    <x v="3"/>
    <s v=""/>
    <n v="0"/>
    <n v="65.260000000000005"/>
  </r>
  <r>
    <n v="51812"/>
    <n v="31048"/>
    <x v="9"/>
    <n v="2557"/>
    <x v="14"/>
    <n v="2"/>
    <n v="239.48"/>
    <d v="2025-05-26T00:00:00"/>
    <s v=""/>
    <x v="3"/>
    <s v="Missing date"/>
    <s v="OK"/>
    <x v="3"/>
    <s v=""/>
    <n v="0"/>
    <n v="119.74"/>
  </r>
  <r>
    <n v="51813"/>
    <n v="31049"/>
    <x v="253"/>
    <n v="2007"/>
    <x v="9"/>
    <n v="1"/>
    <n v="40.28"/>
    <d v="2025-08-06T00:00:00"/>
    <d v="2025-08-13T00:00:00"/>
    <x v="0"/>
    <s v="OK"/>
    <s v="OK"/>
    <x v="0"/>
    <n v="7"/>
    <n v="1"/>
    <n v="40.28"/>
  </r>
  <r>
    <n v="51814"/>
    <n v="31050"/>
    <x v="332"/>
    <n v="2571"/>
    <x v="0"/>
    <n v="3"/>
    <n v="599.42999999999995"/>
    <d v="2025-03-03T00:00:00"/>
    <s v=""/>
    <x v="3"/>
    <s v="Missing date"/>
    <s v="OK"/>
    <x v="0"/>
    <s v=""/>
    <n v="1"/>
    <n v="199.80999999999997"/>
  </r>
  <r>
    <n v="51815"/>
    <n v="31051"/>
    <x v="286"/>
    <n v="2152"/>
    <x v="2"/>
    <n v="1"/>
    <n v="241.54"/>
    <d v="2025-06-25T00:00:00"/>
    <d v="2025-06-30T00:00:00"/>
    <x v="0"/>
    <s v="OK"/>
    <s v="OK"/>
    <x v="1"/>
    <n v="5"/>
    <n v="1"/>
    <n v="241.54"/>
  </r>
  <r>
    <n v="51816"/>
    <n v="31052"/>
    <x v="32"/>
    <n v="2038"/>
    <x v="3"/>
    <n v="2"/>
    <n v="237.2"/>
    <d v="2025-05-01T00:00:00"/>
    <d v="2025-10-05T00:00:00"/>
    <x v="0"/>
    <s v="OK"/>
    <s v="OK"/>
    <x v="2"/>
    <n v="157"/>
    <n v="1"/>
    <n v="118.6"/>
  </r>
  <r>
    <n v="51817"/>
    <n v="31053"/>
    <x v="331"/>
    <n v="2592"/>
    <x v="13"/>
    <n v="1"/>
    <n v="121.5"/>
    <s v=""/>
    <s v=""/>
    <x v="3"/>
    <s v="Missing date"/>
    <s v="Missing date"/>
    <x v="1"/>
    <s v=""/>
    <n v="1"/>
    <n v="121.5"/>
  </r>
  <r>
    <n v="51818"/>
    <n v="31053"/>
    <x v="331"/>
    <n v="2592"/>
    <x v="11"/>
    <n v="2"/>
    <n v="448.74"/>
    <d v="2026-09-08T00:00:00"/>
    <s v=""/>
    <x v="3"/>
    <s v="Missing date"/>
    <s v="OK"/>
    <x v="2"/>
    <s v=""/>
    <n v="0"/>
    <n v="224.37"/>
  </r>
  <r>
    <n v="51819"/>
    <n v="31054"/>
    <x v="3"/>
    <n v="2427"/>
    <x v="7"/>
    <n v="2"/>
    <n v="507.72"/>
    <d v="2025-03-01T00:00:00"/>
    <d v="2025-03-08T00:00:00"/>
    <x v="1"/>
    <s v="OK"/>
    <s v="OK"/>
    <x v="0"/>
    <n v="7"/>
    <n v="1"/>
    <n v="253.86"/>
  </r>
  <r>
    <n v="51820"/>
    <n v="31055"/>
    <x v="245"/>
    <n v="2292"/>
    <x v="7"/>
    <n v="1"/>
    <n v="253.86"/>
    <d v="2025-07-13T00:00:00"/>
    <d v="2025-07-16T00:00:00"/>
    <x v="0"/>
    <s v="OK"/>
    <s v="OK"/>
    <x v="0"/>
    <n v="3"/>
    <n v="1"/>
    <n v="253.86"/>
  </r>
  <r>
    <n v="51821"/>
    <n v="31055"/>
    <x v="245"/>
    <n v="2292"/>
    <x v="14"/>
    <n v="5"/>
    <n v="598.70000000000005"/>
    <d v="2025-07-14T00:00:00"/>
    <d v="2025-07-24T00:00:00"/>
    <x v="0"/>
    <s v="OK"/>
    <s v="OK"/>
    <x v="3"/>
    <n v="10"/>
    <n v="0"/>
    <n v="119.74000000000001"/>
  </r>
  <r>
    <n v="51822"/>
    <n v="31055"/>
    <x v="245"/>
    <n v="2292"/>
    <x v="2"/>
    <n v="2"/>
    <n v="483.08"/>
    <d v="2025-07-14T00:00:00"/>
    <d v="2025-07-15T00:00:00"/>
    <x v="0"/>
    <s v="OK"/>
    <s v="OK"/>
    <x v="1"/>
    <n v="1"/>
    <n v="0"/>
    <n v="241.54"/>
  </r>
  <r>
    <n v="51823"/>
    <n v="31056"/>
    <x v="345"/>
    <n v="2037"/>
    <x v="13"/>
    <n v="2"/>
    <n v="243"/>
    <d v="2025-08-08T00:00:00"/>
    <d v="2025-08-15T00:00:00"/>
    <x v="0"/>
    <s v="OK"/>
    <s v="OK"/>
    <x v="1"/>
    <n v="7"/>
    <n v="1"/>
    <n v="121.5"/>
  </r>
  <r>
    <n v="51824"/>
    <n v="31056"/>
    <x v="345"/>
    <n v="2037"/>
    <x v="5"/>
    <n v="1"/>
    <n v="101.44"/>
    <d v="2025-08-07T00:00:00"/>
    <d v="2025-08-15T00:00:00"/>
    <x v="0"/>
    <s v="OK"/>
    <s v="OK"/>
    <x v="1"/>
    <n v="8"/>
    <n v="0"/>
    <n v="101.44"/>
  </r>
  <r>
    <n v="51825"/>
    <n v="31057"/>
    <x v="143"/>
    <n v="2378"/>
    <x v="11"/>
    <n v="1"/>
    <n v="224.37"/>
    <s v=""/>
    <s v=""/>
    <x v="2"/>
    <s v="Missing date"/>
    <s v="Missing date"/>
    <x v="2"/>
    <s v=""/>
    <n v="1"/>
    <n v="224.37"/>
  </r>
  <r>
    <n v="51826"/>
    <n v="31057"/>
    <x v="143"/>
    <n v="2378"/>
    <x v="10"/>
    <n v="1"/>
    <n v="215.34"/>
    <s v=""/>
    <s v=""/>
    <x v="2"/>
    <s v="Missing date"/>
    <s v="Missing date"/>
    <x v="3"/>
    <s v=""/>
    <n v="0"/>
    <n v="215.34"/>
  </r>
  <r>
    <n v="51827"/>
    <n v="31057"/>
    <x v="143"/>
    <n v="2378"/>
    <x v="11"/>
    <n v="3"/>
    <n v="673.11"/>
    <s v=""/>
    <s v=""/>
    <x v="2"/>
    <s v="Missing date"/>
    <s v="Missing date"/>
    <x v="2"/>
    <s v=""/>
    <n v="0"/>
    <n v="224.37"/>
  </r>
  <r>
    <n v="51828"/>
    <n v="31057"/>
    <x v="143"/>
    <n v="2378"/>
    <x v="13"/>
    <n v="1"/>
    <n v="121.5"/>
    <s v=""/>
    <s v=""/>
    <x v="2"/>
    <s v="Missing date"/>
    <s v="Missing date"/>
    <x v="1"/>
    <s v=""/>
    <n v="0"/>
    <n v="121.5"/>
  </r>
  <r>
    <n v="51829"/>
    <n v="31058"/>
    <x v="265"/>
    <n v="2483"/>
    <x v="9"/>
    <n v="2"/>
    <n v="80.56"/>
    <d v="2025-03-29T00:00:00"/>
    <d v="2025-03-31T00:00:00"/>
    <x v="0"/>
    <s v="OK"/>
    <s v="OK"/>
    <x v="0"/>
    <n v="2"/>
    <n v="1"/>
    <n v="40.28"/>
  </r>
  <r>
    <n v="51830"/>
    <n v="31059"/>
    <x v="105"/>
    <n v="2338"/>
    <x v="0"/>
    <n v="1"/>
    <n v="199.81"/>
    <d v="2025-09-15T00:00:00"/>
    <d v="2025-09-18T00:00:00"/>
    <x v="0"/>
    <s v="OK"/>
    <s v="OK"/>
    <x v="0"/>
    <n v="3"/>
    <n v="1"/>
    <n v="199.81"/>
  </r>
  <r>
    <n v="51831"/>
    <n v="31060"/>
    <x v="265"/>
    <n v="2215"/>
    <x v="4"/>
    <n v="1"/>
    <n v="183.74"/>
    <d v="2025-03-29T00:00:00"/>
    <d v="2025-04-02T00:00:00"/>
    <x v="0"/>
    <s v="OK"/>
    <s v="OK"/>
    <x v="2"/>
    <n v="4"/>
    <n v="1"/>
    <n v="183.74"/>
  </r>
  <r>
    <n v="51832"/>
    <n v="31061"/>
    <x v="233"/>
    <n v="2586"/>
    <x v="11"/>
    <n v="2"/>
    <n v="448.74"/>
    <d v="2025-08-02T00:00:00"/>
    <d v="2025-08-11T00:00:00"/>
    <x v="0"/>
    <s v="OK"/>
    <s v="OK"/>
    <x v="2"/>
    <n v="9"/>
    <n v="1"/>
    <n v="224.37"/>
  </r>
  <r>
    <n v="51833"/>
    <n v="31061"/>
    <x v="258"/>
    <n v="2586"/>
    <x v="12"/>
    <n v="1"/>
    <n v="65.260000000000005"/>
    <d v="2025-08-02T00:00:00"/>
    <d v="2025-08-09T00:00:00"/>
    <x v="0"/>
    <s v="OK"/>
    <s v="OK"/>
    <x v="3"/>
    <n v="7"/>
    <n v="0"/>
    <n v="65.260000000000005"/>
  </r>
  <r>
    <n v="51834"/>
    <n v="31062"/>
    <x v="192"/>
    <n v="2295"/>
    <x v="5"/>
    <n v="1"/>
    <n v="101.44"/>
    <d v="2025-11-16T00:00:00"/>
    <d v="2025-11-21T00:00:00"/>
    <x v="0"/>
    <s v="OK"/>
    <s v="OK"/>
    <x v="1"/>
    <n v="5"/>
    <n v="1"/>
    <n v="101.44"/>
  </r>
  <r>
    <n v="51835"/>
    <n v="31062"/>
    <x v="192"/>
    <n v="2295"/>
    <x v="9"/>
    <n v="1"/>
    <n v="40.28"/>
    <d v="2025-11-18T00:00:00"/>
    <d v="2025-11-27T00:00:00"/>
    <x v="0"/>
    <s v="OK"/>
    <s v="OK"/>
    <x v="0"/>
    <n v="9"/>
    <n v="0"/>
    <n v="40.28"/>
  </r>
  <r>
    <n v="51836"/>
    <n v="31063"/>
    <x v="117"/>
    <n v="2539"/>
    <x v="2"/>
    <n v="1"/>
    <n v="241.54"/>
    <d v="2025-04-24T00:00:00"/>
    <d v="2025-05-01T00:00:00"/>
    <x v="0"/>
    <s v="OK"/>
    <s v="OK"/>
    <x v="1"/>
    <n v="7"/>
    <n v="1"/>
    <n v="241.54"/>
  </r>
  <r>
    <n v="51837"/>
    <n v="31063"/>
    <x v="117"/>
    <n v="2539"/>
    <x v="6"/>
    <n v="1"/>
    <n v="31.73"/>
    <d v="2025-04-22T00:00:00"/>
    <d v="2025-04-25T00:00:00"/>
    <x v="0"/>
    <s v="OK"/>
    <s v="OK"/>
    <x v="2"/>
    <n v="3"/>
    <n v="0"/>
    <n v="31.73"/>
  </r>
  <r>
    <n v="51838"/>
    <n v="31063"/>
    <x v="117"/>
    <n v="2539"/>
    <x v="12"/>
    <n v="1"/>
    <n v="65.260000000000005"/>
    <d v="2025-04-22T00:00:00"/>
    <d v="2025-04-29T00:00:00"/>
    <x v="0"/>
    <s v="OK"/>
    <s v="OK"/>
    <x v="3"/>
    <n v="7"/>
    <n v="0"/>
    <n v="65.260000000000005"/>
  </r>
  <r>
    <n v="51839"/>
    <n v="31064"/>
    <x v="34"/>
    <n v="2533"/>
    <x v="12"/>
    <n v="3"/>
    <n v="195.78"/>
    <d v="2025-08-21T00:00:00"/>
    <d v="2025-08-23T00:00:00"/>
    <x v="0"/>
    <s v="OK"/>
    <s v="OK"/>
    <x v="3"/>
    <n v="2"/>
    <n v="1"/>
    <n v="65.260000000000005"/>
  </r>
  <r>
    <n v="51840"/>
    <n v="31065"/>
    <x v="280"/>
    <n v="2505"/>
    <x v="1"/>
    <n v="2"/>
    <n v="412.18"/>
    <s v=""/>
    <s v=""/>
    <x v="3"/>
    <s v="Missing date"/>
    <s v="Missing date"/>
    <x v="0"/>
    <s v=""/>
    <n v="1"/>
    <n v="206.09"/>
  </r>
  <r>
    <n v="51841"/>
    <n v="31065"/>
    <x v="280"/>
    <n v="2505"/>
    <x v="0"/>
    <n v="1"/>
    <n v="199.81"/>
    <d v="2025-06-16T00:00:00"/>
    <s v=""/>
    <x v="3"/>
    <s v="Missing date"/>
    <s v="OK"/>
    <x v="0"/>
    <s v=""/>
    <n v="0"/>
    <n v="199.81"/>
  </r>
  <r>
    <n v="51842"/>
    <n v="31065"/>
    <x v="280"/>
    <n v="2505"/>
    <x v="8"/>
    <n v="2"/>
    <n v="406.08"/>
    <s v=""/>
    <s v=""/>
    <x v="3"/>
    <s v="Missing date"/>
    <s v="Missing date"/>
    <x v="2"/>
    <s v=""/>
    <n v="0"/>
    <n v="203.04"/>
  </r>
  <r>
    <n v="51843"/>
    <n v="31066"/>
    <x v="121"/>
    <n v="2121"/>
    <x v="0"/>
    <n v="1"/>
    <n v="199.81"/>
    <d v="2025-04-28T00:00:00"/>
    <d v="2025-05-08T00:00:00"/>
    <x v="0"/>
    <s v="OK"/>
    <s v="OK"/>
    <x v="0"/>
    <n v="10"/>
    <n v="1"/>
    <n v="199.81"/>
  </r>
  <r>
    <n v="51844"/>
    <n v="31067"/>
    <x v="235"/>
    <n v="2425"/>
    <x v="5"/>
    <n v="1"/>
    <n v="101.44"/>
    <d v="2025-05-11T00:00:00"/>
    <d v="2025-05-18T00:00:00"/>
    <x v="0"/>
    <s v="OK"/>
    <s v="OK"/>
    <x v="1"/>
    <n v="7"/>
    <n v="1"/>
    <n v="101.44"/>
  </r>
  <r>
    <n v="51845"/>
    <n v="31067"/>
    <x v="235"/>
    <n v="2425"/>
    <x v="2"/>
    <n v="2"/>
    <n v="483.08"/>
    <d v="2025-05-11T00:00:00"/>
    <d v="2025-05-13T00:00:00"/>
    <x v="0"/>
    <s v="OK"/>
    <s v="OK"/>
    <x v="1"/>
    <n v="2"/>
    <n v="0"/>
    <n v="241.54"/>
  </r>
  <r>
    <n v="51846"/>
    <n v="31068"/>
    <x v="210"/>
    <n v="2574"/>
    <x v="0"/>
    <n v="2"/>
    <n v="399.62"/>
    <d v="2025-12-10T00:00:00"/>
    <s v=""/>
    <x v="3"/>
    <s v="Missing date"/>
    <s v="OK"/>
    <x v="0"/>
    <s v=""/>
    <n v="1"/>
    <n v="199.81"/>
  </r>
  <r>
    <n v="51847"/>
    <n v="31069"/>
    <x v="346"/>
    <n v="2207"/>
    <x v="9"/>
    <n v="1"/>
    <n v="40.28"/>
    <d v="2025-09-10T00:00:00"/>
    <d v="2025-09-13T00:00:00"/>
    <x v="0"/>
    <s v="OK"/>
    <s v="OK"/>
    <x v="0"/>
    <n v="3"/>
    <n v="1"/>
    <n v="40.28"/>
  </r>
  <r>
    <n v="51848"/>
    <n v="31069"/>
    <x v="347"/>
    <n v="2207"/>
    <x v="11"/>
    <n v="1"/>
    <n v="224.37"/>
    <d v="2025-09-09T00:00:00"/>
    <d v="2025-09-10T00:00:00"/>
    <x v="0"/>
    <s v="OK"/>
    <s v="OK"/>
    <x v="2"/>
    <n v="1"/>
    <n v="0"/>
    <n v="224.37"/>
  </r>
  <r>
    <n v="51849"/>
    <n v="31070"/>
    <x v="259"/>
    <n v="2316"/>
    <x v="5"/>
    <n v="1"/>
    <n v="101.44"/>
    <d v="2025-03-17T00:00:00"/>
    <d v="2025-03-20T00:00:00"/>
    <x v="0"/>
    <s v="OK"/>
    <s v="OK"/>
    <x v="1"/>
    <n v="3"/>
    <n v="1"/>
    <n v="101.44"/>
  </r>
  <r>
    <n v="51850"/>
    <n v="31070"/>
    <x v="259"/>
    <n v="2316"/>
    <x v="8"/>
    <n v="1"/>
    <n v="203.04"/>
    <d v="2025-03-19T00:00:00"/>
    <d v="2025-03-24T00:00:00"/>
    <x v="0"/>
    <s v="OK"/>
    <s v="OK"/>
    <x v="2"/>
    <n v="5"/>
    <n v="0"/>
    <n v="203.04"/>
  </r>
  <r>
    <n v="51851"/>
    <n v="31071"/>
    <x v="330"/>
    <n v="2117"/>
    <x v="5"/>
    <n v="3"/>
    <n v="304.32"/>
    <d v="2025-06-30T00:00:00"/>
    <d v="2025-07-04T00:00:00"/>
    <x v="0"/>
    <s v="OK"/>
    <s v="OK"/>
    <x v="1"/>
    <n v="4"/>
    <n v="1"/>
    <n v="101.44"/>
  </r>
  <r>
    <n v="51852"/>
    <n v="31072"/>
    <x v="5"/>
    <n v="2406"/>
    <x v="8"/>
    <n v="2"/>
    <n v="406.08"/>
    <d v="2025-11-04T00:00:00"/>
    <d v="2025-11-11T00:00:00"/>
    <x v="0"/>
    <s v="OK"/>
    <s v="OK"/>
    <x v="2"/>
    <n v="7"/>
    <n v="1"/>
    <n v="203.04"/>
  </r>
  <r>
    <n v="51853"/>
    <n v="31072"/>
    <x v="87"/>
    <n v="2406"/>
    <x v="7"/>
    <n v="2"/>
    <n v="507.72"/>
    <d v="2025-11-06T00:00:00"/>
    <d v="2025-11-11T00:00:00"/>
    <x v="0"/>
    <s v="OK"/>
    <s v="OK"/>
    <x v="0"/>
    <n v="5"/>
    <n v="0"/>
    <n v="253.86"/>
  </r>
  <r>
    <n v="51854"/>
    <n v="31072"/>
    <x v="87"/>
    <n v="2406"/>
    <x v="0"/>
    <n v="1"/>
    <n v="199.81"/>
    <d v="2025-11-06T00:00:00"/>
    <d v="2025-11-12T00:00:00"/>
    <x v="0"/>
    <s v="OK"/>
    <s v="OK"/>
    <x v="0"/>
    <n v="6"/>
    <n v="0"/>
    <n v="199.81"/>
  </r>
  <r>
    <n v="51855"/>
    <n v="31073"/>
    <x v="53"/>
    <n v="2339"/>
    <x v="12"/>
    <n v="3"/>
    <n v="195.78"/>
    <s v=""/>
    <s v=""/>
    <x v="3"/>
    <s v="Missing date"/>
    <s v="Missing date"/>
    <x v="3"/>
    <s v=""/>
    <n v="1"/>
    <n v="65.260000000000005"/>
  </r>
  <r>
    <n v="51856"/>
    <n v="31074"/>
    <x v="255"/>
    <n v="2037"/>
    <x v="12"/>
    <n v="1"/>
    <n v="65.260000000000005"/>
    <d v="2025-01-11T00:00:00"/>
    <d v="2025-01-18T00:00:00"/>
    <x v="0"/>
    <s v="OK"/>
    <s v="OK"/>
    <x v="3"/>
    <n v="7"/>
    <n v="1"/>
    <n v="65.260000000000005"/>
  </r>
  <r>
    <n v="51857"/>
    <n v="31075"/>
    <x v="265"/>
    <n v="2160"/>
    <x v="5"/>
    <n v="1"/>
    <n v="101.44"/>
    <d v="2025-03-29T00:00:00"/>
    <d v="2025-04-04T00:00:00"/>
    <x v="0"/>
    <s v="OK"/>
    <s v="OK"/>
    <x v="1"/>
    <n v="6"/>
    <n v="1"/>
    <n v="101.44"/>
  </r>
  <r>
    <n v="51858"/>
    <n v="31075"/>
    <x v="265"/>
    <n v="2160"/>
    <x v="14"/>
    <n v="2"/>
    <n v="239.48"/>
    <d v="2025-03-31T00:00:00"/>
    <d v="2025-04-02T00:00:00"/>
    <x v="0"/>
    <s v="OK"/>
    <s v="OK"/>
    <x v="3"/>
    <n v="2"/>
    <n v="0"/>
    <n v="119.74"/>
  </r>
  <r>
    <n v="51859"/>
    <n v="31075"/>
    <x v="265"/>
    <n v="2160"/>
    <x v="10"/>
    <n v="1"/>
    <n v="215.34"/>
    <d v="2025-03-29T00:00:00"/>
    <d v="2025-03-31T00:00:00"/>
    <x v="0"/>
    <s v="OK"/>
    <s v="OK"/>
    <x v="3"/>
    <n v="2"/>
    <n v="0"/>
    <n v="215.34"/>
  </r>
  <r>
    <n v="51860"/>
    <n v="31076"/>
    <x v="89"/>
    <n v="2058"/>
    <x v="13"/>
    <n v="1"/>
    <n v="121.5"/>
    <s v=""/>
    <s v=""/>
    <x v="3"/>
    <s v="Missing date"/>
    <s v="Missing date"/>
    <x v="1"/>
    <s v=""/>
    <n v="1"/>
    <n v="121.5"/>
  </r>
  <r>
    <n v="51861"/>
    <n v="31077"/>
    <x v="19"/>
    <n v="2324"/>
    <x v="8"/>
    <n v="3"/>
    <n v="609.12"/>
    <d v="2025-02-28T00:00:00"/>
    <d v="2025-03-10T00:00:00"/>
    <x v="0"/>
    <s v="OK"/>
    <s v="OK"/>
    <x v="2"/>
    <n v="10"/>
    <n v="1"/>
    <n v="203.04"/>
  </r>
  <r>
    <n v="51862"/>
    <n v="31078"/>
    <x v="332"/>
    <n v="2214"/>
    <x v="5"/>
    <n v="1"/>
    <n v="101.44"/>
    <d v="2025-03-03T00:00:00"/>
    <d v="2025-03-08T00:00:00"/>
    <x v="0"/>
    <s v="OK"/>
    <s v="OK"/>
    <x v="1"/>
    <n v="5"/>
    <n v="1"/>
    <n v="101.44"/>
  </r>
  <r>
    <n v="51863"/>
    <n v="31078"/>
    <x v="332"/>
    <n v="2214"/>
    <x v="2"/>
    <n v="1"/>
    <n v="241.54"/>
    <d v="2025-03-03T00:00:00"/>
    <d v="2025-03-05T00:00:00"/>
    <x v="0"/>
    <s v="OK"/>
    <s v="OK"/>
    <x v="1"/>
    <n v="2"/>
    <n v="0"/>
    <n v="241.54"/>
  </r>
  <r>
    <n v="51864"/>
    <n v="31078"/>
    <x v="332"/>
    <n v="2214"/>
    <x v="11"/>
    <n v="3"/>
    <n v="673.11"/>
    <d v="2025-03-02T00:00:00"/>
    <d v="2025-03-05T00:00:00"/>
    <x v="0"/>
    <s v="OK"/>
    <s v="OK"/>
    <x v="2"/>
    <n v="3"/>
    <n v="0"/>
    <n v="224.37"/>
  </r>
  <r>
    <n v="51865"/>
    <n v="31078"/>
    <x v="332"/>
    <n v="2214"/>
    <x v="6"/>
    <n v="1"/>
    <n v="31.73"/>
    <d v="2025-03-03T00:00:00"/>
    <d v="2025-03-09T00:00:00"/>
    <x v="0"/>
    <s v="OK"/>
    <s v="OK"/>
    <x v="2"/>
    <n v="6"/>
    <n v="0"/>
    <n v="31.73"/>
  </r>
  <r>
    <n v="51866"/>
    <n v="31079"/>
    <x v="287"/>
    <n v="2288"/>
    <x v="5"/>
    <n v="1"/>
    <n v="101.44"/>
    <s v=""/>
    <s v=""/>
    <x v="3"/>
    <s v="Missing date"/>
    <s v="Missing date"/>
    <x v="1"/>
    <s v=""/>
    <n v="1"/>
    <n v="101.44"/>
  </r>
  <r>
    <n v="51867"/>
    <n v="31080"/>
    <x v="247"/>
    <n v="2548"/>
    <x v="15"/>
    <n v="1"/>
    <n v="170.25"/>
    <d v="2025-08-10T00:00:00"/>
    <s v=""/>
    <x v="3"/>
    <s v="Missing date"/>
    <s v="OK"/>
    <x v="1"/>
    <s v=""/>
    <n v="1"/>
    <n v="170.25"/>
  </r>
  <r>
    <n v="51868"/>
    <n v="31081"/>
    <x v="298"/>
    <n v="2120"/>
    <x v="13"/>
    <n v="1"/>
    <n v="121.5"/>
    <s v=""/>
    <s v=""/>
    <x v="2"/>
    <s v="Missing date"/>
    <s v="Missing date"/>
    <x v="1"/>
    <s v=""/>
    <n v="1"/>
    <n v="121.5"/>
  </r>
  <r>
    <n v="51869"/>
    <n v="31081"/>
    <x v="298"/>
    <n v="2120"/>
    <x v="5"/>
    <n v="2"/>
    <n v="202.88"/>
    <s v=""/>
    <s v=""/>
    <x v="2"/>
    <s v="Missing date"/>
    <s v="Missing date"/>
    <x v="1"/>
    <s v=""/>
    <n v="0"/>
    <n v="101.44"/>
  </r>
  <r>
    <n v="51870"/>
    <n v="31081"/>
    <x v="298"/>
    <n v="2120"/>
    <x v="3"/>
    <n v="1"/>
    <n v="118.6"/>
    <s v=""/>
    <s v=""/>
    <x v="2"/>
    <s v="Missing date"/>
    <s v="Missing date"/>
    <x v="2"/>
    <s v=""/>
    <n v="0"/>
    <n v="118.6"/>
  </r>
  <r>
    <n v="51871"/>
    <n v="31082"/>
    <x v="9"/>
    <n v="2279"/>
    <x v="12"/>
    <n v="1"/>
    <n v="65.260000000000005"/>
    <d v="2025-05-23T00:00:00"/>
    <d v="2025-05-28T00:00:00"/>
    <x v="0"/>
    <s v="OK"/>
    <s v="OK"/>
    <x v="3"/>
    <n v="5"/>
    <n v="1"/>
    <n v="65.260000000000005"/>
  </r>
  <r>
    <n v="51872"/>
    <n v="31083"/>
    <x v="190"/>
    <n v="2244"/>
    <x v="13"/>
    <n v="1"/>
    <n v="121.5"/>
    <d v="2025-05-08T00:00:00"/>
    <d v="2025-05-18T00:00:00"/>
    <x v="0"/>
    <s v="OK"/>
    <s v="OK"/>
    <x v="1"/>
    <n v="10"/>
    <n v="1"/>
    <n v="121.5"/>
  </r>
  <r>
    <n v="51873"/>
    <n v="31084"/>
    <x v="71"/>
    <n v="2222"/>
    <x v="7"/>
    <n v="1"/>
    <n v="253.86"/>
    <d v="2025-08-13T00:00:00"/>
    <d v="2025-08-15T00:00:00"/>
    <x v="0"/>
    <s v="OK"/>
    <s v="OK"/>
    <x v="0"/>
    <n v="2"/>
    <n v="1"/>
    <n v="253.86"/>
  </r>
  <r>
    <n v="51874"/>
    <n v="31085"/>
    <x v="114"/>
    <n v="2115"/>
    <x v="3"/>
    <n v="1"/>
    <n v="118.6"/>
    <d v="2025-05-10T00:00:00"/>
    <d v="2025-05-16T00:00:00"/>
    <x v="0"/>
    <s v="OK"/>
    <s v="OK"/>
    <x v="2"/>
    <n v="6"/>
    <n v="1"/>
    <n v="118.6"/>
  </r>
  <r>
    <n v="51875"/>
    <n v="31085"/>
    <x v="114"/>
    <n v="2115"/>
    <x v="0"/>
    <n v="1"/>
    <n v="199.81"/>
    <d v="2025-05-10T00:00:00"/>
    <d v="2025-05-11T00:00:00"/>
    <x v="0"/>
    <s v="OK"/>
    <s v="OK"/>
    <x v="0"/>
    <n v="1"/>
    <n v="0"/>
    <n v="199.81"/>
  </r>
  <r>
    <n v="51876"/>
    <n v="31086"/>
    <x v="23"/>
    <n v="2095"/>
    <x v="8"/>
    <n v="2"/>
    <n v="406.08"/>
    <d v="2025-11-12T00:00:00"/>
    <d v="2025-11-22T00:00:00"/>
    <x v="0"/>
    <s v="OK"/>
    <s v="OK"/>
    <x v="2"/>
    <n v="10"/>
    <n v="1"/>
    <n v="203.04"/>
  </r>
  <r>
    <n v="51877"/>
    <n v="31087"/>
    <x v="191"/>
    <n v="2495"/>
    <x v="6"/>
    <n v="1"/>
    <n v="31.73"/>
    <s v=""/>
    <s v=""/>
    <x v="2"/>
    <s v="Missing date"/>
    <s v="Missing date"/>
    <x v="2"/>
    <s v=""/>
    <n v="1"/>
    <n v="31.73"/>
  </r>
  <r>
    <n v="51878"/>
    <n v="31087"/>
    <x v="191"/>
    <n v="2495"/>
    <x v="0"/>
    <n v="1"/>
    <n v="199.81"/>
    <s v=""/>
    <s v=""/>
    <x v="2"/>
    <s v="Missing date"/>
    <s v="Missing date"/>
    <x v="0"/>
    <s v=""/>
    <n v="0"/>
    <n v="199.81"/>
  </r>
  <r>
    <n v="51879"/>
    <n v="31087"/>
    <x v="191"/>
    <n v="2495"/>
    <x v="5"/>
    <n v="2"/>
    <n v="202.88"/>
    <s v=""/>
    <s v=""/>
    <x v="2"/>
    <s v="Missing date"/>
    <s v="Missing date"/>
    <x v="1"/>
    <s v=""/>
    <n v="0"/>
    <n v="101.44"/>
  </r>
  <r>
    <n v="51880"/>
    <n v="31088"/>
    <x v="338"/>
    <n v="2496"/>
    <x v="13"/>
    <n v="5"/>
    <n v="607.5"/>
    <d v="2025-11-03T00:00:00"/>
    <d v="2025-11-04T00:00:00"/>
    <x v="0"/>
    <s v="OK"/>
    <s v="OK"/>
    <x v="1"/>
    <n v="1"/>
    <n v="1"/>
    <n v="121.5"/>
  </r>
  <r>
    <n v="51881"/>
    <n v="31089"/>
    <x v="244"/>
    <n v="2336"/>
    <x v="4"/>
    <n v="2"/>
    <n v="367.48"/>
    <d v="2025-07-24T00:00:00"/>
    <d v="2025-08-02T00:00:00"/>
    <x v="0"/>
    <s v="OK"/>
    <s v="OK"/>
    <x v="2"/>
    <n v="9"/>
    <n v="1"/>
    <n v="183.74"/>
  </r>
  <r>
    <n v="51882"/>
    <n v="31089"/>
    <x v="244"/>
    <n v="2336"/>
    <x v="6"/>
    <n v="3"/>
    <n v="95.19"/>
    <d v="2025-07-23T00:00:00"/>
    <d v="2025-07-29T00:00:00"/>
    <x v="0"/>
    <s v="OK"/>
    <s v="OK"/>
    <x v="2"/>
    <n v="6"/>
    <n v="0"/>
    <n v="31.73"/>
  </r>
  <r>
    <n v="51883"/>
    <n v="31090"/>
    <x v="148"/>
    <n v="2211"/>
    <x v="14"/>
    <n v="2"/>
    <n v="239.48"/>
    <d v="2025-10-27T00:00:00"/>
    <d v="2025-11-04T00:00:00"/>
    <x v="0"/>
    <s v="OK"/>
    <s v="OK"/>
    <x v="3"/>
    <n v="8"/>
    <n v="1"/>
    <n v="119.74"/>
  </r>
  <r>
    <n v="51884"/>
    <n v="31091"/>
    <x v="154"/>
    <n v="2397"/>
    <x v="4"/>
    <n v="1"/>
    <n v="183.74"/>
    <d v="2025-11-01T00:00:00"/>
    <d v="2025-11-04T00:00:00"/>
    <x v="0"/>
    <s v="OK"/>
    <s v="OK"/>
    <x v="2"/>
    <n v="3"/>
    <n v="1"/>
    <n v="183.74"/>
  </r>
  <r>
    <n v="51885"/>
    <n v="31092"/>
    <x v="230"/>
    <n v="2005"/>
    <x v="3"/>
    <n v="1"/>
    <n v="118.6"/>
    <d v="2025-08-01T00:00:00"/>
    <d v="2025-08-06T00:00:00"/>
    <x v="0"/>
    <s v="OK"/>
    <s v="OK"/>
    <x v="2"/>
    <n v="5"/>
    <n v="1"/>
    <n v="118.6"/>
  </r>
  <r>
    <n v="51886"/>
    <n v="31092"/>
    <x v="230"/>
    <n v="2005"/>
    <x v="11"/>
    <n v="2"/>
    <n v="448.74"/>
    <d v="2025-08-01T00:00:00"/>
    <d v="2025-08-05T00:00:00"/>
    <x v="0"/>
    <s v="OK"/>
    <s v="OK"/>
    <x v="2"/>
    <n v="4"/>
    <n v="0"/>
    <n v="224.37"/>
  </r>
  <r>
    <n v="51887"/>
    <n v="31092"/>
    <x v="230"/>
    <n v="2005"/>
    <x v="5"/>
    <n v="1"/>
    <n v="101.44"/>
    <d v="2025-08-02T00:00:00"/>
    <d v="2025-08-03T00:00:00"/>
    <x v="0"/>
    <s v="OK"/>
    <s v="OK"/>
    <x v="1"/>
    <n v="1"/>
    <n v="0"/>
    <n v="101.44"/>
  </r>
  <r>
    <n v="51888"/>
    <n v="31093"/>
    <x v="43"/>
    <n v="2479"/>
    <x v="4"/>
    <n v="2"/>
    <n v="367.48"/>
    <s v=""/>
    <s v=""/>
    <x v="2"/>
    <s v="Missing date"/>
    <s v="Missing date"/>
    <x v="2"/>
    <s v=""/>
    <n v="1"/>
    <n v="183.74"/>
  </r>
  <r>
    <n v="51889"/>
    <n v="31093"/>
    <x v="43"/>
    <n v="2479"/>
    <x v="13"/>
    <n v="1"/>
    <n v="121.5"/>
    <s v=""/>
    <s v=""/>
    <x v="2"/>
    <s v="Missing date"/>
    <s v="Missing date"/>
    <x v="1"/>
    <s v=""/>
    <n v="0"/>
    <n v="121.5"/>
  </r>
  <r>
    <n v="51890"/>
    <n v="31094"/>
    <x v="64"/>
    <n v="2024"/>
    <x v="13"/>
    <n v="1"/>
    <n v="121.5"/>
    <d v="2025-05-31T00:00:00"/>
    <d v="2025-06-02T00:00:00"/>
    <x v="0"/>
    <s v="OK"/>
    <s v="OK"/>
    <x v="1"/>
    <n v="2"/>
    <n v="1"/>
    <n v="121.5"/>
  </r>
  <r>
    <n v="51891"/>
    <n v="31094"/>
    <x v="64"/>
    <n v="2024"/>
    <x v="0"/>
    <n v="1"/>
    <n v="199.81"/>
    <d v="2025-05-31T00:00:00"/>
    <d v="2025-06-08T00:00:00"/>
    <x v="0"/>
    <s v="OK"/>
    <s v="OK"/>
    <x v="0"/>
    <n v="8"/>
    <n v="0"/>
    <n v="199.81"/>
  </r>
  <r>
    <n v="51892"/>
    <n v="31095"/>
    <x v="150"/>
    <n v="2329"/>
    <x v="13"/>
    <n v="1"/>
    <n v="121.5"/>
    <d v="2025-07-22T00:00:00"/>
    <d v="2025-07-25T00:00:00"/>
    <x v="0"/>
    <s v="OK"/>
    <s v="OK"/>
    <x v="1"/>
    <n v="3"/>
    <n v="1"/>
    <n v="121.5"/>
  </r>
  <r>
    <n v="51893"/>
    <n v="31096"/>
    <x v="58"/>
    <n v="2284"/>
    <x v="14"/>
    <n v="1"/>
    <n v="119.74"/>
    <d v="2025-10-15T00:00:00"/>
    <d v="2025-10-25T00:00:00"/>
    <x v="0"/>
    <s v="OK"/>
    <s v="OK"/>
    <x v="3"/>
    <n v="10"/>
    <n v="1"/>
    <n v="119.74"/>
  </r>
  <r>
    <n v="51894"/>
    <n v="31096"/>
    <x v="58"/>
    <n v="2284"/>
    <x v="4"/>
    <n v="1"/>
    <n v="183.74"/>
    <d v="2025-10-13T00:00:00"/>
    <d v="2025-10-17T00:00:00"/>
    <x v="0"/>
    <s v="OK"/>
    <s v="OK"/>
    <x v="2"/>
    <n v="4"/>
    <n v="0"/>
    <n v="183.74"/>
  </r>
  <r>
    <n v="51895"/>
    <n v="31096"/>
    <x v="58"/>
    <n v="2284"/>
    <x v="9"/>
    <n v="3"/>
    <n v="120.84"/>
    <d v="2025-10-14T00:00:00"/>
    <d v="2025-10-24T00:00:00"/>
    <x v="0"/>
    <s v="OK"/>
    <s v="OK"/>
    <x v="0"/>
    <n v="10"/>
    <n v="0"/>
    <n v="40.28"/>
  </r>
  <r>
    <n v="51896"/>
    <n v="31096"/>
    <x v="58"/>
    <n v="2284"/>
    <x v="6"/>
    <n v="1"/>
    <n v="31.73"/>
    <d v="2025-10-14T00:00:00"/>
    <d v="2025-10-17T00:00:00"/>
    <x v="0"/>
    <s v="OK"/>
    <s v="OK"/>
    <x v="2"/>
    <n v="3"/>
    <n v="0"/>
    <n v="31.73"/>
  </r>
  <r>
    <n v="51897"/>
    <n v="31097"/>
    <x v="312"/>
    <n v="2162"/>
    <x v="8"/>
    <n v="3"/>
    <n v="609.12"/>
    <d v="2025-01-18T00:00:00"/>
    <d v="2025-01-25T00:00:00"/>
    <x v="0"/>
    <s v="OK"/>
    <s v="OK"/>
    <x v="2"/>
    <n v="7"/>
    <n v="1"/>
    <n v="203.04"/>
  </r>
  <r>
    <n v="51898"/>
    <n v="31098"/>
    <x v="312"/>
    <n v="2574"/>
    <x v="0"/>
    <n v="4"/>
    <n v="799.24"/>
    <d v="2025-01-17T00:00:00"/>
    <d v="2025-01-20T00:00:00"/>
    <x v="0"/>
    <s v="OK"/>
    <s v="OK"/>
    <x v="0"/>
    <n v="3"/>
    <n v="1"/>
    <n v="199.81"/>
  </r>
  <r>
    <n v="51899"/>
    <n v="31099"/>
    <x v="348"/>
    <n v="2556"/>
    <x v="5"/>
    <n v="3"/>
    <n v="304.32"/>
    <d v="2025-05-04T00:00:00"/>
    <d v="2025-05-09T00:00:00"/>
    <x v="0"/>
    <s v="OK"/>
    <s v="OK"/>
    <x v="1"/>
    <n v="5"/>
    <n v="1"/>
    <n v="101.44"/>
  </r>
  <r>
    <n v="51900"/>
    <n v="31099"/>
    <x v="348"/>
    <n v="2556"/>
    <x v="9"/>
    <n v="3"/>
    <n v="120.84"/>
    <d v="2025-04-05T00:00:00"/>
    <d v="2025-05-07T00:00:00"/>
    <x v="0"/>
    <s v="OK"/>
    <s v="OK"/>
    <x v="0"/>
    <n v="32"/>
    <n v="0"/>
    <n v="40.28"/>
  </r>
  <r>
    <n v="51901"/>
    <n v="31099"/>
    <x v="261"/>
    <n v="2556"/>
    <x v="6"/>
    <n v="2"/>
    <n v="63.46"/>
    <d v="2025-05-02T00:00:00"/>
    <d v="2025-05-03T00:00:00"/>
    <x v="0"/>
    <s v="OK"/>
    <s v="OK"/>
    <x v="2"/>
    <n v="1"/>
    <n v="0"/>
    <n v="31.73"/>
  </r>
  <r>
    <n v="51902"/>
    <n v="31100"/>
    <x v="14"/>
    <n v="2291"/>
    <x v="7"/>
    <n v="1"/>
    <n v="253.86"/>
    <d v="2025-12-27T00:00:00"/>
    <d v="2025-12-31T00:00:00"/>
    <x v="0"/>
    <s v="OK"/>
    <s v="OK"/>
    <x v="0"/>
    <n v="4"/>
    <n v="1"/>
    <n v="253.86"/>
  </r>
  <r>
    <n v="51903"/>
    <n v="31101"/>
    <x v="39"/>
    <n v="2073"/>
    <x v="5"/>
    <n v="2"/>
    <n v="202.88"/>
    <d v="2025-01-03T00:00:00"/>
    <d v="2025-01-08T00:00:00"/>
    <x v="0"/>
    <s v="OK"/>
    <s v="OK"/>
    <x v="1"/>
    <n v="5"/>
    <n v="1"/>
    <n v="101.44"/>
  </r>
  <r>
    <n v="51904"/>
    <n v="31102"/>
    <x v="22"/>
    <n v="2554"/>
    <x v="6"/>
    <n v="4"/>
    <n v="126.92"/>
    <d v="2025-01-30T00:00:00"/>
    <d v="2025-05-02T00:00:00"/>
    <x v="0"/>
    <s v="OK"/>
    <s v="OK"/>
    <x v="2"/>
    <n v="92"/>
    <n v="1"/>
    <n v="31.73"/>
  </r>
  <r>
    <n v="51905"/>
    <n v="31102"/>
    <x v="22"/>
    <n v="2554"/>
    <x v="8"/>
    <n v="1"/>
    <n v="203.04"/>
    <d v="2025-01-30T00:00:00"/>
    <d v="2025-06-02T00:00:00"/>
    <x v="0"/>
    <s v="OK"/>
    <s v="OK"/>
    <x v="2"/>
    <n v="123"/>
    <n v="0"/>
    <n v="203.04"/>
  </r>
  <r>
    <n v="51906"/>
    <n v="31102"/>
    <x v="22"/>
    <n v="2554"/>
    <x v="12"/>
    <n v="2"/>
    <n v="130.52000000000001"/>
    <d v="2025-01-31T00:00:00"/>
    <d v="2025-02-06T00:00:00"/>
    <x v="0"/>
    <s v="OK"/>
    <s v="OK"/>
    <x v="3"/>
    <n v="6"/>
    <n v="0"/>
    <n v="65.260000000000005"/>
  </r>
  <r>
    <n v="51907"/>
    <n v="31102"/>
    <x v="22"/>
    <n v="2554"/>
    <x v="3"/>
    <n v="2"/>
    <n v="237.2"/>
    <d v="2025-01-31T00:00:00"/>
    <d v="2025-02-03T00:00:00"/>
    <x v="0"/>
    <s v="OK"/>
    <s v="OK"/>
    <x v="2"/>
    <n v="3"/>
    <n v="0"/>
    <n v="118.6"/>
  </r>
  <r>
    <n v="51908"/>
    <n v="31103"/>
    <x v="289"/>
    <n v="2109"/>
    <x v="11"/>
    <n v="2"/>
    <n v="448.74"/>
    <d v="2025-02-18T00:00:00"/>
    <d v="2025-02-25T00:00:00"/>
    <x v="0"/>
    <s v="OK"/>
    <s v="OK"/>
    <x v="2"/>
    <n v="7"/>
    <n v="1"/>
    <n v="224.37"/>
  </r>
  <r>
    <n v="51909"/>
    <n v="31104"/>
    <x v="131"/>
    <n v="2437"/>
    <x v="14"/>
    <n v="1"/>
    <n v="119.74"/>
    <d v="2025-09-19T00:00:00"/>
    <d v="2025-09-28T00:00:00"/>
    <x v="0"/>
    <s v="OK"/>
    <s v="OK"/>
    <x v="3"/>
    <n v="9"/>
    <n v="1"/>
    <n v="119.74"/>
  </r>
  <r>
    <n v="51910"/>
    <n v="31105"/>
    <x v="349"/>
    <n v="2365"/>
    <x v="0"/>
    <n v="1"/>
    <n v="199.81"/>
    <d v="2025-01-19T00:00:00"/>
    <d v="2025-01-25T00:00:00"/>
    <x v="0"/>
    <s v="OK"/>
    <s v="OK"/>
    <x v="0"/>
    <n v="6"/>
    <n v="1"/>
    <n v="199.81"/>
  </r>
  <r>
    <n v="51911"/>
    <n v="31106"/>
    <x v="248"/>
    <n v="2547"/>
    <x v="14"/>
    <n v="1"/>
    <n v="119.74"/>
    <d v="2025-12-23T00:00:00"/>
    <d v="2025-12-29T00:00:00"/>
    <x v="0"/>
    <s v="OK"/>
    <s v="OK"/>
    <x v="3"/>
    <n v="6"/>
    <n v="1"/>
    <n v="119.74"/>
  </r>
  <r>
    <n v="51912"/>
    <n v="31106"/>
    <x v="248"/>
    <n v="2547"/>
    <x v="6"/>
    <n v="2"/>
    <n v="63.46"/>
    <d v="2025-12-22T00:00:00"/>
    <d v="2025-12-26T00:00:00"/>
    <x v="0"/>
    <s v="OK"/>
    <s v="OK"/>
    <x v="2"/>
    <n v="4"/>
    <n v="0"/>
    <n v="31.73"/>
  </r>
  <r>
    <n v="51913"/>
    <n v="31107"/>
    <x v="299"/>
    <n v="2096"/>
    <x v="14"/>
    <n v="1"/>
    <n v="119.74"/>
    <d v="2026-11-01T00:00:00"/>
    <s v=""/>
    <x v="3"/>
    <s v="Missing date"/>
    <s v="OK"/>
    <x v="3"/>
    <s v=""/>
    <n v="1"/>
    <n v="119.74"/>
  </r>
  <r>
    <n v="51914"/>
    <n v="31107"/>
    <x v="299"/>
    <n v="2096"/>
    <x v="13"/>
    <n v="3"/>
    <n v="364.5"/>
    <s v=""/>
    <s v=""/>
    <x v="3"/>
    <s v="Missing date"/>
    <s v="Missing date"/>
    <x v="1"/>
    <s v=""/>
    <n v="0"/>
    <n v="121.5"/>
  </r>
  <r>
    <n v="51915"/>
    <n v="31107"/>
    <x v="299"/>
    <n v="2096"/>
    <x v="14"/>
    <n v="1"/>
    <n v="119.74"/>
    <s v=""/>
    <s v=""/>
    <x v="3"/>
    <s v="Missing date"/>
    <s v="Missing date"/>
    <x v="3"/>
    <s v=""/>
    <n v="0"/>
    <n v="119.74"/>
  </r>
  <r>
    <n v="51916"/>
    <n v="31108"/>
    <x v="119"/>
    <n v="2230"/>
    <x v="9"/>
    <n v="2"/>
    <n v="80.56"/>
    <d v="2025-07-16T00:00:00"/>
    <d v="2025-07-18T00:00:00"/>
    <x v="0"/>
    <s v="OK"/>
    <s v="OK"/>
    <x v="0"/>
    <n v="2"/>
    <n v="1"/>
    <n v="40.28"/>
  </r>
  <r>
    <n v="51917"/>
    <n v="31108"/>
    <x v="119"/>
    <n v="2230"/>
    <x v="2"/>
    <n v="2"/>
    <n v="483.08"/>
    <d v="2025-07-14T00:00:00"/>
    <d v="2025-07-23T00:00:00"/>
    <x v="0"/>
    <s v="OK"/>
    <s v="OK"/>
    <x v="1"/>
    <n v="9"/>
    <n v="0"/>
    <n v="241.54"/>
  </r>
  <r>
    <n v="51918"/>
    <n v="31109"/>
    <x v="268"/>
    <n v="2402"/>
    <x v="5"/>
    <n v="1"/>
    <n v="101.44"/>
    <d v="2025-02-12T00:00:00"/>
    <d v="2025-02-20T00:00:00"/>
    <x v="0"/>
    <s v="OK"/>
    <s v="OK"/>
    <x v="1"/>
    <n v="8"/>
    <n v="1"/>
    <n v="101.44"/>
  </r>
  <r>
    <n v="51919"/>
    <n v="31110"/>
    <x v="118"/>
    <n v="2333"/>
    <x v="8"/>
    <n v="1"/>
    <n v="203.04"/>
    <d v="2025-10-05T00:00:00"/>
    <d v="2025-10-07T00:00:00"/>
    <x v="0"/>
    <s v="OK"/>
    <s v="OK"/>
    <x v="2"/>
    <n v="2"/>
    <n v="1"/>
    <n v="203.04"/>
  </r>
  <r>
    <n v="51920"/>
    <n v="31110"/>
    <x v="118"/>
    <n v="2333"/>
    <x v="11"/>
    <n v="1"/>
    <n v="224.37"/>
    <d v="2025-10-03T00:00:00"/>
    <d v="2025-10-08T00:00:00"/>
    <x v="0"/>
    <s v="OK"/>
    <s v="OK"/>
    <x v="2"/>
    <n v="5"/>
    <n v="0"/>
    <n v="224.37"/>
  </r>
  <r>
    <n v="51921"/>
    <n v="31111"/>
    <x v="92"/>
    <n v="2487"/>
    <x v="12"/>
    <n v="1"/>
    <n v="65.260000000000005"/>
    <d v="2025-05-17T00:00:00"/>
    <d v="2025-05-21T00:00:00"/>
    <x v="0"/>
    <s v="OK"/>
    <s v="OK"/>
    <x v="3"/>
    <n v="4"/>
    <n v="1"/>
    <n v="65.260000000000005"/>
  </r>
  <r>
    <n v="51922"/>
    <n v="31112"/>
    <x v="197"/>
    <n v="2473"/>
    <x v="13"/>
    <n v="1"/>
    <n v="121.5"/>
    <s v=""/>
    <s v=""/>
    <x v="3"/>
    <s v="Missing date"/>
    <s v="Missing date"/>
    <x v="1"/>
    <s v=""/>
    <n v="1"/>
    <n v="121.5"/>
  </r>
  <r>
    <n v="51923"/>
    <n v="31113"/>
    <x v="285"/>
    <n v="2589"/>
    <x v="4"/>
    <n v="4"/>
    <n v="734.96"/>
    <d v="2025-11-27T00:00:00"/>
    <d v="2025-12-05T00:00:00"/>
    <x v="0"/>
    <s v="OK"/>
    <s v="OK"/>
    <x v="2"/>
    <n v="8"/>
    <n v="1"/>
    <n v="183.74"/>
  </r>
  <r>
    <n v="51924"/>
    <n v="31114"/>
    <x v="194"/>
    <n v="2416"/>
    <x v="4"/>
    <n v="1"/>
    <n v="183.74"/>
    <s v=""/>
    <s v=""/>
    <x v="3"/>
    <s v="Missing date"/>
    <s v="Missing date"/>
    <x v="2"/>
    <s v=""/>
    <n v="1"/>
    <n v="183.74"/>
  </r>
  <r>
    <n v="51925"/>
    <n v="31115"/>
    <x v="240"/>
    <n v="2073"/>
    <x v="14"/>
    <n v="1"/>
    <n v="119.74"/>
    <s v=""/>
    <s v=""/>
    <x v="3"/>
    <s v="Missing date"/>
    <s v="Missing date"/>
    <x v="3"/>
    <s v=""/>
    <n v="1"/>
    <n v="119.74"/>
  </r>
  <r>
    <n v="51926"/>
    <n v="31116"/>
    <x v="297"/>
    <n v="2424"/>
    <x v="1"/>
    <n v="1"/>
    <n v="206.09"/>
    <d v="2025-05-19T00:00:00"/>
    <d v="2025-05-25T00:00:00"/>
    <x v="0"/>
    <s v="OK"/>
    <s v="OK"/>
    <x v="0"/>
    <n v="6"/>
    <n v="1"/>
    <n v="206.09"/>
  </r>
  <r>
    <n v="51927"/>
    <n v="31117"/>
    <x v="192"/>
    <n v="2562"/>
    <x v="12"/>
    <n v="1"/>
    <n v="65.260000000000005"/>
    <d v="2025-11-16T00:00:00"/>
    <d v="2025-11-24T00:00:00"/>
    <x v="0"/>
    <s v="OK"/>
    <s v="OK"/>
    <x v="3"/>
    <n v="8"/>
    <n v="1"/>
    <n v="65.260000000000005"/>
  </r>
  <r>
    <n v="51928"/>
    <n v="31118"/>
    <x v="74"/>
    <n v="2394"/>
    <x v="0"/>
    <n v="1"/>
    <n v="199.81"/>
    <d v="2025-06-13T00:00:00"/>
    <d v="2025-06-15T00:00:00"/>
    <x v="0"/>
    <s v="OK"/>
    <s v="OK"/>
    <x v="0"/>
    <n v="2"/>
    <n v="1"/>
    <n v="199.81"/>
  </r>
  <r>
    <n v="51929"/>
    <n v="31119"/>
    <x v="0"/>
    <n v="2442"/>
    <x v="10"/>
    <n v="3"/>
    <n v="646.02"/>
    <s v=""/>
    <s v=""/>
    <x v="3"/>
    <s v="Missing date"/>
    <s v="Missing date"/>
    <x v="3"/>
    <s v=""/>
    <n v="1"/>
    <n v="215.34"/>
  </r>
  <r>
    <n v="51930"/>
    <n v="31119"/>
    <x v="0"/>
    <n v="2442"/>
    <x v="5"/>
    <n v="1"/>
    <n v="101.44"/>
    <s v=""/>
    <s v=""/>
    <x v="3"/>
    <s v="Missing date"/>
    <s v="Missing date"/>
    <x v="1"/>
    <s v=""/>
    <n v="0"/>
    <n v="101.44"/>
  </r>
  <r>
    <n v="51931"/>
    <n v="31119"/>
    <x v="0"/>
    <n v="2442"/>
    <x v="1"/>
    <n v="1"/>
    <n v="206.09"/>
    <d v="2025-02-04T00:00:00"/>
    <s v=""/>
    <x v="3"/>
    <s v="Missing date"/>
    <s v="OK"/>
    <x v="0"/>
    <s v=""/>
    <n v="0"/>
    <n v="206.09"/>
  </r>
  <r>
    <n v="51932"/>
    <n v="31120"/>
    <x v="2"/>
    <n v="2080"/>
    <x v="12"/>
    <n v="1"/>
    <n v="65.260000000000005"/>
    <d v="2025-10-08T00:00:00"/>
    <d v="2025-10-12T00:00:00"/>
    <x v="0"/>
    <s v="OK"/>
    <s v="OK"/>
    <x v="3"/>
    <n v="4"/>
    <n v="1"/>
    <n v="65.260000000000005"/>
  </r>
  <r>
    <n v="51933"/>
    <n v="31120"/>
    <x v="307"/>
    <n v="2080"/>
    <x v="4"/>
    <n v="1"/>
    <n v="183.74"/>
    <d v="2025-10-06T00:00:00"/>
    <d v="2025-10-13T00:00:00"/>
    <x v="0"/>
    <s v="OK"/>
    <s v="OK"/>
    <x v="2"/>
    <n v="7"/>
    <n v="0"/>
    <n v="183.74"/>
  </r>
  <r>
    <n v="51934"/>
    <n v="31121"/>
    <x v="6"/>
    <n v="2475"/>
    <x v="4"/>
    <n v="1"/>
    <n v="183.74"/>
    <d v="2025-07-27T00:00:00"/>
    <d v="2025-07-31T00:00:00"/>
    <x v="0"/>
    <s v="OK"/>
    <s v="OK"/>
    <x v="2"/>
    <n v="4"/>
    <n v="1"/>
    <n v="183.74"/>
  </r>
  <r>
    <n v="51935"/>
    <n v="31122"/>
    <x v="342"/>
    <n v="2456"/>
    <x v="15"/>
    <n v="2"/>
    <n v="340.5"/>
    <d v="2025-11-27T00:00:00"/>
    <d v="2025-11-28T00:00:00"/>
    <x v="0"/>
    <s v="OK"/>
    <s v="OK"/>
    <x v="1"/>
    <n v="1"/>
    <n v="1"/>
    <n v="170.25"/>
  </r>
  <r>
    <n v="51936"/>
    <n v="31123"/>
    <x v="94"/>
    <n v="2072"/>
    <x v="15"/>
    <n v="1"/>
    <n v="170.25"/>
    <d v="2025-07-08T00:00:00"/>
    <d v="2025-07-17T00:00:00"/>
    <x v="0"/>
    <s v="OK"/>
    <s v="OK"/>
    <x v="1"/>
    <n v="9"/>
    <n v="1"/>
    <n v="170.25"/>
  </r>
  <r>
    <n v="51937"/>
    <n v="31124"/>
    <x v="0"/>
    <n v="2336"/>
    <x v="3"/>
    <n v="1"/>
    <n v="118.6"/>
    <d v="2025-02-05T00:00:00"/>
    <d v="2025-02-06T00:00:00"/>
    <x v="0"/>
    <s v="OK"/>
    <s v="OK"/>
    <x v="2"/>
    <n v="1"/>
    <n v="1"/>
    <n v="118.6"/>
  </r>
  <r>
    <n v="51938"/>
    <n v="31125"/>
    <x v="336"/>
    <n v="2093"/>
    <x v="6"/>
    <n v="3"/>
    <n v="95.19"/>
    <d v="2025-10-24T00:00:00"/>
    <d v="2025-10-31T00:00:00"/>
    <x v="0"/>
    <s v="OK"/>
    <s v="OK"/>
    <x v="2"/>
    <n v="7"/>
    <n v="1"/>
    <n v="31.73"/>
  </r>
  <r>
    <n v="51939"/>
    <n v="31125"/>
    <x v="336"/>
    <n v="2093"/>
    <x v="8"/>
    <n v="1"/>
    <n v="203.04"/>
    <d v="2025-10-24T00:00:00"/>
    <d v="2025-10-29T00:00:00"/>
    <x v="0"/>
    <s v="OK"/>
    <s v="OK"/>
    <x v="2"/>
    <n v="5"/>
    <n v="0"/>
    <n v="203.04"/>
  </r>
  <r>
    <n v="51940"/>
    <n v="31126"/>
    <x v="214"/>
    <n v="2151"/>
    <x v="14"/>
    <n v="2"/>
    <n v="239.48"/>
    <d v="2025-07-10T00:00:00"/>
    <d v="2025-07-15T00:00:00"/>
    <x v="0"/>
    <s v="OK"/>
    <s v="OK"/>
    <x v="3"/>
    <n v="5"/>
    <n v="1"/>
    <n v="119.74"/>
  </r>
  <r>
    <n v="51941"/>
    <n v="31126"/>
    <x v="214"/>
    <n v="2151"/>
    <x v="13"/>
    <n v="3"/>
    <n v="364.5"/>
    <d v="2025-07-10T00:00:00"/>
    <d v="2025-07-19T00:00:00"/>
    <x v="0"/>
    <s v="OK"/>
    <s v="OK"/>
    <x v="1"/>
    <n v="9"/>
    <n v="0"/>
    <n v="121.5"/>
  </r>
  <r>
    <n v="51942"/>
    <n v="31127"/>
    <x v="193"/>
    <n v="2400"/>
    <x v="14"/>
    <n v="1"/>
    <n v="119.74"/>
    <d v="2025-05-18T00:00:00"/>
    <d v="2025-05-27T00:00:00"/>
    <x v="0"/>
    <s v="OK"/>
    <s v="OK"/>
    <x v="3"/>
    <n v="9"/>
    <n v="1"/>
    <n v="119.74"/>
  </r>
  <r>
    <n v="51943"/>
    <n v="31128"/>
    <x v="185"/>
    <n v="2201"/>
    <x v="5"/>
    <n v="4"/>
    <n v="405.76"/>
    <d v="2025-02-19T00:00:00"/>
    <d v="2025-02-26T00:00:00"/>
    <x v="0"/>
    <s v="OK"/>
    <s v="OK"/>
    <x v="1"/>
    <n v="7"/>
    <n v="1"/>
    <n v="101.44"/>
  </r>
  <r>
    <n v="51944"/>
    <n v="31129"/>
    <x v="340"/>
    <n v="2307"/>
    <x v="13"/>
    <n v="3"/>
    <n v="364.5"/>
    <d v="2025-11-18T00:00:00"/>
    <d v="2025-11-22T00:00:00"/>
    <x v="0"/>
    <s v="OK"/>
    <s v="OK"/>
    <x v="1"/>
    <n v="4"/>
    <n v="1"/>
    <n v="121.5"/>
  </r>
  <r>
    <n v="51945"/>
    <n v="31129"/>
    <x v="340"/>
    <n v="2307"/>
    <x v="10"/>
    <n v="2"/>
    <n v="430.68"/>
    <d v="2025-11-19T00:00:00"/>
    <d v="2025-11-25T00:00:00"/>
    <x v="0"/>
    <s v="OK"/>
    <s v="OK"/>
    <x v="3"/>
    <n v="6"/>
    <n v="0"/>
    <n v="215.34"/>
  </r>
  <r>
    <n v="51946"/>
    <n v="31129"/>
    <x v="340"/>
    <n v="2307"/>
    <x v="2"/>
    <n v="2"/>
    <n v="483.08"/>
    <d v="2025-11-19T00:00:00"/>
    <d v="2025-11-21T00:00:00"/>
    <x v="0"/>
    <s v="OK"/>
    <s v="OK"/>
    <x v="1"/>
    <n v="2"/>
    <n v="0"/>
    <n v="241.54"/>
  </r>
  <r>
    <n v="51947"/>
    <n v="31130"/>
    <x v="6"/>
    <n v="2092"/>
    <x v="15"/>
    <n v="1"/>
    <n v="170.25"/>
    <d v="2025-07-29T00:00:00"/>
    <d v="2025-08-08T00:00:00"/>
    <x v="0"/>
    <s v="OK"/>
    <s v="OK"/>
    <x v="1"/>
    <n v="10"/>
    <n v="1"/>
    <n v="170.25"/>
  </r>
  <r>
    <n v="51948"/>
    <n v="31130"/>
    <x v="6"/>
    <n v="2092"/>
    <x v="6"/>
    <n v="1"/>
    <n v="31.73"/>
    <d v="2025-07-29T00:00:00"/>
    <d v="2025-08-08T00:00:00"/>
    <x v="0"/>
    <s v="OK"/>
    <s v="OK"/>
    <x v="2"/>
    <n v="10"/>
    <n v="0"/>
    <n v="31.73"/>
  </r>
  <r>
    <n v="51949"/>
    <n v="31130"/>
    <x v="6"/>
    <n v="2092"/>
    <x v="13"/>
    <n v="1"/>
    <n v="121.5"/>
    <d v="2025-07-27T00:00:00"/>
    <d v="2025-07-29T00:00:00"/>
    <x v="0"/>
    <s v="OK"/>
    <s v="OK"/>
    <x v="1"/>
    <n v="2"/>
    <n v="0"/>
    <n v="121.5"/>
  </r>
  <r>
    <n v="51950"/>
    <n v="31130"/>
    <x v="6"/>
    <n v="2092"/>
    <x v="3"/>
    <n v="1"/>
    <n v="118.6"/>
    <d v="2025-07-29T00:00:00"/>
    <d v="2025-08-07T00:00:00"/>
    <x v="0"/>
    <s v="OK"/>
    <s v="OK"/>
    <x v="2"/>
    <n v="9"/>
    <n v="0"/>
    <n v="118.6"/>
  </r>
  <r>
    <n v="51951"/>
    <n v="31131"/>
    <x v="323"/>
    <n v="2379"/>
    <x v="3"/>
    <n v="1"/>
    <n v="118.6"/>
    <s v=""/>
    <s v=""/>
    <x v="2"/>
    <s v="Missing date"/>
    <s v="Missing date"/>
    <x v="2"/>
    <s v=""/>
    <n v="1"/>
    <n v="118.6"/>
  </r>
  <r>
    <n v="51952"/>
    <n v="31131"/>
    <x v="323"/>
    <n v="2379"/>
    <x v="8"/>
    <n v="1"/>
    <n v="203.04"/>
    <s v=""/>
    <s v=""/>
    <x v="2"/>
    <s v="Missing date"/>
    <s v="Missing date"/>
    <x v="2"/>
    <s v=""/>
    <n v="0"/>
    <n v="203.04"/>
  </r>
  <r>
    <n v="51953"/>
    <n v="31132"/>
    <x v="221"/>
    <n v="2574"/>
    <x v="2"/>
    <n v="2"/>
    <n v="483.08"/>
    <d v="2025-07-21T00:00:00"/>
    <s v=""/>
    <x v="3"/>
    <s v="Missing date"/>
    <s v="OK"/>
    <x v="1"/>
    <s v=""/>
    <n v="1"/>
    <n v="241.54"/>
  </r>
  <r>
    <n v="51954"/>
    <n v="31132"/>
    <x v="221"/>
    <n v="2574"/>
    <x v="13"/>
    <n v="2"/>
    <n v="243"/>
    <s v=""/>
    <s v=""/>
    <x v="3"/>
    <s v="Missing date"/>
    <s v="Missing date"/>
    <x v="1"/>
    <s v=""/>
    <n v="0"/>
    <n v="121.5"/>
  </r>
  <r>
    <n v="51955"/>
    <n v="31133"/>
    <x v="31"/>
    <n v="2241"/>
    <x v="15"/>
    <n v="1"/>
    <n v="170.25"/>
    <d v="2025-04-16T00:00:00"/>
    <d v="2025-04-25T00:00:00"/>
    <x v="0"/>
    <s v="OK"/>
    <s v="OK"/>
    <x v="1"/>
    <n v="9"/>
    <n v="1"/>
    <n v="170.25"/>
  </r>
  <r>
    <n v="51956"/>
    <n v="31134"/>
    <x v="0"/>
    <n v="2326"/>
    <x v="15"/>
    <n v="2"/>
    <n v="340.5"/>
    <d v="2025-02-06T00:00:00"/>
    <d v="2025-02-14T00:00:00"/>
    <x v="0"/>
    <s v="OK"/>
    <s v="OK"/>
    <x v="1"/>
    <n v="8"/>
    <n v="1"/>
    <n v="170.25"/>
  </r>
  <r>
    <n v="51957"/>
    <n v="31134"/>
    <x v="0"/>
    <n v="2326"/>
    <x v="15"/>
    <n v="1"/>
    <n v="170.25"/>
    <d v="2025-02-04T00:00:00"/>
    <d v="2025-02-05T00:00:00"/>
    <x v="0"/>
    <s v="OK"/>
    <s v="OK"/>
    <x v="1"/>
    <n v="1"/>
    <n v="0"/>
    <n v="170.25"/>
  </r>
  <r>
    <n v="51958"/>
    <n v="31135"/>
    <x v="133"/>
    <n v="2446"/>
    <x v="7"/>
    <n v="1"/>
    <n v="253.86"/>
    <d v="2025-05-14T00:00:00"/>
    <d v="2025-05-24T00:00:00"/>
    <x v="0"/>
    <s v="OK"/>
    <s v="OK"/>
    <x v="0"/>
    <n v="10"/>
    <n v="1"/>
    <n v="253.86"/>
  </r>
  <r>
    <n v="51959"/>
    <n v="31135"/>
    <x v="133"/>
    <n v="2446"/>
    <x v="12"/>
    <n v="1"/>
    <n v="65.260000000000005"/>
    <d v="2025-05-13T00:00:00"/>
    <d v="2025-05-17T00:00:00"/>
    <x v="0"/>
    <s v="OK"/>
    <s v="OK"/>
    <x v="3"/>
    <n v="4"/>
    <n v="0"/>
    <n v="65.260000000000005"/>
  </r>
  <r>
    <n v="51960"/>
    <n v="31135"/>
    <x v="133"/>
    <n v="2446"/>
    <x v="6"/>
    <n v="1"/>
    <n v="31.73"/>
    <d v="2025-05-14T00:00:00"/>
    <d v="2025-05-24T00:00:00"/>
    <x v="0"/>
    <s v="OK"/>
    <s v="OK"/>
    <x v="2"/>
    <n v="10"/>
    <n v="0"/>
    <n v="31.73"/>
  </r>
  <r>
    <n v="51961"/>
    <n v="31135"/>
    <x v="133"/>
    <n v="2446"/>
    <x v="0"/>
    <n v="2"/>
    <n v="399.62"/>
    <d v="2025-05-14T00:00:00"/>
    <d v="2025-05-21T00:00:00"/>
    <x v="0"/>
    <s v="OK"/>
    <s v="OK"/>
    <x v="0"/>
    <n v="7"/>
    <n v="0"/>
    <n v="199.81"/>
  </r>
  <r>
    <n v="51962"/>
    <n v="31136"/>
    <x v="190"/>
    <n v="2569"/>
    <x v="2"/>
    <n v="1"/>
    <n v="241.54"/>
    <d v="2025-05-07T00:00:00"/>
    <d v="2025-05-17T00:00:00"/>
    <x v="0"/>
    <s v="OK"/>
    <s v="OK"/>
    <x v="1"/>
    <n v="10"/>
    <n v="1"/>
    <n v="241.54"/>
  </r>
  <r>
    <n v="51963"/>
    <n v="31137"/>
    <x v="122"/>
    <n v="2428"/>
    <x v="6"/>
    <n v="1"/>
    <n v="31.73"/>
    <d v="2025-01-16T00:00:00"/>
    <d v="2025-01-24T00:00:00"/>
    <x v="0"/>
    <s v="OK"/>
    <s v="OK"/>
    <x v="2"/>
    <n v="8"/>
    <n v="1"/>
    <n v="31.73"/>
  </r>
  <r>
    <n v="51964"/>
    <n v="31138"/>
    <x v="34"/>
    <n v="2138"/>
    <x v="8"/>
    <n v="1"/>
    <n v="203.04"/>
    <d v="2025-08-22T00:00:00"/>
    <d v="2025-08-24T00:00:00"/>
    <x v="0"/>
    <s v="OK"/>
    <s v="OK"/>
    <x v="2"/>
    <n v="2"/>
    <n v="1"/>
    <n v="203.04"/>
  </r>
  <r>
    <n v="51965"/>
    <n v="31138"/>
    <x v="34"/>
    <n v="2138"/>
    <x v="6"/>
    <n v="1"/>
    <n v="31.73"/>
    <d v="2025-08-23T00:00:00"/>
    <d v="2025-08-30T00:00:00"/>
    <x v="0"/>
    <s v="OK"/>
    <s v="OK"/>
    <x v="2"/>
    <n v="7"/>
    <n v="0"/>
    <n v="31.73"/>
  </r>
  <r>
    <n v="51966"/>
    <n v="31138"/>
    <x v="34"/>
    <n v="2138"/>
    <x v="12"/>
    <n v="4"/>
    <n v="261.04000000000002"/>
    <d v="2025-08-23T00:00:00"/>
    <d v="2025-08-28T00:00:00"/>
    <x v="0"/>
    <s v="OK"/>
    <s v="OK"/>
    <x v="3"/>
    <n v="5"/>
    <n v="0"/>
    <n v="65.260000000000005"/>
  </r>
  <r>
    <n v="51967"/>
    <n v="31139"/>
    <x v="70"/>
    <n v="2448"/>
    <x v="6"/>
    <n v="2"/>
    <n v="63.46"/>
    <d v="2025-02-25T00:00:00"/>
    <d v="2025-02-28T00:00:00"/>
    <x v="1"/>
    <s v="OK"/>
    <s v="OK"/>
    <x v="2"/>
    <n v="3"/>
    <n v="1"/>
    <n v="31.73"/>
  </r>
  <r>
    <n v="51968"/>
    <n v="31139"/>
    <x v="70"/>
    <n v="2448"/>
    <x v="11"/>
    <n v="1"/>
    <n v="224.37"/>
    <d v="2025-02-24T00:00:00"/>
    <d v="2025-03-01T00:00:00"/>
    <x v="1"/>
    <s v="OK"/>
    <s v="OK"/>
    <x v="2"/>
    <n v="5"/>
    <n v="0"/>
    <n v="224.37"/>
  </r>
  <r>
    <n v="51969"/>
    <n v="31140"/>
    <x v="67"/>
    <n v="2141"/>
    <x v="10"/>
    <n v="2"/>
    <n v="430.68"/>
    <d v="2025-05-14T00:00:00"/>
    <d v="2025-05-21T00:00:00"/>
    <x v="0"/>
    <s v="OK"/>
    <s v="OK"/>
    <x v="3"/>
    <n v="7"/>
    <n v="1"/>
    <n v="215.34"/>
  </r>
  <r>
    <n v="51970"/>
    <n v="31140"/>
    <x v="67"/>
    <n v="2141"/>
    <x v="14"/>
    <n v="3"/>
    <n v="359.22"/>
    <d v="2025-05-12T00:00:00"/>
    <d v="2025-05-15T00:00:00"/>
    <x v="0"/>
    <s v="OK"/>
    <s v="OK"/>
    <x v="3"/>
    <n v="3"/>
    <n v="0"/>
    <n v="119.74000000000001"/>
  </r>
  <r>
    <n v="51971"/>
    <n v="31141"/>
    <x v="340"/>
    <n v="2436"/>
    <x v="14"/>
    <n v="3"/>
    <n v="359.22"/>
    <d v="2025-11-18T00:00:00"/>
    <d v="2025-11-26T00:00:00"/>
    <x v="0"/>
    <s v="OK"/>
    <s v="OK"/>
    <x v="3"/>
    <n v="8"/>
    <n v="1"/>
    <n v="119.74000000000001"/>
  </r>
  <r>
    <n v="51972"/>
    <n v="31142"/>
    <x v="258"/>
    <n v="2522"/>
    <x v="14"/>
    <n v="1"/>
    <n v="119.74"/>
    <d v="2025-04-08T00:00:00"/>
    <d v="2025-08-12T00:00:00"/>
    <x v="0"/>
    <s v="OK"/>
    <s v="OK"/>
    <x v="3"/>
    <n v="126"/>
    <n v="1"/>
    <n v="119.74"/>
  </r>
  <r>
    <n v="51973"/>
    <n v="31143"/>
    <x v="118"/>
    <n v="2394"/>
    <x v="7"/>
    <n v="1"/>
    <n v="253.86"/>
    <d v="2025-10-05T00:00:00"/>
    <d v="2025-10-10T00:00:00"/>
    <x v="0"/>
    <s v="OK"/>
    <s v="OK"/>
    <x v="0"/>
    <n v="5"/>
    <n v="1"/>
    <n v="253.86"/>
  </r>
  <r>
    <n v="51974"/>
    <n v="31143"/>
    <x v="118"/>
    <n v="2394"/>
    <x v="10"/>
    <n v="2"/>
    <n v="430.68"/>
    <d v="2025-10-05T00:00:00"/>
    <d v="2025-10-11T00:00:00"/>
    <x v="0"/>
    <s v="OK"/>
    <s v="OK"/>
    <x v="3"/>
    <n v="6"/>
    <n v="0"/>
    <n v="215.34"/>
  </r>
  <r>
    <n v="51975"/>
    <n v="31144"/>
    <x v="68"/>
    <n v="2008"/>
    <x v="1"/>
    <n v="3"/>
    <n v="618.27"/>
    <d v="2025-08-30T00:00:00"/>
    <d v="2025-09-09T00:00:00"/>
    <x v="0"/>
    <s v="OK"/>
    <s v="OK"/>
    <x v="0"/>
    <n v="10"/>
    <n v="1"/>
    <n v="206.09"/>
  </r>
  <r>
    <n v="51976"/>
    <n v="31144"/>
    <x v="68"/>
    <n v="2008"/>
    <x v="9"/>
    <n v="2"/>
    <n v="80.56"/>
    <d v="2025-08-30T00:00:00"/>
    <d v="2025-09-04T00:00:00"/>
    <x v="0"/>
    <s v="OK"/>
    <s v="OK"/>
    <x v="0"/>
    <n v="5"/>
    <n v="0"/>
    <n v="40.28"/>
  </r>
  <r>
    <n v="51977"/>
    <n v="31145"/>
    <x v="25"/>
    <n v="2421"/>
    <x v="2"/>
    <n v="2"/>
    <n v="483.08"/>
    <s v=""/>
    <s v=""/>
    <x v="2"/>
    <s v="Missing date"/>
    <s v="Missing date"/>
    <x v="1"/>
    <s v=""/>
    <n v="1"/>
    <n v="241.54"/>
  </r>
  <r>
    <n v="51978"/>
    <n v="31145"/>
    <x v="25"/>
    <n v="2421"/>
    <x v="3"/>
    <n v="1"/>
    <n v="118.6"/>
    <s v=""/>
    <s v=""/>
    <x v="2"/>
    <s v="Missing date"/>
    <s v="Missing date"/>
    <x v="2"/>
    <s v=""/>
    <n v="0"/>
    <n v="118.6"/>
  </r>
  <r>
    <n v="51979"/>
    <n v="31145"/>
    <x v="25"/>
    <n v="2421"/>
    <x v="3"/>
    <n v="1"/>
    <n v="118.6"/>
    <s v=""/>
    <s v=""/>
    <x v="2"/>
    <s v="Missing date"/>
    <s v="Missing date"/>
    <x v="2"/>
    <s v=""/>
    <n v="0"/>
    <n v="118.6"/>
  </r>
  <r>
    <n v="51980"/>
    <n v="31146"/>
    <x v="21"/>
    <n v="2582"/>
    <x v="2"/>
    <n v="3"/>
    <n v="724.62"/>
    <d v="2025-05-15T00:00:00"/>
    <d v="2025-05-25T00:00:00"/>
    <x v="0"/>
    <s v="OK"/>
    <s v="OK"/>
    <x v="1"/>
    <n v="10"/>
    <n v="1"/>
    <n v="241.54"/>
  </r>
  <r>
    <n v="51981"/>
    <n v="31146"/>
    <x v="21"/>
    <n v="2582"/>
    <x v="4"/>
    <n v="1"/>
    <n v="183.74"/>
    <d v="2025-05-15T00:00:00"/>
    <d v="2025-05-23T00:00:00"/>
    <x v="0"/>
    <s v="OK"/>
    <s v="OK"/>
    <x v="2"/>
    <n v="8"/>
    <n v="0"/>
    <n v="183.74"/>
  </r>
  <r>
    <n v="51982"/>
    <n v="31146"/>
    <x v="21"/>
    <n v="2582"/>
    <x v="12"/>
    <n v="3"/>
    <n v="195.78"/>
    <d v="2025-05-14T00:00:00"/>
    <d v="2025-05-18T00:00:00"/>
    <x v="0"/>
    <s v="OK"/>
    <s v="OK"/>
    <x v="3"/>
    <n v="4"/>
    <n v="0"/>
    <n v="65.260000000000005"/>
  </r>
  <r>
    <n v="51983"/>
    <n v="31147"/>
    <x v="16"/>
    <n v="2082"/>
    <x v="9"/>
    <n v="1"/>
    <n v="40.28"/>
    <d v="2025-07-08T00:00:00"/>
    <d v="2025-08-13T00:00:00"/>
    <x v="0"/>
    <s v="OK"/>
    <s v="OK"/>
    <x v="0"/>
    <n v="36"/>
    <n v="1"/>
    <n v="40.28"/>
  </r>
  <r>
    <n v="51984"/>
    <n v="31147"/>
    <x v="16"/>
    <n v="2082"/>
    <x v="14"/>
    <n v="2"/>
    <n v="239.48"/>
    <d v="2025-08-08T00:00:00"/>
    <d v="2025-08-14T00:00:00"/>
    <x v="0"/>
    <s v="OK"/>
    <s v="OK"/>
    <x v="3"/>
    <n v="6"/>
    <n v="0"/>
    <n v="119.74"/>
  </r>
  <r>
    <n v="51985"/>
    <n v="31147"/>
    <x v="345"/>
    <n v="2082"/>
    <x v="11"/>
    <n v="1"/>
    <n v="224.37"/>
    <d v="2025-08-09T00:00:00"/>
    <d v="2025-08-17T00:00:00"/>
    <x v="0"/>
    <s v="OK"/>
    <s v="OK"/>
    <x v="2"/>
    <n v="8"/>
    <n v="0"/>
    <n v="224.37"/>
  </r>
  <r>
    <n v="51986"/>
    <n v="31147"/>
    <x v="16"/>
    <n v="2082"/>
    <x v="11"/>
    <n v="1"/>
    <n v="224.37"/>
    <d v="2025-08-09T00:00:00"/>
    <d v="2025-08-15T00:00:00"/>
    <x v="0"/>
    <s v="OK"/>
    <s v="OK"/>
    <x v="2"/>
    <n v="6"/>
    <n v="0"/>
    <n v="224.37"/>
  </r>
  <r>
    <n v="51987"/>
    <n v="31148"/>
    <x v="195"/>
    <n v="2252"/>
    <x v="11"/>
    <n v="2"/>
    <n v="448.74"/>
    <d v="2025-11-02T00:00:00"/>
    <d v="2025-11-10T00:00:00"/>
    <x v="0"/>
    <s v="OK"/>
    <s v="OK"/>
    <x v="2"/>
    <n v="8"/>
    <n v="1"/>
    <n v="224.37"/>
  </r>
  <r>
    <n v="51988"/>
    <n v="31149"/>
    <x v="325"/>
    <n v="2553"/>
    <x v="13"/>
    <n v="2"/>
    <n v="243"/>
    <s v=""/>
    <s v=""/>
    <x v="3"/>
    <s v="Missing date"/>
    <s v="Missing date"/>
    <x v="1"/>
    <s v=""/>
    <n v="1"/>
    <n v="121.5"/>
  </r>
  <r>
    <n v="51989"/>
    <n v="31150"/>
    <x v="139"/>
    <n v="2352"/>
    <x v="8"/>
    <n v="1"/>
    <n v="203.04"/>
    <d v="2025-03-12T00:00:00"/>
    <d v="2025-03-17T00:00:00"/>
    <x v="0"/>
    <s v="OK"/>
    <s v="OK"/>
    <x v="2"/>
    <n v="5"/>
    <n v="1"/>
    <n v="203.04"/>
  </r>
  <r>
    <n v="51990"/>
    <n v="31151"/>
    <x v="76"/>
    <n v="2481"/>
    <x v="12"/>
    <n v="1"/>
    <n v="65.260000000000005"/>
    <d v="2025-04-19T00:00:00"/>
    <d v="2025-04-28T00:00:00"/>
    <x v="0"/>
    <s v="OK"/>
    <s v="OK"/>
    <x v="3"/>
    <n v="9"/>
    <n v="1"/>
    <n v="65.260000000000005"/>
  </r>
  <r>
    <n v="51991"/>
    <n v="31151"/>
    <x v="76"/>
    <n v="2481"/>
    <x v="5"/>
    <n v="1"/>
    <n v="101.44"/>
    <d v="2025-04-19T00:00:00"/>
    <d v="2025-04-21T00:00:00"/>
    <x v="0"/>
    <s v="OK"/>
    <s v="OK"/>
    <x v="1"/>
    <n v="2"/>
    <n v="0"/>
    <n v="101.44"/>
  </r>
  <r>
    <n v="51992"/>
    <n v="31152"/>
    <x v="16"/>
    <n v="2432"/>
    <x v="13"/>
    <n v="1"/>
    <n v="121.5"/>
    <d v="2025-06-09T00:00:00"/>
    <d v="2025-06-13T00:00:00"/>
    <x v="0"/>
    <s v="OK"/>
    <s v="OK"/>
    <x v="1"/>
    <n v="4"/>
    <n v="1"/>
    <n v="121.5"/>
  </r>
  <r>
    <n v="51993"/>
    <n v="31153"/>
    <x v="297"/>
    <n v="2297"/>
    <x v="13"/>
    <n v="2"/>
    <n v="243"/>
    <d v="2025-05-20T00:00:00"/>
    <d v="2025-05-23T00:00:00"/>
    <x v="0"/>
    <s v="OK"/>
    <s v="OK"/>
    <x v="1"/>
    <n v="3"/>
    <n v="1"/>
    <n v="121.5"/>
  </r>
  <r>
    <n v="51994"/>
    <n v="31154"/>
    <x v="167"/>
    <n v="2578"/>
    <x v="12"/>
    <n v="1"/>
    <n v="65.260000000000005"/>
    <d v="2025-03-16T00:00:00"/>
    <d v="2025-03-22T00:00:00"/>
    <x v="0"/>
    <s v="OK"/>
    <s v="OK"/>
    <x v="3"/>
    <n v="6"/>
    <n v="1"/>
    <n v="65.260000000000005"/>
  </r>
  <r>
    <n v="51995"/>
    <n v="31155"/>
    <x v="208"/>
    <n v="2593"/>
    <x v="3"/>
    <n v="1"/>
    <n v="118.6"/>
    <d v="2025-05-27T00:00:00"/>
    <d v="2025-06-04T00:00:00"/>
    <x v="0"/>
    <s v="OK"/>
    <s v="OK"/>
    <x v="2"/>
    <n v="8"/>
    <n v="1"/>
    <n v="118.6"/>
  </r>
  <r>
    <n v="51996"/>
    <n v="31156"/>
    <x v="165"/>
    <n v="2299"/>
    <x v="8"/>
    <n v="1"/>
    <n v="203.04"/>
    <s v=""/>
    <s v=""/>
    <x v="3"/>
    <s v="Missing date"/>
    <s v="Missing date"/>
    <x v="2"/>
    <s v=""/>
    <n v="1"/>
    <n v="203.04"/>
  </r>
  <r>
    <n v="51997"/>
    <n v="31156"/>
    <x v="165"/>
    <n v="2299"/>
    <x v="11"/>
    <n v="2"/>
    <n v="448.74"/>
    <d v="2025-03-27T00:00:00"/>
    <s v=""/>
    <x v="3"/>
    <s v="Missing date"/>
    <s v="OK"/>
    <x v="2"/>
    <s v=""/>
    <n v="0"/>
    <n v="224.37"/>
  </r>
  <r>
    <n v="51998"/>
    <n v="31156"/>
    <x v="165"/>
    <n v="2299"/>
    <x v="11"/>
    <n v="1"/>
    <n v="224.37"/>
    <s v=""/>
    <s v=""/>
    <x v="3"/>
    <s v="Missing date"/>
    <s v="Missing date"/>
    <x v="2"/>
    <s v=""/>
    <n v="0"/>
    <n v="224.37"/>
  </r>
  <r>
    <n v="51999"/>
    <n v="31157"/>
    <x v="261"/>
    <n v="2285"/>
    <x v="9"/>
    <n v="1"/>
    <n v="40.28"/>
    <d v="2025-05-03T00:00:00"/>
    <d v="2025-05-04T00:00:00"/>
    <x v="0"/>
    <s v="OK"/>
    <s v="OK"/>
    <x v="0"/>
    <n v="1"/>
    <n v="1"/>
    <n v="40.28"/>
  </r>
  <r>
    <n v="52000"/>
    <n v="31157"/>
    <x v="261"/>
    <n v="2285"/>
    <x v="9"/>
    <n v="4"/>
    <n v="161.12"/>
    <d v="2025-05-03T00:00:00"/>
    <d v="2025-05-05T00:00:00"/>
    <x v="0"/>
    <s v="OK"/>
    <s v="OK"/>
    <x v="0"/>
    <n v="2"/>
    <n v="0"/>
    <n v="40.28"/>
  </r>
  <r>
    <n v="52001"/>
    <n v="31158"/>
    <x v="169"/>
    <n v="2264"/>
    <x v="4"/>
    <n v="1"/>
    <n v="183.74"/>
    <d v="2025-01-19T00:00:00"/>
    <d v="2025-01-27T00:00:00"/>
    <x v="0"/>
    <s v="OK"/>
    <s v="OK"/>
    <x v="2"/>
    <n v="8"/>
    <n v="1"/>
    <n v="183.74"/>
  </r>
  <r>
    <n v="52002"/>
    <n v="31159"/>
    <x v="47"/>
    <n v="2179"/>
    <x v="6"/>
    <n v="4"/>
    <n v="126.92"/>
    <s v=""/>
    <s v=""/>
    <x v="2"/>
    <s v="Missing date"/>
    <s v="Missing date"/>
    <x v="2"/>
    <s v=""/>
    <n v="1"/>
    <n v="31.73"/>
  </r>
  <r>
    <n v="52003"/>
    <n v="31160"/>
    <x v="226"/>
    <n v="2458"/>
    <x v="7"/>
    <n v="3"/>
    <n v="761.58"/>
    <d v="2025-02-20T00:00:00"/>
    <d v="2025-02-27T00:00:00"/>
    <x v="0"/>
    <s v="OK"/>
    <s v="OK"/>
    <x v="0"/>
    <n v="7"/>
    <n v="1"/>
    <n v="253.86"/>
  </r>
  <r>
    <n v="52004"/>
    <n v="31160"/>
    <x v="226"/>
    <n v="2458"/>
    <x v="9"/>
    <n v="2"/>
    <n v="80.56"/>
    <d v="2025-02-21T00:00:00"/>
    <d v="2025-02-22T00:00:00"/>
    <x v="0"/>
    <s v="OK"/>
    <s v="OK"/>
    <x v="0"/>
    <n v="1"/>
    <n v="0"/>
    <n v="40.28"/>
  </r>
  <r>
    <n v="52005"/>
    <n v="31160"/>
    <x v="226"/>
    <n v="2458"/>
    <x v="1"/>
    <n v="1"/>
    <n v="206.09"/>
    <d v="2025-02-20T00:00:00"/>
    <d v="2025-03-01T00:00:00"/>
    <x v="0"/>
    <s v="OK"/>
    <s v="OK"/>
    <x v="0"/>
    <n v="9"/>
    <n v="0"/>
    <n v="206.09"/>
  </r>
  <r>
    <n v="52006"/>
    <n v="31160"/>
    <x v="226"/>
    <n v="2458"/>
    <x v="12"/>
    <n v="1"/>
    <n v="65.260000000000005"/>
    <d v="2025-02-20T00:00:00"/>
    <d v="2025-02-24T00:00:00"/>
    <x v="0"/>
    <s v="OK"/>
    <s v="OK"/>
    <x v="3"/>
    <n v="4"/>
    <n v="0"/>
    <n v="65.260000000000005"/>
  </r>
  <r>
    <n v="52007"/>
    <n v="31161"/>
    <x v="334"/>
    <n v="2186"/>
    <x v="3"/>
    <n v="3"/>
    <n v="355.8"/>
    <s v=""/>
    <s v=""/>
    <x v="3"/>
    <s v="Missing date"/>
    <s v="Missing date"/>
    <x v="2"/>
    <s v=""/>
    <n v="1"/>
    <n v="118.60000000000001"/>
  </r>
  <r>
    <n v="52008"/>
    <n v="31162"/>
    <x v="306"/>
    <n v="2087"/>
    <x v="6"/>
    <n v="1"/>
    <n v="31.73"/>
    <d v="2025-06-25T00:00:00"/>
    <d v="2025-06-26T00:00:00"/>
    <x v="1"/>
    <s v="OK"/>
    <s v="OK"/>
    <x v="2"/>
    <n v="1"/>
    <n v="1"/>
    <n v="31.73"/>
  </r>
  <r>
    <n v="52009"/>
    <n v="31162"/>
    <x v="306"/>
    <n v="2087"/>
    <x v="12"/>
    <n v="3"/>
    <n v="195.78"/>
    <d v="2025-06-25T00:00:00"/>
    <d v="2025-06-27T00:00:00"/>
    <x v="1"/>
    <s v="OK"/>
    <s v="OK"/>
    <x v="3"/>
    <n v="2"/>
    <n v="0"/>
    <n v="65.260000000000005"/>
  </r>
  <r>
    <n v="52010"/>
    <n v="31162"/>
    <x v="306"/>
    <n v="2087"/>
    <x v="10"/>
    <n v="2"/>
    <n v="430.68"/>
    <d v="2025-06-27T00:00:00"/>
    <d v="2025-06-30T00:00:00"/>
    <x v="1"/>
    <s v="OK"/>
    <s v="OK"/>
    <x v="3"/>
    <n v="3"/>
    <n v="0"/>
    <n v="215.34"/>
  </r>
  <r>
    <n v="52011"/>
    <n v="31163"/>
    <x v="107"/>
    <n v="2393"/>
    <x v="14"/>
    <n v="3"/>
    <n v="359.22"/>
    <d v="2025-12-19T00:00:00"/>
    <d v="2025-12-23T00:00:00"/>
    <x v="0"/>
    <s v="OK"/>
    <s v="OK"/>
    <x v="3"/>
    <n v="4"/>
    <n v="1"/>
    <n v="119.74000000000001"/>
  </r>
  <r>
    <n v="52012"/>
    <n v="31164"/>
    <x v="81"/>
    <n v="2172"/>
    <x v="2"/>
    <n v="1"/>
    <n v="241.54"/>
    <d v="2025-09-28T00:00:00"/>
    <d v="2025-09-29T00:00:00"/>
    <x v="0"/>
    <s v="OK"/>
    <s v="OK"/>
    <x v="1"/>
    <n v="1"/>
    <n v="1"/>
    <n v="241.54"/>
  </r>
  <r>
    <n v="52013"/>
    <n v="31165"/>
    <x v="350"/>
    <n v="2056"/>
    <x v="4"/>
    <n v="1"/>
    <n v="183.74"/>
    <d v="2025-08-01T00:00:00"/>
    <d v="2025-11-08T00:00:00"/>
    <x v="0"/>
    <s v="OK"/>
    <s v="OK"/>
    <x v="2"/>
    <n v="99"/>
    <n v="1"/>
    <n v="183.74"/>
  </r>
  <r>
    <n v="52014"/>
    <n v="31165"/>
    <x v="350"/>
    <n v="2056"/>
    <x v="3"/>
    <n v="1"/>
    <n v="118.6"/>
    <d v="2025-07-30T00:00:00"/>
    <d v="2025-08-01T00:00:00"/>
    <x v="0"/>
    <s v="OK"/>
    <s v="OK"/>
    <x v="2"/>
    <n v="2"/>
    <n v="0"/>
    <n v="118.6"/>
  </r>
  <r>
    <n v="52015"/>
    <n v="31166"/>
    <x v="199"/>
    <n v="2172"/>
    <x v="12"/>
    <n v="1"/>
    <n v="65.260000000000005"/>
    <d v="2025-01-09T00:00:00"/>
    <d v="2025-01-16T00:00:00"/>
    <x v="0"/>
    <s v="OK"/>
    <s v="OK"/>
    <x v="3"/>
    <n v="7"/>
    <n v="1"/>
    <n v="65.260000000000005"/>
  </r>
  <r>
    <n v="52016"/>
    <n v="31167"/>
    <x v="346"/>
    <n v="2309"/>
    <x v="1"/>
    <n v="1"/>
    <n v="206.09"/>
    <d v="2025-09-11T00:00:00"/>
    <d v="2025-09-19T00:00:00"/>
    <x v="0"/>
    <s v="OK"/>
    <s v="OK"/>
    <x v="0"/>
    <n v="8"/>
    <n v="1"/>
    <n v="206.09"/>
  </r>
  <r>
    <n v="52017"/>
    <n v="31168"/>
    <x v="140"/>
    <n v="2389"/>
    <x v="15"/>
    <n v="2"/>
    <n v="340.5"/>
    <d v="2025-04-19T00:00:00"/>
    <d v="2025-04-24T00:00:00"/>
    <x v="0"/>
    <s v="OK"/>
    <s v="OK"/>
    <x v="1"/>
    <n v="5"/>
    <n v="1"/>
    <n v="170.25"/>
  </r>
  <r>
    <n v="52018"/>
    <n v="31168"/>
    <x v="140"/>
    <n v="2389"/>
    <x v="12"/>
    <n v="1"/>
    <n v="65.260000000000005"/>
    <d v="2025-04-19T00:00:00"/>
    <d v="2025-04-26T00:00:00"/>
    <x v="0"/>
    <s v="OK"/>
    <s v="OK"/>
    <x v="3"/>
    <n v="7"/>
    <n v="0"/>
    <n v="65.260000000000005"/>
  </r>
  <r>
    <n v="52019"/>
    <n v="31168"/>
    <x v="140"/>
    <n v="2389"/>
    <x v="9"/>
    <n v="2"/>
    <n v="80.56"/>
    <d v="2025-04-19T00:00:00"/>
    <d v="2025-04-26T00:00:00"/>
    <x v="0"/>
    <s v="OK"/>
    <s v="OK"/>
    <x v="0"/>
    <n v="7"/>
    <n v="0"/>
    <n v="40.28"/>
  </r>
  <r>
    <n v="52020"/>
    <n v="31169"/>
    <x v="179"/>
    <n v="2149"/>
    <x v="10"/>
    <n v="1"/>
    <n v="215.34"/>
    <d v="2025-01-26T00:00:00"/>
    <d v="2025-02-02T00:00:00"/>
    <x v="0"/>
    <s v="OK"/>
    <s v="OK"/>
    <x v="3"/>
    <n v="7"/>
    <n v="1"/>
    <n v="215.34"/>
  </r>
  <r>
    <n v="52021"/>
    <n v="31169"/>
    <x v="179"/>
    <n v="2149"/>
    <x v="8"/>
    <n v="1"/>
    <n v="203.04"/>
    <d v="2025-01-26T00:00:00"/>
    <d v="2025-01-29T00:00:00"/>
    <x v="0"/>
    <s v="OK"/>
    <s v="OK"/>
    <x v="2"/>
    <n v="3"/>
    <n v="0"/>
    <n v="203.04"/>
  </r>
  <r>
    <n v="52022"/>
    <n v="31169"/>
    <x v="179"/>
    <n v="2149"/>
    <x v="13"/>
    <n v="1"/>
    <n v="121.5"/>
    <d v="2025-01-25T00:00:00"/>
    <d v="2025-01-31T00:00:00"/>
    <x v="0"/>
    <s v="OK"/>
    <s v="OK"/>
    <x v="1"/>
    <n v="6"/>
    <n v="0"/>
    <n v="121.5"/>
  </r>
  <r>
    <n v="52023"/>
    <n v="31170"/>
    <x v="68"/>
    <n v="2460"/>
    <x v="5"/>
    <n v="1"/>
    <n v="101.44"/>
    <d v="2025-09-01T00:00:00"/>
    <d v="2025-09-05T00:00:00"/>
    <x v="0"/>
    <s v="OK"/>
    <s v="OK"/>
    <x v="1"/>
    <n v="4"/>
    <n v="1"/>
    <n v="101.44"/>
  </r>
  <r>
    <n v="52024"/>
    <n v="31171"/>
    <x v="114"/>
    <n v="2543"/>
    <x v="3"/>
    <n v="3"/>
    <n v="355.8"/>
    <d v="2025-05-09T00:00:00"/>
    <d v="2025-05-19T00:00:00"/>
    <x v="0"/>
    <s v="OK"/>
    <s v="OK"/>
    <x v="2"/>
    <n v="10"/>
    <n v="1"/>
    <n v="118.60000000000001"/>
  </r>
  <r>
    <n v="52025"/>
    <n v="31172"/>
    <x v="294"/>
    <n v="2100"/>
    <x v="2"/>
    <n v="1"/>
    <n v="241.54"/>
    <s v=""/>
    <s v=""/>
    <x v="2"/>
    <s v="Missing date"/>
    <s v="Missing date"/>
    <x v="1"/>
    <s v=""/>
    <n v="1"/>
    <n v="241.54"/>
  </r>
  <r>
    <n v="52026"/>
    <n v="31173"/>
    <x v="274"/>
    <n v="2443"/>
    <x v="9"/>
    <n v="1"/>
    <n v="40.28"/>
    <d v="2025-11-21T00:00:00"/>
    <d v="2025-11-28T00:00:00"/>
    <x v="0"/>
    <s v="OK"/>
    <s v="OK"/>
    <x v="0"/>
    <n v="7"/>
    <n v="1"/>
    <n v="40.28"/>
  </r>
  <r>
    <n v="52027"/>
    <n v="31173"/>
    <x v="274"/>
    <n v="2443"/>
    <x v="5"/>
    <n v="1"/>
    <n v="101.44"/>
    <d v="2025-11-21T00:00:00"/>
    <d v="2025-11-25T00:00:00"/>
    <x v="0"/>
    <s v="OK"/>
    <s v="OK"/>
    <x v="1"/>
    <n v="4"/>
    <n v="0"/>
    <n v="101.44"/>
  </r>
  <r>
    <n v="52028"/>
    <n v="31174"/>
    <x v="84"/>
    <n v="2277"/>
    <x v="4"/>
    <n v="4"/>
    <n v="734.96"/>
    <d v="2025-06-21T00:00:00"/>
    <d v="2025-06-25T00:00:00"/>
    <x v="0"/>
    <s v="OK"/>
    <s v="OK"/>
    <x v="2"/>
    <n v="4"/>
    <n v="1"/>
    <n v="183.74"/>
  </r>
  <r>
    <n v="52029"/>
    <n v="31175"/>
    <x v="141"/>
    <n v="2262"/>
    <x v="15"/>
    <n v="1"/>
    <n v="170.25"/>
    <d v="2025-04-25T00:00:00"/>
    <d v="2025-04-27T00:00:00"/>
    <x v="0"/>
    <s v="OK"/>
    <s v="OK"/>
    <x v="1"/>
    <n v="2"/>
    <n v="1"/>
    <n v="170.25"/>
  </r>
  <r>
    <n v="52030"/>
    <n v="31176"/>
    <x v="34"/>
    <n v="2473"/>
    <x v="1"/>
    <n v="2"/>
    <n v="412.18"/>
    <s v=""/>
    <s v=""/>
    <x v="3"/>
    <s v="Missing date"/>
    <s v="Missing date"/>
    <x v="0"/>
    <s v=""/>
    <n v="1"/>
    <n v="206.09"/>
  </r>
  <r>
    <n v="52031"/>
    <n v="31177"/>
    <x v="55"/>
    <n v="2200"/>
    <x v="7"/>
    <n v="1"/>
    <n v="253.86"/>
    <d v="2025-07-05T00:00:00"/>
    <d v="2025-07-07T00:00:00"/>
    <x v="0"/>
    <s v="OK"/>
    <s v="OK"/>
    <x v="0"/>
    <n v="2"/>
    <n v="1"/>
    <n v="253.86"/>
  </r>
  <r>
    <n v="52032"/>
    <n v="31177"/>
    <x v="55"/>
    <n v="2200"/>
    <x v="5"/>
    <n v="1"/>
    <n v="101.44"/>
    <d v="2025-07-07T00:00:00"/>
    <d v="2025-07-15T00:00:00"/>
    <x v="0"/>
    <s v="OK"/>
    <s v="OK"/>
    <x v="1"/>
    <n v="8"/>
    <n v="0"/>
    <n v="101.44"/>
  </r>
  <r>
    <n v="52033"/>
    <n v="31177"/>
    <x v="54"/>
    <n v="2200"/>
    <x v="8"/>
    <n v="2"/>
    <n v="406.08"/>
    <d v="2025-06-07T00:00:00"/>
    <d v="2025-07-08T00:00:00"/>
    <x v="0"/>
    <s v="OK"/>
    <s v="OK"/>
    <x v="2"/>
    <n v="31"/>
    <n v="0"/>
    <n v="203.04"/>
  </r>
  <r>
    <n v="52034"/>
    <n v="31178"/>
    <x v="187"/>
    <n v="2009"/>
    <x v="8"/>
    <n v="1"/>
    <n v="203.04"/>
    <s v=""/>
    <s v=""/>
    <x v="3"/>
    <s v="Missing date"/>
    <s v="Missing date"/>
    <x v="2"/>
    <s v=""/>
    <n v="1"/>
    <n v="203.04"/>
  </r>
  <r>
    <n v="52035"/>
    <n v="31179"/>
    <x v="103"/>
    <n v="2538"/>
    <x v="14"/>
    <n v="5"/>
    <n v="598.70000000000005"/>
    <d v="2025-07-18T00:00:00"/>
    <d v="2025-07-20T00:00:00"/>
    <x v="0"/>
    <s v="OK"/>
    <s v="OK"/>
    <x v="3"/>
    <n v="2"/>
    <n v="1"/>
    <n v="119.74000000000001"/>
  </r>
  <r>
    <n v="52036"/>
    <n v="31180"/>
    <x v="351"/>
    <n v="2360"/>
    <x v="13"/>
    <n v="1"/>
    <n v="121.5"/>
    <d v="2025-06-27T00:00:00"/>
    <d v="2025-07-04T00:00:00"/>
    <x v="0"/>
    <s v="OK"/>
    <s v="OK"/>
    <x v="1"/>
    <n v="7"/>
    <n v="1"/>
    <n v="121.5"/>
  </r>
  <r>
    <n v="52037"/>
    <n v="31181"/>
    <x v="74"/>
    <n v="2258"/>
    <x v="8"/>
    <n v="1"/>
    <n v="203.04"/>
    <d v="2025-06-13T00:00:00"/>
    <d v="2025-06-20T00:00:00"/>
    <x v="0"/>
    <s v="OK"/>
    <s v="OK"/>
    <x v="2"/>
    <n v="7"/>
    <n v="1"/>
    <n v="203.04"/>
  </r>
  <r>
    <n v="52038"/>
    <n v="31182"/>
    <x v="299"/>
    <n v="2095"/>
    <x v="0"/>
    <n v="1"/>
    <n v="199.81"/>
    <d v="2025-01-21T00:00:00"/>
    <d v="2025-01-23T00:00:00"/>
    <x v="0"/>
    <s v="OK"/>
    <s v="OK"/>
    <x v="0"/>
    <n v="2"/>
    <n v="1"/>
    <n v="199.81"/>
  </r>
  <r>
    <n v="52039"/>
    <n v="31182"/>
    <x v="299"/>
    <n v="2095"/>
    <x v="4"/>
    <n v="4"/>
    <n v="734.96"/>
    <d v="2025-01-21T00:00:00"/>
    <d v="2025-01-30T00:00:00"/>
    <x v="0"/>
    <s v="OK"/>
    <s v="OK"/>
    <x v="2"/>
    <n v="9"/>
    <n v="0"/>
    <n v="183.74"/>
  </r>
  <r>
    <n v="52040"/>
    <n v="31182"/>
    <x v="299"/>
    <n v="2095"/>
    <x v="4"/>
    <n v="1"/>
    <n v="183.74"/>
    <d v="2025-01-23T00:00:00"/>
    <d v="2025-01-28T00:00:00"/>
    <x v="0"/>
    <s v="OK"/>
    <s v="OK"/>
    <x v="2"/>
    <n v="5"/>
    <n v="0"/>
    <n v="183.74"/>
  </r>
  <r>
    <n v="52041"/>
    <n v="31183"/>
    <x v="8"/>
    <n v="2089"/>
    <x v="6"/>
    <n v="1"/>
    <n v="31.73"/>
    <s v=""/>
    <s v=""/>
    <x v="3"/>
    <s v="Missing date"/>
    <s v="Missing date"/>
    <x v="2"/>
    <s v=""/>
    <n v="1"/>
    <n v="31.73"/>
  </r>
  <r>
    <n v="52042"/>
    <n v="31184"/>
    <x v="250"/>
    <n v="2580"/>
    <x v="7"/>
    <n v="1"/>
    <n v="253.86"/>
    <s v=""/>
    <s v=""/>
    <x v="3"/>
    <s v="Missing date"/>
    <s v="Missing date"/>
    <x v="0"/>
    <s v=""/>
    <n v="1"/>
    <n v="253.86"/>
  </r>
  <r>
    <n v="52043"/>
    <n v="31184"/>
    <x v="250"/>
    <n v="2580"/>
    <x v="7"/>
    <n v="2"/>
    <n v="507.72"/>
    <s v=""/>
    <s v=""/>
    <x v="3"/>
    <s v="Missing date"/>
    <s v="Missing date"/>
    <x v="0"/>
    <s v=""/>
    <n v="0"/>
    <n v="253.86"/>
  </r>
  <r>
    <n v="52044"/>
    <n v="31185"/>
    <x v="5"/>
    <n v="2479"/>
    <x v="11"/>
    <n v="1"/>
    <n v="224.37"/>
    <d v="2025-11-04T00:00:00"/>
    <d v="2025-11-14T00:00:00"/>
    <x v="0"/>
    <s v="OK"/>
    <s v="OK"/>
    <x v="2"/>
    <n v="10"/>
    <n v="1"/>
    <n v="224.37"/>
  </r>
  <r>
    <n v="52045"/>
    <n v="31186"/>
    <x v="339"/>
    <n v="2465"/>
    <x v="9"/>
    <n v="2"/>
    <n v="80.56"/>
    <s v=""/>
    <s v=""/>
    <x v="2"/>
    <s v="Missing date"/>
    <s v="Missing date"/>
    <x v="0"/>
    <s v=""/>
    <n v="1"/>
    <n v="40.28"/>
  </r>
  <r>
    <n v="52046"/>
    <n v="31186"/>
    <x v="339"/>
    <n v="2465"/>
    <x v="10"/>
    <n v="1"/>
    <n v="215.34"/>
    <s v=""/>
    <s v=""/>
    <x v="2"/>
    <s v="Missing date"/>
    <s v="Missing date"/>
    <x v="3"/>
    <s v=""/>
    <n v="0"/>
    <n v="215.34"/>
  </r>
  <r>
    <n v="52047"/>
    <n v="31187"/>
    <x v="263"/>
    <n v="2332"/>
    <x v="11"/>
    <n v="4"/>
    <n v="897.48"/>
    <d v="2025-07-23T00:00:00"/>
    <d v="2025-07-30T00:00:00"/>
    <x v="0"/>
    <s v="OK"/>
    <s v="OK"/>
    <x v="2"/>
    <n v="7"/>
    <n v="1"/>
    <n v="224.37"/>
  </r>
  <r>
    <n v="52048"/>
    <n v="31188"/>
    <x v="269"/>
    <n v="2284"/>
    <x v="15"/>
    <n v="1"/>
    <n v="170.25"/>
    <s v=""/>
    <s v=""/>
    <x v="3"/>
    <s v="Missing date"/>
    <s v="Missing date"/>
    <x v="1"/>
    <s v=""/>
    <n v="1"/>
    <n v="170.25"/>
  </r>
  <r>
    <n v="52049"/>
    <n v="31189"/>
    <x v="268"/>
    <n v="2062"/>
    <x v="9"/>
    <n v="1"/>
    <n v="40.28"/>
    <d v="2025-04-09T00:00:00"/>
    <d v="2025-09-06T00:00:00"/>
    <x v="0"/>
    <s v="OK"/>
    <s v="OK"/>
    <x v="0"/>
    <n v="150"/>
    <n v="1"/>
    <n v="40.28"/>
  </r>
  <r>
    <n v="52050"/>
    <n v="31190"/>
    <x v="295"/>
    <n v="2183"/>
    <x v="12"/>
    <n v="1"/>
    <n v="65.260000000000005"/>
    <d v="2025-03-27T00:00:00"/>
    <d v="2025-04-02T00:00:00"/>
    <x v="0"/>
    <s v="OK"/>
    <s v="OK"/>
    <x v="3"/>
    <n v="6"/>
    <n v="1"/>
    <n v="65.260000000000005"/>
  </r>
  <r>
    <n v="52051"/>
    <n v="31190"/>
    <x v="295"/>
    <n v="2183"/>
    <x v="0"/>
    <n v="2"/>
    <n v="399.62"/>
    <d v="2025-03-26T00:00:00"/>
    <d v="2025-03-29T00:00:00"/>
    <x v="0"/>
    <s v="OK"/>
    <s v="OK"/>
    <x v="0"/>
    <n v="3"/>
    <n v="0"/>
    <n v="199.81"/>
  </r>
  <r>
    <n v="52052"/>
    <n v="31190"/>
    <x v="295"/>
    <n v="2183"/>
    <x v="15"/>
    <n v="4"/>
    <n v="681"/>
    <d v="2025-03-26T00:00:00"/>
    <d v="2025-03-29T00:00:00"/>
    <x v="0"/>
    <s v="OK"/>
    <s v="OK"/>
    <x v="1"/>
    <n v="3"/>
    <n v="0"/>
    <n v="170.25"/>
  </r>
  <r>
    <n v="52053"/>
    <n v="31191"/>
    <x v="21"/>
    <n v="2183"/>
    <x v="4"/>
    <n v="1"/>
    <n v="183.74"/>
    <d v="2025-05-16T00:00:00"/>
    <d v="2025-05-26T00:00:00"/>
    <x v="0"/>
    <s v="OK"/>
    <s v="OK"/>
    <x v="2"/>
    <n v="10"/>
    <n v="1"/>
    <n v="183.74"/>
  </r>
  <r>
    <n v="52054"/>
    <n v="31192"/>
    <x v="257"/>
    <n v="2148"/>
    <x v="10"/>
    <n v="1"/>
    <n v="215.34"/>
    <d v="2025-10-04T00:00:00"/>
    <d v="2025-10-12T00:00:00"/>
    <x v="0"/>
    <s v="OK"/>
    <s v="OK"/>
    <x v="3"/>
    <n v="8"/>
    <n v="1"/>
    <n v="215.34"/>
  </r>
  <r>
    <n v="52055"/>
    <n v="31192"/>
    <x v="257"/>
    <n v="2148"/>
    <x v="0"/>
    <n v="3"/>
    <n v="599.42999999999995"/>
    <d v="2025-10-04T00:00:00"/>
    <d v="2025-10-05T00:00:00"/>
    <x v="0"/>
    <s v="OK"/>
    <s v="OK"/>
    <x v="0"/>
    <n v="1"/>
    <n v="0"/>
    <n v="199.80999999999997"/>
  </r>
  <r>
    <n v="52056"/>
    <n v="31193"/>
    <x v="279"/>
    <n v="2109"/>
    <x v="9"/>
    <n v="1"/>
    <n v="40.28"/>
    <s v=""/>
    <s v=""/>
    <x v="2"/>
    <s v="Missing date"/>
    <s v="Missing date"/>
    <x v="0"/>
    <s v=""/>
    <n v="1"/>
    <n v="40.28"/>
  </r>
  <r>
    <n v="52057"/>
    <n v="31194"/>
    <x v="94"/>
    <n v="2106"/>
    <x v="11"/>
    <n v="1"/>
    <n v="224.37"/>
    <d v="2025-05-10T00:00:00"/>
    <d v="2025-12-05T00:00:00"/>
    <x v="0"/>
    <s v="OK"/>
    <s v="OK"/>
    <x v="2"/>
    <n v="209"/>
    <n v="1"/>
    <n v="224.37"/>
  </r>
  <r>
    <n v="52058"/>
    <n v="31195"/>
    <x v="14"/>
    <n v="2586"/>
    <x v="14"/>
    <n v="3"/>
    <n v="359.22"/>
    <d v="2025-12-28T00:00:00"/>
    <d v="2026-01-05T00:00:00"/>
    <x v="0"/>
    <s v="OK"/>
    <s v="OK"/>
    <x v="3"/>
    <n v="8"/>
    <n v="1"/>
    <n v="119.74000000000001"/>
  </r>
  <r>
    <n v="52059"/>
    <n v="31195"/>
    <x v="14"/>
    <n v="2586"/>
    <x v="8"/>
    <n v="2"/>
    <n v="406.08"/>
    <d v="2025-12-27T00:00:00"/>
    <d v="2025-12-31T00:00:00"/>
    <x v="0"/>
    <s v="OK"/>
    <s v="OK"/>
    <x v="2"/>
    <n v="4"/>
    <n v="0"/>
    <n v="203.04"/>
  </r>
  <r>
    <n v="52060"/>
    <n v="31196"/>
    <x v="234"/>
    <n v="2510"/>
    <x v="8"/>
    <n v="2"/>
    <n v="406.08"/>
    <d v="2025-08-06T00:00:00"/>
    <d v="2025-08-11T00:00:00"/>
    <x v="0"/>
    <s v="OK"/>
    <s v="OK"/>
    <x v="2"/>
    <n v="5"/>
    <n v="1"/>
    <n v="203.04"/>
  </r>
  <r>
    <n v="52061"/>
    <n v="31196"/>
    <x v="234"/>
    <n v="2510"/>
    <x v="3"/>
    <n v="1"/>
    <n v="118.6"/>
    <d v="2025-08-08T00:00:00"/>
    <d v="2025-08-09T00:00:00"/>
    <x v="0"/>
    <s v="OK"/>
    <s v="OK"/>
    <x v="2"/>
    <n v="1"/>
    <n v="0"/>
    <n v="118.6"/>
  </r>
  <r>
    <n v="52062"/>
    <n v="31197"/>
    <x v="140"/>
    <n v="2400"/>
    <x v="5"/>
    <n v="2"/>
    <n v="202.88"/>
    <d v="2025-04-20T00:00:00"/>
    <d v="2025-04-25T00:00:00"/>
    <x v="0"/>
    <s v="OK"/>
    <s v="OK"/>
    <x v="1"/>
    <n v="5"/>
    <n v="1"/>
    <n v="101.44"/>
  </r>
  <r>
    <n v="52063"/>
    <n v="31198"/>
    <x v="71"/>
    <n v="2401"/>
    <x v="12"/>
    <n v="1"/>
    <n v="65.260000000000005"/>
    <d v="2025-08-15T00:00:00"/>
    <d v="2025-08-25T00:00:00"/>
    <x v="0"/>
    <s v="OK"/>
    <s v="OK"/>
    <x v="3"/>
    <n v="10"/>
    <n v="1"/>
    <n v="65.260000000000005"/>
  </r>
  <r>
    <n v="52064"/>
    <n v="31198"/>
    <x v="71"/>
    <n v="2401"/>
    <x v="12"/>
    <n v="2"/>
    <n v="130.52000000000001"/>
    <d v="2025-08-14T00:00:00"/>
    <d v="2025-08-21T00:00:00"/>
    <x v="0"/>
    <s v="OK"/>
    <s v="OK"/>
    <x v="3"/>
    <n v="7"/>
    <n v="0"/>
    <n v="65.260000000000005"/>
  </r>
  <r>
    <n v="52065"/>
    <n v="31199"/>
    <x v="146"/>
    <n v="2447"/>
    <x v="11"/>
    <n v="1"/>
    <n v="224.37"/>
    <d v="2025-03-12T00:00:00"/>
    <d v="2025-12-08T00:00:00"/>
    <x v="0"/>
    <s v="OK"/>
    <s v="OK"/>
    <x v="2"/>
    <n v="271"/>
    <n v="1"/>
    <n v="224.37"/>
  </r>
  <r>
    <n v="52066"/>
    <n v="31200"/>
    <x v="14"/>
    <n v="2554"/>
    <x v="15"/>
    <n v="3"/>
    <n v="510.75"/>
    <d v="2025-12-27T00:00:00"/>
    <d v="2026-01-01T00:00:00"/>
    <x v="0"/>
    <s v="OK"/>
    <s v="OK"/>
    <x v="1"/>
    <n v="5"/>
    <n v="1"/>
    <n v="170.25"/>
  </r>
  <r>
    <n v="52067"/>
    <n v="31201"/>
    <x v="194"/>
    <n v="2494"/>
    <x v="2"/>
    <n v="1"/>
    <n v="241.54"/>
    <d v="2025-11-30T00:00:00"/>
    <d v="2025-12-01T00:00:00"/>
    <x v="0"/>
    <s v="OK"/>
    <s v="OK"/>
    <x v="1"/>
    <n v="1"/>
    <n v="1"/>
    <n v="241.54"/>
  </r>
  <r>
    <n v="52068"/>
    <n v="31201"/>
    <x v="194"/>
    <m/>
    <x v="5"/>
    <n v="2"/>
    <n v="202.88"/>
    <d v="2025-12-01T00:00:00"/>
    <d v="2025-12-06T00:00:00"/>
    <x v="0"/>
    <s v="OK"/>
    <s v="OK"/>
    <x v="1"/>
    <n v="5"/>
    <n v="0"/>
    <n v="101.44"/>
  </r>
  <r>
    <n v="52069"/>
    <n v="31202"/>
    <x v="140"/>
    <n v="2311"/>
    <x v="11"/>
    <n v="2"/>
    <n v="448.74"/>
    <d v="2025-04-21T00:00:00"/>
    <d v="2025-04-29T00:00:00"/>
    <x v="0"/>
    <s v="OK"/>
    <s v="OK"/>
    <x v="2"/>
    <n v="8"/>
    <n v="1"/>
    <n v="224.37"/>
  </r>
  <r>
    <n v="52070"/>
    <n v="31203"/>
    <x v="260"/>
    <n v="2375"/>
    <x v="5"/>
    <n v="2"/>
    <n v="202.88"/>
    <d v="2025-04-18T00:00:00"/>
    <d v="2025-04-21T00:00:00"/>
    <x v="0"/>
    <s v="OK"/>
    <s v="OK"/>
    <x v="1"/>
    <n v="3"/>
    <n v="1"/>
    <n v="101.44"/>
  </r>
  <r>
    <n v="52071"/>
    <n v="31203"/>
    <x v="260"/>
    <n v="2375"/>
    <x v="11"/>
    <n v="1"/>
    <n v="224.37"/>
    <d v="2025-04-16T00:00:00"/>
    <d v="2025-04-25T00:00:00"/>
    <x v="0"/>
    <s v="OK"/>
    <s v="OK"/>
    <x v="2"/>
    <n v="9"/>
    <n v="0"/>
    <n v="224.37"/>
  </r>
  <r>
    <n v="52072"/>
    <n v="31204"/>
    <x v="248"/>
    <n v="2471"/>
    <x v="13"/>
    <n v="1"/>
    <n v="121.5"/>
    <s v=""/>
    <s v=""/>
    <x v="3"/>
    <s v="Missing date"/>
    <s v="Missing date"/>
    <x v="1"/>
    <s v=""/>
    <n v="1"/>
    <n v="121.5"/>
  </r>
  <r>
    <n v="52073"/>
    <n v="31205"/>
    <x v="20"/>
    <n v="2181"/>
    <x v="15"/>
    <n v="2"/>
    <n v="340.5"/>
    <d v="2025-08-11T00:00:00"/>
    <d v="2025-08-18T00:00:00"/>
    <x v="0"/>
    <s v="OK"/>
    <s v="OK"/>
    <x v="1"/>
    <n v="7"/>
    <n v="1"/>
    <n v="170.25"/>
  </r>
  <r>
    <n v="52074"/>
    <n v="31206"/>
    <x v="133"/>
    <n v="2196"/>
    <x v="15"/>
    <n v="2"/>
    <n v="340.5"/>
    <d v="2025-06-12T00:00:00"/>
    <d v="2025-12-13T00:00:00"/>
    <x v="0"/>
    <s v="OK"/>
    <s v="OK"/>
    <x v="1"/>
    <n v="184"/>
    <n v="1"/>
    <n v="170.25"/>
  </r>
  <r>
    <n v="52075"/>
    <n v="31206"/>
    <x v="43"/>
    <n v="2196"/>
    <x v="4"/>
    <n v="1"/>
    <n v="183.74"/>
    <d v="2025-12-08T00:00:00"/>
    <d v="2025-12-15T00:00:00"/>
    <x v="0"/>
    <s v="OK"/>
    <s v="OK"/>
    <x v="2"/>
    <n v="7"/>
    <n v="0"/>
    <n v="183.74"/>
  </r>
  <r>
    <n v="52076"/>
    <n v="31207"/>
    <x v="117"/>
    <n v="2368"/>
    <x v="14"/>
    <n v="1"/>
    <n v="119.74"/>
    <d v="2025-04-24T00:00:00"/>
    <d v="2025-04-29T00:00:00"/>
    <x v="0"/>
    <s v="OK"/>
    <s v="OK"/>
    <x v="3"/>
    <n v="5"/>
    <n v="1"/>
    <n v="119.74"/>
  </r>
  <r>
    <n v="52077"/>
    <n v="31208"/>
    <x v="279"/>
    <n v="2195"/>
    <x v="0"/>
    <n v="2"/>
    <n v="399.62"/>
    <d v="2025-02-25T00:00:00"/>
    <d v="2025-03-03T00:00:00"/>
    <x v="0"/>
    <s v="OK"/>
    <s v="OK"/>
    <x v="0"/>
    <n v="6"/>
    <n v="1"/>
    <n v="199.81"/>
  </r>
  <r>
    <n v="52078"/>
    <n v="31209"/>
    <x v="293"/>
    <n v="2026"/>
    <x v="1"/>
    <n v="1"/>
    <n v="206.09"/>
    <d v="2025-04-07T00:00:00"/>
    <d v="2025-04-13T00:00:00"/>
    <x v="0"/>
    <s v="OK"/>
    <s v="OK"/>
    <x v="0"/>
    <n v="6"/>
    <n v="1"/>
    <n v="206.09"/>
  </r>
  <r>
    <n v="52079"/>
    <n v="31209"/>
    <x v="293"/>
    <n v="2026"/>
    <x v="12"/>
    <n v="1"/>
    <n v="65.260000000000005"/>
    <d v="2025-04-07T00:00:00"/>
    <d v="2025-04-15T00:00:00"/>
    <x v="0"/>
    <s v="OK"/>
    <s v="OK"/>
    <x v="3"/>
    <n v="8"/>
    <n v="0"/>
    <n v="65.260000000000005"/>
  </r>
  <r>
    <n v="52080"/>
    <n v="31210"/>
    <x v="1"/>
    <n v="2399"/>
    <x v="13"/>
    <n v="2"/>
    <n v="243"/>
    <d v="2025-08-22T00:00:00"/>
    <d v="2025-08-31T00:00:00"/>
    <x v="0"/>
    <s v="OK"/>
    <s v="OK"/>
    <x v="1"/>
    <n v="9"/>
    <n v="1"/>
    <n v="121.5"/>
  </r>
  <r>
    <n v="52081"/>
    <n v="31211"/>
    <x v="295"/>
    <n v="2512"/>
    <x v="14"/>
    <n v="1"/>
    <n v="119.74"/>
    <d v="2025-03-28T00:00:00"/>
    <d v="2025-04-02T00:00:00"/>
    <x v="0"/>
    <s v="OK"/>
    <s v="OK"/>
    <x v="3"/>
    <n v="5"/>
    <n v="1"/>
    <n v="119.74"/>
  </r>
  <r>
    <n v="52082"/>
    <n v="31211"/>
    <x v="295"/>
    <n v="2512"/>
    <x v="8"/>
    <n v="1"/>
    <n v="203.04"/>
    <d v="2025-03-28T00:00:00"/>
    <d v="2025-06-04T00:00:00"/>
    <x v="0"/>
    <s v="OK"/>
    <s v="OK"/>
    <x v="2"/>
    <n v="68"/>
    <n v="0"/>
    <n v="203.04"/>
  </r>
  <r>
    <n v="52083"/>
    <n v="31212"/>
    <x v="66"/>
    <n v="2038"/>
    <x v="5"/>
    <n v="1"/>
    <n v="101.44"/>
    <d v="2025-02-19T00:00:00"/>
    <d v="2025-02-23T00:00:00"/>
    <x v="0"/>
    <s v="OK"/>
    <s v="OK"/>
    <x v="1"/>
    <n v="4"/>
    <n v="1"/>
    <n v="101.44"/>
  </r>
  <r>
    <n v="52084"/>
    <n v="31212"/>
    <x v="66"/>
    <n v="2038"/>
    <x v="3"/>
    <n v="1"/>
    <n v="118.6"/>
    <d v="2025-02-18T00:00:00"/>
    <d v="2025-02-26T00:00:00"/>
    <x v="0"/>
    <s v="OK"/>
    <s v="OK"/>
    <x v="2"/>
    <n v="8"/>
    <n v="0"/>
    <n v="118.6"/>
  </r>
  <r>
    <n v="52085"/>
    <n v="31213"/>
    <x v="194"/>
    <n v="2416"/>
    <x v="14"/>
    <n v="1"/>
    <n v="119.74"/>
    <d v="2025-12-02T00:00:00"/>
    <d v="2025-12-10T00:00:00"/>
    <x v="0"/>
    <s v="OK"/>
    <s v="OK"/>
    <x v="3"/>
    <n v="8"/>
    <n v="1"/>
    <n v="119.74"/>
  </r>
  <r>
    <n v="52086"/>
    <n v="31213"/>
    <x v="194"/>
    <n v="2416"/>
    <x v="6"/>
    <n v="1"/>
    <n v="31.73"/>
    <d v="2025-12-01T00:00:00"/>
    <d v="2025-12-02T00:00:00"/>
    <x v="0"/>
    <s v="OK"/>
    <s v="OK"/>
    <x v="2"/>
    <n v="1"/>
    <n v="0"/>
    <n v="31.73"/>
  </r>
  <r>
    <n v="52087"/>
    <n v="31214"/>
    <x v="158"/>
    <n v="2594"/>
    <x v="11"/>
    <n v="1"/>
    <n v="224.37"/>
    <d v="2025-04-19T00:00:00"/>
    <d v="2025-04-29T00:00:00"/>
    <x v="0"/>
    <s v="OK"/>
    <s v="OK"/>
    <x v="2"/>
    <n v="10"/>
    <n v="1"/>
    <n v="224.37"/>
  </r>
  <r>
    <n v="52088"/>
    <n v="31215"/>
    <x v="80"/>
    <n v="2038"/>
    <x v="12"/>
    <n v="3"/>
    <n v="195.78"/>
    <d v="2025-09-14T00:00:00"/>
    <d v="2025-09-21T00:00:00"/>
    <x v="0"/>
    <s v="OK"/>
    <s v="OK"/>
    <x v="3"/>
    <n v="7"/>
    <n v="1"/>
    <n v="65.260000000000005"/>
  </r>
  <r>
    <n v="52089"/>
    <n v="31216"/>
    <x v="38"/>
    <n v="2020"/>
    <x v="3"/>
    <n v="3"/>
    <n v="355.8"/>
    <d v="2025-09-13T00:00:00"/>
    <d v="2025-09-20T00:00:00"/>
    <x v="0"/>
    <s v="OK"/>
    <s v="OK"/>
    <x v="2"/>
    <n v="7"/>
    <n v="1"/>
    <n v="118.60000000000001"/>
  </r>
  <r>
    <n v="52090"/>
    <n v="31216"/>
    <x v="38"/>
    <n v="2020"/>
    <x v="1"/>
    <n v="1"/>
    <n v="206.09"/>
    <d v="2025-09-12T00:00:00"/>
    <d v="2025-09-15T00:00:00"/>
    <x v="0"/>
    <s v="OK"/>
    <s v="OK"/>
    <x v="0"/>
    <n v="3"/>
    <n v="0"/>
    <n v="206.09"/>
  </r>
  <r>
    <n v="52091"/>
    <n v="31217"/>
    <x v="53"/>
    <n v="2134"/>
    <x v="3"/>
    <n v="1"/>
    <n v="118.6"/>
    <d v="2025-07-11T00:00:00"/>
    <d v="2025-07-17T00:00:00"/>
    <x v="0"/>
    <s v="OK"/>
    <s v="OK"/>
    <x v="2"/>
    <n v="6"/>
    <n v="1"/>
    <n v="118.6"/>
  </r>
  <r>
    <n v="52092"/>
    <n v="31217"/>
    <x v="53"/>
    <n v="2134"/>
    <x v="13"/>
    <n v="2"/>
    <n v="243"/>
    <d v="2025-07-10T00:00:00"/>
    <d v="2025-07-14T00:00:00"/>
    <x v="0"/>
    <s v="OK"/>
    <s v="OK"/>
    <x v="1"/>
    <n v="4"/>
    <n v="0"/>
    <n v="121.5"/>
  </r>
  <r>
    <n v="52093"/>
    <n v="31217"/>
    <x v="53"/>
    <n v="2134"/>
    <x v="4"/>
    <n v="3"/>
    <n v="551.22"/>
    <d v="2025-07-10T00:00:00"/>
    <d v="2025-07-14T00:00:00"/>
    <x v="0"/>
    <s v="OK"/>
    <s v="OK"/>
    <x v="2"/>
    <n v="4"/>
    <n v="0"/>
    <n v="183.74"/>
  </r>
  <r>
    <n v="52094"/>
    <n v="31218"/>
    <x v="236"/>
    <n v="2468"/>
    <x v="11"/>
    <n v="1"/>
    <n v="224.37"/>
    <d v="2025-11-13T00:00:00"/>
    <d v="2025-11-22T00:00:00"/>
    <x v="0"/>
    <s v="OK"/>
    <s v="OK"/>
    <x v="2"/>
    <n v="9"/>
    <n v="1"/>
    <n v="224.37"/>
  </r>
  <r>
    <n v="52095"/>
    <n v="31218"/>
    <x v="236"/>
    <n v="2468"/>
    <x v="4"/>
    <n v="1"/>
    <n v="183.74"/>
    <d v="2025-11-13T00:00:00"/>
    <d v="2025-11-20T00:00:00"/>
    <x v="0"/>
    <s v="OK"/>
    <s v="OK"/>
    <x v="2"/>
    <n v="7"/>
    <n v="0"/>
    <n v="183.74"/>
  </r>
  <r>
    <n v="52096"/>
    <n v="31219"/>
    <x v="256"/>
    <n v="2117"/>
    <x v="1"/>
    <n v="3"/>
    <n v="618.27"/>
    <d v="2025-03-14T00:00:00"/>
    <d v="2025-03-20T00:00:00"/>
    <x v="0"/>
    <s v="OK"/>
    <s v="OK"/>
    <x v="0"/>
    <n v="6"/>
    <n v="1"/>
    <n v="206.09"/>
  </r>
  <r>
    <n v="52097"/>
    <n v="31219"/>
    <x v="256"/>
    <n v="2117"/>
    <x v="11"/>
    <n v="1"/>
    <n v="224.37"/>
    <d v="2025-03-14T00:00:00"/>
    <d v="2025-03-20T00:00:00"/>
    <x v="0"/>
    <s v="OK"/>
    <s v="OK"/>
    <x v="2"/>
    <n v="6"/>
    <n v="0"/>
    <n v="224.37"/>
  </r>
  <r>
    <n v="52098"/>
    <n v="31220"/>
    <x v="75"/>
    <n v="2208"/>
    <x v="15"/>
    <n v="1"/>
    <n v="170.25"/>
    <d v="2025-07-21T00:00:00"/>
    <d v="2025-07-23T00:00:00"/>
    <x v="0"/>
    <s v="OK"/>
    <s v="OK"/>
    <x v="1"/>
    <n v="2"/>
    <n v="1"/>
    <n v="170.25"/>
  </r>
  <r>
    <n v="52099"/>
    <n v="31220"/>
    <x v="75"/>
    <n v="2208"/>
    <x v="5"/>
    <n v="3"/>
    <n v="304.32"/>
    <d v="2025-07-19T00:00:00"/>
    <d v="2025-07-26T00:00:00"/>
    <x v="0"/>
    <s v="OK"/>
    <s v="OK"/>
    <x v="1"/>
    <n v="7"/>
    <n v="0"/>
    <n v="101.44"/>
  </r>
  <r>
    <n v="52100"/>
    <n v="31221"/>
    <x v="292"/>
    <n v="2124"/>
    <x v="6"/>
    <n v="3"/>
    <n v="95.19"/>
    <d v="2025-11-09T00:00:00"/>
    <d v="2025-11-10T00:00:00"/>
    <x v="1"/>
    <s v="OK"/>
    <s v="OK"/>
    <x v="2"/>
    <n v="1"/>
    <n v="1"/>
    <n v="31.73"/>
  </r>
  <r>
    <n v="52101"/>
    <n v="31222"/>
    <x v="338"/>
    <n v="2330"/>
    <x v="0"/>
    <n v="1"/>
    <n v="199.81"/>
    <s v=""/>
    <s v=""/>
    <x v="3"/>
    <s v="Missing date"/>
    <s v="Missing date"/>
    <x v="0"/>
    <s v=""/>
    <n v="1"/>
    <n v="199.81"/>
  </r>
  <r>
    <n v="52102"/>
    <n v="31222"/>
    <x v="338"/>
    <n v="2330"/>
    <x v="7"/>
    <n v="1"/>
    <n v="253.86"/>
    <s v=""/>
    <s v=""/>
    <x v="3"/>
    <s v="Missing date"/>
    <s v="Missing date"/>
    <x v="0"/>
    <s v=""/>
    <n v="0"/>
    <n v="253.86"/>
  </r>
  <r>
    <n v="52103"/>
    <n v="31223"/>
    <x v="304"/>
    <n v="2124"/>
    <x v="10"/>
    <n v="3"/>
    <n v="646.02"/>
    <d v="2025-01-27T00:00:00"/>
    <d v="2025-01-28T00:00:00"/>
    <x v="0"/>
    <s v="OK"/>
    <s v="OK"/>
    <x v="3"/>
    <n v="1"/>
    <n v="1"/>
    <n v="215.34"/>
  </r>
  <r>
    <n v="52104"/>
    <n v="31223"/>
    <x v="304"/>
    <n v="2124"/>
    <x v="7"/>
    <n v="2"/>
    <n v="507.72"/>
    <d v="2025-01-26T00:00:00"/>
    <d v="2025-02-03T00:00:00"/>
    <x v="0"/>
    <s v="OK"/>
    <s v="OK"/>
    <x v="0"/>
    <n v="8"/>
    <n v="0"/>
    <n v="253.86"/>
  </r>
  <r>
    <n v="52105"/>
    <n v="31223"/>
    <x v="304"/>
    <n v="2124"/>
    <x v="2"/>
    <n v="1"/>
    <n v="241.54"/>
    <d v="2025-01-25T00:00:00"/>
    <d v="2025-02-04T00:00:00"/>
    <x v="0"/>
    <s v="OK"/>
    <s v="OK"/>
    <x v="1"/>
    <n v="10"/>
    <n v="0"/>
    <n v="241.54"/>
  </r>
  <r>
    <n v="52106"/>
    <n v="31224"/>
    <x v="78"/>
    <n v="2567"/>
    <x v="1"/>
    <n v="1"/>
    <n v="206.09"/>
    <d v="2025-12-21T00:00:00"/>
    <d v="2025-12-27T00:00:00"/>
    <x v="0"/>
    <s v="OK"/>
    <s v="OK"/>
    <x v="0"/>
    <n v="6"/>
    <n v="1"/>
    <n v="206.09"/>
  </r>
  <r>
    <n v="52107"/>
    <n v="31225"/>
    <x v="154"/>
    <n v="2596"/>
    <x v="4"/>
    <n v="1"/>
    <n v="183.74"/>
    <d v="2025-11-01T00:00:00"/>
    <d v="2025-11-03T00:00:00"/>
    <x v="0"/>
    <s v="OK"/>
    <s v="OK"/>
    <x v="2"/>
    <n v="2"/>
    <n v="1"/>
    <n v="183.74"/>
  </r>
  <r>
    <n v="52108"/>
    <n v="31225"/>
    <x v="154"/>
    <n v="2596"/>
    <x v="15"/>
    <n v="2"/>
    <n v="340.5"/>
    <d v="2025-10-30T00:00:00"/>
    <d v="2025-10-31T00:00:00"/>
    <x v="0"/>
    <s v="OK"/>
    <s v="OK"/>
    <x v="1"/>
    <n v="1"/>
    <n v="0"/>
    <n v="170.25"/>
  </r>
  <r>
    <n v="52109"/>
    <n v="31225"/>
    <x v="154"/>
    <n v="2596"/>
    <x v="7"/>
    <n v="1"/>
    <n v="253.86"/>
    <d v="2025-11-01T00:00:00"/>
    <d v="2025-11-10T00:00:00"/>
    <x v="0"/>
    <s v="OK"/>
    <s v="OK"/>
    <x v="0"/>
    <n v="9"/>
    <n v="0"/>
    <n v="253.86"/>
  </r>
  <r>
    <n v="52110"/>
    <n v="31225"/>
    <x v="154"/>
    <n v="2596"/>
    <x v="8"/>
    <n v="2"/>
    <n v="406.08"/>
    <d v="2025-11-01T00:00:00"/>
    <d v="2025-11-10T00:00:00"/>
    <x v="0"/>
    <s v="OK"/>
    <s v="OK"/>
    <x v="2"/>
    <n v="9"/>
    <n v="0"/>
    <n v="203.04"/>
  </r>
  <r>
    <n v="52111"/>
    <n v="31226"/>
    <x v="37"/>
    <n v="2499"/>
    <x v="8"/>
    <n v="3"/>
    <n v="609.12"/>
    <d v="2025-10-11T00:00:00"/>
    <d v="2025-10-15T00:00:00"/>
    <x v="0"/>
    <s v="OK"/>
    <s v="OK"/>
    <x v="2"/>
    <n v="4"/>
    <n v="1"/>
    <n v="203.04"/>
  </r>
  <r>
    <n v="52112"/>
    <n v="31227"/>
    <x v="83"/>
    <n v="2184"/>
    <x v="13"/>
    <n v="3"/>
    <n v="364.5"/>
    <s v=""/>
    <s v=""/>
    <x v="2"/>
    <s v="Missing date"/>
    <s v="Missing date"/>
    <x v="1"/>
    <s v=""/>
    <n v="1"/>
    <n v="121.5"/>
  </r>
  <r>
    <n v="52113"/>
    <n v="31228"/>
    <x v="188"/>
    <n v="2427"/>
    <x v="12"/>
    <n v="1"/>
    <n v="65.260000000000005"/>
    <d v="2025-02-22T00:00:00"/>
    <d v="2025-02-27T00:00:00"/>
    <x v="0"/>
    <s v="OK"/>
    <s v="OK"/>
    <x v="3"/>
    <n v="5"/>
    <n v="1"/>
    <n v="65.260000000000005"/>
  </r>
  <r>
    <n v="52114"/>
    <n v="31228"/>
    <x v="188"/>
    <n v="2427"/>
    <x v="6"/>
    <n v="2"/>
    <n v="63.46"/>
    <d v="2025-02-22T00:00:00"/>
    <d v="2025-03-04T00:00:00"/>
    <x v="0"/>
    <s v="OK"/>
    <s v="OK"/>
    <x v="2"/>
    <n v="10"/>
    <n v="0"/>
    <n v="31.73"/>
  </r>
  <r>
    <n v="52115"/>
    <n v="31228"/>
    <x v="188"/>
    <n v="2427"/>
    <x v="0"/>
    <n v="3"/>
    <n v="599.42999999999995"/>
    <d v="2025-02-22T00:00:00"/>
    <d v="2025-02-24T00:00:00"/>
    <x v="0"/>
    <s v="OK"/>
    <s v="OK"/>
    <x v="0"/>
    <n v="2"/>
    <n v="0"/>
    <n v="199.80999999999997"/>
  </r>
  <r>
    <n v="52116"/>
    <n v="31229"/>
    <x v="272"/>
    <n v="2147"/>
    <x v="14"/>
    <n v="2"/>
    <n v="239.48"/>
    <d v="2025-05-22T00:00:00"/>
    <d v="2025-05-30T00:00:00"/>
    <x v="0"/>
    <s v="OK"/>
    <s v="OK"/>
    <x v="3"/>
    <n v="8"/>
    <n v="1"/>
    <n v="119.74"/>
  </r>
  <r>
    <n v="52117"/>
    <n v="31229"/>
    <x v="272"/>
    <n v="2147"/>
    <x v="10"/>
    <n v="3"/>
    <n v="646.02"/>
    <d v="2025-05-21T00:00:00"/>
    <d v="2025-05-28T00:00:00"/>
    <x v="0"/>
    <s v="OK"/>
    <s v="OK"/>
    <x v="3"/>
    <n v="7"/>
    <n v="0"/>
    <n v="215.34"/>
  </r>
  <r>
    <n v="52118"/>
    <n v="31230"/>
    <x v="54"/>
    <n v="2245"/>
    <x v="3"/>
    <n v="4"/>
    <n v="474.4"/>
    <s v=""/>
    <s v=""/>
    <x v="2"/>
    <s v="Missing date"/>
    <s v="Missing date"/>
    <x v="2"/>
    <s v=""/>
    <n v="1"/>
    <n v="118.6"/>
  </r>
  <r>
    <n v="52119"/>
    <n v="31231"/>
    <x v="186"/>
    <n v="2185"/>
    <x v="11"/>
    <n v="4"/>
    <n v="897.48"/>
    <d v="2025-01-26T00:00:00"/>
    <d v="2025-01-27T00:00:00"/>
    <x v="0"/>
    <s v="OK"/>
    <s v="OK"/>
    <x v="2"/>
    <n v="1"/>
    <n v="1"/>
    <n v="224.37"/>
  </r>
  <r>
    <n v="52120"/>
    <n v="31231"/>
    <x v="186"/>
    <n v="2185"/>
    <x v="13"/>
    <n v="1"/>
    <n v="121.5"/>
    <d v="2025-01-26T00:00:00"/>
    <d v="2025-02-03T00:00:00"/>
    <x v="0"/>
    <s v="OK"/>
    <s v="OK"/>
    <x v="1"/>
    <n v="8"/>
    <n v="0"/>
    <n v="121.5"/>
  </r>
  <r>
    <n v="52121"/>
    <n v="31231"/>
    <x v="186"/>
    <n v="2185"/>
    <x v="2"/>
    <n v="2"/>
    <n v="483.08"/>
    <d v="2025-01-26T00:00:00"/>
    <d v="2025-01-27T00:00:00"/>
    <x v="0"/>
    <s v="OK"/>
    <s v="OK"/>
    <x v="1"/>
    <n v="1"/>
    <n v="0"/>
    <n v="241.54"/>
  </r>
  <r>
    <n v="52122"/>
    <n v="31231"/>
    <x v="186"/>
    <n v="2185"/>
    <x v="10"/>
    <n v="2"/>
    <n v="430.68"/>
    <d v="2025-01-26T00:00:00"/>
    <d v="2025-01-28T00:00:00"/>
    <x v="0"/>
    <s v="OK"/>
    <s v="OK"/>
    <x v="3"/>
    <n v="2"/>
    <n v="0"/>
    <n v="215.34"/>
  </r>
  <r>
    <n v="52123"/>
    <n v="31232"/>
    <x v="255"/>
    <n v="2005"/>
    <x v="0"/>
    <n v="1"/>
    <n v="199.81"/>
    <d v="2025-10-03T00:00:00"/>
    <d v="2025-10-10T00:00:00"/>
    <x v="0"/>
    <s v="OK"/>
    <s v="OK"/>
    <x v="0"/>
    <n v="7"/>
    <n v="1"/>
    <n v="199.81"/>
  </r>
  <r>
    <n v="52124"/>
    <n v="31233"/>
    <x v="45"/>
    <n v="2121"/>
    <x v="4"/>
    <n v="2"/>
    <n v="367.48"/>
    <d v="2025-02-01T00:00:00"/>
    <d v="2025-02-11T00:00:00"/>
    <x v="1"/>
    <s v="OK"/>
    <s v="OK"/>
    <x v="2"/>
    <n v="10"/>
    <n v="1"/>
    <n v="183.74"/>
  </r>
  <r>
    <n v="52125"/>
    <n v="31233"/>
    <x v="45"/>
    <n v="2121"/>
    <x v="2"/>
    <n v="1"/>
    <n v="241.54"/>
    <d v="2025-02-02T00:00:00"/>
    <d v="2025-02-07T00:00:00"/>
    <x v="1"/>
    <s v="OK"/>
    <s v="OK"/>
    <x v="1"/>
    <n v="5"/>
    <n v="0"/>
    <n v="241.54"/>
  </r>
  <r>
    <n v="52126"/>
    <n v="31233"/>
    <x v="45"/>
    <n v="2121"/>
    <x v="1"/>
    <n v="1"/>
    <n v="206.09"/>
    <d v="2025-02-02T00:00:00"/>
    <d v="2025-02-09T00:00:00"/>
    <x v="1"/>
    <s v="OK"/>
    <s v="OK"/>
    <x v="0"/>
    <n v="7"/>
    <n v="0"/>
    <n v="206.09"/>
  </r>
  <r>
    <n v="52127"/>
    <n v="31234"/>
    <x v="215"/>
    <n v="2476"/>
    <x v="0"/>
    <n v="2"/>
    <n v="399.62"/>
    <s v=""/>
    <s v=""/>
    <x v="3"/>
    <s v="Missing date"/>
    <s v="Missing date"/>
    <x v="0"/>
    <s v=""/>
    <n v="1"/>
    <n v="199.81"/>
  </r>
  <r>
    <n v="52128"/>
    <n v="31234"/>
    <x v="215"/>
    <n v="2476"/>
    <x v="0"/>
    <n v="3"/>
    <n v="599.42999999999995"/>
    <d v="2025-08-25T00:00:00"/>
    <s v=""/>
    <x v="3"/>
    <s v="Missing date"/>
    <s v="OK"/>
    <x v="0"/>
    <s v=""/>
    <n v="0"/>
    <n v="199.80999999999997"/>
  </r>
  <r>
    <n v="52129"/>
    <n v="31235"/>
    <x v="8"/>
    <n v="2153"/>
    <x v="12"/>
    <n v="1"/>
    <n v="65.260000000000005"/>
    <d v="2025-11-05T00:00:00"/>
    <d v="2025-11-09T00:00:00"/>
    <x v="0"/>
    <s v="OK"/>
    <s v="OK"/>
    <x v="3"/>
    <n v="4"/>
    <n v="1"/>
    <n v="65.260000000000005"/>
  </r>
  <r>
    <n v="52130"/>
    <n v="31235"/>
    <x v="8"/>
    <n v="2153"/>
    <x v="12"/>
    <n v="2"/>
    <n v="130.52000000000001"/>
    <d v="2025-11-05T00:00:00"/>
    <d v="2025-12-11T00:00:00"/>
    <x v="0"/>
    <s v="OK"/>
    <s v="OK"/>
    <x v="3"/>
    <n v="36"/>
    <n v="0"/>
    <n v="65.260000000000005"/>
  </r>
  <r>
    <n v="52131"/>
    <n v="31236"/>
    <x v="263"/>
    <n v="2181"/>
    <x v="3"/>
    <n v="1"/>
    <n v="118.6"/>
    <d v="2025-07-22T00:00:00"/>
    <d v="2025-08-01T00:00:00"/>
    <x v="0"/>
    <s v="OK"/>
    <s v="OK"/>
    <x v="2"/>
    <n v="10"/>
    <n v="1"/>
    <n v="118.6"/>
  </r>
  <r>
    <n v="52132"/>
    <n v="31236"/>
    <x v="263"/>
    <n v="2181"/>
    <x v="3"/>
    <n v="5"/>
    <n v="593"/>
    <d v="2025-07-21T00:00:00"/>
    <d v="2025-07-26T00:00:00"/>
    <x v="0"/>
    <s v="OK"/>
    <s v="OK"/>
    <x v="2"/>
    <n v="5"/>
    <n v="0"/>
    <n v="118.6"/>
  </r>
  <r>
    <n v="52133"/>
    <n v="31237"/>
    <x v="66"/>
    <n v="2373"/>
    <x v="10"/>
    <n v="2"/>
    <n v="430.68"/>
    <d v="2025-02-20T00:00:00"/>
    <d v="2025-03-01T00:00:00"/>
    <x v="0"/>
    <s v="OK"/>
    <s v="OK"/>
    <x v="3"/>
    <n v="9"/>
    <n v="1"/>
    <n v="215.34"/>
  </r>
  <r>
    <n v="52134"/>
    <n v="31238"/>
    <x v="344"/>
    <n v="2258"/>
    <x v="14"/>
    <n v="3"/>
    <n v="359.22"/>
    <d v="2025-11-20T00:00:00"/>
    <d v="2025-11-25T00:00:00"/>
    <x v="0"/>
    <s v="OK"/>
    <s v="OK"/>
    <x v="3"/>
    <n v="5"/>
    <n v="1"/>
    <n v="119.74000000000001"/>
  </r>
  <r>
    <n v="52135"/>
    <n v="31238"/>
    <x v="344"/>
    <n v="2258"/>
    <x v="3"/>
    <n v="3"/>
    <n v="355.8"/>
    <d v="2025-11-18T00:00:00"/>
    <d v="2025-11-25T00:00:00"/>
    <x v="0"/>
    <s v="OK"/>
    <s v="OK"/>
    <x v="2"/>
    <n v="7"/>
    <n v="0"/>
    <n v="118.60000000000001"/>
  </r>
  <r>
    <n v="52136"/>
    <n v="31238"/>
    <x v="344"/>
    <n v="2258"/>
    <x v="4"/>
    <n v="1"/>
    <n v="183.74"/>
    <d v="2025-11-18T00:00:00"/>
    <d v="2025-11-20T00:00:00"/>
    <x v="0"/>
    <s v="OK"/>
    <s v="OK"/>
    <x v="2"/>
    <n v="2"/>
    <n v="0"/>
    <n v="183.74"/>
  </r>
  <r>
    <n v="52137"/>
    <n v="31239"/>
    <x v="142"/>
    <n v="2054"/>
    <x v="7"/>
    <n v="1"/>
    <n v="253.86"/>
    <s v=""/>
    <s v=""/>
    <x v="2"/>
    <s v="Missing date"/>
    <s v="Missing date"/>
    <x v="0"/>
    <s v=""/>
    <n v="1"/>
    <n v="253.86"/>
  </r>
  <r>
    <n v="52138"/>
    <n v="31239"/>
    <x v="142"/>
    <n v="2054"/>
    <x v="7"/>
    <n v="3"/>
    <n v="761.58"/>
    <s v=""/>
    <s v=""/>
    <x v="2"/>
    <s v="Missing date"/>
    <s v="Missing date"/>
    <x v="0"/>
    <s v=""/>
    <n v="0"/>
    <n v="253.86"/>
  </r>
  <r>
    <n v="52139"/>
    <n v="31240"/>
    <x v="37"/>
    <n v="2030"/>
    <x v="4"/>
    <n v="1"/>
    <n v="183.74"/>
    <d v="2025-10-12T00:00:00"/>
    <d v="2025-10-17T00:00:00"/>
    <x v="0"/>
    <s v="OK"/>
    <s v="OK"/>
    <x v="2"/>
    <n v="5"/>
    <n v="1"/>
    <n v="183.74"/>
  </r>
  <r>
    <n v="52140"/>
    <n v="31240"/>
    <x v="38"/>
    <n v="2030"/>
    <x v="11"/>
    <n v="2"/>
    <n v="448.74"/>
    <d v="2025-10-12T00:00:00"/>
    <d v="2025-10-20T00:00:00"/>
    <x v="0"/>
    <s v="OK"/>
    <s v="OK"/>
    <x v="2"/>
    <n v="8"/>
    <n v="0"/>
    <n v="224.37"/>
  </r>
  <r>
    <n v="52141"/>
    <n v="31241"/>
    <x v="81"/>
    <n v="2241"/>
    <x v="5"/>
    <n v="2"/>
    <n v="202.88"/>
    <d v="2025-09-28T00:00:00"/>
    <d v="2025-10-07T00:00:00"/>
    <x v="0"/>
    <s v="OK"/>
    <s v="OK"/>
    <x v="1"/>
    <n v="9"/>
    <n v="1"/>
    <n v="101.44"/>
  </r>
  <r>
    <n v="52142"/>
    <n v="31242"/>
    <x v="327"/>
    <n v="2430"/>
    <x v="5"/>
    <n v="1"/>
    <n v="101.44"/>
    <d v="2025-09-17T00:00:00"/>
    <d v="2025-09-25T00:00:00"/>
    <x v="0"/>
    <s v="OK"/>
    <s v="OK"/>
    <x v="1"/>
    <n v="8"/>
    <n v="1"/>
    <n v="101.44"/>
  </r>
  <r>
    <n v="52143"/>
    <n v="31242"/>
    <x v="327"/>
    <n v="2430"/>
    <x v="1"/>
    <n v="1"/>
    <n v="206.09"/>
    <d v="2025-09-18T00:00:00"/>
    <d v="2025-09-19T00:00:00"/>
    <x v="0"/>
    <s v="OK"/>
    <s v="OK"/>
    <x v="0"/>
    <n v="1"/>
    <n v="0"/>
    <n v="206.09"/>
  </r>
  <r>
    <n v="52144"/>
    <n v="31242"/>
    <x v="327"/>
    <n v="2430"/>
    <x v="4"/>
    <n v="2"/>
    <n v="367.48"/>
    <d v="2025-09-17T00:00:00"/>
    <d v="2025-09-25T00:00:00"/>
    <x v="0"/>
    <s v="OK"/>
    <s v="OK"/>
    <x v="2"/>
    <n v="8"/>
    <n v="0"/>
    <n v="183.74"/>
  </r>
  <r>
    <n v="52145"/>
    <n v="31243"/>
    <x v="29"/>
    <n v="2334"/>
    <x v="1"/>
    <n v="1"/>
    <n v="206.09"/>
    <d v="2025-07-01T00:00:00"/>
    <d v="2025-07-06T00:00:00"/>
    <x v="0"/>
    <s v="OK"/>
    <s v="OK"/>
    <x v="0"/>
    <n v="5"/>
    <n v="1"/>
    <n v="206.09"/>
  </r>
  <r>
    <n v="52146"/>
    <n v="31243"/>
    <x v="29"/>
    <n v="2334"/>
    <x v="10"/>
    <n v="1"/>
    <n v="215.34"/>
    <d v="2025-06-30T00:00:00"/>
    <d v="2025-07-04T00:00:00"/>
    <x v="0"/>
    <s v="OK"/>
    <s v="OK"/>
    <x v="3"/>
    <n v="4"/>
    <n v="0"/>
    <n v="215.34"/>
  </r>
  <r>
    <n v="52147"/>
    <n v="31244"/>
    <x v="4"/>
    <n v="2205"/>
    <x v="1"/>
    <n v="3"/>
    <n v="618.27"/>
    <d v="2025-06-01T00:00:00"/>
    <d v="2025-09-06T00:00:00"/>
    <x v="0"/>
    <s v="OK"/>
    <s v="OK"/>
    <x v="0"/>
    <n v="97"/>
    <n v="1"/>
    <n v="206.09"/>
  </r>
  <r>
    <n v="52148"/>
    <n v="31244"/>
    <x v="4"/>
    <n v="2205"/>
    <x v="11"/>
    <n v="1"/>
    <n v="224.37"/>
    <d v="2025-06-01T00:00:00"/>
    <d v="2025-06-05T00:00:00"/>
    <x v="0"/>
    <s v="OK"/>
    <s v="OK"/>
    <x v="2"/>
    <n v="4"/>
    <n v="0"/>
    <n v="224.37"/>
  </r>
  <r>
    <n v="52149"/>
    <n v="31245"/>
    <x v="151"/>
    <n v="2483"/>
    <x v="3"/>
    <n v="1"/>
    <n v="118.6"/>
    <d v="2025-07-02T00:00:00"/>
    <d v="2025-07-06T00:00:00"/>
    <x v="0"/>
    <s v="OK"/>
    <s v="OK"/>
    <x v="2"/>
    <n v="4"/>
    <n v="1"/>
    <n v="118.6"/>
  </r>
  <r>
    <n v="52150"/>
    <n v="31245"/>
    <x v="199"/>
    <n v="2483"/>
    <x v="10"/>
    <n v="2"/>
    <n v="430.68"/>
    <d v="2025-07-03T00:00:00"/>
    <d v="2025-07-07T00:00:00"/>
    <x v="0"/>
    <s v="OK"/>
    <s v="OK"/>
    <x v="3"/>
    <n v="4"/>
    <n v="0"/>
    <n v="215.34"/>
  </r>
  <r>
    <n v="52151"/>
    <n v="31246"/>
    <x v="211"/>
    <n v="2149"/>
    <x v="14"/>
    <n v="1"/>
    <n v="119.74"/>
    <d v="2025-09-04T00:00:00"/>
    <d v="2025-09-11T00:00:00"/>
    <x v="0"/>
    <s v="OK"/>
    <s v="OK"/>
    <x v="3"/>
    <n v="7"/>
    <n v="1"/>
    <n v="119.74"/>
  </r>
  <r>
    <n v="52152"/>
    <n v="31247"/>
    <x v="310"/>
    <n v="2183"/>
    <x v="6"/>
    <n v="3"/>
    <n v="95.19"/>
    <d v="2025-08-17T00:00:00"/>
    <d v="2025-08-26T00:00:00"/>
    <x v="0"/>
    <s v="OK"/>
    <s v="OK"/>
    <x v="2"/>
    <n v="9"/>
    <n v="1"/>
    <n v="31.73"/>
  </r>
  <r>
    <n v="52153"/>
    <n v="31248"/>
    <x v="90"/>
    <n v="2469"/>
    <x v="2"/>
    <n v="1"/>
    <n v="241.54"/>
    <d v="2025-07-08T00:00:00"/>
    <d v="2025-07-12T00:00:00"/>
    <x v="0"/>
    <s v="OK"/>
    <s v="OK"/>
    <x v="1"/>
    <n v="4"/>
    <n v="1"/>
    <n v="241.54"/>
  </r>
  <r>
    <n v="52154"/>
    <n v="31249"/>
    <x v="210"/>
    <n v="2277"/>
    <x v="6"/>
    <n v="1"/>
    <n v="31.73"/>
    <d v="2025-12-10T00:00:00"/>
    <d v="2025-12-12T00:00:00"/>
    <x v="0"/>
    <s v="OK"/>
    <s v="OK"/>
    <x v="2"/>
    <n v="2"/>
    <n v="1"/>
    <n v="31.73"/>
  </r>
  <r>
    <n v="52155"/>
    <n v="31250"/>
    <x v="84"/>
    <n v="2033"/>
    <x v="3"/>
    <n v="4"/>
    <n v="474.4"/>
    <d v="2025-06-21T00:00:00"/>
    <d v="2025-06-24T00:00:00"/>
    <x v="0"/>
    <s v="OK"/>
    <s v="OK"/>
    <x v="2"/>
    <n v="3"/>
    <n v="1"/>
    <n v="118.6"/>
  </r>
  <r>
    <n v="52156"/>
    <n v="31250"/>
    <x v="84"/>
    <n v="2033"/>
    <x v="9"/>
    <n v="1"/>
    <n v="40.28"/>
    <d v="2025-06-21T00:00:00"/>
    <d v="2025-06-29T00:00:00"/>
    <x v="0"/>
    <s v="OK"/>
    <s v="OK"/>
    <x v="0"/>
    <n v="8"/>
    <n v="0"/>
    <n v="40.28"/>
  </r>
  <r>
    <n v="52157"/>
    <n v="31250"/>
    <x v="84"/>
    <n v="2033"/>
    <x v="6"/>
    <n v="5"/>
    <n v="158.65"/>
    <d v="2025-06-21T00:00:00"/>
    <d v="2025-06-30T00:00:00"/>
    <x v="0"/>
    <s v="OK"/>
    <s v="OK"/>
    <x v="2"/>
    <n v="9"/>
    <n v="0"/>
    <n v="31.73"/>
  </r>
  <r>
    <n v="52158"/>
    <n v="31251"/>
    <x v="82"/>
    <n v="2114"/>
    <x v="14"/>
    <n v="1"/>
    <n v="119.74"/>
    <s v=""/>
    <s v=""/>
    <x v="3"/>
    <s v="Missing date"/>
    <s v="Missing date"/>
    <x v="3"/>
    <s v=""/>
    <n v="1"/>
    <n v="119.74"/>
  </r>
  <r>
    <n v="52159"/>
    <n v="31252"/>
    <x v="137"/>
    <n v="2352"/>
    <x v="13"/>
    <n v="2"/>
    <n v="243"/>
    <d v="2025-01-11T00:00:00"/>
    <d v="2025-01-17T00:00:00"/>
    <x v="0"/>
    <s v="OK"/>
    <s v="OK"/>
    <x v="1"/>
    <n v="6"/>
    <n v="1"/>
    <n v="121.5"/>
  </r>
  <r>
    <n v="52160"/>
    <n v="31252"/>
    <x v="137"/>
    <n v="2352"/>
    <x v="7"/>
    <n v="1"/>
    <n v="253.86"/>
    <d v="2025-01-12T00:00:00"/>
    <d v="2025-01-15T00:00:00"/>
    <x v="0"/>
    <s v="OK"/>
    <s v="OK"/>
    <x v="0"/>
    <n v="3"/>
    <n v="0"/>
    <n v="253.86"/>
  </r>
  <r>
    <n v="52161"/>
    <n v="31252"/>
    <x v="137"/>
    <n v="2352"/>
    <x v="7"/>
    <n v="2"/>
    <n v="507.72"/>
    <d v="2025-01-11T00:00:00"/>
    <d v="2025-01-12T00:00:00"/>
    <x v="0"/>
    <s v="OK"/>
    <s v="OK"/>
    <x v="0"/>
    <n v="1"/>
    <n v="0"/>
    <n v="253.86"/>
  </r>
  <r>
    <n v="52162"/>
    <n v="31253"/>
    <x v="260"/>
    <n v="2592"/>
    <x v="1"/>
    <n v="2"/>
    <n v="412.18"/>
    <d v="2025-04-17T00:00:00"/>
    <d v="2025-04-23T00:00:00"/>
    <x v="1"/>
    <s v="OK"/>
    <s v="OK"/>
    <x v="0"/>
    <n v="6"/>
    <n v="1"/>
    <n v="206.09"/>
  </r>
  <r>
    <n v="52163"/>
    <n v="31253"/>
    <x v="260"/>
    <n v="2592"/>
    <x v="11"/>
    <n v="3"/>
    <n v="673.11"/>
    <d v="2025-04-16T00:00:00"/>
    <d v="2025-04-21T00:00:00"/>
    <x v="1"/>
    <s v="OK"/>
    <s v="OK"/>
    <x v="2"/>
    <n v="5"/>
    <n v="0"/>
    <n v="224.37"/>
  </r>
  <r>
    <n v="52164"/>
    <n v="31254"/>
    <x v="72"/>
    <n v="2422"/>
    <x v="12"/>
    <n v="1"/>
    <n v="65.260000000000005"/>
    <s v=""/>
    <s v=""/>
    <x v="3"/>
    <s v="Missing date"/>
    <s v="Missing date"/>
    <x v="3"/>
    <s v=""/>
    <n v="1"/>
    <n v="65.260000000000005"/>
  </r>
  <r>
    <n v="52165"/>
    <n v="31255"/>
    <x v="20"/>
    <n v="2222"/>
    <x v="14"/>
    <n v="1"/>
    <n v="119.74"/>
    <d v="2025-08-12T00:00:00"/>
    <d v="2025-08-17T00:00:00"/>
    <x v="0"/>
    <s v="OK"/>
    <s v="OK"/>
    <x v="3"/>
    <n v="5"/>
    <n v="1"/>
    <n v="119.74"/>
  </r>
  <r>
    <n v="52166"/>
    <n v="31256"/>
    <x v="3"/>
    <n v="2286"/>
    <x v="10"/>
    <n v="1"/>
    <n v="215.34"/>
    <d v="2025-02-28T00:00:00"/>
    <d v="2025-03-07T00:00:00"/>
    <x v="0"/>
    <s v="OK"/>
    <s v="OK"/>
    <x v="3"/>
    <n v="7"/>
    <n v="1"/>
    <n v="215.34"/>
  </r>
  <r>
    <n v="52167"/>
    <n v="31257"/>
    <x v="163"/>
    <n v="2253"/>
    <x v="10"/>
    <n v="1"/>
    <n v="215.34"/>
    <d v="2025-06-11T00:00:00"/>
    <d v="2025-06-14T00:00:00"/>
    <x v="0"/>
    <s v="OK"/>
    <s v="OK"/>
    <x v="3"/>
    <n v="3"/>
    <n v="1"/>
    <n v="215.34"/>
  </r>
  <r>
    <n v="52168"/>
    <n v="31257"/>
    <x v="163"/>
    <n v="2253"/>
    <x v="1"/>
    <n v="1"/>
    <n v="206.09"/>
    <d v="2025-06-11T00:00:00"/>
    <d v="2025-06-16T00:00:00"/>
    <x v="0"/>
    <s v="OK"/>
    <s v="OK"/>
    <x v="0"/>
    <n v="5"/>
    <n v="0"/>
    <n v="206.09"/>
  </r>
  <r>
    <n v="52169"/>
    <n v="31258"/>
    <x v="47"/>
    <n v="2153"/>
    <x v="8"/>
    <n v="1"/>
    <n v="203.04"/>
    <s v=""/>
    <s v=""/>
    <x v="2"/>
    <s v="Missing date"/>
    <s v="Missing date"/>
    <x v="2"/>
    <s v=""/>
    <n v="1"/>
    <n v="203.04"/>
  </r>
  <r>
    <n v="52170"/>
    <n v="31258"/>
    <x v="47"/>
    <n v="2153"/>
    <x v="10"/>
    <n v="1"/>
    <n v="215.34"/>
    <s v=""/>
    <s v=""/>
    <x v="2"/>
    <s v="Missing date"/>
    <s v="Missing date"/>
    <x v="3"/>
    <s v=""/>
    <n v="0"/>
    <n v="215.34"/>
  </r>
  <r>
    <n v="52171"/>
    <n v="31258"/>
    <x v="47"/>
    <n v="2153"/>
    <x v="3"/>
    <n v="1"/>
    <n v="118.6"/>
    <s v=""/>
    <s v=""/>
    <x v="2"/>
    <s v="Missing date"/>
    <s v="Missing date"/>
    <x v="2"/>
    <s v=""/>
    <n v="0"/>
    <n v="118.6"/>
  </r>
  <r>
    <n v="52172"/>
    <n v="31258"/>
    <x v="47"/>
    <n v="2153"/>
    <x v="3"/>
    <n v="1"/>
    <n v="118.6"/>
    <s v=""/>
    <s v=""/>
    <x v="2"/>
    <s v="Missing date"/>
    <s v="Missing date"/>
    <x v="2"/>
    <s v=""/>
    <n v="0"/>
    <n v="118.6"/>
  </r>
  <r>
    <n v="52173"/>
    <n v="31259"/>
    <x v="283"/>
    <n v="2482"/>
    <x v="3"/>
    <n v="4"/>
    <n v="474.4"/>
    <d v="2025-10-01T00:00:00"/>
    <d v="2025-10-10T00:00:00"/>
    <x v="0"/>
    <s v="OK"/>
    <s v="OK"/>
    <x v="2"/>
    <n v="9"/>
    <n v="1"/>
    <n v="118.6"/>
  </r>
  <r>
    <n v="52174"/>
    <n v="31260"/>
    <x v="99"/>
    <n v="2436"/>
    <x v="12"/>
    <n v="3"/>
    <n v="195.78"/>
    <d v="2025-05-08T00:00:00"/>
    <d v="2025-08-06T00:00:00"/>
    <x v="0"/>
    <s v="OK"/>
    <s v="OK"/>
    <x v="3"/>
    <n v="90"/>
    <n v="1"/>
    <n v="65.260000000000005"/>
  </r>
  <r>
    <n v="52175"/>
    <n v="31261"/>
    <x v="7"/>
    <n v="2101"/>
    <x v="1"/>
    <n v="3"/>
    <n v="618.27"/>
    <d v="2025-09-16T00:00:00"/>
    <d v="2025-09-21T00:00:00"/>
    <x v="0"/>
    <s v="OK"/>
    <s v="OK"/>
    <x v="0"/>
    <n v="5"/>
    <n v="1"/>
    <n v="206.09"/>
  </r>
  <r>
    <n v="52176"/>
    <n v="31262"/>
    <x v="119"/>
    <n v="2086"/>
    <x v="8"/>
    <n v="3"/>
    <n v="609.12"/>
    <d v="2025-07-15T00:00:00"/>
    <d v="2025-07-16T00:00:00"/>
    <x v="0"/>
    <s v="OK"/>
    <s v="OK"/>
    <x v="2"/>
    <n v="1"/>
    <n v="1"/>
    <n v="203.04"/>
  </r>
  <r>
    <n v="52177"/>
    <n v="31263"/>
    <x v="105"/>
    <n v="2417"/>
    <x v="6"/>
    <n v="1"/>
    <n v="31.73"/>
    <d v="2025-09-15T00:00:00"/>
    <d v="2025-09-18T00:00:00"/>
    <x v="1"/>
    <s v="OK"/>
    <s v="OK"/>
    <x v="2"/>
    <n v="3"/>
    <n v="1"/>
    <n v="31.73"/>
  </r>
  <r>
    <n v="52178"/>
    <n v="31263"/>
    <x v="105"/>
    <n v="2417"/>
    <x v="2"/>
    <n v="2"/>
    <n v="483.08"/>
    <d v="2025-09-17T00:00:00"/>
    <d v="2025-09-19T00:00:00"/>
    <x v="1"/>
    <s v="OK"/>
    <s v="OK"/>
    <x v="1"/>
    <n v="2"/>
    <n v="0"/>
    <n v="241.54"/>
  </r>
  <r>
    <n v="52179"/>
    <n v="31264"/>
    <x v="288"/>
    <n v="2303"/>
    <x v="11"/>
    <n v="1"/>
    <n v="224.37"/>
    <d v="2025-08-19T00:00:00"/>
    <d v="2025-08-29T00:00:00"/>
    <x v="0"/>
    <s v="OK"/>
    <s v="OK"/>
    <x v="2"/>
    <n v="10"/>
    <n v="1"/>
    <n v="224.37"/>
  </r>
  <r>
    <n v="52180"/>
    <n v="31265"/>
    <x v="11"/>
    <n v="2017"/>
    <x v="13"/>
    <n v="1"/>
    <n v="121.5"/>
    <d v="2025-07-28T00:00:00"/>
    <d v="2025-08-04T00:00:00"/>
    <x v="0"/>
    <s v="OK"/>
    <s v="OK"/>
    <x v="1"/>
    <n v="7"/>
    <n v="1"/>
    <n v="121.5"/>
  </r>
  <r>
    <n v="52181"/>
    <n v="31265"/>
    <x v="11"/>
    <n v="2017"/>
    <x v="7"/>
    <n v="2"/>
    <n v="507.72"/>
    <d v="2025-07-28T00:00:00"/>
    <d v="2025-08-04T00:00:00"/>
    <x v="0"/>
    <s v="OK"/>
    <s v="OK"/>
    <x v="0"/>
    <n v="7"/>
    <n v="0"/>
    <n v="253.86"/>
  </r>
  <r>
    <n v="52182"/>
    <n v="31266"/>
    <x v="271"/>
    <n v="2471"/>
    <x v="8"/>
    <n v="3"/>
    <n v="609.12"/>
    <s v=""/>
    <s v=""/>
    <x v="3"/>
    <s v="Missing date"/>
    <s v="Missing date"/>
    <x v="2"/>
    <s v=""/>
    <n v="1"/>
    <n v="203.04"/>
  </r>
  <r>
    <n v="52183"/>
    <n v="31266"/>
    <x v="271"/>
    <n v="2471"/>
    <x v="14"/>
    <n v="1"/>
    <n v="119.74"/>
    <s v=""/>
    <s v=""/>
    <x v="3"/>
    <s v="Missing date"/>
    <s v="Missing date"/>
    <x v="3"/>
    <s v=""/>
    <n v="0"/>
    <n v="119.74"/>
  </r>
  <r>
    <n v="52184"/>
    <n v="31267"/>
    <x v="147"/>
    <n v="2416"/>
    <x v="2"/>
    <n v="2"/>
    <n v="483.08"/>
    <d v="2025-07-16T00:00:00"/>
    <d v="2025-07-25T00:00:00"/>
    <x v="0"/>
    <s v="OK"/>
    <s v="OK"/>
    <x v="1"/>
    <n v="9"/>
    <n v="1"/>
    <n v="241.54"/>
  </r>
  <r>
    <n v="52185"/>
    <n v="31268"/>
    <x v="117"/>
    <n v="2476"/>
    <x v="8"/>
    <n v="1"/>
    <n v="203.04"/>
    <d v="2025-04-23T00:00:00"/>
    <d v="2025-05-02T00:00:00"/>
    <x v="0"/>
    <s v="OK"/>
    <s v="OK"/>
    <x v="2"/>
    <n v="9"/>
    <n v="1"/>
    <n v="203.04"/>
  </r>
  <r>
    <n v="52186"/>
    <n v="31268"/>
    <x v="117"/>
    <n v="2476"/>
    <x v="11"/>
    <n v="3"/>
    <n v="673.11"/>
    <d v="2025-04-23T00:00:00"/>
    <d v="2025-05-02T00:00:00"/>
    <x v="0"/>
    <s v="OK"/>
    <s v="OK"/>
    <x v="2"/>
    <n v="9"/>
    <n v="0"/>
    <n v="224.37"/>
  </r>
  <r>
    <n v="52187"/>
    <n v="31269"/>
    <x v="24"/>
    <n v="2395"/>
    <x v="5"/>
    <n v="1"/>
    <n v="101.44"/>
    <s v=""/>
    <s v=""/>
    <x v="2"/>
    <s v="Missing date"/>
    <s v="Missing date"/>
    <x v="1"/>
    <s v=""/>
    <n v="1"/>
    <n v="101.44"/>
  </r>
  <r>
    <n v="52188"/>
    <n v="31269"/>
    <x v="24"/>
    <n v="2395"/>
    <x v="3"/>
    <n v="1"/>
    <n v="118.6"/>
    <s v=""/>
    <s v=""/>
    <x v="2"/>
    <s v="Missing date"/>
    <s v="Missing date"/>
    <x v="2"/>
    <s v=""/>
    <n v="0"/>
    <n v="118.6"/>
  </r>
  <r>
    <n v="52189"/>
    <n v="31269"/>
    <x v="24"/>
    <n v="2395"/>
    <x v="13"/>
    <n v="1"/>
    <n v="121.5"/>
    <s v=""/>
    <s v=""/>
    <x v="2"/>
    <s v="Missing date"/>
    <s v="Missing date"/>
    <x v="1"/>
    <s v=""/>
    <n v="0"/>
    <n v="121.5"/>
  </r>
  <r>
    <n v="52190"/>
    <n v="31269"/>
    <x v="86"/>
    <n v="2395"/>
    <x v="10"/>
    <n v="1"/>
    <n v="215.34"/>
    <s v=""/>
    <s v=""/>
    <x v="2"/>
    <s v="Missing date"/>
    <s v="Missing date"/>
    <x v="3"/>
    <s v=""/>
    <n v="0"/>
    <n v="215.34"/>
  </r>
  <r>
    <n v="52191"/>
    <n v="31270"/>
    <x v="169"/>
    <n v="2277"/>
    <x v="0"/>
    <n v="1"/>
    <n v="199.81"/>
    <d v="2025-01-19T00:00:00"/>
    <d v="2025-01-23T00:00:00"/>
    <x v="0"/>
    <s v="OK"/>
    <s v="OK"/>
    <x v="0"/>
    <n v="4"/>
    <n v="1"/>
    <n v="199.81"/>
  </r>
  <r>
    <n v="52192"/>
    <n v="31270"/>
    <x v="169"/>
    <n v="2277"/>
    <x v="11"/>
    <n v="2"/>
    <n v="448.74"/>
    <d v="2025-01-20T00:00:00"/>
    <d v="2025-01-29T00:00:00"/>
    <x v="0"/>
    <s v="OK"/>
    <s v="OK"/>
    <x v="2"/>
    <n v="9"/>
    <n v="0"/>
    <n v="224.37"/>
  </r>
  <r>
    <n v="52193"/>
    <n v="31271"/>
    <x v="295"/>
    <n v="2344"/>
    <x v="3"/>
    <n v="1"/>
    <n v="118.6"/>
    <d v="2025-03-28T00:00:00"/>
    <d v="2025-04-01T00:00:00"/>
    <x v="0"/>
    <s v="OK"/>
    <s v="OK"/>
    <x v="2"/>
    <n v="4"/>
    <n v="1"/>
    <n v="118.6"/>
  </r>
  <r>
    <n v="52194"/>
    <n v="31271"/>
    <x v="295"/>
    <n v="2344"/>
    <x v="2"/>
    <n v="1"/>
    <n v="241.54"/>
    <d v="2025-03-28T00:00:00"/>
    <d v="2025-04-02T00:00:00"/>
    <x v="0"/>
    <s v="OK"/>
    <s v="OK"/>
    <x v="1"/>
    <n v="5"/>
    <n v="0"/>
    <n v="241.54"/>
  </r>
  <r>
    <n v="52195"/>
    <n v="31272"/>
    <x v="54"/>
    <n v="2053"/>
    <x v="2"/>
    <n v="2"/>
    <n v="483.08"/>
    <d v="2025-04-09T00:00:00"/>
    <d v="2025-04-13T00:00:00"/>
    <x v="0"/>
    <s v="OK"/>
    <s v="OK"/>
    <x v="1"/>
    <n v="4"/>
    <n v="1"/>
    <n v="241.54"/>
  </r>
  <r>
    <n v="52196"/>
    <n v="31273"/>
    <x v="37"/>
    <n v="2477"/>
    <x v="2"/>
    <n v="1"/>
    <n v="241.54"/>
    <d v="2025-10-11T00:00:00"/>
    <d v="2025-10-17T00:00:00"/>
    <x v="0"/>
    <s v="OK"/>
    <s v="OK"/>
    <x v="1"/>
    <n v="6"/>
    <n v="1"/>
    <n v="241.54"/>
  </r>
  <r>
    <n v="52197"/>
    <n v="31274"/>
    <x v="128"/>
    <n v="2376"/>
    <x v="11"/>
    <n v="1"/>
    <n v="224.37"/>
    <d v="2025-06-18T00:00:00"/>
    <d v="2025-06-25T00:00:00"/>
    <x v="0"/>
    <s v="OK"/>
    <s v="OK"/>
    <x v="2"/>
    <n v="7"/>
    <n v="1"/>
    <n v="224.37"/>
  </r>
  <r>
    <n v="52198"/>
    <n v="31275"/>
    <x v="296"/>
    <n v="2575"/>
    <x v="0"/>
    <n v="2"/>
    <n v="399.62"/>
    <d v="2025-10-22T00:00:00"/>
    <d v="2025-10-26T00:00:00"/>
    <x v="0"/>
    <s v="OK"/>
    <s v="OK"/>
    <x v="0"/>
    <n v="4"/>
    <n v="1"/>
    <n v="199.81"/>
  </r>
  <r>
    <n v="52199"/>
    <n v="31276"/>
    <x v="323"/>
    <n v="2142"/>
    <x v="1"/>
    <n v="1"/>
    <n v="206.09"/>
    <d v="2025-04-26T00:00:00"/>
    <d v="2025-05-01T00:00:00"/>
    <x v="1"/>
    <s v="OK"/>
    <s v="OK"/>
    <x v="0"/>
    <n v="5"/>
    <n v="1"/>
    <n v="206.09"/>
  </r>
  <r>
    <n v="52200"/>
    <n v="31277"/>
    <x v="352"/>
    <n v="2553"/>
    <x v="12"/>
    <n v="1"/>
    <n v="65.260000000000005"/>
    <d v="2025-02-28T00:00:00"/>
    <d v="2025-03-01T00:00:00"/>
    <x v="0"/>
    <s v="OK"/>
    <s v="OK"/>
    <x v="3"/>
    <n v="1"/>
    <n v="1"/>
    <n v="65.260000000000005"/>
  </r>
  <r>
    <n v="52201"/>
    <n v="31277"/>
    <x v="352"/>
    <n v="2553"/>
    <x v="0"/>
    <n v="1"/>
    <n v="199.81"/>
    <d v="2025-03-02T00:00:00"/>
    <d v="2025-03-06T00:00:00"/>
    <x v="0"/>
    <s v="OK"/>
    <s v="OK"/>
    <x v="0"/>
    <n v="4"/>
    <n v="0"/>
    <n v="199.81"/>
  </r>
  <r>
    <n v="52202"/>
    <n v="31278"/>
    <x v="310"/>
    <n v="2231"/>
    <x v="9"/>
    <n v="1"/>
    <n v="40.28"/>
    <d v="2025-08-17T00:00:00"/>
    <d v="2025-08-18T00:00:00"/>
    <x v="0"/>
    <s v="OK"/>
    <s v="OK"/>
    <x v="0"/>
    <n v="1"/>
    <n v="1"/>
    <n v="40.28"/>
  </r>
  <r>
    <n v="52203"/>
    <n v="31278"/>
    <x v="310"/>
    <n v="2231"/>
    <x v="10"/>
    <n v="1"/>
    <n v="215.34"/>
    <d v="2025-08-17T00:00:00"/>
    <d v="2025-08-27T00:00:00"/>
    <x v="0"/>
    <s v="OK"/>
    <s v="OK"/>
    <x v="3"/>
    <n v="10"/>
    <n v="0"/>
    <n v="215.34"/>
  </r>
  <r>
    <n v="52204"/>
    <n v="31279"/>
    <x v="328"/>
    <n v="2284"/>
    <x v="2"/>
    <n v="2"/>
    <n v="483.08"/>
    <d v="2025-03-10T00:00:00"/>
    <d v="2025-03-14T00:00:00"/>
    <x v="0"/>
    <s v="OK"/>
    <s v="OK"/>
    <x v="1"/>
    <n v="4"/>
    <n v="1"/>
    <n v="241.54"/>
  </r>
  <r>
    <n v="52205"/>
    <n v="31280"/>
    <x v="190"/>
    <n v="2354"/>
    <x v="4"/>
    <n v="2"/>
    <n v="367.48"/>
    <d v="2025-05-09T00:00:00"/>
    <d v="2025-05-15T00:00:00"/>
    <x v="0"/>
    <s v="OK"/>
    <s v="OK"/>
    <x v="2"/>
    <n v="6"/>
    <n v="1"/>
    <n v="183.74"/>
  </r>
  <r>
    <n v="52206"/>
    <n v="31281"/>
    <x v="188"/>
    <n v="2482"/>
    <x v="13"/>
    <n v="1"/>
    <n v="121.5"/>
    <d v="2025-02-21T00:00:00"/>
    <d v="2025-02-28T00:00:00"/>
    <x v="0"/>
    <s v="OK"/>
    <s v="OK"/>
    <x v="1"/>
    <n v="7"/>
    <n v="1"/>
    <n v="121.5"/>
  </r>
  <r>
    <n v="52207"/>
    <n v="31281"/>
    <x v="188"/>
    <n v="2482"/>
    <x v="14"/>
    <n v="1"/>
    <n v="119.74"/>
    <d v="2025-02-22T00:00:00"/>
    <d v="2025-02-28T00:00:00"/>
    <x v="0"/>
    <s v="OK"/>
    <s v="OK"/>
    <x v="3"/>
    <n v="6"/>
    <n v="0"/>
    <n v="119.74"/>
  </r>
  <r>
    <n v="52208"/>
    <n v="31281"/>
    <x v="188"/>
    <n v="2482"/>
    <x v="2"/>
    <n v="1"/>
    <n v="241.54"/>
    <d v="2025-02-20T00:00:00"/>
    <d v="2025-02-26T00:00:00"/>
    <x v="0"/>
    <s v="OK"/>
    <s v="OK"/>
    <x v="1"/>
    <n v="6"/>
    <n v="0"/>
    <n v="241.54"/>
  </r>
  <r>
    <n v="52209"/>
    <n v="31282"/>
    <x v="56"/>
    <n v="2068"/>
    <x v="14"/>
    <n v="1"/>
    <n v="119.74"/>
    <d v="2025-12-15T00:00:00"/>
    <d v="2025-12-22T00:00:00"/>
    <x v="0"/>
    <s v="OK"/>
    <s v="OK"/>
    <x v="3"/>
    <n v="7"/>
    <n v="1"/>
    <n v="119.74"/>
  </r>
  <r>
    <n v="52210"/>
    <n v="31283"/>
    <x v="302"/>
    <n v="2090"/>
    <x v="7"/>
    <n v="1"/>
    <n v="253.86"/>
    <d v="2025-09-10T00:00:00"/>
    <d v="2025-09-11T00:00:00"/>
    <x v="0"/>
    <s v="OK"/>
    <s v="OK"/>
    <x v="0"/>
    <n v="1"/>
    <n v="1"/>
    <n v="253.86"/>
  </r>
  <r>
    <n v="52211"/>
    <n v="31283"/>
    <x v="302"/>
    <n v="2090"/>
    <x v="13"/>
    <n v="2"/>
    <n v="243"/>
    <d v="2025-09-09T00:00:00"/>
    <d v="2025-09-19T00:00:00"/>
    <x v="0"/>
    <s v="OK"/>
    <s v="OK"/>
    <x v="1"/>
    <n v="10"/>
    <n v="0"/>
    <n v="121.5"/>
  </r>
  <r>
    <n v="52212"/>
    <n v="31283"/>
    <x v="302"/>
    <n v="2090"/>
    <x v="11"/>
    <n v="3"/>
    <n v="673.11"/>
    <d v="2025-09-10T00:00:00"/>
    <d v="2025-09-14T00:00:00"/>
    <x v="0"/>
    <s v="OK"/>
    <s v="OK"/>
    <x v="2"/>
    <n v="4"/>
    <n v="0"/>
    <n v="224.37"/>
  </r>
  <r>
    <n v="52213"/>
    <n v="31284"/>
    <x v="148"/>
    <n v="2112"/>
    <x v="4"/>
    <n v="1"/>
    <n v="183.74"/>
    <d v="2025-10-28T00:00:00"/>
    <d v="2025-11-03T00:00:00"/>
    <x v="0"/>
    <s v="OK"/>
    <s v="OK"/>
    <x v="2"/>
    <n v="6"/>
    <n v="1"/>
    <n v="183.74"/>
  </r>
  <r>
    <n v="52214"/>
    <n v="31285"/>
    <x v="244"/>
    <n v="2152"/>
    <x v="0"/>
    <n v="1"/>
    <n v="199.81"/>
    <d v="2025-07-23T00:00:00"/>
    <d v="2025-07-30T00:00:00"/>
    <x v="0"/>
    <s v="OK"/>
    <s v="OK"/>
    <x v="0"/>
    <n v="7"/>
    <n v="1"/>
    <n v="199.81"/>
  </r>
  <r>
    <n v="52215"/>
    <n v="31286"/>
    <x v="77"/>
    <n v="2534"/>
    <x v="8"/>
    <n v="2"/>
    <n v="406.08"/>
    <d v="2025-08-29T00:00:00"/>
    <d v="2025-09-07T00:00:00"/>
    <x v="1"/>
    <s v="OK"/>
    <s v="OK"/>
    <x v="2"/>
    <n v="9"/>
    <n v="1"/>
    <n v="203.04"/>
  </r>
  <r>
    <n v="52216"/>
    <n v="31286"/>
    <x v="77"/>
    <n v="2534"/>
    <x v="13"/>
    <n v="2"/>
    <n v="243"/>
    <d v="2025-08-31T00:00:00"/>
    <d v="2025-09-08T00:00:00"/>
    <x v="1"/>
    <s v="OK"/>
    <s v="OK"/>
    <x v="1"/>
    <n v="8"/>
    <n v="0"/>
    <n v="121.5"/>
  </r>
  <r>
    <n v="52217"/>
    <n v="31286"/>
    <x v="77"/>
    <n v="2534"/>
    <x v="10"/>
    <n v="1"/>
    <n v="215.34"/>
    <d v="2025-08-29T00:00:00"/>
    <d v="2025-09-05T00:00:00"/>
    <x v="1"/>
    <s v="OK"/>
    <s v="OK"/>
    <x v="3"/>
    <n v="7"/>
    <n v="0"/>
    <n v="215.34"/>
  </r>
  <r>
    <n v="52218"/>
    <n v="31287"/>
    <x v="221"/>
    <n v="2555"/>
    <x v="12"/>
    <n v="1"/>
    <n v="65.260000000000005"/>
    <s v=""/>
    <s v=""/>
    <x v="2"/>
    <s v="Missing date"/>
    <s v="Missing date"/>
    <x v="3"/>
    <s v=""/>
    <n v="1"/>
    <n v="65.260000000000005"/>
  </r>
  <r>
    <n v="52219"/>
    <n v="31288"/>
    <x v="85"/>
    <n v="2356"/>
    <x v="8"/>
    <n v="2"/>
    <n v="406.08"/>
    <d v="2025-02-16T00:00:00"/>
    <d v="2025-02-26T00:00:00"/>
    <x v="0"/>
    <s v="OK"/>
    <s v="OK"/>
    <x v="2"/>
    <n v="10"/>
    <n v="1"/>
    <n v="203.04"/>
  </r>
  <r>
    <n v="52220"/>
    <n v="31288"/>
    <x v="85"/>
    <n v="2356"/>
    <x v="13"/>
    <n v="4"/>
    <n v="486"/>
    <d v="2025-02-15T00:00:00"/>
    <d v="2025-02-24T00:00:00"/>
    <x v="0"/>
    <s v="OK"/>
    <s v="OK"/>
    <x v="1"/>
    <n v="9"/>
    <n v="0"/>
    <n v="121.5"/>
  </r>
  <r>
    <n v="52221"/>
    <n v="31288"/>
    <x v="85"/>
    <n v="2356"/>
    <x v="0"/>
    <n v="1"/>
    <n v="199.81"/>
    <d v="2025-02-15T00:00:00"/>
    <d v="2025-02-24T00:00:00"/>
    <x v="0"/>
    <s v="OK"/>
    <s v="OK"/>
    <x v="0"/>
    <n v="9"/>
    <n v="0"/>
    <n v="199.81"/>
  </r>
  <r>
    <n v="52222"/>
    <n v="31289"/>
    <x v="185"/>
    <n v="2065"/>
    <x v="1"/>
    <n v="1"/>
    <n v="206.09"/>
    <d v="2025-02-19T00:00:00"/>
    <d v="2025-02-27T00:00:00"/>
    <x v="0"/>
    <s v="OK"/>
    <s v="OK"/>
    <x v="0"/>
    <n v="8"/>
    <n v="1"/>
    <n v="206.09"/>
  </r>
  <r>
    <n v="52223"/>
    <n v="31289"/>
    <x v="185"/>
    <n v="2065"/>
    <x v="5"/>
    <n v="4"/>
    <n v="405.76"/>
    <d v="2025-02-17T00:00:00"/>
    <d v="2025-02-20T00:00:00"/>
    <x v="0"/>
    <s v="OK"/>
    <s v="OK"/>
    <x v="1"/>
    <n v="3"/>
    <n v="0"/>
    <n v="101.44"/>
  </r>
  <r>
    <n v="52224"/>
    <n v="31289"/>
    <x v="185"/>
    <n v="2065"/>
    <x v="10"/>
    <n v="1"/>
    <n v="215.34"/>
    <d v="2025-02-17T00:00:00"/>
    <d v="2025-02-18T00:00:00"/>
    <x v="0"/>
    <s v="OK"/>
    <s v="OK"/>
    <x v="3"/>
    <n v="1"/>
    <n v="0"/>
    <n v="215.34"/>
  </r>
  <r>
    <n v="52225"/>
    <n v="31290"/>
    <x v="202"/>
    <n v="2593"/>
    <x v="5"/>
    <n v="1"/>
    <n v="101.44"/>
    <d v="2025-06-19T00:00:00"/>
    <d v="2025-06-29T00:00:00"/>
    <x v="0"/>
    <s v="OK"/>
    <s v="OK"/>
    <x v="1"/>
    <n v="10"/>
    <n v="1"/>
    <n v="101.44"/>
  </r>
  <r>
    <n v="52226"/>
    <n v="31291"/>
    <x v="193"/>
    <n v="2498"/>
    <x v="14"/>
    <n v="1"/>
    <n v="119.74"/>
    <d v="2025-05-18T00:00:00"/>
    <d v="2025-05-26T00:00:00"/>
    <x v="0"/>
    <s v="OK"/>
    <s v="OK"/>
    <x v="3"/>
    <n v="8"/>
    <n v="1"/>
    <n v="119.74"/>
  </r>
  <r>
    <n v="52227"/>
    <n v="31291"/>
    <x v="193"/>
    <n v="2498"/>
    <x v="14"/>
    <n v="1"/>
    <n v="119.74"/>
    <d v="2025-05-16T00:00:00"/>
    <d v="2025-05-21T00:00:00"/>
    <x v="0"/>
    <s v="OK"/>
    <s v="OK"/>
    <x v="3"/>
    <n v="5"/>
    <n v="0"/>
    <n v="119.74"/>
  </r>
  <r>
    <n v="52228"/>
    <n v="31291"/>
    <x v="193"/>
    <n v="2498"/>
    <x v="13"/>
    <n v="1"/>
    <n v="121.5"/>
    <d v="2025-05-17T00:00:00"/>
    <d v="2025-05-25T00:00:00"/>
    <x v="0"/>
    <s v="OK"/>
    <s v="OK"/>
    <x v="1"/>
    <n v="8"/>
    <n v="0"/>
    <n v="121.5"/>
  </r>
  <r>
    <n v="52229"/>
    <n v="31292"/>
    <x v="58"/>
    <n v="2581"/>
    <x v="13"/>
    <n v="1"/>
    <n v="121.5"/>
    <d v="2025-10-14T00:00:00"/>
    <d v="2025-10-18T00:00:00"/>
    <x v="0"/>
    <s v="OK"/>
    <s v="OK"/>
    <x v="1"/>
    <n v="4"/>
    <n v="1"/>
    <n v="121.5"/>
  </r>
  <r>
    <n v="52230"/>
    <n v="31292"/>
    <x v="58"/>
    <n v="2581"/>
    <x v="7"/>
    <n v="1"/>
    <n v="253.86"/>
    <d v="2025-10-14T00:00:00"/>
    <d v="2025-10-15T00:00:00"/>
    <x v="0"/>
    <s v="OK"/>
    <s v="OK"/>
    <x v="0"/>
    <n v="1"/>
    <n v="0"/>
    <n v="253.86"/>
  </r>
  <r>
    <n v="52231"/>
    <n v="31292"/>
    <x v="58"/>
    <n v="2581"/>
    <x v="9"/>
    <n v="1"/>
    <n v="40.28"/>
    <d v="2025-10-14T00:00:00"/>
    <d v="2025-10-20T00:00:00"/>
    <x v="0"/>
    <s v="OK"/>
    <s v="OK"/>
    <x v="0"/>
    <n v="6"/>
    <n v="0"/>
    <n v="40.28"/>
  </r>
  <r>
    <n v="52232"/>
    <n v="31292"/>
    <x v="58"/>
    <n v="2581"/>
    <x v="1"/>
    <n v="1"/>
    <n v="206.09"/>
    <d v="2025-10-13T00:00:00"/>
    <d v="2025-10-19T00:00:00"/>
    <x v="0"/>
    <s v="OK"/>
    <s v="OK"/>
    <x v="0"/>
    <n v="6"/>
    <n v="0"/>
    <n v="206.09"/>
  </r>
  <r>
    <n v="52233"/>
    <n v="31293"/>
    <x v="299"/>
    <n v="2496"/>
    <x v="13"/>
    <n v="1"/>
    <n v="121.5"/>
    <d v="2025-01-23T00:00:00"/>
    <d v="2025-01-27T00:00:00"/>
    <x v="0"/>
    <s v="OK"/>
    <s v="OK"/>
    <x v="1"/>
    <n v="4"/>
    <n v="1"/>
    <n v="121.5"/>
  </r>
  <r>
    <n v="52234"/>
    <n v="31294"/>
    <x v="122"/>
    <n v="2049"/>
    <x v="13"/>
    <n v="1"/>
    <n v="121.5"/>
    <d v="2025-01-15T00:00:00"/>
    <d v="2025-01-24T00:00:00"/>
    <x v="0"/>
    <s v="OK"/>
    <s v="OK"/>
    <x v="1"/>
    <n v="9"/>
    <n v="1"/>
    <n v="121.5"/>
  </r>
  <r>
    <n v="52235"/>
    <n v="31295"/>
    <x v="268"/>
    <n v="2467"/>
    <x v="7"/>
    <n v="1"/>
    <n v="253.86"/>
    <d v="2025-02-12T00:00:00"/>
    <d v="2025-02-15T00:00:00"/>
    <x v="1"/>
    <s v="OK"/>
    <s v="OK"/>
    <x v="0"/>
    <n v="3"/>
    <n v="1"/>
    <n v="253.86"/>
  </r>
  <r>
    <n v="52236"/>
    <n v="31295"/>
    <x v="268"/>
    <n v="2467"/>
    <x v="13"/>
    <n v="1"/>
    <n v="121.5"/>
    <d v="2025-02-10T00:00:00"/>
    <d v="2025-02-19T00:00:00"/>
    <x v="1"/>
    <s v="OK"/>
    <s v="OK"/>
    <x v="1"/>
    <n v="9"/>
    <n v="0"/>
    <n v="121.5"/>
  </r>
  <r>
    <n v="52237"/>
    <n v="31296"/>
    <x v="275"/>
    <n v="2187"/>
    <x v="6"/>
    <n v="1"/>
    <n v="31.73"/>
    <d v="2025-05-05T00:00:00"/>
    <d v="2025-05-08T00:00:00"/>
    <x v="1"/>
    <s v="OK"/>
    <s v="OK"/>
    <x v="2"/>
    <n v="3"/>
    <n v="1"/>
    <n v="31.73"/>
  </r>
  <r>
    <n v="52238"/>
    <n v="31296"/>
    <x v="275"/>
    <n v="2187"/>
    <x v="7"/>
    <n v="1"/>
    <n v="253.86"/>
    <d v="2025-05-04T00:00:00"/>
    <d v="2025-05-06T00:00:00"/>
    <x v="1"/>
    <s v="OK"/>
    <s v="OK"/>
    <x v="0"/>
    <n v="2"/>
    <n v="0"/>
    <n v="253.86"/>
  </r>
  <r>
    <n v="52239"/>
    <n v="31296"/>
    <x v="252"/>
    <n v="2187"/>
    <x v="1"/>
    <n v="3"/>
    <n v="618.27"/>
    <d v="2025-05-03T00:00:00"/>
    <d v="2025-05-04T00:00:00"/>
    <x v="1"/>
    <s v="OK"/>
    <s v="OK"/>
    <x v="0"/>
    <n v="1"/>
    <n v="0"/>
    <n v="206.09"/>
  </r>
  <r>
    <n v="52240"/>
    <n v="31297"/>
    <x v="353"/>
    <n v="2120"/>
    <x v="5"/>
    <n v="3"/>
    <n v="304.32"/>
    <d v="2025-06-05T00:00:00"/>
    <d v="2025-06-07T00:00:00"/>
    <x v="0"/>
    <s v="OK"/>
    <s v="OK"/>
    <x v="1"/>
    <n v="2"/>
    <n v="1"/>
    <n v="101.44"/>
  </r>
  <r>
    <n v="52241"/>
    <n v="31298"/>
    <x v="57"/>
    <n v="2589"/>
    <x v="9"/>
    <n v="1"/>
    <n v="40.28"/>
    <d v="2025-07-14T00:00:00"/>
    <d v="2025-07-15T00:00:00"/>
    <x v="0"/>
    <s v="OK"/>
    <s v="OK"/>
    <x v="0"/>
    <n v="1"/>
    <n v="1"/>
    <n v="40.28"/>
  </r>
  <r>
    <n v="52242"/>
    <n v="31298"/>
    <x v="57"/>
    <n v="2589"/>
    <x v="2"/>
    <n v="3"/>
    <n v="724.62"/>
    <d v="2025-07-12T00:00:00"/>
    <d v="2025-07-14T00:00:00"/>
    <x v="0"/>
    <s v="OK"/>
    <s v="OK"/>
    <x v="1"/>
    <n v="2"/>
    <n v="0"/>
    <n v="241.54"/>
  </r>
  <r>
    <n v="52243"/>
    <n v="31299"/>
    <x v="159"/>
    <n v="2189"/>
    <x v="3"/>
    <n v="1"/>
    <n v="118.6"/>
    <d v="2025-03-06T00:00:00"/>
    <d v="2025-03-16T00:00:00"/>
    <x v="0"/>
    <s v="OK"/>
    <s v="OK"/>
    <x v="2"/>
    <n v="10"/>
    <n v="1"/>
    <n v="118.6"/>
  </r>
  <r>
    <n v="52244"/>
    <n v="31299"/>
    <x v="159"/>
    <n v="2189"/>
    <x v="5"/>
    <n v="2"/>
    <n v="202.88"/>
    <d v="2025-03-06T00:00:00"/>
    <d v="2025-03-12T00:00:00"/>
    <x v="0"/>
    <s v="OK"/>
    <s v="OK"/>
    <x v="1"/>
    <n v="6"/>
    <n v="0"/>
    <n v="101.44"/>
  </r>
  <r>
    <n v="52245"/>
    <n v="31300"/>
    <x v="29"/>
    <n v="2353"/>
    <x v="14"/>
    <n v="1"/>
    <n v="119.74"/>
    <d v="2025-06-30T00:00:00"/>
    <d v="2025-07-08T00:00:00"/>
    <x v="0"/>
    <s v="OK"/>
    <s v="OK"/>
    <x v="3"/>
    <n v="8"/>
    <n v="1"/>
    <n v="119.74"/>
  </r>
  <r>
    <n v="52246"/>
    <n v="31301"/>
    <x v="302"/>
    <n v="2553"/>
    <x v="13"/>
    <n v="2"/>
    <n v="243"/>
    <d v="2025-09-08T00:00:00"/>
    <d v="2025-09-10T00:00:00"/>
    <x v="1"/>
    <s v="OK"/>
    <s v="OK"/>
    <x v="1"/>
    <n v="2"/>
    <n v="1"/>
    <n v="121.5"/>
  </r>
  <r>
    <n v="52247"/>
    <n v="31302"/>
    <x v="20"/>
    <n v="2125"/>
    <x v="15"/>
    <n v="1"/>
    <n v="170.25"/>
    <s v=""/>
    <s v=""/>
    <x v="2"/>
    <s v="Missing date"/>
    <s v="Missing date"/>
    <x v="1"/>
    <s v=""/>
    <n v="1"/>
    <n v="170.25"/>
  </r>
  <r>
    <n v="52248"/>
    <n v="31302"/>
    <x v="20"/>
    <n v="2125"/>
    <x v="12"/>
    <n v="1"/>
    <n v="65.260000000000005"/>
    <s v=""/>
    <s v=""/>
    <x v="2"/>
    <s v="Missing date"/>
    <s v="Missing date"/>
    <x v="3"/>
    <s v=""/>
    <n v="0"/>
    <n v="65.260000000000005"/>
  </r>
  <r>
    <n v="52249"/>
    <n v="31302"/>
    <x v="20"/>
    <n v="2125"/>
    <x v="6"/>
    <n v="1"/>
    <n v="31.73"/>
    <s v=""/>
    <s v=""/>
    <x v="2"/>
    <s v="Missing date"/>
    <s v="Missing date"/>
    <x v="2"/>
    <s v=""/>
    <n v="0"/>
    <n v="31.73"/>
  </r>
  <r>
    <n v="52250"/>
    <n v="31302"/>
    <x v="155"/>
    <n v="2125"/>
    <x v="14"/>
    <n v="2"/>
    <n v="239.48"/>
    <s v=""/>
    <s v=""/>
    <x v="2"/>
    <s v="Missing date"/>
    <s v="Missing date"/>
    <x v="3"/>
    <s v=""/>
    <n v="0"/>
    <n v="119.74"/>
  </r>
  <r>
    <n v="52251"/>
    <n v="31303"/>
    <x v="130"/>
    <n v="2328"/>
    <x v="5"/>
    <n v="1"/>
    <n v="101.44"/>
    <d v="2025-05-21T00:00:00"/>
    <d v="2025-05-27T00:00:00"/>
    <x v="0"/>
    <s v="OK"/>
    <s v="OK"/>
    <x v="1"/>
    <n v="6"/>
    <n v="1"/>
    <n v="101.44"/>
  </r>
  <r>
    <n v="52252"/>
    <n v="31303"/>
    <x v="130"/>
    <n v="2328"/>
    <x v="13"/>
    <n v="3"/>
    <n v="364.5"/>
    <d v="2025-05-23T00:00:00"/>
    <d v="2025-05-31T00:00:00"/>
    <x v="0"/>
    <s v="OK"/>
    <s v="OK"/>
    <x v="1"/>
    <n v="8"/>
    <n v="0"/>
    <n v="121.5"/>
  </r>
  <r>
    <n v="52253"/>
    <n v="31304"/>
    <x v="231"/>
    <n v="2486"/>
    <x v="6"/>
    <n v="4"/>
    <n v="126.92"/>
    <s v=""/>
    <s v=""/>
    <x v="2"/>
    <s v="Missing date"/>
    <s v="Missing date"/>
    <x v="2"/>
    <s v=""/>
    <n v="1"/>
    <n v="31.73"/>
  </r>
  <r>
    <n v="52254"/>
    <n v="31304"/>
    <x v="231"/>
    <n v="2486"/>
    <x v="14"/>
    <n v="1"/>
    <n v="119.74"/>
    <s v=""/>
    <s v=""/>
    <x v="2"/>
    <s v="Missing date"/>
    <s v="Missing date"/>
    <x v="3"/>
    <s v=""/>
    <n v="0"/>
    <n v="119.74"/>
  </r>
  <r>
    <n v="52255"/>
    <n v="31304"/>
    <x v="231"/>
    <n v="2486"/>
    <x v="5"/>
    <n v="1"/>
    <n v="101.44"/>
    <s v=""/>
    <s v=""/>
    <x v="2"/>
    <s v="Missing date"/>
    <s v="Missing date"/>
    <x v="1"/>
    <s v=""/>
    <n v="0"/>
    <n v="101.44"/>
  </r>
  <r>
    <n v="52256"/>
    <n v="31304"/>
    <x v="231"/>
    <n v="2486"/>
    <x v="4"/>
    <n v="2"/>
    <n v="367.48"/>
    <s v=""/>
    <s v=""/>
    <x v="2"/>
    <s v="Missing date"/>
    <s v="Missing date"/>
    <x v="2"/>
    <s v=""/>
    <n v="0"/>
    <n v="183.74"/>
  </r>
  <r>
    <n v="52257"/>
    <n v="31305"/>
    <x v="143"/>
    <n v="2491"/>
    <x v="6"/>
    <n v="1"/>
    <n v="31.73"/>
    <s v=""/>
    <s v=""/>
    <x v="2"/>
    <s v="Missing date"/>
    <s v="Missing date"/>
    <x v="2"/>
    <s v=""/>
    <n v="1"/>
    <n v="31.73"/>
  </r>
  <r>
    <n v="52258"/>
    <n v="31306"/>
    <x v="182"/>
    <n v="2565"/>
    <x v="8"/>
    <n v="1"/>
    <n v="203.04"/>
    <d v="2025-02-01T00:00:00"/>
    <d v="2025-02-09T00:00:00"/>
    <x v="0"/>
    <s v="OK"/>
    <s v="OK"/>
    <x v="2"/>
    <n v="8"/>
    <n v="1"/>
    <n v="203.04"/>
  </r>
  <r>
    <n v="52259"/>
    <n v="31306"/>
    <x v="182"/>
    <n v="2565"/>
    <x v="15"/>
    <n v="1"/>
    <n v="170.25"/>
    <d v="2025-02-03T00:00:00"/>
    <d v="2025-05-02T00:00:00"/>
    <x v="0"/>
    <s v="OK"/>
    <s v="OK"/>
    <x v="1"/>
    <n v="88"/>
    <n v="0"/>
    <n v="170.25"/>
  </r>
  <r>
    <n v="52260"/>
    <n v="31306"/>
    <x v="182"/>
    <n v="2565"/>
    <x v="1"/>
    <n v="3"/>
    <n v="618.27"/>
    <d v="2025-02-02T00:00:00"/>
    <d v="2025-02-03T00:00:00"/>
    <x v="0"/>
    <s v="OK"/>
    <s v="OK"/>
    <x v="0"/>
    <n v="1"/>
    <n v="0"/>
    <n v="206.09"/>
  </r>
  <r>
    <n v="52261"/>
    <n v="31306"/>
    <x v="182"/>
    <n v="2565"/>
    <x v="14"/>
    <n v="1"/>
    <n v="119.74"/>
    <d v="2025-02-02T00:00:00"/>
    <d v="2025-06-02T00:00:00"/>
    <x v="0"/>
    <s v="OK"/>
    <s v="OK"/>
    <x v="3"/>
    <n v="120"/>
    <n v="0"/>
    <n v="119.74"/>
  </r>
  <r>
    <n v="52262"/>
    <n v="31307"/>
    <x v="226"/>
    <n v="2366"/>
    <x v="3"/>
    <n v="1"/>
    <n v="118.6"/>
    <d v="2025-02-21T00:00:00"/>
    <d v="2025-02-24T00:00:00"/>
    <x v="0"/>
    <s v="OK"/>
    <s v="OK"/>
    <x v="2"/>
    <n v="3"/>
    <n v="1"/>
    <n v="118.6"/>
  </r>
  <r>
    <n v="52263"/>
    <n v="31308"/>
    <x v="121"/>
    <n v="2200"/>
    <x v="1"/>
    <n v="1"/>
    <n v="206.09"/>
    <d v="2025-04-30T00:00:00"/>
    <d v="2025-06-05T00:00:00"/>
    <x v="0"/>
    <s v="OK"/>
    <s v="OK"/>
    <x v="0"/>
    <n v="36"/>
    <n v="1"/>
    <n v="206.09"/>
  </r>
  <r>
    <n v="52264"/>
    <n v="31309"/>
    <x v="122"/>
    <n v="2285"/>
    <x v="11"/>
    <n v="2"/>
    <n v="448.74"/>
    <d v="2025-01-15T00:00:00"/>
    <d v="2025-01-19T00:00:00"/>
    <x v="0"/>
    <s v="OK"/>
    <s v="OK"/>
    <x v="2"/>
    <n v="4"/>
    <n v="1"/>
    <n v="224.37"/>
  </r>
  <r>
    <n v="52265"/>
    <n v="31310"/>
    <x v="152"/>
    <n v="2552"/>
    <x v="11"/>
    <n v="1"/>
    <n v="224.37"/>
    <s v=""/>
    <s v=""/>
    <x v="3"/>
    <s v="Missing date"/>
    <s v="Missing date"/>
    <x v="2"/>
    <s v=""/>
    <n v="1"/>
    <n v="224.37"/>
  </r>
  <r>
    <n v="52266"/>
    <n v="31311"/>
    <x v="79"/>
    <n v="2404"/>
    <x v="5"/>
    <n v="1"/>
    <n v="101.44"/>
    <d v="2025-11-03T00:00:00"/>
    <d v="2025-11-12T00:00:00"/>
    <x v="0"/>
    <s v="OK"/>
    <s v="OK"/>
    <x v="1"/>
    <n v="9"/>
    <n v="1"/>
    <n v="101.44"/>
  </r>
  <r>
    <n v="52267"/>
    <n v="31311"/>
    <x v="79"/>
    <n v="2404"/>
    <x v="3"/>
    <n v="1"/>
    <n v="118.6"/>
    <d v="2025-11-03T00:00:00"/>
    <d v="2025-11-10T00:00:00"/>
    <x v="0"/>
    <s v="OK"/>
    <s v="OK"/>
    <x v="2"/>
    <n v="7"/>
    <n v="0"/>
    <n v="118.6"/>
  </r>
  <r>
    <n v="52268"/>
    <n v="31311"/>
    <x v="79"/>
    <n v="2404"/>
    <x v="2"/>
    <n v="1"/>
    <n v="241.54"/>
    <d v="2025-11-03T00:00:00"/>
    <d v="2025-11-11T00:00:00"/>
    <x v="0"/>
    <s v="OK"/>
    <s v="OK"/>
    <x v="1"/>
    <n v="8"/>
    <n v="0"/>
    <n v="241.54"/>
  </r>
  <r>
    <n v="52269"/>
    <n v="31311"/>
    <x v="79"/>
    <n v="2404"/>
    <x v="15"/>
    <n v="2"/>
    <n v="340.5"/>
    <d v="2025-11-03T00:00:00"/>
    <d v="2025-11-06T00:00:00"/>
    <x v="0"/>
    <s v="OK"/>
    <s v="OK"/>
    <x v="1"/>
    <n v="3"/>
    <n v="0"/>
    <n v="170.25"/>
  </r>
  <r>
    <n v="52270"/>
    <n v="31312"/>
    <x v="71"/>
    <n v="2152"/>
    <x v="10"/>
    <n v="2"/>
    <n v="430.68"/>
    <d v="2025-08-15T00:00:00"/>
    <d v="2025-08-19T00:00:00"/>
    <x v="0"/>
    <s v="OK"/>
    <s v="OK"/>
    <x v="3"/>
    <n v="4"/>
    <n v="1"/>
    <n v="215.34"/>
  </r>
  <r>
    <n v="52271"/>
    <n v="31312"/>
    <x v="71"/>
    <n v="2152"/>
    <x v="2"/>
    <n v="3"/>
    <n v="724.62"/>
    <d v="2025-08-15T00:00:00"/>
    <d v="2025-08-23T00:00:00"/>
    <x v="0"/>
    <s v="OK"/>
    <s v="OK"/>
    <x v="1"/>
    <n v="8"/>
    <n v="0"/>
    <n v="241.54"/>
  </r>
  <r>
    <n v="52272"/>
    <n v="31313"/>
    <x v="227"/>
    <n v="2396"/>
    <x v="13"/>
    <n v="1"/>
    <n v="121.5"/>
    <d v="2025-10-10T00:00:00"/>
    <d v="2025-10-20T00:00:00"/>
    <x v="0"/>
    <s v="OK"/>
    <s v="OK"/>
    <x v="1"/>
    <n v="10"/>
    <n v="1"/>
    <n v="121.5"/>
  </r>
  <r>
    <n v="52273"/>
    <n v="31313"/>
    <x v="269"/>
    <n v="2396"/>
    <x v="2"/>
    <n v="1"/>
    <n v="241.54"/>
    <d v="2025-10-08T00:00:00"/>
    <d v="2025-10-11T00:00:00"/>
    <x v="0"/>
    <s v="OK"/>
    <s v="OK"/>
    <x v="1"/>
    <n v="3"/>
    <n v="0"/>
    <n v="241.54"/>
  </r>
  <r>
    <n v="52274"/>
    <n v="31314"/>
    <x v="275"/>
    <n v="2360"/>
    <x v="14"/>
    <n v="1"/>
    <n v="119.74"/>
    <d v="2025-02-06T00:00:00"/>
    <d v="2025-02-07T00:00:00"/>
    <x v="0"/>
    <s v="OK"/>
    <s v="OK"/>
    <x v="3"/>
    <n v="1"/>
    <n v="1"/>
    <n v="119.74"/>
  </r>
  <r>
    <n v="52275"/>
    <n v="31315"/>
    <x v="117"/>
    <n v="2575"/>
    <x v="14"/>
    <n v="1"/>
    <n v="119.74"/>
    <d v="2025-04-24T00:00:00"/>
    <d v="2025-05-04T00:00:00"/>
    <x v="0"/>
    <s v="OK"/>
    <s v="OK"/>
    <x v="3"/>
    <n v="10"/>
    <n v="1"/>
    <n v="119.74"/>
  </r>
  <r>
    <n v="52276"/>
    <n v="31315"/>
    <x v="117"/>
    <n v="2575"/>
    <x v="10"/>
    <n v="1"/>
    <n v="215.34"/>
    <d v="2025-04-23T00:00:00"/>
    <d v="2025-04-26T00:00:00"/>
    <x v="0"/>
    <s v="OK"/>
    <s v="OK"/>
    <x v="3"/>
    <n v="3"/>
    <n v="0"/>
    <n v="215.34"/>
  </r>
  <r>
    <n v="52277"/>
    <n v="31316"/>
    <x v="232"/>
    <n v="2454"/>
    <x v="10"/>
    <n v="2"/>
    <n v="430.68"/>
    <d v="2025-11-25T00:00:00"/>
    <d v="2025-11-30T00:00:00"/>
    <x v="0"/>
    <s v="OK"/>
    <s v="OK"/>
    <x v="3"/>
    <n v="5"/>
    <n v="1"/>
    <n v="215.34"/>
  </r>
  <r>
    <n v="52278"/>
    <n v="31316"/>
    <x v="232"/>
    <n v="2454"/>
    <x v="10"/>
    <n v="1"/>
    <n v="215.34"/>
    <d v="2025-11-23T00:00:00"/>
    <d v="2025-11-30T00:00:00"/>
    <x v="0"/>
    <s v="OK"/>
    <s v="OK"/>
    <x v="3"/>
    <n v="7"/>
    <n v="0"/>
    <n v="215.34"/>
  </r>
  <r>
    <n v="52279"/>
    <n v="31317"/>
    <x v="26"/>
    <n v="2143"/>
    <x v="11"/>
    <n v="1"/>
    <n v="224.37"/>
    <d v="2025-09-03T00:00:00"/>
    <s v=""/>
    <x v="3"/>
    <s v="Missing date"/>
    <s v="OK"/>
    <x v="2"/>
    <s v=""/>
    <n v="1"/>
    <n v="224.37"/>
  </r>
  <r>
    <n v="52280"/>
    <n v="31318"/>
    <x v="47"/>
    <n v="2311"/>
    <x v="5"/>
    <n v="5"/>
    <n v="507.2"/>
    <d v="2025-10-16T00:00:00"/>
    <d v="2025-10-22T00:00:00"/>
    <x v="0"/>
    <s v="OK"/>
    <s v="OK"/>
    <x v="1"/>
    <n v="6"/>
    <n v="1"/>
    <n v="101.44"/>
  </r>
  <r>
    <n v="52281"/>
    <n v="31319"/>
    <x v="327"/>
    <n v="2068"/>
    <x v="15"/>
    <n v="1"/>
    <n v="170.25"/>
    <s v=""/>
    <s v=""/>
    <x v="2"/>
    <s v="Missing date"/>
    <s v="Missing date"/>
    <x v="1"/>
    <s v=""/>
    <n v="1"/>
    <n v="170.25"/>
  </r>
  <r>
    <n v="52282"/>
    <n v="31320"/>
    <x v="162"/>
    <n v="2091"/>
    <x v="9"/>
    <n v="1"/>
    <n v="40.28"/>
    <d v="2025-12-31T00:00:00"/>
    <d v="2026-01-04T00:00:00"/>
    <x v="0"/>
    <s v="OK"/>
    <s v="OK"/>
    <x v="0"/>
    <n v="4"/>
    <n v="1"/>
    <n v="40.28"/>
  </r>
  <r>
    <n v="52283"/>
    <n v="31321"/>
    <x v="301"/>
    <n v="2425"/>
    <x v="14"/>
    <n v="1"/>
    <n v="119.74"/>
    <d v="2025-10-25T00:00:00"/>
    <d v="2025-11-02T00:00:00"/>
    <x v="0"/>
    <s v="OK"/>
    <s v="OK"/>
    <x v="3"/>
    <n v="8"/>
    <n v="1"/>
    <n v="119.74"/>
  </r>
  <r>
    <n v="52284"/>
    <n v="31321"/>
    <x v="301"/>
    <n v="2425"/>
    <x v="6"/>
    <n v="2"/>
    <n v="63.46"/>
    <d v="2025-10-25T00:00:00"/>
    <d v="2025-10-28T00:00:00"/>
    <x v="0"/>
    <s v="OK"/>
    <s v="OK"/>
    <x v="2"/>
    <n v="3"/>
    <n v="0"/>
    <n v="31.73"/>
  </r>
  <r>
    <n v="52285"/>
    <n v="31322"/>
    <x v="131"/>
    <n v="2205"/>
    <x v="15"/>
    <n v="3"/>
    <n v="510.75"/>
    <d v="2025-09-18T00:00:00"/>
    <d v="2025-09-21T00:00:00"/>
    <x v="0"/>
    <s v="OK"/>
    <s v="OK"/>
    <x v="1"/>
    <n v="3"/>
    <n v="1"/>
    <n v="170.25"/>
  </r>
  <r>
    <n v="52286"/>
    <n v="31322"/>
    <x v="131"/>
    <n v="2205"/>
    <x v="13"/>
    <n v="1"/>
    <n v="121.5"/>
    <d v="2025-09-17T00:00:00"/>
    <d v="2025-09-23T00:00:00"/>
    <x v="0"/>
    <s v="OK"/>
    <s v="OK"/>
    <x v="1"/>
    <n v="6"/>
    <n v="0"/>
    <n v="121.5"/>
  </r>
  <r>
    <n v="52287"/>
    <n v="31323"/>
    <x v="172"/>
    <n v="2568"/>
    <x v="13"/>
    <n v="1"/>
    <n v="121.5"/>
    <d v="2025-06-29T00:00:00"/>
    <d v="2025-07-07T00:00:00"/>
    <x v="0"/>
    <s v="OK"/>
    <s v="OK"/>
    <x v="1"/>
    <n v="8"/>
    <n v="1"/>
    <n v="121.5"/>
  </r>
  <r>
    <n v="52288"/>
    <n v="31324"/>
    <x v="20"/>
    <n v="2600"/>
    <x v="14"/>
    <n v="5"/>
    <n v="598.70000000000005"/>
    <d v="2025-08-11T00:00:00"/>
    <d v="2025-08-12T00:00:00"/>
    <x v="0"/>
    <s v="OK"/>
    <s v="OK"/>
    <x v="3"/>
    <n v="1"/>
    <n v="1"/>
    <n v="119.74000000000001"/>
  </r>
  <r>
    <n v="52289"/>
    <n v="31325"/>
    <x v="54"/>
    <n v="2230"/>
    <x v="8"/>
    <n v="1"/>
    <n v="203.04"/>
    <d v="2025-07-06T00:00:00"/>
    <d v="2025-07-08T00:00:00"/>
    <x v="0"/>
    <s v="OK"/>
    <s v="OK"/>
    <x v="2"/>
    <n v="2"/>
    <n v="1"/>
    <n v="203.04"/>
  </r>
  <r>
    <n v="52290"/>
    <n v="31326"/>
    <x v="76"/>
    <n v="2158"/>
    <x v="12"/>
    <n v="1"/>
    <n v="65.260000000000005"/>
    <d v="2025-04-17T00:00:00"/>
    <d v="2025-04-18T00:00:00"/>
    <x v="0"/>
    <s v="OK"/>
    <s v="OK"/>
    <x v="3"/>
    <n v="1"/>
    <n v="1"/>
    <n v="65.260000000000005"/>
  </r>
  <r>
    <n v="52291"/>
    <n v="31326"/>
    <x v="76"/>
    <n v="2158"/>
    <x v="4"/>
    <n v="1"/>
    <n v="183.74"/>
    <d v="2025-04-17T00:00:00"/>
    <d v="2025-04-19T00:00:00"/>
    <x v="0"/>
    <s v="OK"/>
    <s v="OK"/>
    <x v="2"/>
    <n v="2"/>
    <n v="0"/>
    <n v="183.74"/>
  </r>
  <r>
    <n v="52292"/>
    <n v="31327"/>
    <x v="337"/>
    <n v="2295"/>
    <x v="12"/>
    <n v="2"/>
    <n v="130.52000000000001"/>
    <d v="2025-11-07T00:00:00"/>
    <d v="2025-11-11T00:00:00"/>
    <x v="0"/>
    <s v="OK"/>
    <s v="OK"/>
    <x v="3"/>
    <n v="4"/>
    <n v="1"/>
    <n v="65.260000000000005"/>
  </r>
  <r>
    <n v="52293"/>
    <n v="31328"/>
    <x v="1"/>
    <n v="2251"/>
    <x v="9"/>
    <n v="1"/>
    <n v="40.28"/>
    <d v="2025-08-21T00:00:00"/>
    <d v="2025-08-28T00:00:00"/>
    <x v="0"/>
    <s v="OK"/>
    <s v="OK"/>
    <x v="0"/>
    <n v="7"/>
    <n v="1"/>
    <n v="40.28"/>
  </r>
  <r>
    <n v="52294"/>
    <n v="31329"/>
    <x v="147"/>
    <n v="2505"/>
    <x v="11"/>
    <n v="1"/>
    <n v="224.37"/>
    <d v="2025-07-16T00:00:00"/>
    <d v="2025-07-21T00:00:00"/>
    <x v="1"/>
    <s v="OK"/>
    <s v="OK"/>
    <x v="2"/>
    <n v="5"/>
    <n v="1"/>
    <n v="224.37"/>
  </r>
  <r>
    <n v="52295"/>
    <n v="31329"/>
    <x v="147"/>
    <n v="2505"/>
    <x v="2"/>
    <n v="1"/>
    <n v="241.54"/>
    <d v="2025-07-17T00:00:00"/>
    <d v="2025-07-20T00:00:00"/>
    <x v="1"/>
    <s v="OK"/>
    <s v="OK"/>
    <x v="1"/>
    <n v="3"/>
    <n v="0"/>
    <n v="241.54"/>
  </r>
  <r>
    <n v="52296"/>
    <n v="31330"/>
    <x v="48"/>
    <n v="2596"/>
    <x v="10"/>
    <n v="1"/>
    <n v="215.34"/>
    <d v="2025-04-13T00:00:00"/>
    <d v="2025-04-20T00:00:00"/>
    <x v="0"/>
    <s v="OK"/>
    <s v="OK"/>
    <x v="3"/>
    <n v="7"/>
    <n v="1"/>
    <n v="215.34"/>
  </r>
  <r>
    <n v="52297"/>
    <n v="31331"/>
    <x v="106"/>
    <n v="2265"/>
    <x v="12"/>
    <n v="1"/>
    <n v="65.260000000000005"/>
    <d v="2025-02-12T00:00:00"/>
    <d v="2025-02-17T00:00:00"/>
    <x v="0"/>
    <s v="OK"/>
    <s v="OK"/>
    <x v="3"/>
    <n v="5"/>
    <n v="1"/>
    <n v="65.260000000000005"/>
  </r>
  <r>
    <n v="52298"/>
    <n v="31332"/>
    <x v="201"/>
    <n v="2123"/>
    <x v="8"/>
    <n v="1"/>
    <n v="203.04"/>
    <d v="2025-06-23T00:00:00"/>
    <d v="2025-07-03T00:00:00"/>
    <x v="0"/>
    <s v="OK"/>
    <s v="OK"/>
    <x v="2"/>
    <n v="10"/>
    <n v="1"/>
    <n v="203.04"/>
  </r>
  <r>
    <n v="52299"/>
    <n v="31332"/>
    <x v="201"/>
    <n v="2123"/>
    <x v="9"/>
    <n v="1"/>
    <n v="40.28"/>
    <d v="2025-06-24T00:00:00"/>
    <d v="2025-06-29T00:00:00"/>
    <x v="0"/>
    <s v="OK"/>
    <s v="OK"/>
    <x v="0"/>
    <n v="5"/>
    <n v="0"/>
    <n v="40.28"/>
  </r>
  <r>
    <n v="52300"/>
    <n v="31332"/>
    <x v="201"/>
    <n v="2123"/>
    <x v="7"/>
    <n v="1"/>
    <n v="253.86"/>
    <d v="2025-06-23T00:00:00"/>
    <d v="2025-06-30T00:00:00"/>
    <x v="0"/>
    <s v="OK"/>
    <s v="OK"/>
    <x v="0"/>
    <n v="7"/>
    <n v="0"/>
    <n v="253.86"/>
  </r>
  <r>
    <n v="52301"/>
    <n v="31333"/>
    <x v="200"/>
    <n v="2596"/>
    <x v="5"/>
    <n v="3"/>
    <n v="304.32"/>
    <d v="2025-06-05T00:00:00"/>
    <d v="2025-06-11T00:00:00"/>
    <x v="0"/>
    <s v="OK"/>
    <s v="OK"/>
    <x v="1"/>
    <n v="6"/>
    <n v="1"/>
    <n v="101.44"/>
  </r>
  <r>
    <n v="52302"/>
    <n v="31333"/>
    <x v="246"/>
    <n v="2596"/>
    <x v="14"/>
    <n v="2"/>
    <n v="239.48"/>
    <d v="2025-04-06T00:00:00"/>
    <d v="2025-06-06T00:00:00"/>
    <x v="0"/>
    <s v="OK"/>
    <s v="OK"/>
    <x v="3"/>
    <n v="61"/>
    <n v="0"/>
    <n v="119.74"/>
  </r>
  <r>
    <n v="52303"/>
    <n v="31334"/>
    <x v="266"/>
    <n v="2139"/>
    <x v="3"/>
    <n v="1"/>
    <n v="118.6"/>
    <d v="2025-06-06T00:00:00"/>
    <d v="2025-12-06T00:00:00"/>
    <x v="0"/>
    <s v="OK"/>
    <s v="OK"/>
    <x v="2"/>
    <n v="183"/>
    <n v="1"/>
    <n v="118.6"/>
  </r>
  <r>
    <n v="52304"/>
    <n v="31334"/>
    <x v="190"/>
    <n v="2139"/>
    <x v="9"/>
    <n v="4"/>
    <n v="161.12"/>
    <d v="2025-06-06T00:00:00"/>
    <d v="2025-06-13T00:00:00"/>
    <x v="0"/>
    <s v="OK"/>
    <s v="OK"/>
    <x v="0"/>
    <n v="7"/>
    <n v="0"/>
    <n v="40.28"/>
  </r>
  <r>
    <n v="52305"/>
    <n v="31335"/>
    <x v="78"/>
    <n v="2370"/>
    <x v="2"/>
    <n v="1"/>
    <n v="241.54"/>
    <d v="2025-12-19T00:00:00"/>
    <d v="2025-12-28T00:00:00"/>
    <x v="0"/>
    <s v="OK"/>
    <s v="OK"/>
    <x v="1"/>
    <n v="9"/>
    <n v="1"/>
    <n v="241.54"/>
  </r>
  <r>
    <n v="52306"/>
    <n v="31335"/>
    <x v="78"/>
    <n v="2370"/>
    <x v="3"/>
    <n v="1"/>
    <n v="118.6"/>
    <d v="2025-12-20T00:00:00"/>
    <d v="2025-12-25T00:00:00"/>
    <x v="0"/>
    <s v="OK"/>
    <s v="OK"/>
    <x v="2"/>
    <n v="5"/>
    <n v="0"/>
    <n v="118.6"/>
  </r>
  <r>
    <n v="52307"/>
    <n v="31336"/>
    <x v="290"/>
    <n v="2297"/>
    <x v="11"/>
    <n v="3"/>
    <n v="673.11"/>
    <d v="2025-04-27T00:00:00"/>
    <d v="2025-05-07T00:00:00"/>
    <x v="0"/>
    <s v="OK"/>
    <s v="OK"/>
    <x v="2"/>
    <n v="10"/>
    <n v="1"/>
    <n v="224.37"/>
  </r>
  <r>
    <n v="52308"/>
    <n v="31336"/>
    <x v="290"/>
    <n v="2297"/>
    <x v="0"/>
    <n v="1"/>
    <n v="199.81"/>
    <d v="2025-04-27T00:00:00"/>
    <d v="2025-05-07T00:00:00"/>
    <x v="0"/>
    <s v="OK"/>
    <s v="OK"/>
    <x v="0"/>
    <n v="10"/>
    <n v="0"/>
    <n v="199.81"/>
  </r>
  <r>
    <n v="52309"/>
    <n v="31336"/>
    <x v="290"/>
    <n v="2297"/>
    <x v="7"/>
    <n v="1"/>
    <n v="253.86"/>
    <d v="2025-04-27T00:00:00"/>
    <d v="2025-04-28T00:00:00"/>
    <x v="0"/>
    <s v="OK"/>
    <s v="OK"/>
    <x v="0"/>
    <n v="1"/>
    <n v="0"/>
    <n v="253.86"/>
  </r>
  <r>
    <n v="52310"/>
    <n v="31337"/>
    <x v="161"/>
    <n v="2097"/>
    <x v="7"/>
    <n v="1"/>
    <n v="253.86"/>
    <d v="2025-11-21T00:00:00"/>
    <d v="2025-11-29T00:00:00"/>
    <x v="0"/>
    <s v="OK"/>
    <s v="OK"/>
    <x v="0"/>
    <n v="8"/>
    <n v="1"/>
    <n v="253.86"/>
  </r>
  <r>
    <n v="52311"/>
    <n v="31338"/>
    <x v="41"/>
    <n v="2557"/>
    <x v="5"/>
    <n v="1"/>
    <n v="101.44"/>
    <d v="2025-09-22T00:00:00"/>
    <d v="2025-09-24T00:00:00"/>
    <x v="0"/>
    <s v="OK"/>
    <s v="OK"/>
    <x v="1"/>
    <n v="2"/>
    <n v="1"/>
    <n v="101.44"/>
  </r>
  <r>
    <n v="52312"/>
    <n v="31338"/>
    <x v="41"/>
    <n v="2557"/>
    <x v="13"/>
    <n v="1"/>
    <n v="121.5"/>
    <d v="2025-09-23T00:00:00"/>
    <d v="2025-09-25T00:00:00"/>
    <x v="0"/>
    <s v="OK"/>
    <s v="OK"/>
    <x v="1"/>
    <n v="2"/>
    <n v="0"/>
    <n v="121.5"/>
  </r>
  <r>
    <n v="52313"/>
    <n v="31338"/>
    <x v="41"/>
    <n v="2557"/>
    <x v="9"/>
    <n v="1"/>
    <n v="40.28"/>
    <d v="2025-09-21T00:00:00"/>
    <d v="2025-09-22T00:00:00"/>
    <x v="0"/>
    <s v="OK"/>
    <s v="OK"/>
    <x v="0"/>
    <n v="1"/>
    <n v="0"/>
    <n v="40.28"/>
  </r>
  <r>
    <n v="52314"/>
    <n v="31339"/>
    <x v="223"/>
    <n v="2372"/>
    <x v="2"/>
    <n v="1"/>
    <n v="241.54"/>
    <d v="2025-03-23T00:00:00"/>
    <d v="2025-03-24T00:00:00"/>
    <x v="0"/>
    <s v="OK"/>
    <s v="OK"/>
    <x v="1"/>
    <n v="1"/>
    <n v="1"/>
    <n v="241.54"/>
  </r>
  <r>
    <n v="52315"/>
    <n v="31339"/>
    <x v="223"/>
    <n v="2372"/>
    <x v="6"/>
    <n v="2"/>
    <n v="63.46"/>
    <d v="2025-03-24T00:00:00"/>
    <d v="2025-03-27T00:00:00"/>
    <x v="0"/>
    <s v="OK"/>
    <s v="OK"/>
    <x v="2"/>
    <n v="3"/>
    <n v="0"/>
    <n v="31.73"/>
  </r>
  <r>
    <n v="52316"/>
    <n v="31340"/>
    <x v="77"/>
    <n v="2014"/>
    <x v="13"/>
    <n v="1"/>
    <n v="121.5"/>
    <d v="2025-08-30T00:00:00"/>
    <d v="2025-09-03T00:00:00"/>
    <x v="0"/>
    <s v="OK"/>
    <s v="OK"/>
    <x v="1"/>
    <n v="4"/>
    <n v="1"/>
    <n v="121.5"/>
  </r>
  <r>
    <n v="52317"/>
    <n v="31340"/>
    <x v="77"/>
    <n v="2014"/>
    <x v="2"/>
    <n v="1"/>
    <n v="241.54"/>
    <d v="2025-08-31T00:00:00"/>
    <d v="2025-09-08T00:00:00"/>
    <x v="0"/>
    <s v="OK"/>
    <s v="OK"/>
    <x v="1"/>
    <n v="8"/>
    <n v="0"/>
    <n v="241.54"/>
  </r>
  <r>
    <n v="52318"/>
    <n v="31341"/>
    <x v="267"/>
    <n v="2497"/>
    <x v="7"/>
    <n v="3"/>
    <n v="761.58"/>
    <d v="2025-05-24T00:00:00"/>
    <d v="2025-05-30T00:00:00"/>
    <x v="0"/>
    <s v="OK"/>
    <s v="OK"/>
    <x v="0"/>
    <n v="6"/>
    <n v="1"/>
    <n v="253.86"/>
  </r>
  <r>
    <n v="52319"/>
    <n v="31342"/>
    <x v="58"/>
    <n v="2105"/>
    <x v="1"/>
    <n v="1"/>
    <n v="206.09"/>
    <d v="2025-10-14T00:00:00"/>
    <d v="2025-10-18T00:00:00"/>
    <x v="0"/>
    <s v="OK"/>
    <s v="OK"/>
    <x v="0"/>
    <n v="4"/>
    <n v="1"/>
    <n v="206.09"/>
  </r>
  <r>
    <n v="52320"/>
    <n v="31342"/>
    <x v="58"/>
    <n v="2105"/>
    <x v="0"/>
    <n v="2"/>
    <n v="399.62"/>
    <d v="2025-10-15T00:00:00"/>
    <d v="2025-10-25T00:00:00"/>
    <x v="0"/>
    <s v="OK"/>
    <s v="OK"/>
    <x v="0"/>
    <n v="10"/>
    <n v="0"/>
    <n v="199.81"/>
  </r>
  <r>
    <n v="52321"/>
    <n v="31342"/>
    <x v="58"/>
    <n v="2105"/>
    <x v="4"/>
    <n v="3"/>
    <n v="551.22"/>
    <d v="2025-10-15T00:00:00"/>
    <d v="2025-10-25T00:00:00"/>
    <x v="0"/>
    <s v="OK"/>
    <s v="OK"/>
    <x v="2"/>
    <n v="10"/>
    <n v="0"/>
    <n v="183.74"/>
  </r>
  <r>
    <n v="52322"/>
    <n v="31342"/>
    <x v="58"/>
    <n v="2105"/>
    <x v="10"/>
    <n v="1"/>
    <n v="215.34"/>
    <d v="2025-10-15T00:00:00"/>
    <d v="2025-10-17T00:00:00"/>
    <x v="0"/>
    <s v="OK"/>
    <s v="OK"/>
    <x v="3"/>
    <n v="2"/>
    <n v="0"/>
    <n v="215.34"/>
  </r>
  <r>
    <n v="52323"/>
    <n v="31343"/>
    <x v="10"/>
    <n v="2472"/>
    <x v="4"/>
    <n v="2"/>
    <n v="367.48"/>
    <s v=""/>
    <s v=""/>
    <x v="2"/>
    <s v="Missing date"/>
    <s v="Missing date"/>
    <x v="2"/>
    <s v=""/>
    <n v="1"/>
    <n v="183.74"/>
  </r>
  <r>
    <n v="52324"/>
    <n v="31343"/>
    <x v="10"/>
    <n v="2472"/>
    <x v="6"/>
    <n v="1"/>
    <n v="31.73"/>
    <s v=""/>
    <s v=""/>
    <x v="2"/>
    <s v="Missing date"/>
    <s v="Missing date"/>
    <x v="2"/>
    <s v=""/>
    <n v="0"/>
    <n v="31.73"/>
  </r>
  <r>
    <n v="52325"/>
    <n v="31343"/>
    <x v="10"/>
    <n v="2472"/>
    <x v="8"/>
    <n v="4"/>
    <n v="812.16"/>
    <s v=""/>
    <s v=""/>
    <x v="2"/>
    <s v="Missing date"/>
    <s v="Missing date"/>
    <x v="2"/>
    <s v=""/>
    <n v="0"/>
    <n v="203.04"/>
  </r>
  <r>
    <n v="52326"/>
    <n v="31344"/>
    <x v="148"/>
    <n v="2492"/>
    <x v="2"/>
    <n v="1"/>
    <n v="241.54"/>
    <d v="2025-10-27T00:00:00"/>
    <d v="2025-11-03T00:00:00"/>
    <x v="0"/>
    <s v="OK"/>
    <s v="OK"/>
    <x v="1"/>
    <n v="7"/>
    <n v="1"/>
    <n v="241.54"/>
  </r>
  <r>
    <n v="52327"/>
    <n v="31345"/>
    <x v="129"/>
    <n v="2143"/>
    <x v="5"/>
    <n v="1"/>
    <n v="101.44"/>
    <d v="2025-03-02T00:00:00"/>
    <s v=""/>
    <x v="3"/>
    <s v="Missing date"/>
    <s v="OK"/>
    <x v="1"/>
    <s v=""/>
    <n v="1"/>
    <n v="101.44"/>
  </r>
  <r>
    <n v="52328"/>
    <n v="31345"/>
    <x v="129"/>
    <n v="2143"/>
    <x v="13"/>
    <n v="3"/>
    <n v="364.5"/>
    <d v="2025-03-04T00:00:00"/>
    <s v=""/>
    <x v="3"/>
    <s v="Missing date"/>
    <s v="OK"/>
    <x v="1"/>
    <s v=""/>
    <n v="0"/>
    <n v="121.5"/>
  </r>
  <r>
    <n v="52329"/>
    <n v="31346"/>
    <x v="186"/>
    <n v="2122"/>
    <x v="6"/>
    <n v="1"/>
    <n v="31.73"/>
    <d v="2025-01-27T00:00:00"/>
    <d v="2025-01-31T00:00:00"/>
    <x v="0"/>
    <s v="OK"/>
    <s v="OK"/>
    <x v="2"/>
    <n v="4"/>
    <n v="1"/>
    <n v="31.73"/>
  </r>
  <r>
    <n v="52330"/>
    <n v="31346"/>
    <x v="186"/>
    <n v="2122"/>
    <x v="1"/>
    <n v="4"/>
    <n v="824.36"/>
    <d v="2025-01-28T00:00:00"/>
    <d v="2025-02-06T00:00:00"/>
    <x v="0"/>
    <s v="OK"/>
    <s v="OK"/>
    <x v="0"/>
    <n v="9"/>
    <n v="0"/>
    <n v="206.09"/>
  </r>
  <r>
    <n v="52331"/>
    <n v="31347"/>
    <x v="19"/>
    <n v="2315"/>
    <x v="6"/>
    <n v="1"/>
    <n v="31.73"/>
    <d v="2025-02-26T00:00:00"/>
    <d v="2025-03-04T00:00:00"/>
    <x v="0"/>
    <s v="OK"/>
    <s v="OK"/>
    <x v="2"/>
    <n v="6"/>
    <n v="1"/>
    <n v="31.73"/>
  </r>
  <r>
    <n v="52332"/>
    <n v="31347"/>
    <x v="19"/>
    <n v="2315"/>
    <x v="11"/>
    <n v="2"/>
    <n v="448.74"/>
    <d v="2025-02-28T00:00:00"/>
    <d v="2025-03-05T00:00:00"/>
    <x v="0"/>
    <s v="OK"/>
    <s v="OK"/>
    <x v="2"/>
    <n v="5"/>
    <n v="0"/>
    <n v="224.37"/>
  </r>
  <r>
    <n v="52333"/>
    <n v="31348"/>
    <x v="215"/>
    <n v="2436"/>
    <x v="4"/>
    <n v="1"/>
    <n v="183.74"/>
    <d v="2025-08-25T00:00:00"/>
    <d v="2025-09-02T00:00:00"/>
    <x v="0"/>
    <s v="OK"/>
    <s v="OK"/>
    <x v="2"/>
    <n v="8"/>
    <n v="1"/>
    <n v="183.74"/>
  </r>
  <r>
    <n v="52334"/>
    <n v="31349"/>
    <x v="236"/>
    <n v="2080"/>
    <x v="12"/>
    <n v="2"/>
    <n v="130.52000000000001"/>
    <d v="2025-11-14T00:00:00"/>
    <d v="2025-11-16T00:00:00"/>
    <x v="0"/>
    <s v="OK"/>
    <s v="OK"/>
    <x v="3"/>
    <n v="2"/>
    <n v="1"/>
    <n v="65.260000000000005"/>
  </r>
  <r>
    <n v="52335"/>
    <n v="31350"/>
    <x v="57"/>
    <n v="2442"/>
    <x v="4"/>
    <n v="1"/>
    <n v="183.74"/>
    <d v="2025-11-10T00:00:00"/>
    <d v="2025-11-11T00:00:00"/>
    <x v="0"/>
    <s v="OK"/>
    <s v="OK"/>
    <x v="2"/>
    <n v="1"/>
    <n v="1"/>
    <n v="183.74"/>
  </r>
  <r>
    <n v="52336"/>
    <n v="31350"/>
    <x v="123"/>
    <n v="2442"/>
    <x v="3"/>
    <n v="1"/>
    <n v="118.6"/>
    <d v="2025-11-08T00:00:00"/>
    <d v="2025-11-09T00:00:00"/>
    <x v="0"/>
    <s v="OK"/>
    <s v="OK"/>
    <x v="2"/>
    <n v="1"/>
    <n v="0"/>
    <n v="118.6"/>
  </r>
  <r>
    <n v="52337"/>
    <n v="31351"/>
    <x v="225"/>
    <n v="2526"/>
    <x v="12"/>
    <n v="1"/>
    <n v="65.260000000000005"/>
    <d v="2025-12-19T00:00:00"/>
    <d v="2025-12-27T00:00:00"/>
    <x v="0"/>
    <s v="OK"/>
    <s v="OK"/>
    <x v="3"/>
    <n v="8"/>
    <n v="1"/>
    <n v="65.260000000000005"/>
  </r>
  <r>
    <n v="52338"/>
    <n v="31352"/>
    <x v="209"/>
    <n v="2122"/>
    <x v="3"/>
    <n v="1"/>
    <n v="118.6"/>
    <s v=""/>
    <s v=""/>
    <x v="2"/>
    <s v="Missing date"/>
    <s v="Missing date"/>
    <x v="2"/>
    <s v=""/>
    <n v="1"/>
    <n v="118.6"/>
  </r>
  <r>
    <n v="52339"/>
    <n v="31353"/>
    <x v="272"/>
    <n v="2068"/>
    <x v="8"/>
    <n v="2"/>
    <n v="406.08"/>
    <d v="2025-05-21T00:00:00"/>
    <d v="2025-05-30T00:00:00"/>
    <x v="0"/>
    <s v="OK"/>
    <s v="OK"/>
    <x v="2"/>
    <n v="9"/>
    <n v="1"/>
    <n v="203.04"/>
  </r>
  <r>
    <n v="52340"/>
    <n v="31354"/>
    <x v="276"/>
    <n v="2099"/>
    <x v="0"/>
    <n v="1"/>
    <n v="199.81"/>
    <s v=""/>
    <s v=""/>
    <x v="3"/>
    <s v="Missing date"/>
    <s v="Missing date"/>
    <x v="0"/>
    <s v=""/>
    <n v="1"/>
    <n v="199.81"/>
  </r>
  <r>
    <n v="52341"/>
    <n v="31354"/>
    <x v="276"/>
    <n v="2099"/>
    <x v="0"/>
    <n v="1"/>
    <n v="199.81"/>
    <d v="2026-01-03T00:00:00"/>
    <s v=""/>
    <x v="3"/>
    <s v="Missing date"/>
    <s v="OK"/>
    <x v="0"/>
    <s v=""/>
    <n v="0"/>
    <n v="199.81"/>
  </r>
  <r>
    <n v="52342"/>
    <n v="31354"/>
    <x v="276"/>
    <n v="2099"/>
    <x v="2"/>
    <n v="2"/>
    <n v="483.08"/>
    <d v="2026-01-03T00:00:00"/>
    <s v=""/>
    <x v="3"/>
    <s v="Missing date"/>
    <s v="OK"/>
    <x v="1"/>
    <s v=""/>
    <n v="0"/>
    <n v="241.54"/>
  </r>
  <r>
    <n v="52343"/>
    <n v="31355"/>
    <x v="341"/>
    <n v="2150"/>
    <x v="9"/>
    <n v="1"/>
    <n v="40.28"/>
    <s v=""/>
    <s v=""/>
    <x v="3"/>
    <s v="Missing date"/>
    <s v="Missing date"/>
    <x v="0"/>
    <s v=""/>
    <n v="1"/>
    <n v="40.28"/>
  </r>
  <r>
    <n v="52344"/>
    <n v="31355"/>
    <x v="341"/>
    <n v="2150"/>
    <x v="2"/>
    <n v="2"/>
    <n v="483.08"/>
    <s v=""/>
    <s v=""/>
    <x v="3"/>
    <s v="Missing date"/>
    <s v="Missing date"/>
    <x v="1"/>
    <s v=""/>
    <n v="0"/>
    <n v="241.54"/>
  </r>
  <r>
    <n v="52345"/>
    <n v="31356"/>
    <x v="194"/>
    <n v="2513"/>
    <x v="1"/>
    <n v="2"/>
    <n v="412.18"/>
    <s v=""/>
    <s v=""/>
    <x v="3"/>
    <s v="Missing date"/>
    <s v="Missing date"/>
    <x v="0"/>
    <s v=""/>
    <n v="1"/>
    <n v="206.09"/>
  </r>
  <r>
    <n v="52346"/>
    <n v="31356"/>
    <x v="194"/>
    <n v="2513"/>
    <x v="11"/>
    <n v="1"/>
    <n v="224.37"/>
    <d v="2025-12-03T00:00:00"/>
    <s v=""/>
    <x v="3"/>
    <s v="Missing date"/>
    <s v="OK"/>
    <x v="2"/>
    <s v=""/>
    <n v="0"/>
    <n v="224.37"/>
  </r>
  <r>
    <n v="52347"/>
    <n v="31356"/>
    <x v="194"/>
    <n v="2513"/>
    <x v="8"/>
    <n v="1"/>
    <n v="203.04"/>
    <s v=""/>
    <s v=""/>
    <x v="3"/>
    <s v="Missing date"/>
    <s v="Missing date"/>
    <x v="2"/>
    <s v=""/>
    <n v="0"/>
    <n v="203.04"/>
  </r>
  <r>
    <n v="52348"/>
    <n v="31357"/>
    <x v="161"/>
    <n v="2197"/>
    <x v="7"/>
    <n v="4"/>
    <n v="1015.44"/>
    <d v="2025-11-21T00:00:00"/>
    <d v="2025-11-23T00:00:00"/>
    <x v="1"/>
    <s v="OK"/>
    <s v="OK"/>
    <x v="0"/>
    <n v="2"/>
    <n v="1"/>
    <n v="253.86"/>
  </r>
  <r>
    <n v="52349"/>
    <n v="31358"/>
    <x v="93"/>
    <n v="2551"/>
    <x v="4"/>
    <n v="1"/>
    <n v="183.74"/>
    <d v="2025-07-06T00:00:00"/>
    <d v="2025-07-13T00:00:00"/>
    <x v="0"/>
    <s v="OK"/>
    <s v="OK"/>
    <x v="2"/>
    <n v="7"/>
    <n v="1"/>
    <n v="183.74"/>
  </r>
  <r>
    <n v="52350"/>
    <n v="31359"/>
    <x v="63"/>
    <n v="2220"/>
    <x v="12"/>
    <n v="3"/>
    <n v="195.78"/>
    <s v=""/>
    <s v=""/>
    <x v="2"/>
    <s v="Missing date"/>
    <s v="Missing date"/>
    <x v="3"/>
    <s v=""/>
    <n v="1"/>
    <n v="65.260000000000005"/>
  </r>
  <r>
    <n v="52351"/>
    <n v="31360"/>
    <x v="214"/>
    <n v="2376"/>
    <x v="7"/>
    <n v="1"/>
    <n v="253.86"/>
    <d v="2025-07-10T00:00:00"/>
    <d v="2025-07-13T00:00:00"/>
    <x v="0"/>
    <s v="OK"/>
    <s v="OK"/>
    <x v="0"/>
    <n v="3"/>
    <n v="1"/>
    <n v="253.86"/>
  </r>
  <r>
    <n v="52352"/>
    <n v="31361"/>
    <x v="319"/>
    <n v="2451"/>
    <x v="4"/>
    <n v="3"/>
    <n v="551.22"/>
    <d v="2025-05-23T00:00:00"/>
    <d v="2025-05-26T00:00:00"/>
    <x v="0"/>
    <s v="OK"/>
    <s v="OK"/>
    <x v="2"/>
    <n v="3"/>
    <n v="1"/>
    <n v="183.74"/>
  </r>
  <r>
    <n v="52353"/>
    <n v="31361"/>
    <x v="319"/>
    <n v="2451"/>
    <x v="7"/>
    <n v="4"/>
    <n v="1015.44"/>
    <d v="2025-05-22T00:00:00"/>
    <d v="2025-05-26T00:00:00"/>
    <x v="0"/>
    <s v="OK"/>
    <s v="OK"/>
    <x v="0"/>
    <n v="4"/>
    <n v="0"/>
    <n v="253.86"/>
  </r>
  <r>
    <n v="52354"/>
    <n v="31362"/>
    <x v="105"/>
    <n v="2364"/>
    <x v="10"/>
    <n v="1"/>
    <n v="215.34"/>
    <d v="2025-09-16T00:00:00"/>
    <d v="2025-09-19T00:00:00"/>
    <x v="1"/>
    <s v="OK"/>
    <s v="OK"/>
    <x v="3"/>
    <n v="3"/>
    <n v="1"/>
    <n v="215.34"/>
  </r>
  <r>
    <n v="52355"/>
    <n v="31363"/>
    <x v="270"/>
    <n v="2220"/>
    <x v="10"/>
    <n v="1"/>
    <n v="215.34"/>
    <d v="2025-09-06T00:00:00"/>
    <d v="2025-09-12T00:00:00"/>
    <x v="0"/>
    <s v="OK"/>
    <s v="OK"/>
    <x v="3"/>
    <n v="6"/>
    <n v="1"/>
    <n v="215.34"/>
  </r>
  <r>
    <n v="52356"/>
    <n v="31364"/>
    <x v="327"/>
    <n v="2116"/>
    <x v="5"/>
    <n v="2"/>
    <n v="202.88"/>
    <d v="2025-09-17T00:00:00"/>
    <s v=""/>
    <x v="3"/>
    <s v="Missing date"/>
    <s v="OK"/>
    <x v="1"/>
    <s v=""/>
    <n v="1"/>
    <n v="101.44"/>
  </r>
  <r>
    <n v="52357"/>
    <n v="31364"/>
    <x v="327"/>
    <n v="2116"/>
    <x v="4"/>
    <n v="1"/>
    <n v="183.74"/>
    <s v=""/>
    <s v=""/>
    <x v="3"/>
    <s v="Missing date"/>
    <s v="Missing date"/>
    <x v="2"/>
    <s v=""/>
    <n v="0"/>
    <n v="183.74"/>
  </r>
  <r>
    <n v="52358"/>
    <n v="31364"/>
    <x v="327"/>
    <n v="2116"/>
    <x v="12"/>
    <n v="3"/>
    <n v="195.78"/>
    <s v=""/>
    <s v=""/>
    <x v="3"/>
    <s v="Missing date"/>
    <s v="Missing date"/>
    <x v="3"/>
    <s v=""/>
    <n v="0"/>
    <n v="65.260000000000005"/>
  </r>
  <r>
    <n v="52359"/>
    <n v="31365"/>
    <x v="118"/>
    <n v="2296"/>
    <x v="3"/>
    <n v="1"/>
    <n v="118.6"/>
    <d v="2025-10-05T00:00:00"/>
    <d v="2025-10-15T00:00:00"/>
    <x v="0"/>
    <s v="OK"/>
    <s v="OK"/>
    <x v="2"/>
    <n v="10"/>
    <n v="1"/>
    <n v="118.6"/>
  </r>
  <r>
    <n v="52360"/>
    <n v="31366"/>
    <x v="208"/>
    <n v="2085"/>
    <x v="4"/>
    <n v="2"/>
    <n v="367.48"/>
    <d v="2025-05-25T00:00:00"/>
    <d v="2025-06-04T00:00:00"/>
    <x v="0"/>
    <s v="OK"/>
    <s v="OK"/>
    <x v="2"/>
    <n v="10"/>
    <n v="1"/>
    <n v="183.74"/>
  </r>
  <r>
    <n v="52361"/>
    <n v="31367"/>
    <x v="121"/>
    <n v="2395"/>
    <x v="13"/>
    <n v="2"/>
    <n v="243"/>
    <d v="2025-04-28T00:00:00"/>
    <d v="2025-05-06T00:00:00"/>
    <x v="0"/>
    <s v="OK"/>
    <s v="OK"/>
    <x v="1"/>
    <n v="8"/>
    <n v="1"/>
    <n v="121.5"/>
  </r>
  <r>
    <n v="52362"/>
    <n v="31368"/>
    <x v="128"/>
    <n v="2455"/>
    <x v="10"/>
    <n v="1"/>
    <n v="215.34"/>
    <d v="2025-06-20T00:00:00"/>
    <d v="2025-06-26T00:00:00"/>
    <x v="0"/>
    <s v="OK"/>
    <s v="OK"/>
    <x v="3"/>
    <n v="6"/>
    <n v="1"/>
    <n v="215.34"/>
  </r>
  <r>
    <n v="52363"/>
    <n v="31369"/>
    <x v="301"/>
    <n v="2298"/>
    <x v="10"/>
    <n v="1"/>
    <n v="215.34"/>
    <d v="2025-10-25T00:00:00"/>
    <d v="2025-10-26T00:00:00"/>
    <x v="1"/>
    <s v="OK"/>
    <s v="OK"/>
    <x v="3"/>
    <n v="1"/>
    <n v="1"/>
    <n v="215.34"/>
  </r>
  <r>
    <n v="52364"/>
    <n v="31370"/>
    <x v="182"/>
    <n v="2194"/>
    <x v="12"/>
    <n v="2"/>
    <n v="130.52000000000001"/>
    <s v=""/>
    <s v=""/>
    <x v="3"/>
    <s v="Missing date"/>
    <s v="Missing date"/>
    <x v="3"/>
    <s v=""/>
    <n v="1"/>
    <n v="65.260000000000005"/>
  </r>
  <r>
    <n v="52365"/>
    <n v="31371"/>
    <x v="57"/>
    <n v="2377"/>
    <x v="12"/>
    <n v="1"/>
    <n v="65.260000000000005"/>
    <d v="2025-07-13T00:00:00"/>
    <d v="2025-07-20T00:00:00"/>
    <x v="0"/>
    <s v="OK"/>
    <s v="OK"/>
    <x v="3"/>
    <n v="7"/>
    <n v="1"/>
    <n v="65.260000000000005"/>
  </r>
  <r>
    <n v="52366"/>
    <n v="31371"/>
    <x v="57"/>
    <n v="2377"/>
    <x v="4"/>
    <n v="1"/>
    <n v="183.74"/>
    <d v="2025-07-13T00:00:00"/>
    <d v="2025-07-14T00:00:00"/>
    <x v="0"/>
    <s v="OK"/>
    <s v="OK"/>
    <x v="2"/>
    <n v="1"/>
    <n v="0"/>
    <n v="183.74"/>
  </r>
  <r>
    <n v="52367"/>
    <n v="31371"/>
    <x v="57"/>
    <n v="2377"/>
    <x v="15"/>
    <n v="2"/>
    <n v="340.5"/>
    <d v="2025-07-13T00:00:00"/>
    <d v="2025-07-18T00:00:00"/>
    <x v="0"/>
    <s v="OK"/>
    <s v="OK"/>
    <x v="1"/>
    <n v="5"/>
    <n v="0"/>
    <n v="170.25"/>
  </r>
  <r>
    <n v="52368"/>
    <n v="31371"/>
    <x v="57"/>
    <n v="2377"/>
    <x v="14"/>
    <n v="4"/>
    <n v="478.96"/>
    <d v="2025-07-13T00:00:00"/>
    <d v="2025-07-19T00:00:00"/>
    <x v="0"/>
    <s v="OK"/>
    <s v="OK"/>
    <x v="3"/>
    <n v="6"/>
    <n v="0"/>
    <n v="119.74"/>
  </r>
  <r>
    <n v="52369"/>
    <n v="31372"/>
    <x v="136"/>
    <n v="2536"/>
    <x v="11"/>
    <n v="1"/>
    <n v="224.37"/>
    <d v="2025-07-12T00:00:00"/>
    <d v="2025-12-09T00:00:00"/>
    <x v="0"/>
    <s v="OK"/>
    <s v="OK"/>
    <x v="2"/>
    <n v="150"/>
    <n v="1"/>
    <n v="224.37"/>
  </r>
  <r>
    <n v="52370"/>
    <n v="31373"/>
    <x v="344"/>
    <n v="2123"/>
    <x v="15"/>
    <n v="1"/>
    <n v="170.25"/>
    <d v="2025-11-19T00:00:00"/>
    <d v="2025-11-25T00:00:00"/>
    <x v="0"/>
    <s v="OK"/>
    <s v="OK"/>
    <x v="1"/>
    <n v="6"/>
    <n v="1"/>
    <n v="170.25"/>
  </r>
  <r>
    <n v="52371"/>
    <n v="31373"/>
    <x v="344"/>
    <n v="2123"/>
    <x v="4"/>
    <n v="2"/>
    <n v="367.48"/>
    <d v="2025-11-19T00:00:00"/>
    <d v="2025-11-27T00:00:00"/>
    <x v="0"/>
    <s v="OK"/>
    <s v="OK"/>
    <x v="2"/>
    <n v="8"/>
    <n v="0"/>
    <n v="183.74"/>
  </r>
  <r>
    <n v="52372"/>
    <n v="31374"/>
    <x v="104"/>
    <n v="2173"/>
    <x v="0"/>
    <n v="1"/>
    <n v="199.81"/>
    <d v="2025-04-06T00:00:00"/>
    <d v="2025-09-04T00:00:00"/>
    <x v="0"/>
    <s v="OK"/>
    <s v="OK"/>
    <x v="0"/>
    <n v="151"/>
    <n v="1"/>
    <n v="199.81"/>
  </r>
  <r>
    <n v="52373"/>
    <n v="31375"/>
    <x v="282"/>
    <n v="2347"/>
    <x v="15"/>
    <n v="1"/>
    <n v="170.25"/>
    <d v="2025-05-28T00:00:00"/>
    <d v="2025-06-02T00:00:00"/>
    <x v="0"/>
    <s v="OK"/>
    <s v="OK"/>
    <x v="1"/>
    <n v="5"/>
    <n v="1"/>
    <n v="170.25"/>
  </r>
  <r>
    <n v="52374"/>
    <n v="31376"/>
    <x v="234"/>
    <n v="2126"/>
    <x v="10"/>
    <n v="3"/>
    <n v="646.02"/>
    <d v="2025-08-07T00:00:00"/>
    <d v="2025-08-13T00:00:00"/>
    <x v="0"/>
    <s v="OK"/>
    <s v="OK"/>
    <x v="3"/>
    <n v="6"/>
    <n v="1"/>
    <n v="215.34"/>
  </r>
  <r>
    <n v="52375"/>
    <n v="31377"/>
    <x v="303"/>
    <n v="2512"/>
    <x v="9"/>
    <n v="1"/>
    <n v="40.28"/>
    <d v="2025-08-10T00:00:00"/>
    <d v="2025-08-14T00:00:00"/>
    <x v="0"/>
    <s v="OK"/>
    <s v="OK"/>
    <x v="0"/>
    <n v="4"/>
    <n v="1"/>
    <n v="40.28"/>
  </r>
  <r>
    <n v="52376"/>
    <n v="31378"/>
    <x v="192"/>
    <n v="2410"/>
    <x v="15"/>
    <n v="1"/>
    <n v="170.25"/>
    <d v="2025-11-18T00:00:00"/>
    <d v="2025-11-25T00:00:00"/>
    <x v="0"/>
    <s v="OK"/>
    <s v="OK"/>
    <x v="1"/>
    <n v="7"/>
    <n v="1"/>
    <n v="170.25"/>
  </r>
  <r>
    <n v="52377"/>
    <n v="31378"/>
    <x v="192"/>
    <n v="2410"/>
    <x v="12"/>
    <n v="3"/>
    <n v="195.78"/>
    <d v="2025-11-18T00:00:00"/>
    <d v="2025-11-27T00:00:00"/>
    <x v="0"/>
    <s v="OK"/>
    <s v="OK"/>
    <x v="3"/>
    <n v="9"/>
    <n v="0"/>
    <n v="65.260000000000005"/>
  </r>
  <r>
    <n v="52378"/>
    <n v="31379"/>
    <x v="301"/>
    <n v="2524"/>
    <x v="14"/>
    <n v="1"/>
    <n v="119.74"/>
    <d v="2025-10-25T00:00:00"/>
    <d v="2025-11-01T00:00:00"/>
    <x v="0"/>
    <s v="OK"/>
    <s v="OK"/>
    <x v="3"/>
    <n v="7"/>
    <n v="1"/>
    <n v="119.74"/>
  </r>
  <r>
    <n v="52379"/>
    <n v="31380"/>
    <x v="314"/>
    <n v="2111"/>
    <x v="12"/>
    <n v="2"/>
    <n v="130.52000000000001"/>
    <d v="2025-07-08T00:00:00"/>
    <d v="2025-10-07T00:00:00"/>
    <x v="0"/>
    <s v="OK"/>
    <s v="OK"/>
    <x v="3"/>
    <n v="91"/>
    <n v="1"/>
    <n v="65.260000000000005"/>
  </r>
  <r>
    <n v="52380"/>
    <n v="31380"/>
    <x v="314"/>
    <n v="2111"/>
    <x v="12"/>
    <n v="1"/>
    <n v="65.260000000000005"/>
    <d v="2025-07-07T00:00:00"/>
    <d v="2025-07-17T00:00:00"/>
    <x v="0"/>
    <s v="OK"/>
    <s v="OK"/>
    <x v="3"/>
    <n v="10"/>
    <n v="0"/>
    <n v="65.260000000000005"/>
  </r>
  <r>
    <n v="52381"/>
    <n v="31381"/>
    <x v="29"/>
    <n v="2237"/>
    <x v="6"/>
    <n v="2"/>
    <n v="63.46"/>
    <d v="2025-07-02T00:00:00"/>
    <d v="2025-07-10T00:00:00"/>
    <x v="0"/>
    <s v="OK"/>
    <s v="OK"/>
    <x v="2"/>
    <n v="8"/>
    <n v="1"/>
    <n v="31.73"/>
  </r>
  <r>
    <n v="52382"/>
    <n v="31382"/>
    <x v="44"/>
    <n v="2031"/>
    <x v="3"/>
    <n v="1"/>
    <n v="118.6"/>
    <d v="2025-09-29T00:00:00"/>
    <d v="2025-09-30T00:00:00"/>
    <x v="0"/>
    <s v="OK"/>
    <s v="OK"/>
    <x v="2"/>
    <n v="1"/>
    <n v="1"/>
    <n v="118.6"/>
  </r>
  <r>
    <n v="52383"/>
    <n v="31382"/>
    <x v="44"/>
    <n v="2031"/>
    <x v="11"/>
    <n v="1"/>
    <n v="224.37"/>
    <d v="2025-09-30T00:00:00"/>
    <d v="2025-10-02T00:00:00"/>
    <x v="0"/>
    <s v="OK"/>
    <s v="OK"/>
    <x v="2"/>
    <n v="2"/>
    <n v="0"/>
    <n v="224.37"/>
  </r>
  <r>
    <n v="52384"/>
    <n v="31383"/>
    <x v="44"/>
    <n v="2511"/>
    <x v="7"/>
    <n v="1"/>
    <n v="253.86"/>
    <d v="2025-09-28T00:00:00"/>
    <d v="2025-10-04T00:00:00"/>
    <x v="0"/>
    <s v="OK"/>
    <s v="OK"/>
    <x v="0"/>
    <n v="6"/>
    <n v="1"/>
    <n v="253.86"/>
  </r>
  <r>
    <n v="52385"/>
    <n v="31383"/>
    <x v="44"/>
    <n v="2511"/>
    <x v="15"/>
    <n v="3"/>
    <n v="510.75"/>
    <d v="2025-09-29T00:00:00"/>
    <d v="2025-10-02T00:00:00"/>
    <x v="0"/>
    <s v="OK"/>
    <s v="OK"/>
    <x v="1"/>
    <n v="3"/>
    <n v="0"/>
    <n v="170.25"/>
  </r>
  <r>
    <n v="52386"/>
    <n v="31384"/>
    <x v="134"/>
    <n v="2335"/>
    <x v="4"/>
    <n v="3"/>
    <n v="551.22"/>
    <d v="2025-11-13T00:00:00"/>
    <d v="2025-11-21T00:00:00"/>
    <x v="0"/>
    <s v="OK"/>
    <s v="OK"/>
    <x v="2"/>
    <n v="8"/>
    <n v="1"/>
    <n v="183.74"/>
  </r>
  <r>
    <n v="52387"/>
    <n v="31384"/>
    <x v="134"/>
    <n v="2335"/>
    <x v="11"/>
    <n v="2"/>
    <n v="448.74"/>
    <d v="2025-11-12T00:00:00"/>
    <d v="2025-11-20T00:00:00"/>
    <x v="0"/>
    <s v="OK"/>
    <s v="OK"/>
    <x v="2"/>
    <n v="8"/>
    <n v="0"/>
    <n v="224.37"/>
  </r>
  <r>
    <n v="52388"/>
    <n v="31384"/>
    <x v="42"/>
    <n v="2335"/>
    <x v="12"/>
    <n v="1"/>
    <n v="65.260000000000005"/>
    <d v="2025-11-13T00:00:00"/>
    <d v="2025-11-19T00:00:00"/>
    <x v="0"/>
    <s v="OK"/>
    <s v="OK"/>
    <x v="3"/>
    <n v="6"/>
    <n v="0"/>
    <n v="65.260000000000005"/>
  </r>
  <r>
    <n v="52389"/>
    <n v="31384"/>
    <x v="42"/>
    <n v="2335"/>
    <x v="14"/>
    <n v="1"/>
    <n v="119.74"/>
    <d v="2025-11-11T00:00:00"/>
    <d v="2025-11-21T00:00:00"/>
    <x v="0"/>
    <s v="OK"/>
    <s v="OK"/>
    <x v="3"/>
    <n v="10"/>
    <n v="0"/>
    <n v="119.74"/>
  </r>
  <r>
    <n v="52390"/>
    <n v="31385"/>
    <x v="333"/>
    <n v="2207"/>
    <x v="12"/>
    <n v="1"/>
    <n v="65.260000000000005"/>
    <d v="2025-10-18T00:00:00"/>
    <d v="2025-10-22T00:00:00"/>
    <x v="0"/>
    <s v="OK"/>
    <s v="OK"/>
    <x v="3"/>
    <n v="4"/>
    <n v="1"/>
    <n v="65.260000000000005"/>
  </r>
  <r>
    <n v="52391"/>
    <n v="31386"/>
    <x v="313"/>
    <n v="2503"/>
    <x v="5"/>
    <n v="3"/>
    <n v="304.32"/>
    <d v="2025-09-14T00:00:00"/>
    <d v="2025-09-22T00:00:00"/>
    <x v="0"/>
    <s v="OK"/>
    <s v="OK"/>
    <x v="1"/>
    <n v="8"/>
    <n v="1"/>
    <n v="101.44"/>
  </r>
  <r>
    <n v="52392"/>
    <n v="31387"/>
    <x v="81"/>
    <n v="2554"/>
    <x v="3"/>
    <n v="3"/>
    <n v="355.8"/>
    <d v="2025-09-29T00:00:00"/>
    <d v="2025-10-02T00:00:00"/>
    <x v="0"/>
    <s v="OK"/>
    <s v="OK"/>
    <x v="2"/>
    <n v="3"/>
    <n v="1"/>
    <n v="118.60000000000001"/>
  </r>
  <r>
    <n v="52393"/>
    <n v="31387"/>
    <x v="81"/>
    <n v="2554"/>
    <x v="10"/>
    <n v="2"/>
    <n v="430.68"/>
    <d v="2025-09-28T00:00:00"/>
    <d v="2025-09-29T00:00:00"/>
    <x v="0"/>
    <s v="OK"/>
    <s v="OK"/>
    <x v="3"/>
    <n v="1"/>
    <n v="0"/>
    <n v="215.34"/>
  </r>
  <r>
    <n v="52394"/>
    <n v="31387"/>
    <x v="81"/>
    <n v="2554"/>
    <x v="4"/>
    <n v="5"/>
    <n v="918.7"/>
    <d v="2025-09-28T00:00:00"/>
    <d v="2025-10-01T00:00:00"/>
    <x v="0"/>
    <s v="OK"/>
    <s v="OK"/>
    <x v="2"/>
    <n v="3"/>
    <n v="0"/>
    <n v="183.74"/>
  </r>
  <r>
    <n v="52395"/>
    <n v="31387"/>
    <x v="81"/>
    <n v="2554"/>
    <x v="15"/>
    <n v="2"/>
    <n v="340.5"/>
    <d v="2025-09-27T00:00:00"/>
    <d v="2025-10-06T00:00:00"/>
    <x v="0"/>
    <s v="OK"/>
    <s v="OK"/>
    <x v="1"/>
    <n v="9"/>
    <n v="0"/>
    <n v="170.25"/>
  </r>
  <r>
    <n v="52396"/>
    <n v="31388"/>
    <x v="326"/>
    <n v="2461"/>
    <x v="15"/>
    <n v="1"/>
    <n v="170.25"/>
    <d v="2025-08-01T00:00:00"/>
    <d v="2025-08-08T00:00:00"/>
    <x v="0"/>
    <s v="OK"/>
    <s v="OK"/>
    <x v="1"/>
    <n v="7"/>
    <n v="1"/>
    <n v="170.25"/>
  </r>
  <r>
    <n v="52397"/>
    <n v="31388"/>
    <x v="326"/>
    <n v="2461"/>
    <x v="14"/>
    <n v="1"/>
    <n v="119.74"/>
    <d v="2025-08-02T00:00:00"/>
    <d v="2025-08-04T00:00:00"/>
    <x v="0"/>
    <s v="OK"/>
    <s v="OK"/>
    <x v="3"/>
    <n v="2"/>
    <n v="0"/>
    <n v="119.74"/>
  </r>
  <r>
    <n v="52398"/>
    <n v="31388"/>
    <x v="326"/>
    <n v="2461"/>
    <x v="14"/>
    <n v="2"/>
    <n v="239.48"/>
    <d v="2025-08-02T00:00:00"/>
    <d v="2025-08-09T00:00:00"/>
    <x v="0"/>
    <s v="OK"/>
    <s v="OK"/>
    <x v="3"/>
    <n v="7"/>
    <n v="0"/>
    <n v="119.74"/>
  </r>
  <r>
    <n v="52399"/>
    <n v="31389"/>
    <x v="222"/>
    <n v="2037"/>
    <x v="13"/>
    <n v="1"/>
    <n v="121.5"/>
    <d v="2025-12-02T00:00:00"/>
    <d v="2025-12-11T00:00:00"/>
    <x v="0"/>
    <s v="OK"/>
    <s v="OK"/>
    <x v="1"/>
    <n v="9"/>
    <n v="1"/>
    <n v="121.5"/>
  </r>
  <r>
    <n v="52400"/>
    <n v="31390"/>
    <x v="63"/>
    <n v="2169"/>
    <x v="6"/>
    <n v="4"/>
    <n v="126.92"/>
    <d v="2025-12-05T00:00:00"/>
    <d v="2025-12-08T00:00:00"/>
    <x v="0"/>
    <s v="OK"/>
    <s v="OK"/>
    <x v="2"/>
    <n v="3"/>
    <n v="1"/>
    <n v="31.73"/>
  </r>
  <r>
    <n v="52401"/>
    <n v="31391"/>
    <x v="349"/>
    <n v="2320"/>
    <x v="12"/>
    <n v="1"/>
    <n v="65.260000000000005"/>
    <d v="2025-01-21T00:00:00"/>
    <d v="2025-01-29T00:00:00"/>
    <x v="0"/>
    <s v="OK"/>
    <s v="OK"/>
    <x v="3"/>
    <n v="8"/>
    <n v="1"/>
    <n v="65.260000000000005"/>
  </r>
  <r>
    <n v="52402"/>
    <n v="31391"/>
    <x v="349"/>
    <n v="2320"/>
    <x v="4"/>
    <n v="1"/>
    <n v="183.74"/>
    <d v="2025-01-21T00:00:00"/>
    <d v="2025-01-23T00:00:00"/>
    <x v="0"/>
    <s v="OK"/>
    <s v="OK"/>
    <x v="2"/>
    <n v="2"/>
    <n v="0"/>
    <n v="183.74"/>
  </r>
  <r>
    <n v="52403"/>
    <n v="31392"/>
    <x v="176"/>
    <n v="2583"/>
    <x v="12"/>
    <n v="1"/>
    <n v="65.260000000000005"/>
    <d v="2025-03-20T00:00:00"/>
    <d v="2025-03-27T00:00:00"/>
    <x v="0"/>
    <s v="OK"/>
    <s v="OK"/>
    <x v="3"/>
    <n v="7"/>
    <n v="1"/>
    <n v="65.260000000000005"/>
  </r>
  <r>
    <n v="52404"/>
    <n v="31393"/>
    <x v="334"/>
    <n v="2488"/>
    <x v="7"/>
    <n v="1"/>
    <n v="253.86"/>
    <d v="2025-09-27T00:00:00"/>
    <d v="2025-10-01T00:00:00"/>
    <x v="0"/>
    <s v="OK"/>
    <s v="OK"/>
    <x v="0"/>
    <n v="4"/>
    <n v="1"/>
    <n v="253.86"/>
  </r>
  <r>
    <n v="52405"/>
    <n v="31393"/>
    <x v="334"/>
    <n v="2488"/>
    <x v="3"/>
    <n v="4"/>
    <n v="474.4"/>
    <d v="2025-09-26T00:00:00"/>
    <d v="2025-10-01T00:00:00"/>
    <x v="0"/>
    <s v="OK"/>
    <s v="OK"/>
    <x v="2"/>
    <n v="5"/>
    <n v="0"/>
    <n v="118.6"/>
  </r>
  <r>
    <n v="52406"/>
    <n v="31394"/>
    <x v="67"/>
    <n v="2401"/>
    <x v="15"/>
    <n v="1"/>
    <n v="170.25"/>
    <d v="2025-05-12T00:00:00"/>
    <d v="2025-05-14T00:00:00"/>
    <x v="0"/>
    <s v="OK"/>
    <s v="OK"/>
    <x v="1"/>
    <n v="2"/>
    <n v="1"/>
    <n v="170.25"/>
  </r>
  <r>
    <n v="52407"/>
    <n v="31395"/>
    <x v="322"/>
    <n v="2362"/>
    <x v="13"/>
    <n v="1"/>
    <n v="121.5"/>
    <s v=""/>
    <s v=""/>
    <x v="3"/>
    <s v="Missing date"/>
    <s v="Missing date"/>
    <x v="1"/>
    <s v=""/>
    <n v="1"/>
    <n v="121.5"/>
  </r>
  <r>
    <n v="52408"/>
    <n v="31396"/>
    <x v="348"/>
    <n v="2029"/>
    <x v="6"/>
    <n v="1"/>
    <n v="31.73"/>
    <d v="2025-01-07T00:00:00"/>
    <d v="2025-01-12T00:00:00"/>
    <x v="0"/>
    <s v="OK"/>
    <s v="OK"/>
    <x v="2"/>
    <n v="5"/>
    <n v="1"/>
    <n v="31.73"/>
  </r>
  <r>
    <n v="52409"/>
    <n v="31397"/>
    <x v="162"/>
    <n v="2376"/>
    <x v="8"/>
    <n v="1"/>
    <n v="203.04"/>
    <d v="2025-12-31T00:00:00"/>
    <d v="2026-05-01T00:00:00"/>
    <x v="0"/>
    <s v="OK"/>
    <s v="OK"/>
    <x v="2"/>
    <n v="121"/>
    <n v="1"/>
    <n v="203.04"/>
  </r>
  <r>
    <n v="52410"/>
    <n v="31397"/>
    <x v="162"/>
    <n v="2376"/>
    <x v="5"/>
    <n v="1"/>
    <n v="101.44"/>
    <d v="2025-12-31T00:00:00"/>
    <d v="2026-01-02T00:00:00"/>
    <x v="0"/>
    <s v="OK"/>
    <s v="OK"/>
    <x v="1"/>
    <n v="2"/>
    <n v="0"/>
    <n v="101.44"/>
  </r>
  <r>
    <n v="52411"/>
    <n v="31398"/>
    <x v="239"/>
    <n v="2390"/>
    <x v="2"/>
    <n v="2"/>
    <n v="483.08"/>
    <d v="2025-12-14T00:00:00"/>
    <d v="2025-12-17T00:00:00"/>
    <x v="0"/>
    <s v="OK"/>
    <s v="OK"/>
    <x v="1"/>
    <n v="3"/>
    <n v="1"/>
    <n v="241.54"/>
  </r>
  <r>
    <n v="52412"/>
    <n v="31399"/>
    <x v="232"/>
    <n v="2366"/>
    <x v="3"/>
    <n v="4"/>
    <n v="474.4"/>
    <d v="2025-11-25T00:00:00"/>
    <d v="2025-12-01T00:00:00"/>
    <x v="0"/>
    <s v="OK"/>
    <s v="OK"/>
    <x v="2"/>
    <n v="6"/>
    <n v="1"/>
    <n v="118.6"/>
  </r>
  <r>
    <n v="52413"/>
    <n v="31400"/>
    <x v="187"/>
    <n v="2251"/>
    <x v="13"/>
    <n v="1"/>
    <n v="121.5"/>
    <d v="2025-09-02T00:00:00"/>
    <d v="2025-09-03T00:00:00"/>
    <x v="0"/>
    <s v="OK"/>
    <s v="OK"/>
    <x v="1"/>
    <n v="1"/>
    <n v="1"/>
    <n v="121.5"/>
  </r>
  <r>
    <n v="52414"/>
    <n v="31400"/>
    <x v="187"/>
    <n v="2251"/>
    <x v="11"/>
    <n v="2"/>
    <n v="448.74"/>
    <d v="2025-09-03T00:00:00"/>
    <d v="2025-09-13T00:00:00"/>
    <x v="0"/>
    <s v="OK"/>
    <s v="OK"/>
    <x v="2"/>
    <n v="10"/>
    <n v="0"/>
    <n v="224.37"/>
  </r>
  <r>
    <n v="52415"/>
    <n v="31400"/>
    <x v="187"/>
    <n v="2251"/>
    <x v="11"/>
    <n v="3"/>
    <n v="673.11"/>
    <d v="2025-09-02T00:00:00"/>
    <d v="2025-09-06T00:00:00"/>
    <x v="0"/>
    <s v="OK"/>
    <s v="OK"/>
    <x v="2"/>
    <n v="4"/>
    <n v="0"/>
    <n v="224.37"/>
  </r>
  <r>
    <n v="52416"/>
    <n v="31401"/>
    <x v="184"/>
    <n v="2313"/>
    <x v="7"/>
    <n v="1"/>
    <n v="253.86"/>
    <d v="2025-04-01T00:00:00"/>
    <d v="2025-04-03T00:00:00"/>
    <x v="0"/>
    <s v="OK"/>
    <s v="OK"/>
    <x v="0"/>
    <n v="2"/>
    <n v="1"/>
    <n v="253.86"/>
  </r>
  <r>
    <n v="52417"/>
    <n v="31401"/>
    <x v="184"/>
    <n v="2313"/>
    <x v="8"/>
    <n v="1"/>
    <n v="203.04"/>
    <d v="2025-03-31T00:00:00"/>
    <d v="2025-04-09T00:00:00"/>
    <x v="0"/>
    <s v="OK"/>
    <s v="OK"/>
    <x v="2"/>
    <n v="9"/>
    <n v="0"/>
    <n v="203.04"/>
  </r>
  <r>
    <n v="52418"/>
    <n v="31401"/>
    <x v="184"/>
    <n v="2313"/>
    <x v="5"/>
    <n v="1"/>
    <n v="101.44"/>
    <d v="2025-03-31T00:00:00"/>
    <d v="2025-09-04T00:00:00"/>
    <x v="0"/>
    <s v="OK"/>
    <s v="OK"/>
    <x v="1"/>
    <n v="157"/>
    <n v="0"/>
    <n v="101.44"/>
  </r>
  <r>
    <n v="52419"/>
    <n v="31402"/>
    <x v="26"/>
    <n v="2039"/>
    <x v="10"/>
    <n v="1"/>
    <n v="215.34"/>
    <d v="2025-08-31T00:00:00"/>
    <d v="2025-09-02T00:00:00"/>
    <x v="0"/>
    <s v="OK"/>
    <s v="OK"/>
    <x v="3"/>
    <n v="2"/>
    <n v="1"/>
    <n v="215.34"/>
  </r>
  <r>
    <n v="52420"/>
    <n v="31403"/>
    <x v="85"/>
    <n v="2582"/>
    <x v="10"/>
    <n v="1"/>
    <n v="215.34"/>
    <d v="2025-02-16T00:00:00"/>
    <d v="2025-02-23T00:00:00"/>
    <x v="0"/>
    <s v="OK"/>
    <s v="OK"/>
    <x v="3"/>
    <n v="7"/>
    <n v="1"/>
    <n v="215.34"/>
  </r>
  <r>
    <n v="52421"/>
    <n v="31403"/>
    <x v="85"/>
    <n v="2582"/>
    <x v="9"/>
    <n v="1"/>
    <n v="40.28"/>
    <d v="2025-02-16T00:00:00"/>
    <d v="2025-02-22T00:00:00"/>
    <x v="0"/>
    <s v="OK"/>
    <s v="OK"/>
    <x v="0"/>
    <n v="6"/>
    <n v="0"/>
    <n v="40.28"/>
  </r>
  <r>
    <n v="52422"/>
    <n v="31403"/>
    <x v="85"/>
    <n v="2582"/>
    <x v="8"/>
    <n v="2"/>
    <n v="406.08"/>
    <d v="2025-02-16T00:00:00"/>
    <d v="2025-02-25T00:00:00"/>
    <x v="0"/>
    <s v="OK"/>
    <s v="OK"/>
    <x v="2"/>
    <n v="9"/>
    <n v="0"/>
    <n v="203.04"/>
  </r>
  <r>
    <n v="52423"/>
    <n v="31404"/>
    <x v="140"/>
    <n v="2481"/>
    <x v="5"/>
    <n v="2"/>
    <n v="202.88"/>
    <d v="2025-04-21T00:00:00"/>
    <d v="2025-04-24T00:00:00"/>
    <x v="0"/>
    <s v="OK"/>
    <s v="OK"/>
    <x v="1"/>
    <n v="3"/>
    <n v="1"/>
    <n v="101.44"/>
  </r>
  <r>
    <n v="52424"/>
    <n v="31404"/>
    <x v="140"/>
    <n v="2481"/>
    <x v="15"/>
    <n v="1"/>
    <n v="170.25"/>
    <d v="2025-04-20T00:00:00"/>
    <d v="2025-04-23T00:00:00"/>
    <x v="0"/>
    <s v="OK"/>
    <s v="OK"/>
    <x v="1"/>
    <n v="3"/>
    <n v="0"/>
    <n v="170.25"/>
  </r>
  <r>
    <n v="52425"/>
    <n v="31405"/>
    <x v="354"/>
    <n v="2585"/>
    <x v="4"/>
    <n v="2"/>
    <n v="367.48"/>
    <d v="2025-08-19T00:00:00"/>
    <d v="2025-08-29T00:00:00"/>
    <x v="0"/>
    <s v="OK"/>
    <s v="OK"/>
    <x v="2"/>
    <n v="10"/>
    <n v="1"/>
    <n v="183.74"/>
  </r>
  <r>
    <n v="52426"/>
    <n v="31406"/>
    <x v="100"/>
    <n v="2501"/>
    <x v="0"/>
    <n v="2"/>
    <n v="399.62"/>
    <d v="2025-01-09T00:00:00"/>
    <d v="2025-01-16T00:00:00"/>
    <x v="0"/>
    <s v="OK"/>
    <s v="OK"/>
    <x v="0"/>
    <n v="7"/>
    <n v="1"/>
    <n v="199.81"/>
  </r>
  <r>
    <n v="52427"/>
    <n v="31406"/>
    <x v="100"/>
    <n v="2501"/>
    <x v="5"/>
    <n v="1"/>
    <n v="101.44"/>
    <d v="2025-01-09T00:00:00"/>
    <d v="2025-01-13T00:00:00"/>
    <x v="0"/>
    <s v="OK"/>
    <s v="OK"/>
    <x v="1"/>
    <n v="4"/>
    <n v="0"/>
    <n v="101.44"/>
  </r>
  <r>
    <n v="52428"/>
    <n v="31406"/>
    <x v="100"/>
    <n v="2501"/>
    <x v="12"/>
    <n v="1"/>
    <n v="65.260000000000005"/>
    <d v="2025-01-08T00:00:00"/>
    <d v="2025-01-14T00:00:00"/>
    <x v="0"/>
    <s v="OK"/>
    <s v="OK"/>
    <x v="3"/>
    <n v="6"/>
    <n v="0"/>
    <n v="65.260000000000005"/>
  </r>
  <r>
    <n v="52429"/>
    <n v="31407"/>
    <x v="39"/>
    <n v="2515"/>
    <x v="5"/>
    <n v="3"/>
    <n v="304.32"/>
    <d v="2025-01-04T00:00:00"/>
    <s v=""/>
    <x v="3"/>
    <s v="Missing date"/>
    <s v="OK"/>
    <x v="1"/>
    <s v=""/>
    <n v="1"/>
    <n v="101.44"/>
  </r>
  <r>
    <n v="52430"/>
    <n v="31407"/>
    <x v="39"/>
    <n v="2515"/>
    <x v="13"/>
    <n v="1"/>
    <n v="121.5"/>
    <s v=""/>
    <s v=""/>
    <x v="3"/>
    <s v="Missing date"/>
    <s v="Missing date"/>
    <x v="1"/>
    <s v=""/>
    <n v="0"/>
    <n v="121.5"/>
  </r>
  <r>
    <n v="52431"/>
    <n v="31407"/>
    <x v="39"/>
    <n v="2515"/>
    <x v="10"/>
    <n v="2"/>
    <n v="430.68"/>
    <d v="2025-01-05T00:00:00"/>
    <s v=""/>
    <x v="3"/>
    <s v="Missing date"/>
    <s v="OK"/>
    <x v="3"/>
    <s v=""/>
    <n v="0"/>
    <n v="215.34"/>
  </r>
  <r>
    <n v="52432"/>
    <n v="31407"/>
    <x v="329"/>
    <n v="2515"/>
    <x v="11"/>
    <n v="1"/>
    <n v="224.37"/>
    <s v=""/>
    <s v=""/>
    <x v="3"/>
    <s v="Missing date"/>
    <s v="Missing date"/>
    <x v="2"/>
    <s v=""/>
    <n v="0"/>
    <n v="224.37"/>
  </r>
  <r>
    <n v="52433"/>
    <n v="31408"/>
    <x v="323"/>
    <n v="2549"/>
    <x v="9"/>
    <n v="1"/>
    <n v="40.28"/>
    <d v="2025-04-26T00:00:00"/>
    <d v="2025-05-04T00:00:00"/>
    <x v="0"/>
    <s v="OK"/>
    <s v="OK"/>
    <x v="0"/>
    <n v="8"/>
    <n v="1"/>
    <n v="40.28"/>
  </r>
  <r>
    <n v="52434"/>
    <n v="31408"/>
    <x v="323"/>
    <n v="2549"/>
    <x v="3"/>
    <n v="1"/>
    <n v="118.6"/>
    <d v="2025-04-24T00:00:00"/>
    <d v="2025-04-29T00:00:00"/>
    <x v="0"/>
    <s v="OK"/>
    <s v="OK"/>
    <x v="2"/>
    <n v="5"/>
    <n v="0"/>
    <n v="118.6"/>
  </r>
  <r>
    <n v="52435"/>
    <n v="31408"/>
    <x v="323"/>
    <n v="2549"/>
    <x v="13"/>
    <n v="1"/>
    <n v="121.5"/>
    <d v="2025-04-24T00:00:00"/>
    <d v="2025-04-30T00:00:00"/>
    <x v="0"/>
    <s v="OK"/>
    <s v="OK"/>
    <x v="1"/>
    <n v="6"/>
    <n v="0"/>
    <n v="121.5"/>
  </r>
  <r>
    <n v="52436"/>
    <n v="31408"/>
    <x v="323"/>
    <n v="2549"/>
    <x v="15"/>
    <n v="1"/>
    <n v="170.25"/>
    <d v="2025-04-24T00:00:00"/>
    <d v="2025-05-04T00:00:00"/>
    <x v="0"/>
    <s v="OK"/>
    <s v="OK"/>
    <x v="1"/>
    <n v="10"/>
    <n v="0"/>
    <n v="170.25"/>
  </r>
  <r>
    <n v="52437"/>
    <n v="31409"/>
    <x v="205"/>
    <n v="2232"/>
    <x v="11"/>
    <n v="2"/>
    <n v="448.74"/>
    <d v="2025-04-11T00:00:00"/>
    <d v="2025-04-13T00:00:00"/>
    <x v="0"/>
    <s v="OK"/>
    <s v="OK"/>
    <x v="2"/>
    <n v="2"/>
    <n v="1"/>
    <n v="224.37"/>
  </r>
  <r>
    <n v="52438"/>
    <n v="31410"/>
    <x v="113"/>
    <n v="2593"/>
    <x v="5"/>
    <n v="1"/>
    <n v="101.44"/>
    <d v="2025-08-14T00:00:00"/>
    <d v="2025-08-18T00:00:00"/>
    <x v="0"/>
    <s v="OK"/>
    <s v="OK"/>
    <x v="1"/>
    <n v="4"/>
    <n v="1"/>
    <n v="101.44"/>
  </r>
  <r>
    <n v="52439"/>
    <n v="31411"/>
    <x v="95"/>
    <n v="2280"/>
    <x v="12"/>
    <n v="1"/>
    <n v="65.260000000000005"/>
    <d v="2025-01-06T00:00:00"/>
    <d v="2025-01-12T00:00:00"/>
    <x v="0"/>
    <s v="OK"/>
    <s v="OK"/>
    <x v="3"/>
    <n v="6"/>
    <n v="1"/>
    <n v="65.260000000000005"/>
  </r>
  <r>
    <n v="52440"/>
    <n v="31411"/>
    <x v="95"/>
    <n v="2280"/>
    <x v="10"/>
    <n v="1"/>
    <n v="215.34"/>
    <d v="2025-01-05T00:00:00"/>
    <d v="2025-01-15T00:00:00"/>
    <x v="0"/>
    <s v="OK"/>
    <s v="OK"/>
    <x v="3"/>
    <n v="10"/>
    <n v="0"/>
    <n v="215.34"/>
  </r>
  <r>
    <n v="52441"/>
    <n v="31412"/>
    <x v="73"/>
    <n v="2215"/>
    <x v="11"/>
    <n v="3"/>
    <n v="673.11"/>
    <d v="2025-09-22T00:00:00"/>
    <d v="2025-10-02T00:00:00"/>
    <x v="0"/>
    <s v="OK"/>
    <s v="OK"/>
    <x v="2"/>
    <n v="10"/>
    <n v="1"/>
    <n v="224.37"/>
  </r>
  <r>
    <n v="52442"/>
    <n v="31413"/>
    <x v="91"/>
    <n v="2310"/>
    <x v="13"/>
    <n v="2"/>
    <n v="243"/>
    <d v="2025-04-02T00:00:00"/>
    <d v="2025-05-04T00:00:00"/>
    <x v="0"/>
    <s v="OK"/>
    <s v="OK"/>
    <x v="1"/>
    <n v="32"/>
    <n v="1"/>
    <n v="121.5"/>
  </r>
  <r>
    <n v="52443"/>
    <n v="31414"/>
    <x v="95"/>
    <n v="2444"/>
    <x v="5"/>
    <n v="1"/>
    <n v="101.44"/>
    <d v="2025-02-04T00:00:00"/>
    <d v="2025-05-04T00:00:00"/>
    <x v="0"/>
    <s v="OK"/>
    <s v="OK"/>
    <x v="1"/>
    <n v="89"/>
    <n v="1"/>
    <n v="101.44"/>
  </r>
  <r>
    <n v="52444"/>
    <n v="31415"/>
    <x v="194"/>
    <n v="2205"/>
    <x v="9"/>
    <n v="2"/>
    <n v="80.56"/>
    <d v="2025-12-01T00:00:00"/>
    <d v="2025-12-04T00:00:00"/>
    <x v="0"/>
    <s v="OK"/>
    <s v="OK"/>
    <x v="0"/>
    <n v="3"/>
    <n v="1"/>
    <n v="40.28"/>
  </r>
  <r>
    <n v="52445"/>
    <n v="31415"/>
    <x v="194"/>
    <n v="2205"/>
    <x v="14"/>
    <n v="2"/>
    <n v="239.48"/>
    <d v="2025-12-01T00:00:00"/>
    <d v="2025-12-08T00:00:00"/>
    <x v="0"/>
    <s v="OK"/>
    <s v="OK"/>
    <x v="3"/>
    <n v="7"/>
    <n v="0"/>
    <n v="119.74"/>
  </r>
  <r>
    <n v="52446"/>
    <n v="31416"/>
    <x v="113"/>
    <n v="2561"/>
    <x v="8"/>
    <n v="1"/>
    <n v="203.04"/>
    <d v="2025-08-12T00:00:00"/>
    <d v="2025-08-15T00:00:00"/>
    <x v="0"/>
    <s v="OK"/>
    <s v="OK"/>
    <x v="2"/>
    <n v="3"/>
    <n v="1"/>
    <n v="203.04"/>
  </r>
  <r>
    <n v="52447"/>
    <n v="31416"/>
    <x v="113"/>
    <n v="2561"/>
    <x v="7"/>
    <n v="1"/>
    <n v="253.86"/>
    <d v="2025-08-14T00:00:00"/>
    <d v="2025-08-19T00:00:00"/>
    <x v="0"/>
    <s v="OK"/>
    <s v="OK"/>
    <x v="0"/>
    <n v="5"/>
    <n v="0"/>
    <n v="253.86"/>
  </r>
  <r>
    <n v="52448"/>
    <n v="31416"/>
    <x v="113"/>
    <n v="2561"/>
    <x v="12"/>
    <n v="2"/>
    <n v="130.52000000000001"/>
    <d v="2025-08-12T00:00:00"/>
    <d v="2025-08-16T00:00:00"/>
    <x v="0"/>
    <s v="OK"/>
    <s v="OK"/>
    <x v="3"/>
    <n v="4"/>
    <n v="0"/>
    <n v="65.260000000000005"/>
  </r>
  <r>
    <n v="52449"/>
    <n v="31417"/>
    <x v="316"/>
    <n v="2219"/>
    <x v="14"/>
    <n v="1"/>
    <n v="119.74"/>
    <d v="2025-10-20T00:00:00"/>
    <d v="2025-10-29T00:00:00"/>
    <x v="0"/>
    <s v="OK"/>
    <s v="OK"/>
    <x v="3"/>
    <n v="9"/>
    <n v="1"/>
    <n v="119.74"/>
  </r>
  <r>
    <n v="52450"/>
    <n v="31418"/>
    <x v="114"/>
    <n v="2275"/>
    <x v="10"/>
    <n v="2"/>
    <n v="430.68"/>
    <s v=""/>
    <s v=""/>
    <x v="2"/>
    <s v="Missing date"/>
    <s v="Missing date"/>
    <x v="3"/>
    <s v=""/>
    <n v="1"/>
    <n v="215.34"/>
  </r>
  <r>
    <n v="52451"/>
    <n v="31419"/>
    <x v="176"/>
    <n v="2580"/>
    <x v="3"/>
    <n v="1"/>
    <n v="118.6"/>
    <d v="2025-03-18T00:00:00"/>
    <d v="2025-03-19T00:00:00"/>
    <x v="0"/>
    <s v="OK"/>
    <s v="OK"/>
    <x v="2"/>
    <n v="1"/>
    <n v="1"/>
    <n v="118.6"/>
  </r>
  <r>
    <n v="52452"/>
    <n v="31420"/>
    <x v="210"/>
    <n v="2535"/>
    <x v="14"/>
    <n v="2"/>
    <n v="239.48"/>
    <d v="2025-12-12T00:00:00"/>
    <d v="2025-12-18T00:00:00"/>
    <x v="0"/>
    <s v="OK"/>
    <s v="OK"/>
    <x v="3"/>
    <n v="6"/>
    <n v="1"/>
    <n v="119.74"/>
  </r>
  <r>
    <n v="52453"/>
    <n v="31421"/>
    <x v="97"/>
    <n v="2152"/>
    <x v="13"/>
    <n v="1"/>
    <n v="121.5"/>
    <d v="2025-12-29T00:00:00"/>
    <d v="2026-04-01T00:00:00"/>
    <x v="0"/>
    <s v="OK"/>
    <s v="OK"/>
    <x v="1"/>
    <n v="93"/>
    <n v="1"/>
    <n v="121.5"/>
  </r>
  <r>
    <n v="52454"/>
    <n v="31421"/>
    <x v="97"/>
    <n v="2152"/>
    <x v="10"/>
    <n v="1"/>
    <n v="215.34"/>
    <d v="2025-12-29T00:00:00"/>
    <d v="2026-04-01T00:00:00"/>
    <x v="0"/>
    <s v="OK"/>
    <s v="OK"/>
    <x v="3"/>
    <n v="93"/>
    <n v="0"/>
    <n v="215.34"/>
  </r>
  <r>
    <n v="52455"/>
    <n v="31422"/>
    <x v="47"/>
    <n v="2421"/>
    <x v="11"/>
    <n v="1"/>
    <n v="224.37"/>
    <d v="2025-10-17T00:00:00"/>
    <d v="2025-10-22T00:00:00"/>
    <x v="0"/>
    <s v="OK"/>
    <s v="OK"/>
    <x v="2"/>
    <n v="5"/>
    <n v="1"/>
    <n v="224.37"/>
  </r>
  <r>
    <n v="52456"/>
    <n v="31422"/>
    <x v="47"/>
    <n v="2421"/>
    <x v="0"/>
    <n v="3"/>
    <n v="599.42999999999995"/>
    <d v="2025-10-15T00:00:00"/>
    <d v="2025-10-19T00:00:00"/>
    <x v="0"/>
    <s v="OK"/>
    <s v="OK"/>
    <x v="0"/>
    <n v="4"/>
    <n v="0"/>
    <n v="199.80999999999997"/>
  </r>
  <r>
    <n v="52457"/>
    <n v="31423"/>
    <x v="188"/>
    <n v="2423"/>
    <x v="13"/>
    <n v="1"/>
    <n v="121.5"/>
    <d v="2025-02-22T00:00:00"/>
    <d v="2025-03-02T00:00:00"/>
    <x v="0"/>
    <s v="OK"/>
    <s v="OK"/>
    <x v="1"/>
    <n v="8"/>
    <n v="1"/>
    <n v="121.5"/>
  </r>
  <r>
    <n v="52458"/>
    <n v="31423"/>
    <x v="188"/>
    <n v="2423"/>
    <x v="7"/>
    <n v="2"/>
    <n v="507.72"/>
    <d v="2025-02-22T00:00:00"/>
    <d v="2025-02-27T00:00:00"/>
    <x v="0"/>
    <s v="OK"/>
    <s v="OK"/>
    <x v="0"/>
    <n v="5"/>
    <n v="0"/>
    <n v="253.86"/>
  </r>
  <r>
    <n v="52459"/>
    <n v="31423"/>
    <x v="188"/>
    <n v="2423"/>
    <x v="9"/>
    <n v="1"/>
    <n v="40.28"/>
    <d v="2025-02-22T00:00:00"/>
    <d v="2025-03-03T00:00:00"/>
    <x v="0"/>
    <s v="OK"/>
    <s v="OK"/>
    <x v="0"/>
    <n v="9"/>
    <n v="0"/>
    <n v="40.28"/>
  </r>
  <r>
    <n v="52460"/>
    <n v="31424"/>
    <x v="348"/>
    <n v="2242"/>
    <x v="4"/>
    <n v="1"/>
    <n v="183.74"/>
    <d v="2025-01-07T00:00:00"/>
    <d v="2025-01-12T00:00:00"/>
    <x v="0"/>
    <s v="OK"/>
    <s v="OK"/>
    <x v="2"/>
    <n v="5"/>
    <n v="1"/>
    <n v="183.74"/>
  </r>
  <r>
    <n v="52461"/>
    <n v="31425"/>
    <x v="16"/>
    <n v="2154"/>
    <x v="1"/>
    <n v="1"/>
    <n v="206.09"/>
    <d v="2025-06-10T00:00:00"/>
    <d v="2025-06-15T00:00:00"/>
    <x v="0"/>
    <s v="OK"/>
    <s v="OK"/>
    <x v="0"/>
    <n v="5"/>
    <n v="1"/>
    <n v="206.09"/>
  </r>
  <r>
    <n v="52462"/>
    <n v="31425"/>
    <x v="16"/>
    <n v="2154"/>
    <x v="13"/>
    <n v="3"/>
    <n v="364.5"/>
    <d v="2025-06-10T00:00:00"/>
    <d v="2025-06-11T00:00:00"/>
    <x v="0"/>
    <s v="OK"/>
    <s v="OK"/>
    <x v="1"/>
    <n v="1"/>
    <n v="0"/>
    <n v="121.5"/>
  </r>
  <r>
    <n v="52463"/>
    <n v="31426"/>
    <x v="82"/>
    <n v="2476"/>
    <x v="10"/>
    <n v="3"/>
    <n v="646.02"/>
    <d v="2025-02-08T00:00:00"/>
    <d v="2025-02-13T00:00:00"/>
    <x v="0"/>
    <s v="OK"/>
    <s v="OK"/>
    <x v="3"/>
    <n v="5"/>
    <n v="1"/>
    <n v="215.34"/>
  </r>
  <r>
    <n v="52464"/>
    <n v="31426"/>
    <x v="82"/>
    <n v="2476"/>
    <x v="10"/>
    <n v="3"/>
    <n v="646.02"/>
    <d v="2025-02-08T00:00:00"/>
    <d v="2025-02-14T00:00:00"/>
    <x v="0"/>
    <s v="OK"/>
    <s v="OK"/>
    <x v="3"/>
    <n v="6"/>
    <n v="0"/>
    <n v="215.34"/>
  </r>
  <r>
    <n v="52465"/>
    <n v="31427"/>
    <x v="203"/>
    <n v="2038"/>
    <x v="9"/>
    <n v="4"/>
    <n v="161.12"/>
    <d v="2025-03-26T00:00:00"/>
    <d v="2025-04-04T00:00:00"/>
    <x v="0"/>
    <s v="OK"/>
    <s v="OK"/>
    <x v="0"/>
    <n v="9"/>
    <n v="1"/>
    <n v="40.28"/>
  </r>
  <r>
    <n v="52466"/>
    <n v="31428"/>
    <x v="2"/>
    <n v="2140"/>
    <x v="9"/>
    <n v="1"/>
    <n v="40.28"/>
    <d v="2025-05-12T00:00:00"/>
    <d v="2025-05-20T00:00:00"/>
    <x v="0"/>
    <s v="OK"/>
    <s v="OK"/>
    <x v="0"/>
    <n v="8"/>
    <n v="1"/>
    <n v="40.28"/>
  </r>
  <r>
    <n v="52467"/>
    <n v="31429"/>
    <x v="175"/>
    <n v="2564"/>
    <x v="3"/>
    <n v="3"/>
    <n v="355.8"/>
    <d v="2025-01-24T00:00:00"/>
    <d v="2025-01-29T00:00:00"/>
    <x v="0"/>
    <s v="OK"/>
    <s v="OK"/>
    <x v="2"/>
    <n v="5"/>
    <n v="1"/>
    <n v="118.60000000000001"/>
  </r>
  <r>
    <n v="52468"/>
    <n v="31429"/>
    <x v="175"/>
    <n v="2564"/>
    <x v="12"/>
    <n v="1"/>
    <n v="65.260000000000005"/>
    <d v="2025-01-25T00:00:00"/>
    <d v="2025-01-29T00:00:00"/>
    <x v="0"/>
    <s v="OK"/>
    <s v="OK"/>
    <x v="3"/>
    <n v="4"/>
    <n v="0"/>
    <n v="65.260000000000005"/>
  </r>
  <r>
    <n v="52469"/>
    <n v="31429"/>
    <x v="175"/>
    <n v="2564"/>
    <x v="8"/>
    <n v="1"/>
    <n v="203.04"/>
    <d v="2025-01-24T00:00:00"/>
    <d v="2025-02-01T00:00:00"/>
    <x v="0"/>
    <s v="OK"/>
    <s v="OK"/>
    <x v="2"/>
    <n v="8"/>
    <n v="0"/>
    <n v="203.04"/>
  </r>
  <r>
    <n v="52470"/>
    <n v="31430"/>
    <x v="164"/>
    <n v="2057"/>
    <x v="11"/>
    <n v="2"/>
    <n v="448.74"/>
    <s v=""/>
    <s v=""/>
    <x v="3"/>
    <s v="Missing date"/>
    <s v="Missing date"/>
    <x v="2"/>
    <s v=""/>
    <n v="1"/>
    <n v="224.37"/>
  </r>
  <r>
    <n v="52471"/>
    <n v="31431"/>
    <x v="229"/>
    <n v="2306"/>
    <x v="10"/>
    <n v="1"/>
    <n v="215.34"/>
    <s v=""/>
    <s v=""/>
    <x v="2"/>
    <s v="Missing date"/>
    <s v="Missing date"/>
    <x v="3"/>
    <s v=""/>
    <n v="1"/>
    <n v="215.34"/>
  </r>
  <r>
    <n v="52472"/>
    <n v="31431"/>
    <x v="229"/>
    <n v="2306"/>
    <x v="2"/>
    <n v="1"/>
    <n v="241.54"/>
    <s v=""/>
    <s v=""/>
    <x v="2"/>
    <s v="Missing date"/>
    <s v="Missing date"/>
    <x v="1"/>
    <s v=""/>
    <n v="0"/>
    <n v="241.54"/>
  </r>
  <r>
    <n v="52473"/>
    <n v="31431"/>
    <x v="229"/>
    <n v="2306"/>
    <x v="11"/>
    <n v="1"/>
    <n v="224.37"/>
    <s v=""/>
    <s v=""/>
    <x v="2"/>
    <s v="Missing date"/>
    <s v="Missing date"/>
    <x v="2"/>
    <s v=""/>
    <n v="0"/>
    <n v="224.37"/>
  </r>
  <r>
    <n v="52474"/>
    <n v="31431"/>
    <x v="229"/>
    <n v="2306"/>
    <x v="15"/>
    <n v="1"/>
    <n v="170.25"/>
    <s v=""/>
    <s v=""/>
    <x v="2"/>
    <s v="Missing date"/>
    <s v="Missing date"/>
    <x v="1"/>
    <s v=""/>
    <n v="0"/>
    <n v="170.25"/>
  </r>
  <r>
    <n v="52475"/>
    <n v="31432"/>
    <x v="16"/>
    <n v="2144"/>
    <x v="4"/>
    <n v="1"/>
    <n v="183.74"/>
    <d v="2025-06-10T00:00:00"/>
    <d v="2025-06-12T00:00:00"/>
    <x v="0"/>
    <s v="OK"/>
    <s v="OK"/>
    <x v="2"/>
    <n v="2"/>
    <n v="1"/>
    <n v="183.74"/>
  </r>
  <r>
    <n v="52476"/>
    <n v="31432"/>
    <x v="16"/>
    <n v="2144"/>
    <x v="9"/>
    <n v="3"/>
    <n v="120.84"/>
    <d v="2025-06-09T00:00:00"/>
    <d v="2025-06-18T00:00:00"/>
    <x v="0"/>
    <s v="OK"/>
    <s v="OK"/>
    <x v="0"/>
    <n v="9"/>
    <n v="0"/>
    <n v="40.28"/>
  </r>
  <r>
    <n v="52477"/>
    <n v="31433"/>
    <x v="238"/>
    <n v="2509"/>
    <x v="1"/>
    <n v="2"/>
    <n v="412.18"/>
    <s v=""/>
    <s v=""/>
    <x v="2"/>
    <s v="Missing date"/>
    <s v="Missing date"/>
    <x v="0"/>
    <s v=""/>
    <n v="1"/>
    <n v="206.09"/>
  </r>
  <r>
    <n v="52478"/>
    <n v="31433"/>
    <x v="238"/>
    <n v="2509"/>
    <x v="4"/>
    <n v="3"/>
    <n v="551.22"/>
    <s v=""/>
    <s v=""/>
    <x v="2"/>
    <s v="Missing date"/>
    <s v="Missing date"/>
    <x v="2"/>
    <s v=""/>
    <n v="0"/>
    <n v="183.74"/>
  </r>
  <r>
    <n v="52479"/>
    <n v="31434"/>
    <x v="354"/>
    <n v="2321"/>
    <x v="15"/>
    <n v="2"/>
    <n v="340.5"/>
    <d v="2025-08-20T00:00:00"/>
    <d v="2025-08-24T00:00:00"/>
    <x v="0"/>
    <s v="OK"/>
    <s v="OK"/>
    <x v="1"/>
    <n v="4"/>
    <n v="1"/>
    <n v="170.25"/>
  </r>
  <r>
    <n v="52480"/>
    <n v="31434"/>
    <x v="354"/>
    <n v="2321"/>
    <x v="1"/>
    <n v="1"/>
    <n v="206.09"/>
    <d v="2025-08-19T00:00:00"/>
    <d v="2025-08-20T00:00:00"/>
    <x v="0"/>
    <s v="OK"/>
    <s v="OK"/>
    <x v="0"/>
    <n v="1"/>
    <n v="0"/>
    <n v="206.09"/>
  </r>
  <r>
    <n v="52481"/>
    <n v="31434"/>
    <x v="354"/>
    <n v="2321"/>
    <x v="10"/>
    <n v="1"/>
    <n v="215.34"/>
    <d v="2025-08-19T00:00:00"/>
    <d v="2025-08-20T00:00:00"/>
    <x v="0"/>
    <s v="OK"/>
    <s v="OK"/>
    <x v="3"/>
    <n v="1"/>
    <n v="0"/>
    <n v="215.34"/>
  </r>
  <r>
    <n v="52482"/>
    <n v="31435"/>
    <x v="66"/>
    <n v="2224"/>
    <x v="7"/>
    <n v="1"/>
    <n v="253.86"/>
    <d v="2025-02-18T00:00:00"/>
    <d v="2025-02-19T00:00:00"/>
    <x v="0"/>
    <s v="OK"/>
    <s v="OK"/>
    <x v="0"/>
    <n v="1"/>
    <n v="1"/>
    <n v="253.86"/>
  </r>
  <r>
    <n v="52483"/>
    <n v="31436"/>
    <x v="86"/>
    <n v="2220"/>
    <x v="14"/>
    <n v="1"/>
    <n v="119.74"/>
    <d v="2025-03-04T00:00:00"/>
    <d v="2025-10-04T00:00:00"/>
    <x v="1"/>
    <s v="OK"/>
    <s v="OK"/>
    <x v="3"/>
    <n v="214"/>
    <n v="1"/>
    <n v="119.74"/>
  </r>
  <r>
    <n v="52484"/>
    <n v="31436"/>
    <x v="24"/>
    <n v="2220"/>
    <x v="10"/>
    <n v="1"/>
    <n v="215.34"/>
    <d v="2025-04-05T00:00:00"/>
    <d v="2025-04-13T00:00:00"/>
    <x v="1"/>
    <s v="OK"/>
    <s v="OK"/>
    <x v="3"/>
    <n v="8"/>
    <n v="0"/>
    <n v="215.34"/>
  </r>
  <r>
    <n v="52485"/>
    <n v="31437"/>
    <x v="113"/>
    <n v="2261"/>
    <x v="3"/>
    <n v="1"/>
    <n v="118.6"/>
    <s v=""/>
    <s v=""/>
    <x v="2"/>
    <s v="Missing date"/>
    <s v="Missing date"/>
    <x v="2"/>
    <s v=""/>
    <n v="1"/>
    <n v="118.6"/>
  </r>
  <r>
    <n v="52486"/>
    <n v="31437"/>
    <x v="292"/>
    <n v="2261"/>
    <x v="12"/>
    <n v="4"/>
    <n v="261.04000000000002"/>
    <s v=""/>
    <s v=""/>
    <x v="2"/>
    <s v="Missing date"/>
    <s v="Missing date"/>
    <x v="3"/>
    <s v=""/>
    <n v="0"/>
    <n v="65.260000000000005"/>
  </r>
  <r>
    <n v="52487"/>
    <n v="31438"/>
    <x v="241"/>
    <n v="2547"/>
    <x v="4"/>
    <n v="2"/>
    <n v="367.48"/>
    <d v="2025-02-22T00:00:00"/>
    <d v="2025-02-26T00:00:00"/>
    <x v="0"/>
    <s v="OK"/>
    <s v="OK"/>
    <x v="2"/>
    <n v="4"/>
    <n v="1"/>
    <n v="183.74"/>
  </r>
  <r>
    <n v="52488"/>
    <n v="31438"/>
    <x v="241"/>
    <n v="2547"/>
    <x v="5"/>
    <n v="2"/>
    <n v="202.88"/>
    <d v="2025-02-22T00:00:00"/>
    <d v="2025-02-24T00:00:00"/>
    <x v="0"/>
    <s v="OK"/>
    <s v="OK"/>
    <x v="1"/>
    <n v="2"/>
    <n v="0"/>
    <n v="101.44"/>
  </r>
  <r>
    <n v="52489"/>
    <n v="31439"/>
    <x v="21"/>
    <n v="2559"/>
    <x v="1"/>
    <n v="1"/>
    <n v="206.09"/>
    <d v="2025-05-16T00:00:00"/>
    <d v="2025-05-17T00:00:00"/>
    <x v="0"/>
    <s v="OK"/>
    <s v="OK"/>
    <x v="0"/>
    <n v="1"/>
    <n v="1"/>
    <n v="206.09"/>
  </r>
  <r>
    <n v="52490"/>
    <n v="31440"/>
    <x v="67"/>
    <n v="2285"/>
    <x v="6"/>
    <n v="1"/>
    <n v="31.73"/>
    <s v=""/>
    <s v=""/>
    <x v="2"/>
    <s v="Missing date"/>
    <s v="Missing date"/>
    <x v="2"/>
    <s v=""/>
    <n v="1"/>
    <n v="31.73"/>
  </r>
  <r>
    <n v="52491"/>
    <n v="31440"/>
    <x v="67"/>
    <n v="2285"/>
    <x v="2"/>
    <n v="1"/>
    <n v="241.54"/>
    <s v=""/>
    <s v=""/>
    <x v="2"/>
    <s v="Missing date"/>
    <s v="Missing date"/>
    <x v="1"/>
    <s v=""/>
    <n v="0"/>
    <n v="241.54"/>
  </r>
  <r>
    <n v="52492"/>
    <n v="31441"/>
    <x v="275"/>
    <n v="2487"/>
    <x v="13"/>
    <n v="1"/>
    <n v="121.5"/>
    <d v="2025-02-07T00:00:00"/>
    <d v="2025-02-10T00:00:00"/>
    <x v="0"/>
    <s v="OK"/>
    <s v="OK"/>
    <x v="1"/>
    <n v="3"/>
    <n v="1"/>
    <n v="121.5"/>
  </r>
  <r>
    <n v="52493"/>
    <n v="31441"/>
    <x v="275"/>
    <n v="2487"/>
    <x v="8"/>
    <n v="2"/>
    <n v="406.08"/>
    <d v="2025-02-07T00:00:00"/>
    <d v="2025-02-17T00:00:00"/>
    <x v="0"/>
    <s v="OK"/>
    <s v="OK"/>
    <x v="2"/>
    <n v="10"/>
    <n v="0"/>
    <n v="203.04"/>
  </r>
  <r>
    <n v="52494"/>
    <n v="31442"/>
    <x v="145"/>
    <n v="2036"/>
    <x v="3"/>
    <n v="2"/>
    <n v="237.2"/>
    <s v=""/>
    <s v=""/>
    <x v="3"/>
    <s v="Missing date"/>
    <s v="Missing date"/>
    <x v="2"/>
    <s v=""/>
    <n v="1"/>
    <n v="118.6"/>
  </r>
  <r>
    <n v="52495"/>
    <n v="31443"/>
    <x v="196"/>
    <n v="2246"/>
    <x v="15"/>
    <n v="1"/>
    <n v="170.25"/>
    <d v="2025-06-12T00:00:00"/>
    <d v="2025-06-15T00:00:00"/>
    <x v="0"/>
    <s v="OK"/>
    <s v="OK"/>
    <x v="1"/>
    <n v="3"/>
    <n v="1"/>
    <n v="170.25"/>
  </r>
  <r>
    <n v="52496"/>
    <n v="31443"/>
    <x v="196"/>
    <n v="2246"/>
    <x v="13"/>
    <n v="1"/>
    <n v="121.5"/>
    <d v="2025-06-10T00:00:00"/>
    <d v="2025-06-16T00:00:00"/>
    <x v="0"/>
    <s v="OK"/>
    <s v="OK"/>
    <x v="1"/>
    <n v="6"/>
    <n v="0"/>
    <n v="121.5"/>
  </r>
  <r>
    <n v="52497"/>
    <n v="31443"/>
    <x v="196"/>
    <n v="2246"/>
    <x v="2"/>
    <n v="3"/>
    <n v="724.62"/>
    <d v="2025-06-12T00:00:00"/>
    <d v="2025-06-19T00:00:00"/>
    <x v="0"/>
    <s v="OK"/>
    <s v="OK"/>
    <x v="1"/>
    <n v="7"/>
    <n v="0"/>
    <n v="241.54"/>
  </r>
  <r>
    <n v="52498"/>
    <n v="31444"/>
    <x v="68"/>
    <n v="2125"/>
    <x v="1"/>
    <n v="3"/>
    <n v="618.27"/>
    <d v="2025-08-30T00:00:00"/>
    <d v="2025-09-03T00:00:00"/>
    <x v="0"/>
    <s v="OK"/>
    <s v="OK"/>
    <x v="0"/>
    <n v="4"/>
    <n v="1"/>
    <n v="206.09"/>
  </r>
  <r>
    <n v="52499"/>
    <n v="31444"/>
    <x v="68"/>
    <n v="2125"/>
    <x v="14"/>
    <n v="3"/>
    <n v="359.22"/>
    <d v="2025-08-31T00:00:00"/>
    <d v="2025-09-03T00:00:00"/>
    <x v="0"/>
    <s v="OK"/>
    <s v="OK"/>
    <x v="3"/>
    <n v="3"/>
    <n v="0"/>
    <n v="119.74000000000001"/>
  </r>
  <r>
    <n v="52500"/>
    <n v="31445"/>
    <x v="208"/>
    <n v="2398"/>
    <x v="15"/>
    <n v="2"/>
    <n v="340.5"/>
    <d v="2025-05-27T00:00:00"/>
    <d v="2025-06-01T00:00:00"/>
    <x v="0"/>
    <s v="OK"/>
    <s v="OK"/>
    <x v="1"/>
    <n v="5"/>
    <n v="1"/>
    <n v="170.25"/>
  </r>
  <r>
    <n v="52501"/>
    <n v="31446"/>
    <x v="194"/>
    <n v="2262"/>
    <x v="1"/>
    <n v="1"/>
    <n v="206.09"/>
    <d v="2025-12-02T00:00:00"/>
    <d v="2025-12-11T00:00:00"/>
    <x v="0"/>
    <s v="OK"/>
    <s v="OK"/>
    <x v="0"/>
    <n v="9"/>
    <n v="1"/>
    <n v="206.09"/>
  </r>
  <r>
    <n v="52502"/>
    <n v="31447"/>
    <x v="282"/>
    <n v="2305"/>
    <x v="7"/>
    <n v="1"/>
    <n v="253.86"/>
    <d v="2025-05-27T00:00:00"/>
    <d v="2025-06-04T00:00:00"/>
    <x v="0"/>
    <s v="OK"/>
    <s v="OK"/>
    <x v="0"/>
    <n v="8"/>
    <n v="1"/>
    <n v="253.86"/>
  </r>
  <r>
    <n v="52503"/>
    <n v="31447"/>
    <x v="282"/>
    <n v="2305"/>
    <x v="14"/>
    <n v="1"/>
    <n v="119.74"/>
    <d v="2025-05-26T00:00:00"/>
    <d v="2025-05-30T00:00:00"/>
    <x v="0"/>
    <s v="OK"/>
    <s v="OK"/>
    <x v="3"/>
    <n v="4"/>
    <n v="0"/>
    <n v="119.74"/>
  </r>
  <r>
    <n v="52504"/>
    <n v="31448"/>
    <x v="326"/>
    <n v="2325"/>
    <x v="10"/>
    <n v="2"/>
    <n v="430.68"/>
    <s v=""/>
    <s v=""/>
    <x v="2"/>
    <s v="Missing date"/>
    <s v="Missing date"/>
    <x v="3"/>
    <s v=""/>
    <n v="1"/>
    <n v="215.34"/>
  </r>
  <r>
    <n v="52505"/>
    <n v="31449"/>
    <x v="143"/>
    <n v="2035"/>
    <x v="11"/>
    <n v="1"/>
    <n v="224.37"/>
    <d v="2025-08-16T00:00:00"/>
    <d v="2025-08-24T00:00:00"/>
    <x v="0"/>
    <s v="OK"/>
    <s v="OK"/>
    <x v="2"/>
    <n v="8"/>
    <n v="1"/>
    <n v="224.37"/>
  </r>
  <r>
    <n v="52506"/>
    <n v="31450"/>
    <x v="110"/>
    <n v="2504"/>
    <x v="10"/>
    <n v="1"/>
    <n v="215.34"/>
    <d v="2025-09-21T00:00:00"/>
    <d v="2025-09-29T00:00:00"/>
    <x v="0"/>
    <s v="OK"/>
    <s v="OK"/>
    <x v="3"/>
    <n v="8"/>
    <n v="1"/>
    <n v="215.34"/>
  </r>
  <r>
    <n v="52507"/>
    <n v="31450"/>
    <x v="110"/>
    <n v="2504"/>
    <x v="5"/>
    <n v="2"/>
    <n v="202.88"/>
    <d v="2025-09-19T00:00:00"/>
    <d v="2025-09-26T00:00:00"/>
    <x v="0"/>
    <s v="OK"/>
    <s v="OK"/>
    <x v="1"/>
    <n v="7"/>
    <n v="0"/>
    <n v="101.44"/>
  </r>
  <r>
    <n v="52508"/>
    <n v="31450"/>
    <x v="110"/>
    <n v="2504"/>
    <x v="10"/>
    <n v="2"/>
    <n v="430.68"/>
    <d v="2025-09-20T00:00:00"/>
    <d v="2025-09-22T00:00:00"/>
    <x v="0"/>
    <s v="OK"/>
    <s v="OK"/>
    <x v="3"/>
    <n v="2"/>
    <n v="0"/>
    <n v="215.34"/>
  </r>
  <r>
    <n v="52509"/>
    <n v="31451"/>
    <x v="244"/>
    <n v="2103"/>
    <x v="9"/>
    <n v="1"/>
    <n v="40.28"/>
    <s v=""/>
    <s v=""/>
    <x v="3"/>
    <s v="Missing date"/>
    <s v="Missing date"/>
    <x v="0"/>
    <s v=""/>
    <n v="1"/>
    <n v="40.28"/>
  </r>
  <r>
    <n v="52510"/>
    <n v="31451"/>
    <x v="244"/>
    <n v="2103"/>
    <x v="2"/>
    <n v="1"/>
    <n v="241.54"/>
    <s v=""/>
    <s v=""/>
    <x v="3"/>
    <s v="Missing date"/>
    <s v="Missing date"/>
    <x v="1"/>
    <s v=""/>
    <n v="0"/>
    <n v="241.54"/>
  </r>
  <r>
    <n v="52511"/>
    <n v="31452"/>
    <x v="325"/>
    <n v="2561"/>
    <x v="14"/>
    <n v="2"/>
    <n v="239.48"/>
    <d v="2025-12-15T00:00:00"/>
    <d v="2025-12-18T00:00:00"/>
    <x v="0"/>
    <s v="OK"/>
    <s v="OK"/>
    <x v="3"/>
    <n v="3"/>
    <n v="1"/>
    <n v="119.74"/>
  </r>
  <r>
    <n v="52512"/>
    <n v="31453"/>
    <x v="29"/>
    <n v="2029"/>
    <x v="7"/>
    <n v="3"/>
    <n v="761.58"/>
    <s v=""/>
    <s v=""/>
    <x v="3"/>
    <s v="Missing date"/>
    <s v="Missing date"/>
    <x v="0"/>
    <s v=""/>
    <n v="1"/>
    <n v="253.86"/>
  </r>
  <r>
    <n v="52513"/>
    <n v="31454"/>
    <x v="48"/>
    <n v="2140"/>
    <x v="0"/>
    <n v="4"/>
    <n v="799.24"/>
    <d v="2025-04-14T00:00:00"/>
    <d v="2025-04-21T00:00:00"/>
    <x v="0"/>
    <s v="OK"/>
    <s v="OK"/>
    <x v="0"/>
    <n v="7"/>
    <n v="1"/>
    <n v="199.81"/>
  </r>
  <r>
    <n v="52514"/>
    <n v="31454"/>
    <x v="48"/>
    <n v="2140"/>
    <x v="13"/>
    <n v="2"/>
    <n v="243"/>
    <d v="2025-04-13T00:00:00"/>
    <d v="2025-04-21T00:00:00"/>
    <x v="0"/>
    <s v="OK"/>
    <s v="OK"/>
    <x v="1"/>
    <n v="8"/>
    <n v="0"/>
    <n v="121.5"/>
  </r>
  <r>
    <n v="52515"/>
    <n v="31455"/>
    <x v="284"/>
    <n v="2322"/>
    <x v="4"/>
    <n v="1"/>
    <n v="183.74"/>
    <d v="2025-03-04T00:00:00"/>
    <d v="2025-03-06T00:00:00"/>
    <x v="0"/>
    <s v="OK"/>
    <s v="OK"/>
    <x v="2"/>
    <n v="2"/>
    <n v="1"/>
    <n v="183.74"/>
  </r>
  <r>
    <n v="52516"/>
    <n v="31456"/>
    <x v="262"/>
    <n v="2162"/>
    <x v="6"/>
    <n v="2"/>
    <n v="63.46"/>
    <d v="2025-09-25T00:00:00"/>
    <d v="2025-10-01T00:00:00"/>
    <x v="0"/>
    <s v="OK"/>
    <s v="OK"/>
    <x v="2"/>
    <n v="6"/>
    <n v="1"/>
    <n v="31.73"/>
  </r>
  <r>
    <n v="52517"/>
    <n v="31457"/>
    <x v="5"/>
    <n v="2421"/>
    <x v="5"/>
    <n v="4"/>
    <n v="405.76"/>
    <s v=""/>
    <s v=""/>
    <x v="3"/>
    <s v="Missing date"/>
    <s v="Missing date"/>
    <x v="1"/>
    <s v=""/>
    <n v="1"/>
    <n v="101.44"/>
  </r>
  <r>
    <n v="52518"/>
    <n v="31458"/>
    <x v="193"/>
    <n v="2137"/>
    <x v="5"/>
    <n v="1"/>
    <n v="101.44"/>
    <d v="2025-05-17T00:00:00"/>
    <d v="2025-05-22T00:00:00"/>
    <x v="0"/>
    <s v="OK"/>
    <s v="OK"/>
    <x v="1"/>
    <n v="5"/>
    <n v="1"/>
    <n v="101.44"/>
  </r>
  <r>
    <n v="52519"/>
    <n v="31458"/>
    <x v="193"/>
    <n v="2137"/>
    <x v="13"/>
    <n v="1"/>
    <n v="121.5"/>
    <d v="2025-05-16T00:00:00"/>
    <d v="2025-05-20T00:00:00"/>
    <x v="0"/>
    <s v="OK"/>
    <s v="OK"/>
    <x v="1"/>
    <n v="4"/>
    <n v="0"/>
    <n v="121.5"/>
  </r>
  <r>
    <n v="52520"/>
    <n v="31458"/>
    <x v="193"/>
    <n v="2137"/>
    <x v="0"/>
    <n v="1"/>
    <n v="199.81"/>
    <d v="2025-05-17T00:00:00"/>
    <d v="2025-05-24T00:00:00"/>
    <x v="0"/>
    <s v="OK"/>
    <s v="OK"/>
    <x v="0"/>
    <n v="7"/>
    <n v="0"/>
    <n v="199.81"/>
  </r>
  <r>
    <n v="52521"/>
    <n v="31459"/>
    <x v="125"/>
    <n v="2087"/>
    <x v="7"/>
    <n v="2"/>
    <n v="507.72"/>
    <d v="2025-11-14T00:00:00"/>
    <d v="2025-11-19T00:00:00"/>
    <x v="0"/>
    <s v="OK"/>
    <s v="OK"/>
    <x v="0"/>
    <n v="5"/>
    <n v="1"/>
    <n v="253.86"/>
  </r>
  <r>
    <n v="52522"/>
    <n v="31459"/>
    <x v="125"/>
    <n v="2087"/>
    <x v="15"/>
    <n v="2"/>
    <n v="340.5"/>
    <d v="2025-11-12T00:00:00"/>
    <d v="2025-11-15T00:00:00"/>
    <x v="0"/>
    <s v="OK"/>
    <s v="OK"/>
    <x v="1"/>
    <n v="3"/>
    <n v="0"/>
    <n v="170.25"/>
  </r>
  <r>
    <n v="52523"/>
    <n v="31460"/>
    <x v="316"/>
    <n v="2387"/>
    <x v="1"/>
    <n v="1"/>
    <n v="206.09"/>
    <d v="2025-10-20T00:00:00"/>
    <d v="2025-10-23T00:00:00"/>
    <x v="1"/>
    <s v="OK"/>
    <s v="OK"/>
    <x v="0"/>
    <n v="3"/>
    <n v="1"/>
    <n v="206.09"/>
  </r>
  <r>
    <n v="52524"/>
    <n v="31461"/>
    <x v="52"/>
    <n v="2022"/>
    <x v="1"/>
    <n v="5"/>
    <n v="1030.45"/>
    <d v="2025-01-24T00:00:00"/>
    <d v="2025-02-02T00:00:00"/>
    <x v="1"/>
    <s v="OK"/>
    <s v="OK"/>
    <x v="0"/>
    <n v="9"/>
    <n v="1"/>
    <n v="206.09"/>
  </r>
  <r>
    <n v="52525"/>
    <n v="31461"/>
    <x v="52"/>
    <n v="2022"/>
    <x v="11"/>
    <n v="2"/>
    <n v="448.74"/>
    <d v="2025-01-23T00:00:00"/>
    <d v="2025-02-02T00:00:00"/>
    <x v="1"/>
    <s v="OK"/>
    <s v="OK"/>
    <x v="2"/>
    <n v="10"/>
    <n v="0"/>
    <n v="224.37"/>
  </r>
  <r>
    <n v="52526"/>
    <n v="31462"/>
    <x v="86"/>
    <n v="2474"/>
    <x v="7"/>
    <n v="2"/>
    <n v="507.72"/>
    <d v="2025-02-07T00:00:00"/>
    <d v="2025-02-15T00:00:00"/>
    <x v="0"/>
    <s v="OK"/>
    <s v="OK"/>
    <x v="0"/>
    <n v="8"/>
    <n v="1"/>
    <n v="253.86"/>
  </r>
  <r>
    <n v="52527"/>
    <n v="31463"/>
    <x v="45"/>
    <n v="2051"/>
    <x v="10"/>
    <n v="1"/>
    <n v="215.34"/>
    <d v="2025-02-01T00:00:00"/>
    <d v="2025-02-04T00:00:00"/>
    <x v="0"/>
    <s v="OK"/>
    <s v="OK"/>
    <x v="3"/>
    <n v="3"/>
    <n v="1"/>
    <n v="215.34"/>
  </r>
  <r>
    <n v="52528"/>
    <n v="31464"/>
    <x v="267"/>
    <n v="2267"/>
    <x v="2"/>
    <n v="1"/>
    <n v="241.54"/>
    <d v="2025-05-26T00:00:00"/>
    <d v="2025-06-01T00:00:00"/>
    <x v="0"/>
    <s v="OK"/>
    <s v="OK"/>
    <x v="1"/>
    <n v="6"/>
    <n v="1"/>
    <n v="241.54"/>
  </r>
  <r>
    <n v="52529"/>
    <n v="31464"/>
    <x v="267"/>
    <n v="2267"/>
    <x v="7"/>
    <n v="1"/>
    <n v="253.86"/>
    <d v="2025-05-26T00:00:00"/>
    <d v="2025-05-30T00:00:00"/>
    <x v="0"/>
    <s v="OK"/>
    <s v="OK"/>
    <x v="0"/>
    <n v="4"/>
    <n v="0"/>
    <n v="253.86"/>
  </r>
  <r>
    <n v="52530"/>
    <n v="31464"/>
    <x v="267"/>
    <n v="2267"/>
    <x v="4"/>
    <n v="1"/>
    <n v="183.74"/>
    <d v="2025-05-24T00:00:00"/>
    <d v="2025-06-01T00:00:00"/>
    <x v="0"/>
    <s v="OK"/>
    <s v="OK"/>
    <x v="2"/>
    <n v="8"/>
    <n v="0"/>
    <n v="183.74"/>
  </r>
  <r>
    <n v="52531"/>
    <n v="31464"/>
    <x v="267"/>
    <n v="2267"/>
    <x v="8"/>
    <n v="1"/>
    <n v="203.04"/>
    <d v="2025-05-24T00:00:00"/>
    <d v="2025-05-30T00:00:00"/>
    <x v="0"/>
    <s v="OK"/>
    <s v="OK"/>
    <x v="2"/>
    <n v="6"/>
    <n v="0"/>
    <n v="203.04"/>
  </r>
  <r>
    <n v="52532"/>
    <n v="31465"/>
    <x v="189"/>
    <n v="2539"/>
    <x v="14"/>
    <n v="1"/>
    <n v="119.74"/>
    <d v="2025-03-23T00:00:00"/>
    <d v="2025-04-02T00:00:00"/>
    <x v="0"/>
    <s v="OK"/>
    <s v="OK"/>
    <x v="3"/>
    <n v="10"/>
    <n v="1"/>
    <n v="119.74"/>
  </r>
  <r>
    <n v="52533"/>
    <n v="31466"/>
    <x v="92"/>
    <n v="2507"/>
    <x v="0"/>
    <n v="1"/>
    <n v="199.81"/>
    <d v="2025-05-17T00:00:00"/>
    <d v="2025-05-21T00:00:00"/>
    <x v="0"/>
    <s v="OK"/>
    <s v="OK"/>
    <x v="0"/>
    <n v="4"/>
    <n v="1"/>
    <n v="199.81"/>
  </r>
  <r>
    <n v="52534"/>
    <n v="31467"/>
    <x v="2"/>
    <n v="2196"/>
    <x v="9"/>
    <n v="1"/>
    <n v="40.28"/>
    <d v="2025-05-12T00:00:00"/>
    <d v="2025-05-19T00:00:00"/>
    <x v="1"/>
    <s v="OK"/>
    <s v="OK"/>
    <x v="0"/>
    <n v="7"/>
    <n v="1"/>
    <n v="40.28"/>
  </r>
  <r>
    <n v="52535"/>
    <n v="31468"/>
    <x v="120"/>
    <n v="2295"/>
    <x v="15"/>
    <n v="1"/>
    <n v="170.25"/>
    <d v="2025-09-05T00:00:00"/>
    <d v="2025-09-09T00:00:00"/>
    <x v="0"/>
    <s v="OK"/>
    <s v="OK"/>
    <x v="1"/>
    <n v="4"/>
    <n v="1"/>
    <n v="170.25"/>
  </r>
  <r>
    <n v="52536"/>
    <n v="31468"/>
    <x v="270"/>
    <n v="2295"/>
    <x v="6"/>
    <n v="1"/>
    <n v="31.73"/>
    <d v="2025-09-05T00:00:00"/>
    <d v="2025-09-07T00:00:00"/>
    <x v="0"/>
    <s v="OK"/>
    <s v="OK"/>
    <x v="2"/>
    <n v="2"/>
    <n v="0"/>
    <n v="31.73"/>
  </r>
  <r>
    <n v="52537"/>
    <n v="31469"/>
    <x v="165"/>
    <n v="2442"/>
    <x v="0"/>
    <n v="1"/>
    <n v="199.81"/>
    <s v=""/>
    <s v=""/>
    <x v="3"/>
    <s v="Missing date"/>
    <s v="Missing date"/>
    <x v="0"/>
    <s v=""/>
    <n v="1"/>
    <n v="199.81"/>
  </r>
  <r>
    <n v="52538"/>
    <n v="31470"/>
    <x v="142"/>
    <n v="2290"/>
    <x v="0"/>
    <n v="1"/>
    <n v="199.81"/>
    <d v="2025-11-25T00:00:00"/>
    <d v="2025-12-05T00:00:00"/>
    <x v="0"/>
    <s v="OK"/>
    <s v="OK"/>
    <x v="0"/>
    <n v="10"/>
    <n v="1"/>
    <n v="199.81"/>
  </r>
  <r>
    <n v="52539"/>
    <n v="31470"/>
    <x v="142"/>
    <n v="2290"/>
    <x v="10"/>
    <n v="2"/>
    <n v="430.68"/>
    <d v="2025-11-25T00:00:00"/>
    <d v="2025-11-30T00:00:00"/>
    <x v="0"/>
    <s v="OK"/>
    <s v="OK"/>
    <x v="3"/>
    <n v="5"/>
    <n v="0"/>
    <n v="215.34"/>
  </r>
  <r>
    <n v="52540"/>
    <n v="31471"/>
    <x v="218"/>
    <n v="2185"/>
    <x v="6"/>
    <n v="4"/>
    <n v="126.92"/>
    <d v="2025-05-29T00:00:00"/>
    <d v="2025-06-08T00:00:00"/>
    <x v="0"/>
    <s v="OK"/>
    <s v="OK"/>
    <x v="2"/>
    <n v="10"/>
    <n v="1"/>
    <n v="31.73"/>
  </r>
  <r>
    <n v="52541"/>
    <n v="31471"/>
    <x v="218"/>
    <n v="2185"/>
    <x v="8"/>
    <n v="1"/>
    <n v="203.04"/>
    <d v="2025-05-29T00:00:00"/>
    <d v="2025-06-01T00:00:00"/>
    <x v="0"/>
    <s v="OK"/>
    <s v="OK"/>
    <x v="2"/>
    <n v="3"/>
    <n v="0"/>
    <n v="203.04"/>
  </r>
  <r>
    <n v="52542"/>
    <n v="31471"/>
    <x v="218"/>
    <n v="2185"/>
    <x v="13"/>
    <n v="2"/>
    <n v="243"/>
    <d v="2025-05-28T00:00:00"/>
    <d v="2025-06-04T00:00:00"/>
    <x v="0"/>
    <s v="OK"/>
    <s v="OK"/>
    <x v="1"/>
    <n v="7"/>
    <n v="0"/>
    <n v="121.5"/>
  </r>
  <r>
    <n v="52543"/>
    <n v="31472"/>
    <x v="50"/>
    <n v="2269"/>
    <x v="14"/>
    <n v="1"/>
    <n v="119.74"/>
    <d v="2025-04-14T00:00:00"/>
    <d v="2025-04-22T00:00:00"/>
    <x v="0"/>
    <s v="OK"/>
    <s v="OK"/>
    <x v="3"/>
    <n v="8"/>
    <n v="1"/>
    <n v="119.74"/>
  </r>
  <r>
    <n v="52544"/>
    <n v="31473"/>
    <x v="168"/>
    <n v="2255"/>
    <x v="14"/>
    <n v="1"/>
    <n v="119.74"/>
    <d v="2025-03-21T00:00:00"/>
    <d v="2025-03-31T00:00:00"/>
    <x v="0"/>
    <s v="OK"/>
    <s v="OK"/>
    <x v="3"/>
    <n v="10"/>
    <n v="1"/>
    <n v="119.74"/>
  </r>
  <r>
    <n v="52545"/>
    <n v="31474"/>
    <x v="157"/>
    <n v="2088"/>
    <x v="6"/>
    <n v="4"/>
    <n v="126.92"/>
    <d v="2025-08-03T00:00:00"/>
    <d v="2025-08-08T00:00:00"/>
    <x v="0"/>
    <s v="OK"/>
    <s v="OK"/>
    <x v="2"/>
    <n v="5"/>
    <n v="1"/>
    <n v="31.73"/>
  </r>
  <r>
    <n v="52546"/>
    <n v="31474"/>
    <x v="157"/>
    <n v="2088"/>
    <x v="5"/>
    <n v="1"/>
    <n v="101.44"/>
    <d v="2025-08-04T00:00:00"/>
    <d v="2025-12-08T00:00:00"/>
    <x v="0"/>
    <s v="OK"/>
    <s v="OK"/>
    <x v="1"/>
    <n v="126"/>
    <n v="0"/>
    <n v="101.44"/>
  </r>
  <r>
    <n v="52547"/>
    <n v="31475"/>
    <x v="313"/>
    <n v="2408"/>
    <x v="15"/>
    <n v="1"/>
    <n v="170.25"/>
    <d v="2025-09-13T00:00:00"/>
    <d v="2025-09-22T00:00:00"/>
    <x v="0"/>
    <s v="OK"/>
    <s v="OK"/>
    <x v="1"/>
    <n v="9"/>
    <n v="1"/>
    <n v="170.25"/>
  </r>
  <r>
    <n v="52548"/>
    <n v="31476"/>
    <x v="65"/>
    <n v="2434"/>
    <x v="9"/>
    <n v="5"/>
    <n v="201.4"/>
    <d v="2025-04-11T00:00:00"/>
    <d v="2025-04-18T00:00:00"/>
    <x v="0"/>
    <s v="OK"/>
    <s v="OK"/>
    <x v="0"/>
    <n v="7"/>
    <n v="1"/>
    <n v="40.28"/>
  </r>
  <r>
    <n v="52549"/>
    <n v="31476"/>
    <x v="65"/>
    <n v="2434"/>
    <x v="11"/>
    <n v="2"/>
    <n v="448.74"/>
    <d v="2025-04-10T00:00:00"/>
    <d v="2025-04-13T00:00:00"/>
    <x v="0"/>
    <s v="OK"/>
    <s v="OK"/>
    <x v="2"/>
    <n v="3"/>
    <n v="0"/>
    <n v="224.37"/>
  </r>
  <r>
    <n v="52550"/>
    <n v="31476"/>
    <x v="65"/>
    <n v="2434"/>
    <x v="4"/>
    <n v="2"/>
    <n v="367.48"/>
    <d v="2025-04-10T00:00:00"/>
    <d v="2025-04-15T00:00:00"/>
    <x v="0"/>
    <s v="OK"/>
    <s v="OK"/>
    <x v="2"/>
    <n v="5"/>
    <n v="0"/>
    <n v="183.74"/>
  </r>
  <r>
    <n v="52551"/>
    <n v="31477"/>
    <x v="283"/>
    <n v="2571"/>
    <x v="5"/>
    <n v="3"/>
    <n v="304.32"/>
    <d v="2025-10-01T00:00:00"/>
    <d v="2025-10-05T00:00:00"/>
    <x v="0"/>
    <s v="OK"/>
    <s v="OK"/>
    <x v="1"/>
    <n v="4"/>
    <n v="1"/>
    <n v="101.44"/>
  </r>
  <r>
    <n v="52552"/>
    <n v="31477"/>
    <x v="283"/>
    <n v="2571"/>
    <x v="1"/>
    <n v="2"/>
    <n v="412.18"/>
    <d v="2025-09-29T00:00:00"/>
    <d v="2025-10-02T00:00:00"/>
    <x v="0"/>
    <s v="OK"/>
    <s v="OK"/>
    <x v="0"/>
    <n v="3"/>
    <n v="0"/>
    <n v="206.09"/>
  </r>
  <r>
    <n v="52553"/>
    <n v="31478"/>
    <x v="105"/>
    <n v="2483"/>
    <x v="3"/>
    <n v="2"/>
    <n v="237.2"/>
    <s v=""/>
    <s v=""/>
    <x v="2"/>
    <s v="Missing date"/>
    <s v="Missing date"/>
    <x v="2"/>
    <s v=""/>
    <n v="1"/>
    <n v="118.6"/>
  </r>
  <r>
    <n v="52554"/>
    <n v="31478"/>
    <x v="105"/>
    <n v="2483"/>
    <x v="8"/>
    <n v="1"/>
    <n v="203.04"/>
    <s v=""/>
    <s v=""/>
    <x v="2"/>
    <s v="Missing date"/>
    <s v="Missing date"/>
    <x v="2"/>
    <s v=""/>
    <n v="0"/>
    <n v="203.04"/>
  </r>
  <r>
    <n v="52555"/>
    <n v="31479"/>
    <x v="345"/>
    <n v="2260"/>
    <x v="15"/>
    <n v="1"/>
    <n v="170.25"/>
    <d v="2025-08-07T00:00:00"/>
    <d v="2025-08-09T00:00:00"/>
    <x v="0"/>
    <s v="OK"/>
    <s v="OK"/>
    <x v="1"/>
    <n v="2"/>
    <n v="1"/>
    <n v="170.25"/>
  </r>
  <r>
    <n v="52556"/>
    <n v="31480"/>
    <x v="153"/>
    <n v="2310"/>
    <x v="2"/>
    <n v="1"/>
    <n v="241.54"/>
    <d v="2025-05-06T00:00:00"/>
    <d v="2025-07-05T00:00:00"/>
    <x v="1"/>
    <s v="OK"/>
    <s v="OK"/>
    <x v="1"/>
    <n v="60"/>
    <n v="1"/>
    <n v="241.54"/>
  </r>
  <r>
    <n v="52557"/>
    <n v="31480"/>
    <x v="153"/>
    <n v="2310"/>
    <x v="6"/>
    <n v="1"/>
    <n v="31.73"/>
    <d v="2025-05-08T00:00:00"/>
    <d v="2025-05-13T00:00:00"/>
    <x v="1"/>
    <s v="OK"/>
    <s v="OK"/>
    <x v="2"/>
    <n v="5"/>
    <n v="0"/>
    <n v="31.73"/>
  </r>
  <r>
    <n v="52558"/>
    <n v="31480"/>
    <x v="153"/>
    <n v="2310"/>
    <x v="3"/>
    <n v="1"/>
    <n v="118.6"/>
    <d v="2025-05-08T00:00:00"/>
    <d v="2025-05-11T00:00:00"/>
    <x v="1"/>
    <s v="OK"/>
    <s v="OK"/>
    <x v="2"/>
    <n v="3"/>
    <n v="0"/>
    <n v="118.6"/>
  </r>
  <r>
    <n v="52559"/>
    <n v="31481"/>
    <x v="80"/>
    <n v="2595"/>
    <x v="7"/>
    <n v="2"/>
    <n v="507.72"/>
    <d v="2025-09-13T00:00:00"/>
    <d v="2025-09-23T00:00:00"/>
    <x v="0"/>
    <s v="OK"/>
    <s v="OK"/>
    <x v="0"/>
    <n v="10"/>
    <n v="1"/>
    <n v="253.86"/>
  </r>
  <r>
    <n v="52560"/>
    <n v="31481"/>
    <x v="80"/>
    <n v="2595"/>
    <x v="12"/>
    <n v="1"/>
    <n v="65.260000000000005"/>
    <d v="2025-09-14T00:00:00"/>
    <d v="2025-09-15T00:00:00"/>
    <x v="0"/>
    <s v="OK"/>
    <s v="OK"/>
    <x v="3"/>
    <n v="1"/>
    <n v="0"/>
    <n v="65.260000000000005"/>
  </r>
  <r>
    <n v="52561"/>
    <n v="31482"/>
    <x v="340"/>
    <n v="2348"/>
    <x v="6"/>
    <n v="1"/>
    <n v="31.73"/>
    <s v=""/>
    <s v=""/>
    <x v="2"/>
    <s v="Missing date"/>
    <s v="Missing date"/>
    <x v="2"/>
    <s v=""/>
    <n v="1"/>
    <n v="31.73"/>
  </r>
  <r>
    <n v="52562"/>
    <n v="31482"/>
    <x v="340"/>
    <n v="2348"/>
    <x v="11"/>
    <n v="1"/>
    <n v="224.37"/>
    <s v=""/>
    <s v=""/>
    <x v="2"/>
    <s v="Missing date"/>
    <s v="Missing date"/>
    <x v="2"/>
    <s v=""/>
    <n v="0"/>
    <n v="224.37"/>
  </r>
  <r>
    <n v="52563"/>
    <n v="31483"/>
    <x v="181"/>
    <n v="2325"/>
    <x v="10"/>
    <n v="1"/>
    <n v="215.34"/>
    <d v="2025-04-12T00:00:00"/>
    <d v="2025-04-20T00:00:00"/>
    <x v="0"/>
    <s v="OK"/>
    <s v="OK"/>
    <x v="3"/>
    <n v="8"/>
    <n v="1"/>
    <n v="215.34"/>
  </r>
  <r>
    <n v="52564"/>
    <n v="31483"/>
    <x v="181"/>
    <n v="2325"/>
    <x v="6"/>
    <n v="2"/>
    <n v="63.46"/>
    <d v="2025-04-12T00:00:00"/>
    <d v="2025-04-20T00:00:00"/>
    <x v="0"/>
    <s v="OK"/>
    <s v="OK"/>
    <x v="2"/>
    <n v="8"/>
    <n v="0"/>
    <n v="31.73"/>
  </r>
  <r>
    <n v="52565"/>
    <n v="31484"/>
    <x v="109"/>
    <n v="2267"/>
    <x v="3"/>
    <n v="2"/>
    <n v="237.2"/>
    <d v="2025-12-26T00:00:00"/>
    <d v="2026-03-01T00:00:00"/>
    <x v="0"/>
    <s v="OK"/>
    <s v="OK"/>
    <x v="2"/>
    <n v="65"/>
    <n v="1"/>
    <n v="118.6"/>
  </r>
  <r>
    <n v="52566"/>
    <n v="31484"/>
    <x v="109"/>
    <n v="2267"/>
    <x v="6"/>
    <n v="1"/>
    <n v="31.73"/>
    <d v="2025-12-26T00:00:00"/>
    <d v="2026-01-04T00:00:00"/>
    <x v="0"/>
    <s v="OK"/>
    <s v="OK"/>
    <x v="2"/>
    <n v="9"/>
    <n v="0"/>
    <n v="31.73"/>
  </r>
  <r>
    <n v="52567"/>
    <n v="31484"/>
    <x v="109"/>
    <n v="2267"/>
    <x v="12"/>
    <n v="2"/>
    <n v="130.52000000000001"/>
    <d v="2025-12-25T00:00:00"/>
    <d v="2025-12-26T00:00:00"/>
    <x v="0"/>
    <s v="OK"/>
    <s v="OK"/>
    <x v="3"/>
    <n v="1"/>
    <n v="0"/>
    <n v="65.260000000000005"/>
  </r>
  <r>
    <n v="52568"/>
    <n v="31485"/>
    <x v="306"/>
    <n v="2288"/>
    <x v="10"/>
    <n v="1"/>
    <n v="215.34"/>
    <d v="2025-06-25T00:00:00"/>
    <d v="2025-06-29T00:00:00"/>
    <x v="0"/>
    <s v="OK"/>
    <s v="OK"/>
    <x v="3"/>
    <n v="4"/>
    <n v="1"/>
    <n v="215.34"/>
  </r>
  <r>
    <n v="52569"/>
    <n v="31486"/>
    <x v="240"/>
    <n v="2290"/>
    <x v="9"/>
    <n v="1"/>
    <n v="40.28"/>
    <s v=""/>
    <s v=""/>
    <x v="2"/>
    <s v="Missing date"/>
    <s v="Missing date"/>
    <x v="0"/>
    <s v=""/>
    <n v="1"/>
    <n v="40.28"/>
  </r>
  <r>
    <n v="52570"/>
    <n v="31487"/>
    <x v="111"/>
    <n v="2271"/>
    <x v="10"/>
    <n v="1"/>
    <n v="215.34"/>
    <d v="2025-12-01T00:00:00"/>
    <d v="2025-12-02T00:00:00"/>
    <x v="0"/>
    <s v="OK"/>
    <s v="OK"/>
    <x v="3"/>
    <n v="1"/>
    <n v="1"/>
    <n v="215.34"/>
  </r>
  <r>
    <n v="52571"/>
    <n v="31487"/>
    <x v="111"/>
    <n v="2271"/>
    <x v="7"/>
    <n v="1"/>
    <n v="253.86"/>
    <d v="2025-11-29T00:00:00"/>
    <d v="2025-12-05T00:00:00"/>
    <x v="0"/>
    <s v="OK"/>
    <s v="OK"/>
    <x v="0"/>
    <n v="6"/>
    <n v="0"/>
    <n v="253.86"/>
  </r>
  <r>
    <n v="52572"/>
    <n v="31488"/>
    <x v="123"/>
    <n v="2324"/>
    <x v="12"/>
    <n v="1"/>
    <n v="65.260000000000005"/>
    <d v="2025-11-08T00:00:00"/>
    <d v="2025-11-16T00:00:00"/>
    <x v="0"/>
    <s v="OK"/>
    <s v="OK"/>
    <x v="3"/>
    <n v="8"/>
    <n v="1"/>
    <n v="65.260000000000005"/>
  </r>
  <r>
    <n v="52573"/>
    <n v="31488"/>
    <x v="123"/>
    <n v="2324"/>
    <x v="6"/>
    <n v="1"/>
    <n v="31.73"/>
    <d v="2025-11-10T00:00:00"/>
    <d v="2025-11-18T00:00:00"/>
    <x v="0"/>
    <s v="OK"/>
    <s v="OK"/>
    <x v="2"/>
    <n v="8"/>
    <n v="0"/>
    <n v="31.73"/>
  </r>
  <r>
    <n v="52574"/>
    <n v="31489"/>
    <x v="95"/>
    <n v="2570"/>
    <x v="14"/>
    <n v="1"/>
    <n v="119.74"/>
    <d v="2025-05-04T00:00:00"/>
    <s v=""/>
    <x v="3"/>
    <s v="Missing date"/>
    <s v="OK"/>
    <x v="3"/>
    <s v=""/>
    <n v="1"/>
    <n v="119.74"/>
  </r>
  <r>
    <n v="52575"/>
    <n v="31489"/>
    <x v="95"/>
    <n v="2570"/>
    <x v="6"/>
    <n v="3"/>
    <n v="95.19"/>
    <d v="2025-04-02T00:00:00"/>
    <s v=""/>
    <x v="3"/>
    <s v="Missing date"/>
    <s v="OK"/>
    <x v="2"/>
    <s v=""/>
    <n v="0"/>
    <n v="31.73"/>
  </r>
  <r>
    <n v="52576"/>
    <n v="31489"/>
    <x v="355"/>
    <n v="2570"/>
    <x v="7"/>
    <n v="1"/>
    <n v="253.86"/>
    <d v="2025-04-05T00:00:00"/>
    <s v=""/>
    <x v="3"/>
    <s v="Missing date"/>
    <s v="OK"/>
    <x v="0"/>
    <s v=""/>
    <n v="0"/>
    <n v="253.86"/>
  </r>
  <r>
    <n v="52577"/>
    <n v="31489"/>
    <x v="95"/>
    <n v="2570"/>
    <x v="9"/>
    <n v="2"/>
    <n v="80.56"/>
    <d v="2025-04-05T00:00:00"/>
    <s v=""/>
    <x v="3"/>
    <s v="Missing date"/>
    <s v="OK"/>
    <x v="0"/>
    <s v=""/>
    <n v="0"/>
    <n v="40.28"/>
  </r>
  <r>
    <n v="52578"/>
    <n v="31490"/>
    <x v="354"/>
    <n v="2479"/>
    <x v="12"/>
    <n v="1"/>
    <n v="65.260000000000005"/>
    <d v="2025-08-20T00:00:00"/>
    <d v="2025-08-24T00:00:00"/>
    <x v="0"/>
    <s v="OK"/>
    <s v="OK"/>
    <x v="3"/>
    <n v="4"/>
    <n v="1"/>
    <n v="65.260000000000005"/>
  </r>
  <r>
    <n v="52579"/>
    <n v="31490"/>
    <x v="354"/>
    <n v="2479"/>
    <x v="3"/>
    <n v="1"/>
    <n v="118.6"/>
    <d v="2025-08-20T00:00:00"/>
    <d v="2025-08-30T00:00:00"/>
    <x v="0"/>
    <s v="OK"/>
    <s v="OK"/>
    <x v="2"/>
    <n v="10"/>
    <n v="0"/>
    <n v="118.6"/>
  </r>
  <r>
    <n v="52580"/>
    <n v="31490"/>
    <x v="354"/>
    <n v="2479"/>
    <x v="14"/>
    <n v="2"/>
    <n v="239.48"/>
    <d v="2025-08-19T00:00:00"/>
    <d v="2025-08-28T00:00:00"/>
    <x v="0"/>
    <s v="OK"/>
    <s v="OK"/>
    <x v="3"/>
    <n v="9"/>
    <n v="0"/>
    <n v="119.74"/>
  </r>
  <r>
    <n v="52581"/>
    <n v="31490"/>
    <x v="354"/>
    <n v="2479"/>
    <x v="2"/>
    <n v="1"/>
    <n v="241.54"/>
    <d v="2025-08-18T00:00:00"/>
    <d v="2025-08-24T00:00:00"/>
    <x v="0"/>
    <s v="OK"/>
    <s v="OK"/>
    <x v="1"/>
    <n v="6"/>
    <n v="0"/>
    <n v="241.54"/>
  </r>
  <r>
    <n v="52582"/>
    <n v="31491"/>
    <x v="175"/>
    <n v="2575"/>
    <x v="12"/>
    <n v="1"/>
    <n v="65.260000000000005"/>
    <d v="2025-01-25T00:00:00"/>
    <d v="2025-02-04T00:00:00"/>
    <x v="0"/>
    <s v="OK"/>
    <s v="OK"/>
    <x v="3"/>
    <n v="10"/>
    <n v="1"/>
    <n v="65.260000000000005"/>
  </r>
  <r>
    <n v="52583"/>
    <n v="31492"/>
    <x v="24"/>
    <n v="2116"/>
    <x v="6"/>
    <n v="3"/>
    <n v="95.19"/>
    <d v="2025-04-05T00:00:00"/>
    <s v=""/>
    <x v="3"/>
    <s v="Missing date"/>
    <s v="OK"/>
    <x v="2"/>
    <s v=""/>
    <n v="1"/>
    <n v="31.73"/>
  </r>
  <r>
    <n v="52584"/>
    <n v="31492"/>
    <x v="86"/>
    <n v="2116"/>
    <x v="11"/>
    <n v="2"/>
    <n v="448.74"/>
    <d v="2025-05-04T00:00:00"/>
    <s v=""/>
    <x v="3"/>
    <s v="Missing date"/>
    <s v="OK"/>
    <x v="2"/>
    <s v=""/>
    <n v="0"/>
    <n v="224.37"/>
  </r>
  <r>
    <n v="52585"/>
    <n v="31493"/>
    <x v="267"/>
    <n v="2291"/>
    <x v="7"/>
    <n v="2"/>
    <n v="507.72"/>
    <d v="2025-05-25T00:00:00"/>
    <d v="2025-06-02T00:00:00"/>
    <x v="0"/>
    <s v="OK"/>
    <s v="OK"/>
    <x v="0"/>
    <n v="8"/>
    <n v="1"/>
    <n v="253.86"/>
  </r>
  <r>
    <n v="52586"/>
    <n v="31493"/>
    <x v="267"/>
    <n v="2291"/>
    <x v="9"/>
    <n v="3"/>
    <n v="120.84"/>
    <d v="2025-05-25T00:00:00"/>
    <d v="2025-05-31T00:00:00"/>
    <x v="0"/>
    <s v="OK"/>
    <s v="OK"/>
    <x v="0"/>
    <n v="6"/>
    <n v="0"/>
    <n v="40.28"/>
  </r>
  <r>
    <n v="52587"/>
    <n v="31493"/>
    <x v="267"/>
    <n v="2291"/>
    <x v="0"/>
    <n v="1"/>
    <n v="199.81"/>
    <d v="2025-05-24T00:00:00"/>
    <d v="2025-06-02T00:00:00"/>
    <x v="0"/>
    <s v="OK"/>
    <s v="OK"/>
    <x v="0"/>
    <n v="9"/>
    <n v="0"/>
    <n v="199.81"/>
  </r>
  <r>
    <n v="52588"/>
    <n v="31494"/>
    <x v="254"/>
    <n v="2598"/>
    <x v="8"/>
    <n v="1"/>
    <n v="203.04"/>
    <d v="2025-10-03T00:00:00"/>
    <d v="2025-10-06T00:00:00"/>
    <x v="1"/>
    <s v="OK"/>
    <s v="OK"/>
    <x v="2"/>
    <n v="3"/>
    <n v="1"/>
    <n v="203.04"/>
  </r>
  <r>
    <n v="52589"/>
    <n v="31494"/>
    <x v="254"/>
    <n v="2598"/>
    <x v="7"/>
    <n v="1"/>
    <n v="253.86"/>
    <d v="2025-10-02T00:00:00"/>
    <d v="2025-10-08T00:00:00"/>
    <x v="1"/>
    <s v="OK"/>
    <s v="OK"/>
    <x v="0"/>
    <n v="6"/>
    <n v="0"/>
    <n v="253.86"/>
  </r>
  <r>
    <n v="52590"/>
    <n v="31494"/>
    <x v="255"/>
    <n v="2598"/>
    <x v="10"/>
    <n v="4"/>
    <n v="861.36"/>
    <d v="2025-02-10T00:00:00"/>
    <d v="2025-10-08T00:00:00"/>
    <x v="1"/>
    <s v="OK"/>
    <s v="OK"/>
    <x v="3"/>
    <n v="240"/>
    <n v="0"/>
    <n v="215.34"/>
  </r>
  <r>
    <n v="52591"/>
    <n v="31495"/>
    <x v="46"/>
    <n v="2079"/>
    <x v="12"/>
    <n v="1"/>
    <n v="65.260000000000005"/>
    <d v="2025-01-06T00:00:00"/>
    <d v="2025-01-16T00:00:00"/>
    <x v="0"/>
    <s v="OK"/>
    <s v="OK"/>
    <x v="3"/>
    <n v="10"/>
    <n v="1"/>
    <n v="65.260000000000005"/>
  </r>
  <r>
    <n v="52592"/>
    <n v="31495"/>
    <x v="46"/>
    <n v="2079"/>
    <x v="4"/>
    <n v="1"/>
    <n v="183.74"/>
    <d v="2025-01-05T00:00:00"/>
    <d v="2025-01-06T00:00:00"/>
    <x v="0"/>
    <s v="OK"/>
    <s v="OK"/>
    <x v="2"/>
    <n v="1"/>
    <n v="0"/>
    <n v="183.74"/>
  </r>
  <r>
    <n v="52593"/>
    <n v="31496"/>
    <x v="57"/>
    <n v="2337"/>
    <x v="4"/>
    <n v="5"/>
    <n v="918.7"/>
    <d v="2025-07-12T00:00:00"/>
    <d v="2025-07-18T00:00:00"/>
    <x v="0"/>
    <s v="OK"/>
    <s v="OK"/>
    <x v="2"/>
    <n v="6"/>
    <n v="1"/>
    <n v="183.74"/>
  </r>
  <r>
    <n v="52594"/>
    <n v="31496"/>
    <x v="57"/>
    <n v="2337"/>
    <x v="15"/>
    <n v="1"/>
    <n v="170.25"/>
    <d v="2025-07-14T00:00:00"/>
    <d v="2025-07-24T00:00:00"/>
    <x v="0"/>
    <s v="OK"/>
    <s v="OK"/>
    <x v="1"/>
    <n v="10"/>
    <n v="0"/>
    <n v="170.25"/>
  </r>
  <r>
    <n v="52595"/>
    <n v="31497"/>
    <x v="351"/>
    <n v="2383"/>
    <x v="4"/>
    <n v="1"/>
    <n v="183.74"/>
    <d v="2025-06-27T00:00:00"/>
    <d v="2025-07-03T00:00:00"/>
    <x v="0"/>
    <s v="OK"/>
    <s v="OK"/>
    <x v="2"/>
    <n v="6"/>
    <n v="1"/>
    <n v="183.74"/>
  </r>
  <r>
    <n v="52596"/>
    <n v="31498"/>
    <x v="45"/>
    <n v="2332"/>
    <x v="11"/>
    <n v="3"/>
    <n v="673.11"/>
    <d v="2025-01-31T00:00:00"/>
    <d v="2025-02-09T00:00:00"/>
    <x v="0"/>
    <s v="OK"/>
    <s v="OK"/>
    <x v="2"/>
    <n v="9"/>
    <n v="1"/>
    <n v="224.37"/>
  </r>
  <r>
    <n v="52597"/>
    <n v="31498"/>
    <x v="45"/>
    <n v="2332"/>
    <x v="14"/>
    <n v="1"/>
    <n v="119.74"/>
    <d v="2025-01-31T00:00:00"/>
    <d v="2025-03-02T00:00:00"/>
    <x v="0"/>
    <s v="OK"/>
    <s v="OK"/>
    <x v="3"/>
    <n v="30"/>
    <n v="0"/>
    <n v="119.74"/>
  </r>
  <r>
    <n v="52598"/>
    <n v="31499"/>
    <x v="168"/>
    <n v="2492"/>
    <x v="9"/>
    <n v="1"/>
    <n v="40.28"/>
    <d v="2025-03-20T00:00:00"/>
    <d v="2025-03-27T00:00:00"/>
    <x v="0"/>
    <s v="OK"/>
    <s v="OK"/>
    <x v="0"/>
    <n v="7"/>
    <n v="1"/>
    <n v="40.28"/>
  </r>
  <r>
    <n v="52599"/>
    <n v="31500"/>
    <x v="328"/>
    <n v="2006"/>
    <x v="3"/>
    <n v="3"/>
    <n v="355.8"/>
    <d v="2025-03-08T00:00:00"/>
    <d v="2025-03-11T00:00:00"/>
    <x v="0"/>
    <s v="OK"/>
    <s v="OK"/>
    <x v="2"/>
    <n v="3"/>
    <n v="1"/>
    <n v="118.60000000000001"/>
  </r>
  <r>
    <n v="52600"/>
    <n v="31500"/>
    <x v="328"/>
    <n v="2006"/>
    <x v="14"/>
    <n v="2"/>
    <n v="239.48"/>
    <d v="2025-03-10T00:00:00"/>
    <d v="2025-03-11T00:00:00"/>
    <x v="0"/>
    <s v="OK"/>
    <s v="OK"/>
    <x v="3"/>
    <n v="1"/>
    <n v="0"/>
    <n v="119.74"/>
  </r>
  <r>
    <n v="52601"/>
    <n v="31501"/>
    <x v="356"/>
    <n v="2333"/>
    <x v="6"/>
    <n v="1"/>
    <n v="31.73"/>
    <d v="2025-03-15T00:00:00"/>
    <d v="2025-03-25T00:00:00"/>
    <x v="1"/>
    <s v="OK"/>
    <s v="OK"/>
    <x v="2"/>
    <n v="10"/>
    <n v="1"/>
    <n v="31.73"/>
  </r>
  <r>
    <n v="52602"/>
    <n v="31502"/>
    <x v="14"/>
    <n v="2217"/>
    <x v="13"/>
    <n v="1"/>
    <n v="121.5"/>
    <s v=""/>
    <s v=""/>
    <x v="2"/>
    <s v="Missing date"/>
    <s v="Missing date"/>
    <x v="1"/>
    <s v=""/>
    <n v="1"/>
    <n v="121.5"/>
  </r>
  <r>
    <n v="52603"/>
    <n v="31503"/>
    <x v="78"/>
    <n v="2331"/>
    <x v="11"/>
    <n v="1"/>
    <n v="224.37"/>
    <s v=""/>
    <s v=""/>
    <x v="3"/>
    <s v="Missing date"/>
    <s v="Missing date"/>
    <x v="2"/>
    <s v=""/>
    <n v="1"/>
    <n v="224.37"/>
  </r>
  <r>
    <n v="52604"/>
    <n v="31504"/>
    <x v="287"/>
    <n v="2391"/>
    <x v="9"/>
    <n v="1"/>
    <n v="40.28"/>
    <d v="2025-12-27T00:00:00"/>
    <d v="2026-06-01T00:00:00"/>
    <x v="0"/>
    <s v="OK"/>
    <s v="OK"/>
    <x v="0"/>
    <n v="156"/>
    <n v="1"/>
    <n v="40.28"/>
  </r>
  <r>
    <n v="52605"/>
    <n v="31505"/>
    <x v="231"/>
    <n v="2183"/>
    <x v="15"/>
    <n v="1"/>
    <n v="170.25"/>
    <d v="2025-06-07T00:00:00"/>
    <d v="2025-06-16T00:00:00"/>
    <x v="0"/>
    <s v="OK"/>
    <s v="OK"/>
    <x v="1"/>
    <n v="9"/>
    <n v="1"/>
    <n v="170.25"/>
  </r>
  <r>
    <n v="52606"/>
    <n v="31506"/>
    <x v="232"/>
    <n v="2092"/>
    <x v="0"/>
    <n v="1"/>
    <n v="199.81"/>
    <d v="2025-11-23T00:00:00"/>
    <d v="2025-11-28T00:00:00"/>
    <x v="0"/>
    <s v="OK"/>
    <s v="OK"/>
    <x v="0"/>
    <n v="5"/>
    <n v="1"/>
    <n v="199.81"/>
  </r>
  <r>
    <n v="52607"/>
    <n v="31506"/>
    <x v="232"/>
    <n v="2092"/>
    <x v="7"/>
    <n v="1"/>
    <n v="253.86"/>
    <d v="2025-11-23T00:00:00"/>
    <d v="2025-11-24T00:00:00"/>
    <x v="0"/>
    <s v="OK"/>
    <s v="OK"/>
    <x v="0"/>
    <n v="1"/>
    <n v="0"/>
    <n v="253.86"/>
  </r>
  <r>
    <n v="52608"/>
    <n v="31507"/>
    <x v="205"/>
    <n v="2398"/>
    <x v="13"/>
    <n v="1"/>
    <n v="121.5"/>
    <s v=""/>
    <s v=""/>
    <x v="3"/>
    <s v="Missing date"/>
    <s v="Missing date"/>
    <x v="1"/>
    <s v=""/>
    <n v="1"/>
    <n v="121.5"/>
  </r>
  <r>
    <n v="52609"/>
    <n v="31508"/>
    <x v="289"/>
    <n v="2158"/>
    <x v="12"/>
    <n v="4"/>
    <n v="261.04000000000002"/>
    <d v="2025-02-18T00:00:00"/>
    <d v="2025-02-22T00:00:00"/>
    <x v="0"/>
    <s v="OK"/>
    <s v="OK"/>
    <x v="3"/>
    <n v="4"/>
    <n v="1"/>
    <n v="65.260000000000005"/>
  </r>
  <r>
    <n v="52610"/>
    <n v="31508"/>
    <x v="289"/>
    <n v="2158"/>
    <x v="10"/>
    <n v="2"/>
    <n v="430.68"/>
    <d v="2025-02-17T00:00:00"/>
    <d v="2025-02-18T00:00:00"/>
    <x v="0"/>
    <s v="OK"/>
    <s v="OK"/>
    <x v="3"/>
    <n v="1"/>
    <n v="0"/>
    <n v="215.34"/>
  </r>
  <r>
    <n v="52611"/>
    <n v="31509"/>
    <x v="339"/>
    <n v="2318"/>
    <x v="6"/>
    <n v="1"/>
    <n v="31.73"/>
    <s v=""/>
    <s v=""/>
    <x v="2"/>
    <s v="Missing date"/>
    <s v="Missing date"/>
    <x v="2"/>
    <s v=""/>
    <n v="1"/>
    <n v="31.73"/>
  </r>
  <r>
    <n v="52612"/>
    <n v="31510"/>
    <x v="218"/>
    <n v="2368"/>
    <x v="2"/>
    <n v="1"/>
    <n v="241.54"/>
    <d v="2025-05-28T00:00:00"/>
    <d v="2025-06-06T00:00:00"/>
    <x v="0"/>
    <s v="OK"/>
    <s v="OK"/>
    <x v="1"/>
    <n v="9"/>
    <n v="1"/>
    <n v="241.54"/>
  </r>
  <r>
    <n v="52613"/>
    <n v="31510"/>
    <x v="218"/>
    <n v="2368"/>
    <x v="0"/>
    <n v="5"/>
    <n v="999.05"/>
    <d v="2025-05-27T00:00:00"/>
    <d v="2025-05-31T00:00:00"/>
    <x v="0"/>
    <s v="OK"/>
    <s v="OK"/>
    <x v="0"/>
    <n v="4"/>
    <n v="0"/>
    <n v="199.81"/>
  </r>
  <r>
    <n v="52614"/>
    <n v="31511"/>
    <x v="62"/>
    <n v="2502"/>
    <x v="15"/>
    <n v="2"/>
    <n v="340.5"/>
    <d v="2025-02-13T00:00:00"/>
    <d v="2025-02-22T00:00:00"/>
    <x v="0"/>
    <s v="OK"/>
    <s v="OK"/>
    <x v="1"/>
    <n v="9"/>
    <n v="1"/>
    <n v="170.25"/>
  </r>
  <r>
    <n v="52615"/>
    <n v="31511"/>
    <x v="62"/>
    <n v="2502"/>
    <x v="12"/>
    <n v="2"/>
    <n v="130.52000000000001"/>
    <d v="2025-02-15T00:00:00"/>
    <d v="2025-02-18T00:00:00"/>
    <x v="0"/>
    <s v="OK"/>
    <s v="OK"/>
    <x v="3"/>
    <n v="3"/>
    <n v="0"/>
    <n v="65.260000000000005"/>
  </r>
  <r>
    <n v="52616"/>
    <n v="31511"/>
    <x v="62"/>
    <n v="2502"/>
    <x v="9"/>
    <n v="2"/>
    <n v="80.56"/>
    <d v="2025-02-15T00:00:00"/>
    <d v="2025-02-23T00:00:00"/>
    <x v="0"/>
    <s v="OK"/>
    <s v="OK"/>
    <x v="0"/>
    <n v="8"/>
    <n v="0"/>
    <n v="40.28"/>
  </r>
  <r>
    <n v="52617"/>
    <n v="31511"/>
    <x v="62"/>
    <n v="2502"/>
    <x v="10"/>
    <n v="2"/>
    <n v="430.68"/>
    <d v="2025-02-13T00:00:00"/>
    <d v="2025-02-16T00:00:00"/>
    <x v="0"/>
    <s v="OK"/>
    <s v="OK"/>
    <x v="3"/>
    <n v="3"/>
    <n v="0"/>
    <n v="215.34"/>
  </r>
  <r>
    <n v="52618"/>
    <n v="31512"/>
    <x v="62"/>
    <n v="2093"/>
    <x v="2"/>
    <n v="1"/>
    <n v="241.54"/>
    <d v="2025-02-13T00:00:00"/>
    <d v="2025-02-21T00:00:00"/>
    <x v="0"/>
    <s v="OK"/>
    <s v="OK"/>
    <x v="1"/>
    <n v="8"/>
    <n v="1"/>
    <n v="241.54"/>
  </r>
  <r>
    <n v="52619"/>
    <n v="31513"/>
    <x v="350"/>
    <n v="2191"/>
    <x v="10"/>
    <n v="2"/>
    <n v="430.68"/>
    <d v="2025-08-01T00:00:00"/>
    <d v="2025-08-08T00:00:00"/>
    <x v="0"/>
    <s v="OK"/>
    <s v="OK"/>
    <x v="3"/>
    <n v="7"/>
    <n v="1"/>
    <n v="215.34"/>
  </r>
  <r>
    <n v="52620"/>
    <n v="31513"/>
    <x v="350"/>
    <n v="2191"/>
    <x v="11"/>
    <n v="1"/>
    <n v="224.37"/>
    <d v="2025-07-31T00:00:00"/>
    <d v="2025-08-05T00:00:00"/>
    <x v="0"/>
    <s v="OK"/>
    <s v="OK"/>
    <x v="2"/>
    <n v="5"/>
    <n v="0"/>
    <n v="224.37"/>
  </r>
  <r>
    <n v="52621"/>
    <n v="31513"/>
    <x v="350"/>
    <n v="2191"/>
    <x v="3"/>
    <n v="1"/>
    <n v="118.6"/>
    <d v="2025-07-30T00:00:00"/>
    <d v="2025-08-02T00:00:00"/>
    <x v="0"/>
    <s v="OK"/>
    <s v="OK"/>
    <x v="2"/>
    <n v="3"/>
    <n v="0"/>
    <n v="118.6"/>
  </r>
  <r>
    <n v="52622"/>
    <n v="31514"/>
    <x v="206"/>
    <n v="2526"/>
    <x v="14"/>
    <n v="1"/>
    <n v="119.74"/>
    <d v="2025-10-14T00:00:00"/>
    <d v="2025-10-23T00:00:00"/>
    <x v="0"/>
    <s v="OK"/>
    <s v="OK"/>
    <x v="3"/>
    <n v="9"/>
    <n v="1"/>
    <n v="119.74"/>
  </r>
  <r>
    <n v="52623"/>
    <n v="31515"/>
    <x v="164"/>
    <n v="2230"/>
    <x v="6"/>
    <n v="1"/>
    <n v="31.73"/>
    <d v="2025-07-30T00:00:00"/>
    <d v="2025-07-31T00:00:00"/>
    <x v="0"/>
    <s v="OK"/>
    <s v="OK"/>
    <x v="2"/>
    <n v="1"/>
    <n v="1"/>
    <n v="31.73"/>
  </r>
  <r>
    <n v="52624"/>
    <n v="31516"/>
    <x v="341"/>
    <n v="2508"/>
    <x v="11"/>
    <n v="1"/>
    <n v="224.37"/>
    <d v="2025-12-17T00:00:00"/>
    <d v="2025-12-22T00:00:00"/>
    <x v="0"/>
    <s v="OK"/>
    <s v="OK"/>
    <x v="2"/>
    <n v="5"/>
    <n v="1"/>
    <n v="224.37"/>
  </r>
  <r>
    <n v="52625"/>
    <n v="31516"/>
    <x v="341"/>
    <n v="2508"/>
    <x v="13"/>
    <n v="4"/>
    <n v="486"/>
    <d v="2025-12-16T00:00:00"/>
    <d v="2025-12-22T00:00:00"/>
    <x v="0"/>
    <s v="OK"/>
    <s v="OK"/>
    <x v="1"/>
    <n v="6"/>
    <n v="0"/>
    <n v="121.5"/>
  </r>
  <r>
    <n v="52626"/>
    <n v="31517"/>
    <x v="18"/>
    <n v="2480"/>
    <x v="12"/>
    <n v="1"/>
    <n v="65.260000000000005"/>
    <d v="2025-08-05T00:00:00"/>
    <d v="2025-08-14T00:00:00"/>
    <x v="0"/>
    <s v="OK"/>
    <s v="OK"/>
    <x v="3"/>
    <n v="9"/>
    <n v="1"/>
    <n v="65.260000000000005"/>
  </r>
  <r>
    <n v="52627"/>
    <n v="31517"/>
    <x v="157"/>
    <n v="2480"/>
    <x v="13"/>
    <n v="3"/>
    <n v="364.5"/>
    <d v="2025-08-04T00:00:00"/>
    <d v="2025-08-08T00:00:00"/>
    <x v="0"/>
    <s v="OK"/>
    <s v="OK"/>
    <x v="1"/>
    <n v="4"/>
    <n v="0"/>
    <n v="121.5"/>
  </r>
  <r>
    <n v="52628"/>
    <n v="31518"/>
    <x v="74"/>
    <n v="2153"/>
    <x v="13"/>
    <n v="2"/>
    <n v="243"/>
    <d v="2025-06-14T00:00:00"/>
    <d v="2025-06-22T00:00:00"/>
    <x v="1"/>
    <s v="OK"/>
    <s v="OK"/>
    <x v="1"/>
    <n v="8"/>
    <n v="1"/>
    <n v="121.5"/>
  </r>
  <r>
    <n v="52629"/>
    <n v="31519"/>
    <x v="218"/>
    <n v="2255"/>
    <x v="13"/>
    <n v="4"/>
    <n v="486"/>
    <d v="2025-05-28T00:00:00"/>
    <d v="2025-06-06T00:00:00"/>
    <x v="0"/>
    <s v="OK"/>
    <s v="OK"/>
    <x v="1"/>
    <n v="9"/>
    <n v="1"/>
    <n v="121.5"/>
  </r>
  <r>
    <n v="52630"/>
    <n v="31520"/>
    <x v="88"/>
    <n v="2583"/>
    <x v="11"/>
    <n v="1"/>
    <n v="224.37"/>
    <d v="2025-03-22T00:00:00"/>
    <d v="2025-03-31T00:00:00"/>
    <x v="0"/>
    <s v="OK"/>
    <s v="OK"/>
    <x v="2"/>
    <n v="9"/>
    <n v="1"/>
    <n v="224.37"/>
  </r>
  <r>
    <n v="52631"/>
    <n v="31520"/>
    <x v="88"/>
    <n v="2583"/>
    <x v="3"/>
    <n v="3"/>
    <n v="355.8"/>
    <d v="2025-03-23T00:00:00"/>
    <d v="2025-03-28T00:00:00"/>
    <x v="0"/>
    <s v="OK"/>
    <s v="OK"/>
    <x v="2"/>
    <n v="5"/>
    <n v="0"/>
    <n v="118.60000000000001"/>
  </r>
  <r>
    <n v="52632"/>
    <n v="31520"/>
    <x v="88"/>
    <n v="2583"/>
    <x v="4"/>
    <n v="1"/>
    <n v="183.74"/>
    <d v="2025-03-22T00:00:00"/>
    <d v="2025-03-27T00:00:00"/>
    <x v="0"/>
    <s v="OK"/>
    <s v="OK"/>
    <x v="2"/>
    <n v="5"/>
    <n v="0"/>
    <n v="183.74"/>
  </r>
  <r>
    <n v="52633"/>
    <n v="31520"/>
    <x v="88"/>
    <n v="2583"/>
    <x v="10"/>
    <n v="1"/>
    <n v="215.34"/>
    <d v="2025-03-23T00:00:00"/>
    <d v="2025-04-02T00:00:00"/>
    <x v="0"/>
    <s v="OK"/>
    <s v="OK"/>
    <x v="3"/>
    <n v="10"/>
    <n v="0"/>
    <n v="215.34"/>
  </r>
  <r>
    <n v="52634"/>
    <n v="31521"/>
    <x v="353"/>
    <n v="2423"/>
    <x v="9"/>
    <n v="2"/>
    <n v="80.56"/>
    <d v="2025-06-06T00:00:00"/>
    <d v="2025-06-08T00:00:00"/>
    <x v="0"/>
    <s v="OK"/>
    <s v="OK"/>
    <x v="0"/>
    <n v="2"/>
    <n v="1"/>
    <n v="40.28"/>
  </r>
  <r>
    <n v="52635"/>
    <n v="31522"/>
    <x v="330"/>
    <n v="2364"/>
    <x v="11"/>
    <n v="1"/>
    <n v="224.37"/>
    <d v="2025-06-29T00:00:00"/>
    <d v="2025-07-06T00:00:00"/>
    <x v="0"/>
    <s v="OK"/>
    <s v="OK"/>
    <x v="2"/>
    <n v="7"/>
    <n v="1"/>
    <n v="224.37"/>
  </r>
  <r>
    <n v="52636"/>
    <n v="31522"/>
    <x v="330"/>
    <n v="2364"/>
    <x v="8"/>
    <n v="2"/>
    <n v="406.08"/>
    <d v="2025-06-30T00:00:00"/>
    <d v="2025-07-03T00:00:00"/>
    <x v="0"/>
    <s v="OK"/>
    <s v="OK"/>
    <x v="2"/>
    <n v="3"/>
    <n v="0"/>
    <n v="203.04"/>
  </r>
  <r>
    <n v="52637"/>
    <n v="31523"/>
    <x v="269"/>
    <n v="2117"/>
    <x v="14"/>
    <n v="3"/>
    <n v="359.22"/>
    <d v="2025-10-09T00:00:00"/>
    <d v="2025-10-17T00:00:00"/>
    <x v="0"/>
    <s v="OK"/>
    <s v="OK"/>
    <x v="3"/>
    <n v="8"/>
    <n v="1"/>
    <n v="119.74000000000001"/>
  </r>
  <r>
    <n v="52638"/>
    <n v="31524"/>
    <x v="70"/>
    <n v="2184"/>
    <x v="15"/>
    <n v="2"/>
    <n v="340.5"/>
    <d v="2025-02-25T00:00:00"/>
    <s v=""/>
    <x v="3"/>
    <s v="Missing date"/>
    <s v="OK"/>
    <x v="1"/>
    <s v=""/>
    <n v="1"/>
    <n v="170.25"/>
  </r>
  <r>
    <n v="52639"/>
    <n v="31524"/>
    <x v="70"/>
    <n v="2184"/>
    <x v="10"/>
    <n v="2"/>
    <n v="430.68"/>
    <s v=""/>
    <s v=""/>
    <x v="3"/>
    <s v="Missing date"/>
    <s v="Missing date"/>
    <x v="3"/>
    <s v=""/>
    <n v="0"/>
    <n v="215.34"/>
  </r>
  <r>
    <n v="52640"/>
    <n v="31525"/>
    <x v="168"/>
    <n v="2305"/>
    <x v="14"/>
    <n v="5"/>
    <n v="598.70000000000005"/>
    <d v="2025-03-20T00:00:00"/>
    <d v="2025-03-29T00:00:00"/>
    <x v="0"/>
    <s v="OK"/>
    <s v="OK"/>
    <x v="3"/>
    <n v="9"/>
    <n v="1"/>
    <n v="119.74000000000001"/>
  </r>
  <r>
    <n v="52641"/>
    <n v="31525"/>
    <x v="168"/>
    <n v="2305"/>
    <x v="14"/>
    <n v="2"/>
    <n v="239.48"/>
    <d v="2025-03-20T00:00:00"/>
    <d v="2025-03-22T00:00:00"/>
    <x v="0"/>
    <s v="OK"/>
    <s v="OK"/>
    <x v="3"/>
    <n v="2"/>
    <n v="0"/>
    <n v="119.74"/>
  </r>
  <r>
    <n v="52642"/>
    <n v="31526"/>
    <x v="102"/>
    <n v="2272"/>
    <x v="7"/>
    <n v="4"/>
    <n v="1015.44"/>
    <d v="2025-10-01T00:00:00"/>
    <d v="2025-10-03T00:00:00"/>
    <x v="0"/>
    <s v="OK"/>
    <s v="OK"/>
    <x v="0"/>
    <n v="2"/>
    <n v="1"/>
    <n v="253.86"/>
  </r>
  <r>
    <n v="52643"/>
    <n v="31526"/>
    <x v="102"/>
    <n v="2272"/>
    <x v="0"/>
    <n v="1"/>
    <n v="199.81"/>
    <d v="2025-10-02T00:00:00"/>
    <d v="2025-10-08T00:00:00"/>
    <x v="0"/>
    <s v="OK"/>
    <s v="OK"/>
    <x v="0"/>
    <n v="6"/>
    <n v="0"/>
    <n v="199.81"/>
  </r>
  <r>
    <n v="52644"/>
    <n v="31526"/>
    <x v="102"/>
    <n v="2272"/>
    <x v="7"/>
    <n v="1"/>
    <n v="253.86"/>
    <d v="2025-09-30T00:00:00"/>
    <d v="2025-10-06T00:00:00"/>
    <x v="0"/>
    <s v="OK"/>
    <s v="OK"/>
    <x v="0"/>
    <n v="6"/>
    <n v="0"/>
    <n v="253.86"/>
  </r>
  <r>
    <n v="52645"/>
    <n v="31527"/>
    <x v="190"/>
    <n v="2081"/>
    <x v="9"/>
    <n v="1"/>
    <n v="40.28"/>
    <d v="2025-06-08T00:00:00"/>
    <d v="2025-06-12T00:00:00"/>
    <x v="0"/>
    <s v="OK"/>
    <s v="OK"/>
    <x v="0"/>
    <n v="4"/>
    <n v="1"/>
    <n v="40.28"/>
  </r>
  <r>
    <n v="52646"/>
    <n v="31527"/>
    <x v="266"/>
    <n v="2081"/>
    <x v="4"/>
    <n v="1"/>
    <n v="183.74"/>
    <d v="2025-06-08T00:00:00"/>
    <d v="2025-06-13T00:00:00"/>
    <x v="0"/>
    <s v="OK"/>
    <s v="OK"/>
    <x v="2"/>
    <n v="5"/>
    <n v="0"/>
    <n v="183.74"/>
  </r>
  <r>
    <n v="52647"/>
    <n v="31527"/>
    <x v="266"/>
    <n v="2081"/>
    <x v="10"/>
    <n v="1"/>
    <n v="215.34"/>
    <d v="2025-06-07T00:00:00"/>
    <d v="2025-09-06T00:00:00"/>
    <x v="0"/>
    <s v="OK"/>
    <s v="OK"/>
    <x v="3"/>
    <n v="91"/>
    <n v="0"/>
    <n v="215.34"/>
  </r>
  <r>
    <n v="52648"/>
    <n v="31528"/>
    <x v="317"/>
    <n v="2548"/>
    <x v="15"/>
    <n v="2"/>
    <n v="340.5"/>
    <d v="2025-07-04T00:00:00"/>
    <d v="2025-11-07T00:00:00"/>
    <x v="0"/>
    <s v="OK"/>
    <s v="OK"/>
    <x v="1"/>
    <n v="126"/>
    <n v="1"/>
    <n v="170.25"/>
  </r>
  <r>
    <n v="52649"/>
    <n v="31528"/>
    <x v="317"/>
    <n v="2548"/>
    <x v="4"/>
    <n v="1"/>
    <n v="183.74"/>
    <d v="2025-07-04T00:00:00"/>
    <d v="2025-07-05T00:00:00"/>
    <x v="0"/>
    <s v="OK"/>
    <s v="OK"/>
    <x v="2"/>
    <n v="1"/>
    <n v="0"/>
    <n v="183.74"/>
  </r>
  <r>
    <n v="52650"/>
    <n v="31529"/>
    <x v="133"/>
    <n v="2014"/>
    <x v="12"/>
    <n v="4"/>
    <n v="261.04000000000002"/>
    <d v="2025-05-13T00:00:00"/>
    <d v="2025-05-19T00:00:00"/>
    <x v="0"/>
    <s v="OK"/>
    <s v="OK"/>
    <x v="3"/>
    <n v="6"/>
    <n v="1"/>
    <n v="65.260000000000005"/>
  </r>
  <r>
    <n v="52651"/>
    <n v="31529"/>
    <x v="133"/>
    <n v="2014"/>
    <x v="14"/>
    <n v="1"/>
    <n v="119.74"/>
    <d v="2025-05-13T00:00:00"/>
    <d v="2025-05-22T00:00:00"/>
    <x v="0"/>
    <s v="OK"/>
    <s v="OK"/>
    <x v="3"/>
    <n v="9"/>
    <n v="0"/>
    <n v="119.74"/>
  </r>
  <r>
    <n v="52652"/>
    <n v="31529"/>
    <x v="133"/>
    <n v="2014"/>
    <x v="15"/>
    <n v="2"/>
    <n v="340.5"/>
    <d v="2025-05-14T00:00:00"/>
    <d v="2025-05-18T00:00:00"/>
    <x v="0"/>
    <s v="OK"/>
    <s v="OK"/>
    <x v="1"/>
    <n v="4"/>
    <n v="0"/>
    <n v="170.25"/>
  </r>
  <r>
    <n v="52653"/>
    <n v="31529"/>
    <x v="133"/>
    <n v="2014"/>
    <x v="12"/>
    <n v="1"/>
    <n v="65.260000000000005"/>
    <d v="2025-05-14T00:00:00"/>
    <d v="2025-05-15T00:00:00"/>
    <x v="0"/>
    <s v="OK"/>
    <s v="OK"/>
    <x v="3"/>
    <n v="1"/>
    <n v="0"/>
    <n v="65.260000000000005"/>
  </r>
  <r>
    <n v="52654"/>
    <n v="31530"/>
    <x v="291"/>
    <n v="2311"/>
    <x v="2"/>
    <n v="1"/>
    <n v="241.54"/>
    <d v="2025-05-29T00:00:00"/>
    <d v="2025-05-31T00:00:00"/>
    <x v="0"/>
    <s v="OK"/>
    <s v="OK"/>
    <x v="1"/>
    <n v="2"/>
    <n v="1"/>
    <n v="241.54"/>
  </r>
  <r>
    <n v="52655"/>
    <n v="31531"/>
    <x v="212"/>
    <n v="2405"/>
    <x v="11"/>
    <n v="1"/>
    <n v="224.37"/>
    <d v="2025-07-28T00:00:00"/>
    <s v=""/>
    <x v="3"/>
    <s v="Missing date"/>
    <s v="OK"/>
    <x v="2"/>
    <s v=""/>
    <n v="1"/>
    <n v="224.37"/>
  </r>
  <r>
    <n v="52656"/>
    <n v="31531"/>
    <x v="212"/>
    <n v="2405"/>
    <x v="8"/>
    <n v="1"/>
    <n v="203.04"/>
    <d v="2025-07-26T00:00:00"/>
    <s v=""/>
    <x v="3"/>
    <s v="Missing date"/>
    <s v="OK"/>
    <x v="2"/>
    <s v=""/>
    <n v="0"/>
    <n v="203.04"/>
  </r>
  <r>
    <n v="52657"/>
    <n v="31532"/>
    <x v="29"/>
    <n v="2017"/>
    <x v="0"/>
    <n v="4"/>
    <n v="799.24"/>
    <d v="2025-07-01T00:00:00"/>
    <d v="2025-07-03T00:00:00"/>
    <x v="0"/>
    <s v="OK"/>
    <s v="OK"/>
    <x v="0"/>
    <n v="2"/>
    <n v="1"/>
    <n v="199.81"/>
  </r>
  <r>
    <n v="52658"/>
    <n v="31532"/>
    <x v="29"/>
    <n v="2017"/>
    <x v="8"/>
    <n v="3"/>
    <n v="609.12"/>
    <d v="2025-06-30T00:00:00"/>
    <d v="2025-08-07T00:00:00"/>
    <x v="0"/>
    <s v="OK"/>
    <s v="OK"/>
    <x v="2"/>
    <n v="38"/>
    <n v="0"/>
    <n v="203.04"/>
  </r>
  <r>
    <n v="52659"/>
    <n v="31533"/>
    <x v="206"/>
    <n v="2215"/>
    <x v="6"/>
    <n v="1"/>
    <n v="31.73"/>
    <d v="2025-10-16T00:00:00"/>
    <d v="2025-10-25T00:00:00"/>
    <x v="0"/>
    <s v="OK"/>
    <s v="OK"/>
    <x v="2"/>
    <n v="9"/>
    <n v="1"/>
    <n v="31.73"/>
  </r>
  <r>
    <n v="52660"/>
    <n v="31534"/>
    <x v="46"/>
    <n v="2248"/>
    <x v="0"/>
    <n v="2"/>
    <n v="399.62"/>
    <d v="2025-01-06T00:00:00"/>
    <d v="2025-01-11T00:00:00"/>
    <x v="0"/>
    <s v="OK"/>
    <s v="OK"/>
    <x v="0"/>
    <n v="5"/>
    <n v="1"/>
    <n v="199.81"/>
  </r>
  <r>
    <n v="52661"/>
    <n v="31534"/>
    <x v="46"/>
    <n v="2248"/>
    <x v="11"/>
    <n v="1"/>
    <n v="224.37"/>
    <d v="2025-01-04T00:00:00"/>
    <d v="2025-01-05T00:00:00"/>
    <x v="0"/>
    <s v="OK"/>
    <s v="OK"/>
    <x v="2"/>
    <n v="1"/>
    <n v="0"/>
    <n v="224.37"/>
  </r>
  <r>
    <n v="52662"/>
    <n v="31534"/>
    <x v="46"/>
    <n v="2248"/>
    <x v="13"/>
    <n v="1"/>
    <n v="121.5"/>
    <d v="2025-01-05T00:00:00"/>
    <d v="2025-01-12T00:00:00"/>
    <x v="0"/>
    <s v="OK"/>
    <s v="OK"/>
    <x v="1"/>
    <n v="7"/>
    <n v="0"/>
    <n v="121.5"/>
  </r>
  <r>
    <n v="52663"/>
    <n v="31534"/>
    <x v="46"/>
    <n v="2248"/>
    <x v="14"/>
    <n v="1"/>
    <n v="119.74"/>
    <d v="2025-01-06T00:00:00"/>
    <d v="2025-01-14T00:00:00"/>
    <x v="0"/>
    <s v="OK"/>
    <s v="OK"/>
    <x v="3"/>
    <n v="8"/>
    <n v="0"/>
    <n v="119.74"/>
  </r>
  <r>
    <n v="52664"/>
    <n v="31535"/>
    <x v="144"/>
    <n v="2152"/>
    <x v="8"/>
    <n v="3"/>
    <n v="609.12"/>
    <d v="2025-12-12T00:00:00"/>
    <d v="2025-12-21T00:00:00"/>
    <x v="0"/>
    <s v="OK"/>
    <s v="OK"/>
    <x v="2"/>
    <n v="9"/>
    <n v="1"/>
    <n v="203.04"/>
  </r>
  <r>
    <n v="52665"/>
    <n v="31535"/>
    <x v="144"/>
    <n v="2152"/>
    <x v="4"/>
    <n v="2"/>
    <n v="367.48"/>
    <d v="2025-12-11T00:00:00"/>
    <d v="2025-12-20T00:00:00"/>
    <x v="0"/>
    <s v="OK"/>
    <s v="OK"/>
    <x v="2"/>
    <n v="9"/>
    <n v="0"/>
    <n v="183.74"/>
  </r>
  <r>
    <n v="52666"/>
    <n v="31536"/>
    <x v="72"/>
    <n v="2171"/>
    <x v="14"/>
    <n v="1"/>
    <n v="119.74"/>
    <s v=""/>
    <s v=""/>
    <x v="2"/>
    <s v="Missing date"/>
    <s v="Missing date"/>
    <x v="3"/>
    <s v=""/>
    <n v="1"/>
    <n v="119.74"/>
  </r>
  <r>
    <n v="52667"/>
    <n v="31537"/>
    <x v="27"/>
    <n v="2497"/>
    <x v="14"/>
    <n v="1"/>
    <n v="119.74"/>
    <d v="2025-04-04T00:00:00"/>
    <d v="2025-04-12T00:00:00"/>
    <x v="0"/>
    <s v="OK"/>
    <s v="OK"/>
    <x v="3"/>
    <n v="8"/>
    <n v="1"/>
    <n v="119.74"/>
  </r>
  <r>
    <n v="52668"/>
    <n v="31538"/>
    <x v="188"/>
    <n v="2600"/>
    <x v="13"/>
    <n v="1"/>
    <n v="121.5"/>
    <d v="2025-02-22T00:00:00"/>
    <d v="2025-02-23T00:00:00"/>
    <x v="0"/>
    <s v="OK"/>
    <s v="OK"/>
    <x v="1"/>
    <n v="1"/>
    <n v="1"/>
    <n v="121.5"/>
  </r>
  <r>
    <n v="52669"/>
    <n v="31538"/>
    <x v="188"/>
    <n v="2600"/>
    <x v="15"/>
    <n v="1"/>
    <n v="170.25"/>
    <d v="2025-02-22T00:00:00"/>
    <d v="2025-02-24T00:00:00"/>
    <x v="0"/>
    <s v="OK"/>
    <s v="OK"/>
    <x v="1"/>
    <n v="2"/>
    <n v="0"/>
    <n v="170.25"/>
  </r>
  <r>
    <n v="52670"/>
    <n v="31539"/>
    <x v="206"/>
    <n v="2053"/>
    <x v="4"/>
    <n v="1"/>
    <n v="183.74"/>
    <d v="2025-10-16T00:00:00"/>
    <d v="2025-10-24T00:00:00"/>
    <x v="0"/>
    <s v="OK"/>
    <s v="OK"/>
    <x v="2"/>
    <n v="8"/>
    <n v="1"/>
    <n v="183.74"/>
  </r>
  <r>
    <n v="52671"/>
    <n v="31540"/>
    <x v="256"/>
    <n v="2443"/>
    <x v="12"/>
    <n v="2"/>
    <n v="130.52000000000001"/>
    <d v="2025-03-15T00:00:00"/>
    <d v="2025-03-23T00:00:00"/>
    <x v="1"/>
    <s v="OK"/>
    <s v="OK"/>
    <x v="3"/>
    <n v="8"/>
    <n v="1"/>
    <n v="65.260000000000005"/>
  </r>
  <r>
    <n v="52672"/>
    <n v="31541"/>
    <x v="341"/>
    <n v="2593"/>
    <x v="13"/>
    <n v="1"/>
    <n v="121.5"/>
    <d v="2025-12-17T00:00:00"/>
    <d v="2025-12-21T00:00:00"/>
    <x v="0"/>
    <s v="OK"/>
    <s v="OK"/>
    <x v="1"/>
    <n v="4"/>
    <n v="1"/>
    <n v="121.5"/>
  </r>
  <r>
    <n v="52673"/>
    <n v="31541"/>
    <x v="341"/>
    <n v="2593"/>
    <x v="3"/>
    <n v="1"/>
    <n v="118.6"/>
    <d v="2025-12-18T00:00:00"/>
    <d v="2025-12-20T00:00:00"/>
    <x v="0"/>
    <s v="OK"/>
    <s v="OK"/>
    <x v="2"/>
    <n v="2"/>
    <n v="0"/>
    <n v="118.6"/>
  </r>
  <r>
    <n v="52674"/>
    <n v="31542"/>
    <x v="76"/>
    <n v="2500"/>
    <x v="12"/>
    <n v="3"/>
    <n v="195.78"/>
    <d v="2025-04-17T00:00:00"/>
    <d v="2025-04-22T00:00:00"/>
    <x v="0"/>
    <s v="OK"/>
    <s v="OK"/>
    <x v="3"/>
    <n v="5"/>
    <n v="1"/>
    <n v="65.260000000000005"/>
  </r>
  <r>
    <n v="52675"/>
    <n v="31542"/>
    <x v="76"/>
    <n v="2500"/>
    <x v="1"/>
    <n v="5"/>
    <n v="1030.45"/>
    <d v="2025-04-17T00:00:00"/>
    <d v="2025-04-26T00:00:00"/>
    <x v="0"/>
    <s v="OK"/>
    <s v="OK"/>
    <x v="0"/>
    <n v="9"/>
    <n v="0"/>
    <n v="206.09"/>
  </r>
  <r>
    <n v="52676"/>
    <n v="31543"/>
    <x v="46"/>
    <n v="2063"/>
    <x v="10"/>
    <n v="2"/>
    <n v="430.68"/>
    <d v="2025-01-04T00:00:00"/>
    <d v="2025-01-11T00:00:00"/>
    <x v="0"/>
    <s v="OK"/>
    <s v="OK"/>
    <x v="3"/>
    <n v="7"/>
    <n v="1"/>
    <n v="215.34"/>
  </r>
  <r>
    <n v="52677"/>
    <n v="31543"/>
    <x v="46"/>
    <n v="2063"/>
    <x v="5"/>
    <n v="1"/>
    <n v="101.44"/>
    <d v="2025-01-05T00:00:00"/>
    <d v="2025-08-01T00:00:00"/>
    <x v="0"/>
    <s v="OK"/>
    <s v="OK"/>
    <x v="1"/>
    <n v="208"/>
    <n v="0"/>
    <n v="101.44"/>
  </r>
  <r>
    <n v="52678"/>
    <n v="31544"/>
    <x v="113"/>
    <n v="2567"/>
    <x v="10"/>
    <n v="1"/>
    <n v="215.34"/>
    <d v="2025-11-10T00:00:00"/>
    <d v="2025-11-11T00:00:00"/>
    <x v="0"/>
    <s v="OK"/>
    <s v="OK"/>
    <x v="3"/>
    <n v="1"/>
    <n v="1"/>
    <n v="215.34"/>
  </r>
  <r>
    <n v="52679"/>
    <n v="31544"/>
    <x v="113"/>
    <n v="2567"/>
    <x v="12"/>
    <n v="1"/>
    <n v="65.260000000000005"/>
    <d v="2025-11-10T00:00:00"/>
    <d v="2025-11-20T00:00:00"/>
    <x v="0"/>
    <s v="OK"/>
    <s v="OK"/>
    <x v="3"/>
    <n v="10"/>
    <n v="0"/>
    <n v="65.260000000000005"/>
  </r>
  <r>
    <n v="52680"/>
    <n v="31545"/>
    <x v="142"/>
    <n v="2120"/>
    <x v="2"/>
    <n v="3"/>
    <n v="724.62"/>
    <d v="2025-11-27T00:00:00"/>
    <d v="2025-12-02T00:00:00"/>
    <x v="0"/>
    <s v="OK"/>
    <s v="OK"/>
    <x v="1"/>
    <n v="5"/>
    <n v="1"/>
    <n v="241.54"/>
  </r>
  <r>
    <n v="52681"/>
    <n v="31546"/>
    <x v="154"/>
    <n v="2460"/>
    <x v="8"/>
    <n v="1"/>
    <n v="203.04"/>
    <d v="2025-11-01T00:00:00"/>
    <d v="2025-11-07T00:00:00"/>
    <x v="0"/>
    <s v="OK"/>
    <s v="OK"/>
    <x v="2"/>
    <n v="6"/>
    <n v="1"/>
    <n v="203.04"/>
  </r>
  <r>
    <n v="52682"/>
    <n v="31546"/>
    <x v="154"/>
    <n v="2460"/>
    <x v="7"/>
    <n v="1"/>
    <n v="253.86"/>
    <d v="2025-11-01T00:00:00"/>
    <d v="2025-11-05T00:00:00"/>
    <x v="0"/>
    <s v="OK"/>
    <s v="OK"/>
    <x v="0"/>
    <n v="4"/>
    <n v="0"/>
    <n v="253.86"/>
  </r>
  <r>
    <n v="52683"/>
    <n v="31547"/>
    <x v="98"/>
    <n v="2295"/>
    <x v="12"/>
    <n v="1"/>
    <n v="65.260000000000005"/>
    <d v="2025-05-02T00:00:00"/>
    <d v="2025-05-05T00:00:00"/>
    <x v="0"/>
    <s v="OK"/>
    <s v="OK"/>
    <x v="3"/>
    <n v="3"/>
    <n v="1"/>
    <n v="65.260000000000005"/>
  </r>
  <r>
    <n v="52684"/>
    <n v="31547"/>
    <x v="98"/>
    <n v="2295"/>
    <x v="2"/>
    <n v="3"/>
    <n v="724.62"/>
    <d v="2025-05-03T00:00:00"/>
    <d v="2025-05-07T00:00:00"/>
    <x v="0"/>
    <s v="OK"/>
    <s v="OK"/>
    <x v="1"/>
    <n v="4"/>
    <n v="0"/>
    <n v="241.54"/>
  </r>
  <r>
    <n v="52685"/>
    <n v="31547"/>
    <x v="98"/>
    <n v="2295"/>
    <x v="14"/>
    <n v="1"/>
    <n v="119.74"/>
    <d v="2025-05-01T00:00:00"/>
    <d v="2025-05-10T00:00:00"/>
    <x v="0"/>
    <s v="OK"/>
    <s v="OK"/>
    <x v="3"/>
    <n v="9"/>
    <n v="0"/>
    <n v="119.74"/>
  </r>
  <r>
    <n v="52686"/>
    <n v="31548"/>
    <x v="96"/>
    <n v="2238"/>
    <x v="5"/>
    <n v="1"/>
    <n v="101.44"/>
    <d v="2025-09-19T00:00:00"/>
    <d v="2025-09-26T00:00:00"/>
    <x v="0"/>
    <s v="OK"/>
    <s v="OK"/>
    <x v="1"/>
    <n v="7"/>
    <n v="1"/>
    <n v="101.44"/>
  </r>
  <r>
    <n v="52687"/>
    <n v="31548"/>
    <x v="96"/>
    <n v="2238"/>
    <x v="14"/>
    <n v="2"/>
    <n v="239.48"/>
    <d v="2025-09-19T00:00:00"/>
    <d v="2025-09-27T00:00:00"/>
    <x v="0"/>
    <s v="OK"/>
    <s v="OK"/>
    <x v="3"/>
    <n v="8"/>
    <n v="0"/>
    <n v="119.74"/>
  </r>
  <r>
    <n v="52688"/>
    <n v="31549"/>
    <x v="332"/>
    <n v="2135"/>
    <x v="15"/>
    <n v="1"/>
    <n v="170.25"/>
    <s v=""/>
    <s v=""/>
    <x v="2"/>
    <s v="Missing date"/>
    <s v="Missing date"/>
    <x v="1"/>
    <s v=""/>
    <n v="1"/>
    <n v="170.25"/>
  </r>
  <r>
    <n v="52689"/>
    <n v="31550"/>
    <x v="41"/>
    <n v="2427"/>
    <x v="2"/>
    <n v="4"/>
    <n v="966.16"/>
    <s v=""/>
    <s v=""/>
    <x v="3"/>
    <s v="Missing date"/>
    <s v="Missing date"/>
    <x v="1"/>
    <s v=""/>
    <n v="1"/>
    <n v="241.54"/>
  </r>
  <r>
    <n v="52690"/>
    <n v="31551"/>
    <x v="246"/>
    <n v="2166"/>
    <x v="13"/>
    <n v="1"/>
    <n v="121.5"/>
    <d v="2025-03-09T00:00:00"/>
    <d v="2025-03-13T00:00:00"/>
    <x v="0"/>
    <s v="OK"/>
    <s v="OK"/>
    <x v="1"/>
    <n v="4"/>
    <n v="1"/>
    <n v="121.5"/>
  </r>
  <r>
    <n v="52691"/>
    <n v="31551"/>
    <x v="246"/>
    <n v="2166"/>
    <x v="11"/>
    <n v="1"/>
    <n v="224.37"/>
    <d v="2025-03-08T00:00:00"/>
    <d v="2025-03-10T00:00:00"/>
    <x v="0"/>
    <s v="OK"/>
    <s v="OK"/>
    <x v="2"/>
    <n v="2"/>
    <n v="0"/>
    <n v="224.37"/>
  </r>
  <r>
    <n v="52692"/>
    <n v="31552"/>
    <x v="193"/>
    <n v="2495"/>
    <x v="0"/>
    <n v="3"/>
    <n v="599.42999999999995"/>
    <d v="2025-05-18T00:00:00"/>
    <d v="2025-05-20T00:00:00"/>
    <x v="0"/>
    <s v="OK"/>
    <s v="OK"/>
    <x v="0"/>
    <n v="2"/>
    <n v="1"/>
    <n v="199.80999999999997"/>
  </r>
  <r>
    <n v="52693"/>
    <n v="31553"/>
    <x v="324"/>
    <n v="2161"/>
    <x v="4"/>
    <n v="2"/>
    <n v="367.48"/>
    <d v="2025-07-17T00:00:00"/>
    <d v="2025-07-18T00:00:00"/>
    <x v="0"/>
    <s v="OK"/>
    <s v="OK"/>
    <x v="2"/>
    <n v="1"/>
    <n v="1"/>
    <n v="183.74"/>
  </r>
  <r>
    <n v="52694"/>
    <n v="31553"/>
    <x v="324"/>
    <n v="2161"/>
    <x v="10"/>
    <n v="3"/>
    <n v="646.02"/>
    <d v="2025-07-16T00:00:00"/>
    <d v="2025-07-20T00:00:00"/>
    <x v="0"/>
    <s v="OK"/>
    <s v="OK"/>
    <x v="3"/>
    <n v="4"/>
    <n v="0"/>
    <n v="215.34"/>
  </r>
  <r>
    <n v="52695"/>
    <n v="31553"/>
    <x v="324"/>
    <n v="2161"/>
    <x v="12"/>
    <n v="1"/>
    <n v="65.260000000000005"/>
    <d v="2025-07-17T00:00:00"/>
    <d v="2025-07-25T00:00:00"/>
    <x v="0"/>
    <s v="OK"/>
    <s v="OK"/>
    <x v="3"/>
    <n v="8"/>
    <n v="0"/>
    <n v="65.260000000000005"/>
  </r>
  <r>
    <n v="52696"/>
    <n v="31553"/>
    <x v="324"/>
    <n v="2161"/>
    <x v="13"/>
    <n v="3"/>
    <n v="364.5"/>
    <d v="2025-07-17T00:00:00"/>
    <d v="2025-07-27T00:00:00"/>
    <x v="0"/>
    <s v="OK"/>
    <s v="OK"/>
    <x v="1"/>
    <n v="10"/>
    <n v="0"/>
    <n v="121.5"/>
  </r>
  <r>
    <n v="52697"/>
    <n v="31554"/>
    <x v="306"/>
    <n v="2241"/>
    <x v="3"/>
    <n v="1"/>
    <n v="118.6"/>
    <d v="2025-06-25T00:00:00"/>
    <d v="2025-06-26T00:00:00"/>
    <x v="0"/>
    <s v="OK"/>
    <s v="OK"/>
    <x v="2"/>
    <n v="1"/>
    <n v="1"/>
    <n v="118.6"/>
  </r>
  <r>
    <n v="52698"/>
    <n v="31554"/>
    <x v="306"/>
    <n v="2241"/>
    <x v="8"/>
    <n v="2"/>
    <n v="406.08"/>
    <d v="2025-06-27T00:00:00"/>
    <d v="2025-06-29T00:00:00"/>
    <x v="0"/>
    <s v="OK"/>
    <s v="OK"/>
    <x v="2"/>
    <n v="2"/>
    <n v="0"/>
    <n v="203.04"/>
  </r>
  <r>
    <n v="52699"/>
    <n v="31555"/>
    <x v="27"/>
    <n v="2368"/>
    <x v="2"/>
    <n v="1"/>
    <n v="241.54"/>
    <s v=""/>
    <s v=""/>
    <x v="2"/>
    <s v="Missing date"/>
    <s v="Missing date"/>
    <x v="1"/>
    <s v=""/>
    <n v="1"/>
    <n v="241.54"/>
  </r>
  <r>
    <n v="52700"/>
    <n v="31556"/>
    <x v="282"/>
    <n v="2163"/>
    <x v="3"/>
    <n v="2"/>
    <n v="237.2"/>
    <d v="2025-05-26T00:00:00"/>
    <d v="2025-05-30T00:00:00"/>
    <x v="0"/>
    <s v="OK"/>
    <s v="OK"/>
    <x v="2"/>
    <n v="4"/>
    <n v="1"/>
    <n v="118.6"/>
  </r>
  <r>
    <n v="52701"/>
    <n v="31557"/>
    <x v="157"/>
    <n v="2066"/>
    <x v="4"/>
    <n v="4"/>
    <n v="734.96"/>
    <d v="2025-08-03T00:00:00"/>
    <d v="2025-08-04T00:00:00"/>
    <x v="0"/>
    <s v="OK"/>
    <s v="OK"/>
    <x v="2"/>
    <n v="1"/>
    <n v="1"/>
    <n v="183.74"/>
  </r>
  <r>
    <n v="52702"/>
    <n v="31557"/>
    <x v="157"/>
    <n v="2066"/>
    <x v="1"/>
    <n v="1"/>
    <n v="206.09"/>
    <d v="2025-08-04T00:00:00"/>
    <d v="2025-08-07T00:00:00"/>
    <x v="0"/>
    <s v="OK"/>
    <s v="OK"/>
    <x v="0"/>
    <n v="3"/>
    <n v="0"/>
    <n v="206.09"/>
  </r>
  <r>
    <n v="52703"/>
    <n v="31557"/>
    <x v="157"/>
    <n v="2066"/>
    <x v="4"/>
    <n v="1"/>
    <n v="183.74"/>
    <d v="2025-08-03T00:00:00"/>
    <d v="2025-08-08T00:00:00"/>
    <x v="0"/>
    <s v="OK"/>
    <s v="OK"/>
    <x v="2"/>
    <n v="5"/>
    <n v="0"/>
    <n v="183.74"/>
  </r>
  <r>
    <n v="52704"/>
    <n v="31558"/>
    <x v="208"/>
    <n v="2576"/>
    <x v="9"/>
    <n v="2"/>
    <n v="80.56"/>
    <d v="2025-05-26T00:00:00"/>
    <d v="2025-05-30T00:00:00"/>
    <x v="0"/>
    <s v="OK"/>
    <s v="OK"/>
    <x v="0"/>
    <n v="4"/>
    <n v="1"/>
    <n v="40.28"/>
  </r>
  <r>
    <n v="52705"/>
    <n v="31558"/>
    <x v="208"/>
    <n v="2576"/>
    <x v="5"/>
    <n v="4"/>
    <n v="405.76"/>
    <d v="2025-05-26T00:00:00"/>
    <d v="2025-05-31T00:00:00"/>
    <x v="0"/>
    <s v="OK"/>
    <s v="OK"/>
    <x v="1"/>
    <n v="5"/>
    <n v="0"/>
    <n v="101.44"/>
  </r>
  <r>
    <n v="52706"/>
    <n v="31558"/>
    <x v="208"/>
    <n v="2576"/>
    <x v="2"/>
    <n v="1"/>
    <n v="241.54"/>
    <d v="2025-05-26T00:00:00"/>
    <d v="2025-05-31T00:00:00"/>
    <x v="0"/>
    <s v="OK"/>
    <s v="OK"/>
    <x v="1"/>
    <n v="5"/>
    <n v="0"/>
    <n v="241.54"/>
  </r>
  <r>
    <n v="52707"/>
    <n v="31559"/>
    <x v="157"/>
    <n v="2048"/>
    <x v="9"/>
    <n v="1"/>
    <n v="40.28"/>
    <s v=""/>
    <s v=""/>
    <x v="3"/>
    <s v="Missing date"/>
    <s v="Missing date"/>
    <x v="0"/>
    <s v=""/>
    <n v="1"/>
    <n v="40.28"/>
  </r>
  <r>
    <n v="52708"/>
    <n v="31559"/>
    <x v="157"/>
    <n v="2048"/>
    <x v="4"/>
    <n v="2"/>
    <n v="367.48"/>
    <s v=""/>
    <s v=""/>
    <x v="3"/>
    <s v="Missing date"/>
    <s v="Missing date"/>
    <x v="2"/>
    <s v=""/>
    <n v="0"/>
    <n v="183.74"/>
  </r>
  <r>
    <n v="52709"/>
    <n v="31559"/>
    <x v="157"/>
    <n v="2048"/>
    <x v="14"/>
    <n v="1"/>
    <n v="119.74"/>
    <s v=""/>
    <s v=""/>
    <x v="3"/>
    <s v="Missing date"/>
    <s v="Missing date"/>
    <x v="3"/>
    <s v=""/>
    <n v="0"/>
    <n v="119.74"/>
  </r>
  <r>
    <n v="52710"/>
    <n v="31560"/>
    <x v="308"/>
    <n v="2114"/>
    <x v="4"/>
    <n v="2"/>
    <n v="367.48"/>
    <d v="2025-03-22T00:00:00"/>
    <d v="2025-03-27T00:00:00"/>
    <x v="1"/>
    <s v="OK"/>
    <s v="OK"/>
    <x v="2"/>
    <n v="5"/>
    <n v="1"/>
    <n v="183.74"/>
  </r>
  <r>
    <n v="52711"/>
    <n v="31560"/>
    <x v="308"/>
    <n v="2114"/>
    <x v="3"/>
    <n v="1"/>
    <n v="118.6"/>
    <d v="2025-03-22T00:00:00"/>
    <d v="2025-04-01T00:00:00"/>
    <x v="1"/>
    <s v="OK"/>
    <s v="OK"/>
    <x v="2"/>
    <n v="10"/>
    <n v="0"/>
    <n v="118.6"/>
  </r>
  <r>
    <n v="52712"/>
    <n v="31560"/>
    <x v="308"/>
    <n v="2114"/>
    <x v="4"/>
    <n v="1"/>
    <n v="183.74"/>
    <d v="2025-03-21T00:00:00"/>
    <d v="2025-03-24T00:00:00"/>
    <x v="1"/>
    <s v="OK"/>
    <s v="OK"/>
    <x v="2"/>
    <n v="3"/>
    <n v="0"/>
    <n v="183.74"/>
  </r>
  <r>
    <n v="52713"/>
    <n v="31561"/>
    <x v="1"/>
    <n v="2172"/>
    <x v="0"/>
    <n v="1"/>
    <n v="199.81"/>
    <d v="2025-08-22T00:00:00"/>
    <d v="2025-08-30T00:00:00"/>
    <x v="0"/>
    <s v="OK"/>
    <s v="OK"/>
    <x v="0"/>
    <n v="8"/>
    <n v="1"/>
    <n v="199.81"/>
  </r>
  <r>
    <n v="52714"/>
    <n v="31562"/>
    <x v="324"/>
    <n v="2371"/>
    <x v="13"/>
    <n v="1"/>
    <n v="121.5"/>
    <d v="2025-07-17T00:00:00"/>
    <d v="2025-07-20T00:00:00"/>
    <x v="0"/>
    <s v="OK"/>
    <s v="OK"/>
    <x v="1"/>
    <n v="3"/>
    <n v="1"/>
    <n v="121.5"/>
  </r>
  <r>
    <n v="52715"/>
    <n v="31563"/>
    <x v="121"/>
    <n v="2453"/>
    <x v="12"/>
    <n v="1"/>
    <n v="65.260000000000005"/>
    <s v=""/>
    <s v=""/>
    <x v="3"/>
    <s v="Missing date"/>
    <s v="Missing date"/>
    <x v="3"/>
    <s v=""/>
    <n v="1"/>
    <n v="65.260000000000005"/>
  </r>
  <r>
    <n v="52716"/>
    <n v="31564"/>
    <x v="66"/>
    <n v="2102"/>
    <x v="2"/>
    <n v="1"/>
    <n v="241.54"/>
    <d v="2025-02-18T00:00:00"/>
    <d v="2025-02-23T00:00:00"/>
    <x v="0"/>
    <s v="OK"/>
    <s v="OK"/>
    <x v="1"/>
    <n v="5"/>
    <n v="1"/>
    <n v="241.54"/>
  </r>
  <r>
    <n v="52717"/>
    <n v="31564"/>
    <x v="66"/>
    <n v="2102"/>
    <x v="5"/>
    <n v="1"/>
    <n v="101.44"/>
    <d v="2025-02-20T00:00:00"/>
    <d v="2025-02-28T00:00:00"/>
    <x v="0"/>
    <s v="OK"/>
    <s v="OK"/>
    <x v="1"/>
    <n v="8"/>
    <n v="0"/>
    <n v="101.44"/>
  </r>
  <r>
    <n v="52718"/>
    <n v="31564"/>
    <x v="66"/>
    <n v="2102"/>
    <x v="6"/>
    <n v="1"/>
    <n v="31.73"/>
    <d v="2025-02-18T00:00:00"/>
    <d v="2025-02-21T00:00:00"/>
    <x v="0"/>
    <s v="OK"/>
    <s v="OK"/>
    <x v="2"/>
    <n v="3"/>
    <n v="0"/>
    <n v="31.73"/>
  </r>
  <r>
    <n v="52719"/>
    <n v="31564"/>
    <x v="66"/>
    <n v="2102"/>
    <x v="4"/>
    <n v="2"/>
    <n v="367.48"/>
    <d v="2025-02-19T00:00:00"/>
    <d v="2025-02-24T00:00:00"/>
    <x v="0"/>
    <s v="OK"/>
    <s v="OK"/>
    <x v="2"/>
    <n v="5"/>
    <n v="0"/>
    <n v="183.74"/>
  </r>
  <r>
    <n v="52720"/>
    <n v="31565"/>
    <x v="73"/>
    <n v="2207"/>
    <x v="10"/>
    <n v="3"/>
    <n v="646.02"/>
    <d v="2025-09-24T00:00:00"/>
    <d v="2025-09-29T00:00:00"/>
    <x v="0"/>
    <s v="OK"/>
    <s v="OK"/>
    <x v="3"/>
    <n v="5"/>
    <n v="1"/>
    <n v="215.34"/>
  </r>
  <r>
    <n v="52721"/>
    <n v="31565"/>
    <x v="73"/>
    <n v="2207"/>
    <x v="8"/>
    <n v="1"/>
    <n v="203.04"/>
    <d v="2025-09-22T00:00:00"/>
    <d v="2025-10-02T00:00:00"/>
    <x v="0"/>
    <s v="OK"/>
    <s v="OK"/>
    <x v="2"/>
    <n v="10"/>
    <n v="0"/>
    <n v="203.04"/>
  </r>
  <r>
    <n v="52722"/>
    <n v="31565"/>
    <x v="73"/>
    <n v="2207"/>
    <x v="1"/>
    <n v="2"/>
    <n v="412.18"/>
    <d v="2025-09-22T00:00:00"/>
    <d v="2025-09-27T00:00:00"/>
    <x v="0"/>
    <s v="OK"/>
    <s v="OK"/>
    <x v="0"/>
    <n v="5"/>
    <n v="0"/>
    <n v="206.09"/>
  </r>
  <r>
    <n v="52723"/>
    <n v="31566"/>
    <x v="222"/>
    <n v="2486"/>
    <x v="7"/>
    <n v="1"/>
    <n v="253.86"/>
    <d v="2025-12-01T00:00:00"/>
    <d v="2025-12-10T00:00:00"/>
    <x v="0"/>
    <s v="OK"/>
    <s v="OK"/>
    <x v="0"/>
    <n v="9"/>
    <n v="1"/>
    <n v="253.86"/>
  </r>
  <r>
    <n v="52724"/>
    <n v="31566"/>
    <x v="222"/>
    <n v="2486"/>
    <x v="11"/>
    <n v="1"/>
    <n v="224.37"/>
    <d v="2025-12-01T00:00:00"/>
    <d v="2025-12-10T00:00:00"/>
    <x v="0"/>
    <s v="OK"/>
    <s v="OK"/>
    <x v="2"/>
    <n v="9"/>
    <n v="0"/>
    <n v="224.37"/>
  </r>
  <r>
    <n v="52725"/>
    <n v="31566"/>
    <x v="222"/>
    <n v="2486"/>
    <x v="9"/>
    <n v="1"/>
    <n v="40.28"/>
    <d v="2025-12-02T00:00:00"/>
    <d v="2025-12-04T00:00:00"/>
    <x v="0"/>
    <s v="OK"/>
    <s v="OK"/>
    <x v="0"/>
    <n v="2"/>
    <n v="0"/>
    <n v="40.28"/>
  </r>
  <r>
    <n v="52726"/>
    <n v="31567"/>
    <x v="179"/>
    <n v="2382"/>
    <x v="10"/>
    <n v="1"/>
    <n v="215.34"/>
    <d v="2025-01-24T00:00:00"/>
    <d v="2025-01-29T00:00:00"/>
    <x v="0"/>
    <s v="OK"/>
    <s v="OK"/>
    <x v="3"/>
    <n v="5"/>
    <n v="1"/>
    <n v="215.34"/>
  </r>
  <r>
    <n v="52727"/>
    <n v="31567"/>
    <x v="179"/>
    <n v="2382"/>
    <x v="2"/>
    <n v="1"/>
    <n v="241.54"/>
    <d v="2025-01-25T00:00:00"/>
    <d v="2025-02-01T00:00:00"/>
    <x v="0"/>
    <s v="OK"/>
    <s v="OK"/>
    <x v="1"/>
    <n v="7"/>
    <n v="0"/>
    <n v="241.54"/>
  </r>
  <r>
    <n v="52728"/>
    <n v="31567"/>
    <x v="179"/>
    <n v="2382"/>
    <x v="1"/>
    <n v="4"/>
    <n v="824.36"/>
    <d v="2025-01-25T00:00:00"/>
    <d v="2025-01-28T00:00:00"/>
    <x v="0"/>
    <s v="OK"/>
    <s v="OK"/>
    <x v="0"/>
    <n v="3"/>
    <n v="0"/>
    <n v="206.09"/>
  </r>
  <r>
    <n v="52729"/>
    <n v="31567"/>
    <x v="179"/>
    <n v="2382"/>
    <x v="6"/>
    <n v="1"/>
    <n v="31.73"/>
    <d v="2025-01-24T00:00:00"/>
    <d v="2025-01-27T00:00:00"/>
    <x v="0"/>
    <s v="OK"/>
    <s v="OK"/>
    <x v="2"/>
    <n v="3"/>
    <n v="0"/>
    <n v="31.73"/>
  </r>
  <r>
    <n v="52730"/>
    <n v="31568"/>
    <x v="333"/>
    <n v="2543"/>
    <x v="1"/>
    <n v="1"/>
    <n v="206.09"/>
    <d v="2025-10-18T00:00:00"/>
    <d v="2025-10-19T00:00:00"/>
    <x v="0"/>
    <s v="OK"/>
    <s v="OK"/>
    <x v="0"/>
    <n v="1"/>
    <n v="1"/>
    <n v="206.09"/>
  </r>
  <r>
    <n v="52731"/>
    <n v="31568"/>
    <x v="333"/>
    <n v="2543"/>
    <x v="6"/>
    <n v="1"/>
    <n v="31.73"/>
    <d v="2025-10-19T00:00:00"/>
    <d v="2025-10-22T00:00:00"/>
    <x v="0"/>
    <s v="OK"/>
    <s v="OK"/>
    <x v="2"/>
    <n v="3"/>
    <n v="0"/>
    <n v="31.73"/>
  </r>
  <r>
    <n v="52732"/>
    <n v="31569"/>
    <x v="167"/>
    <n v="2440"/>
    <x v="10"/>
    <n v="2"/>
    <n v="430.68"/>
    <d v="2025-03-16T00:00:00"/>
    <d v="2025-03-25T00:00:00"/>
    <x v="0"/>
    <s v="OK"/>
    <s v="OK"/>
    <x v="3"/>
    <n v="9"/>
    <n v="1"/>
    <n v="215.34"/>
  </r>
  <r>
    <n v="52733"/>
    <n v="31570"/>
    <x v="23"/>
    <n v="2470"/>
    <x v="2"/>
    <n v="1"/>
    <n v="241.54"/>
    <d v="2025-11-11T00:00:00"/>
    <d v="2025-11-15T00:00:00"/>
    <x v="1"/>
    <s v="OK"/>
    <s v="OK"/>
    <x v="1"/>
    <n v="4"/>
    <n v="1"/>
    <n v="241.54"/>
  </r>
  <r>
    <n v="52734"/>
    <n v="31570"/>
    <x v="313"/>
    <n v="2470"/>
    <x v="8"/>
    <n v="5"/>
    <n v="1015.2"/>
    <d v="2025-10-11T00:00:00"/>
    <d v="2025-11-18T00:00:00"/>
    <x v="1"/>
    <s v="OK"/>
    <s v="OK"/>
    <x v="2"/>
    <n v="38"/>
    <n v="0"/>
    <n v="203.04000000000002"/>
  </r>
  <r>
    <n v="52735"/>
    <n v="31570"/>
    <x v="23"/>
    <n v="2470"/>
    <x v="14"/>
    <n v="1"/>
    <n v="119.74"/>
    <d v="2025-11-11T00:00:00"/>
    <d v="2025-11-14T00:00:00"/>
    <x v="1"/>
    <s v="OK"/>
    <s v="OK"/>
    <x v="3"/>
    <n v="3"/>
    <n v="0"/>
    <n v="119.74"/>
  </r>
  <r>
    <n v="52736"/>
    <n v="31571"/>
    <x v="284"/>
    <n v="2150"/>
    <x v="11"/>
    <n v="1"/>
    <n v="224.37"/>
    <d v="2025-03-05T00:00:00"/>
    <s v=""/>
    <x v="3"/>
    <s v="Missing date"/>
    <s v="OK"/>
    <x v="2"/>
    <s v=""/>
    <n v="1"/>
    <n v="224.37"/>
  </r>
  <r>
    <n v="52737"/>
    <n v="31572"/>
    <x v="33"/>
    <n v="2323"/>
    <x v="7"/>
    <n v="1"/>
    <n v="253.86"/>
    <d v="2025-10-24T00:00:00"/>
    <d v="2025-11-03T00:00:00"/>
    <x v="0"/>
    <s v="OK"/>
    <s v="OK"/>
    <x v="0"/>
    <n v="10"/>
    <n v="1"/>
    <n v="253.86"/>
  </r>
  <r>
    <n v="52738"/>
    <n v="31572"/>
    <x v="33"/>
    <n v="2323"/>
    <x v="10"/>
    <n v="1"/>
    <n v="215.34"/>
    <d v="2025-10-25T00:00:00"/>
    <d v="2025-11-03T00:00:00"/>
    <x v="0"/>
    <s v="OK"/>
    <s v="OK"/>
    <x v="3"/>
    <n v="9"/>
    <n v="0"/>
    <n v="215.34"/>
  </r>
  <r>
    <n v="52739"/>
    <n v="31572"/>
    <x v="33"/>
    <n v="2323"/>
    <x v="3"/>
    <n v="2"/>
    <n v="237.2"/>
    <d v="2025-10-26T00:00:00"/>
    <d v="2025-11-03T00:00:00"/>
    <x v="0"/>
    <s v="OK"/>
    <s v="OK"/>
    <x v="2"/>
    <n v="8"/>
    <n v="0"/>
    <n v="118.6"/>
  </r>
  <r>
    <n v="52740"/>
    <n v="31572"/>
    <x v="33"/>
    <n v="2323"/>
    <x v="15"/>
    <n v="2"/>
    <n v="340.5"/>
    <d v="2025-10-24T00:00:00"/>
    <d v="2025-10-31T00:00:00"/>
    <x v="0"/>
    <s v="OK"/>
    <s v="OK"/>
    <x v="1"/>
    <n v="7"/>
    <n v="0"/>
    <n v="170.25"/>
  </r>
  <r>
    <n v="52741"/>
    <n v="31573"/>
    <x v="68"/>
    <n v="2038"/>
    <x v="6"/>
    <n v="1"/>
    <n v="31.73"/>
    <d v="2025-08-30T00:00:00"/>
    <d v="2025-09-08T00:00:00"/>
    <x v="0"/>
    <s v="OK"/>
    <s v="OK"/>
    <x v="2"/>
    <n v="9"/>
    <n v="1"/>
    <n v="31.73"/>
  </r>
  <r>
    <n v="52742"/>
    <n v="31573"/>
    <x v="68"/>
    <n v="2038"/>
    <x v="3"/>
    <n v="1"/>
    <n v="118.6"/>
    <d v="2025-08-30T00:00:00"/>
    <d v="2025-08-31T00:00:00"/>
    <x v="0"/>
    <s v="OK"/>
    <s v="OK"/>
    <x v="2"/>
    <n v="1"/>
    <n v="0"/>
    <n v="118.6"/>
  </r>
  <r>
    <n v="52743"/>
    <n v="31573"/>
    <x v="68"/>
    <n v="2038"/>
    <x v="13"/>
    <n v="1"/>
    <n v="121.5"/>
    <d v="2025-08-31T00:00:00"/>
    <d v="2025-09-02T00:00:00"/>
    <x v="0"/>
    <s v="OK"/>
    <s v="OK"/>
    <x v="1"/>
    <n v="2"/>
    <n v="0"/>
    <n v="121.5"/>
  </r>
  <r>
    <n v="52744"/>
    <n v="31574"/>
    <x v="185"/>
    <n v="2430"/>
    <x v="13"/>
    <n v="2"/>
    <n v="243"/>
    <d v="2025-02-17T00:00:00"/>
    <d v="2025-02-22T00:00:00"/>
    <x v="0"/>
    <s v="OK"/>
    <s v="OK"/>
    <x v="1"/>
    <n v="5"/>
    <n v="1"/>
    <n v="121.5"/>
  </r>
  <r>
    <n v="52745"/>
    <n v="31575"/>
    <x v="139"/>
    <n v="2322"/>
    <x v="8"/>
    <n v="1"/>
    <n v="203.04"/>
    <s v=""/>
    <s v=""/>
    <x v="2"/>
    <s v="Missing date"/>
    <s v="Missing date"/>
    <x v="2"/>
    <s v=""/>
    <n v="1"/>
    <n v="203.04"/>
  </r>
  <r>
    <n v="52746"/>
    <n v="31575"/>
    <x v="139"/>
    <n v="2322"/>
    <x v="9"/>
    <n v="2"/>
    <n v="80.56"/>
    <s v=""/>
    <s v=""/>
    <x v="2"/>
    <s v="Missing date"/>
    <s v="Missing date"/>
    <x v="0"/>
    <s v=""/>
    <n v="0"/>
    <n v="40.28"/>
  </r>
  <r>
    <n v="52747"/>
    <n v="31575"/>
    <x v="139"/>
    <n v="2322"/>
    <x v="6"/>
    <n v="4"/>
    <n v="126.92"/>
    <s v=""/>
    <s v=""/>
    <x v="2"/>
    <s v="Missing date"/>
    <s v="Missing date"/>
    <x v="2"/>
    <s v=""/>
    <n v="0"/>
    <n v="31.73"/>
  </r>
  <r>
    <n v="52748"/>
    <n v="31575"/>
    <x v="139"/>
    <n v="2322"/>
    <x v="15"/>
    <n v="3"/>
    <n v="510.75"/>
    <s v=""/>
    <s v=""/>
    <x v="2"/>
    <s v="Missing date"/>
    <s v="Missing date"/>
    <x v="1"/>
    <s v=""/>
    <n v="0"/>
    <n v="170.25"/>
  </r>
  <r>
    <n v="52749"/>
    <n v="31576"/>
    <x v="350"/>
    <n v="2457"/>
    <x v="14"/>
    <n v="1"/>
    <n v="119.74"/>
    <d v="2025-07-31T00:00:00"/>
    <d v="2025-08-09T00:00:00"/>
    <x v="0"/>
    <s v="OK"/>
    <s v="OK"/>
    <x v="3"/>
    <n v="9"/>
    <n v="1"/>
    <n v="119.74"/>
  </r>
  <r>
    <n v="52750"/>
    <n v="31576"/>
    <x v="350"/>
    <n v="2457"/>
    <x v="2"/>
    <n v="1"/>
    <n v="241.54"/>
    <d v="2025-07-30T00:00:00"/>
    <d v="2025-08-09T00:00:00"/>
    <x v="0"/>
    <s v="OK"/>
    <s v="OK"/>
    <x v="1"/>
    <n v="10"/>
    <n v="0"/>
    <n v="241.54"/>
  </r>
  <r>
    <n v="52751"/>
    <n v="31577"/>
    <x v="135"/>
    <n v="2415"/>
    <x v="13"/>
    <n v="1"/>
    <n v="121.5"/>
    <d v="2025-02-04T00:00:00"/>
    <s v=""/>
    <x v="3"/>
    <s v="Missing date"/>
    <s v="OK"/>
    <x v="1"/>
    <s v=""/>
    <n v="1"/>
    <n v="121.5"/>
  </r>
  <r>
    <n v="52752"/>
    <n v="31578"/>
    <x v="146"/>
    <n v="2551"/>
    <x v="6"/>
    <n v="3"/>
    <n v="95.19"/>
    <d v="2025-12-04T00:00:00"/>
    <d v="2025-12-12T00:00:00"/>
    <x v="0"/>
    <s v="OK"/>
    <s v="OK"/>
    <x v="2"/>
    <n v="8"/>
    <n v="1"/>
    <n v="31.73"/>
  </r>
  <r>
    <n v="52753"/>
    <n v="31578"/>
    <x v="357"/>
    <n v="2551"/>
    <x v="13"/>
    <n v="1"/>
    <n v="121.5"/>
    <d v="2025-12-04T00:00:00"/>
    <d v="2025-12-05T00:00:00"/>
    <x v="0"/>
    <s v="OK"/>
    <s v="OK"/>
    <x v="1"/>
    <n v="1"/>
    <n v="0"/>
    <n v="121.5"/>
  </r>
  <r>
    <n v="52754"/>
    <n v="31578"/>
    <x v="146"/>
    <n v="2551"/>
    <x v="0"/>
    <n v="2"/>
    <n v="399.62"/>
    <d v="2025-04-12T00:00:00"/>
    <d v="2025-11-12T00:00:00"/>
    <x v="0"/>
    <s v="OK"/>
    <s v="OK"/>
    <x v="0"/>
    <n v="214"/>
    <n v="0"/>
    <n v="199.81"/>
  </r>
  <r>
    <n v="52755"/>
    <n v="31579"/>
    <x v="193"/>
    <n v="2096"/>
    <x v="13"/>
    <n v="1"/>
    <n v="121.5"/>
    <d v="2025-05-17T00:00:00"/>
    <d v="2025-05-23T00:00:00"/>
    <x v="0"/>
    <s v="OK"/>
    <s v="OK"/>
    <x v="1"/>
    <n v="6"/>
    <n v="1"/>
    <n v="121.5"/>
  </r>
  <r>
    <n v="52756"/>
    <n v="31580"/>
    <x v="184"/>
    <n v="2534"/>
    <x v="7"/>
    <n v="1"/>
    <n v="253.86"/>
    <d v="2025-03-30T00:00:00"/>
    <d v="2025-04-06T00:00:00"/>
    <x v="0"/>
    <s v="OK"/>
    <s v="OK"/>
    <x v="0"/>
    <n v="7"/>
    <n v="1"/>
    <n v="253.86"/>
  </r>
  <r>
    <n v="52757"/>
    <n v="31581"/>
    <x v="334"/>
    <n v="2024"/>
    <x v="9"/>
    <n v="2"/>
    <n v="80.56"/>
    <d v="2025-09-28T00:00:00"/>
    <d v="2025-10-05T00:00:00"/>
    <x v="0"/>
    <s v="OK"/>
    <s v="OK"/>
    <x v="0"/>
    <n v="7"/>
    <n v="1"/>
    <n v="40.28"/>
  </r>
  <r>
    <n v="52758"/>
    <n v="31581"/>
    <x v="334"/>
    <n v="2024"/>
    <x v="1"/>
    <n v="1"/>
    <n v="206.09"/>
    <d v="2025-09-28T00:00:00"/>
    <d v="2025-10-02T00:00:00"/>
    <x v="0"/>
    <s v="OK"/>
    <s v="OK"/>
    <x v="0"/>
    <n v="4"/>
    <n v="0"/>
    <n v="206.09"/>
  </r>
  <r>
    <n v="52759"/>
    <n v="31582"/>
    <x v="12"/>
    <n v="2312"/>
    <x v="4"/>
    <n v="1"/>
    <n v="183.74"/>
    <d v="2025-08-30T00:00:00"/>
    <d v="2025-08-31T00:00:00"/>
    <x v="0"/>
    <s v="OK"/>
    <s v="OK"/>
    <x v="2"/>
    <n v="1"/>
    <n v="1"/>
    <n v="183.74"/>
  </r>
  <r>
    <n v="52760"/>
    <n v="31583"/>
    <x v="335"/>
    <n v="2062"/>
    <x v="9"/>
    <n v="1"/>
    <n v="40.28"/>
    <s v=""/>
    <s v=""/>
    <x v="3"/>
    <s v="Missing date"/>
    <s v="Missing date"/>
    <x v="0"/>
    <s v=""/>
    <n v="1"/>
    <n v="40.28"/>
  </r>
  <r>
    <n v="52761"/>
    <n v="31583"/>
    <x v="335"/>
    <n v="2062"/>
    <x v="2"/>
    <n v="1"/>
    <n v="241.54"/>
    <d v="2025-08-08T00:00:00"/>
    <s v=""/>
    <x v="3"/>
    <s v="Missing date"/>
    <s v="OK"/>
    <x v="1"/>
    <s v=""/>
    <n v="0"/>
    <n v="241.54"/>
  </r>
  <r>
    <n v="52762"/>
    <n v="31583"/>
    <x v="335"/>
    <n v="2062"/>
    <x v="4"/>
    <n v="1"/>
    <n v="183.74"/>
    <s v=""/>
    <s v=""/>
    <x v="3"/>
    <s v="Missing date"/>
    <s v="Missing date"/>
    <x v="2"/>
    <s v=""/>
    <n v="0"/>
    <n v="183.74"/>
  </r>
  <r>
    <n v="52763"/>
    <n v="31583"/>
    <x v="335"/>
    <n v="2062"/>
    <x v="8"/>
    <n v="2"/>
    <n v="406.08"/>
    <s v=""/>
    <s v=""/>
    <x v="3"/>
    <s v="Missing date"/>
    <s v="Missing date"/>
    <x v="2"/>
    <s v=""/>
    <n v="0"/>
    <n v="203.04"/>
  </r>
  <r>
    <n v="52764"/>
    <n v="31584"/>
    <x v="8"/>
    <n v="2242"/>
    <x v="1"/>
    <n v="3"/>
    <n v="618.27"/>
    <s v=""/>
    <s v=""/>
    <x v="3"/>
    <s v="Missing date"/>
    <s v="Missing date"/>
    <x v="0"/>
    <s v=""/>
    <n v="1"/>
    <n v="206.09"/>
  </r>
  <r>
    <n v="52765"/>
    <n v="31585"/>
    <x v="303"/>
    <n v="2292"/>
    <x v="6"/>
    <n v="1"/>
    <n v="31.73"/>
    <d v="2025-08-09T00:00:00"/>
    <d v="2025-08-13T00:00:00"/>
    <x v="0"/>
    <s v="OK"/>
    <s v="OK"/>
    <x v="2"/>
    <n v="4"/>
    <n v="1"/>
    <n v="31.73"/>
  </r>
  <r>
    <n v="52766"/>
    <n v="31586"/>
    <x v="318"/>
    <n v="2387"/>
    <x v="1"/>
    <n v="1"/>
    <n v="206.09"/>
    <d v="2025-06-15T00:00:00"/>
    <d v="2025-06-19T00:00:00"/>
    <x v="0"/>
    <s v="OK"/>
    <s v="OK"/>
    <x v="0"/>
    <n v="4"/>
    <n v="1"/>
    <n v="206.09"/>
  </r>
  <r>
    <n v="52767"/>
    <n v="31587"/>
    <x v="293"/>
    <n v="2108"/>
    <x v="0"/>
    <n v="1"/>
    <n v="199.81"/>
    <d v="2025-06-05T00:00:00"/>
    <d v="2025-06-15T00:00:00"/>
    <x v="0"/>
    <s v="OK"/>
    <s v="OK"/>
    <x v="0"/>
    <n v="10"/>
    <n v="1"/>
    <n v="199.81"/>
  </r>
  <r>
    <n v="52768"/>
    <n v="31587"/>
    <x v="353"/>
    <n v="2108"/>
    <x v="2"/>
    <n v="1"/>
    <n v="241.54"/>
    <d v="2025-06-05T00:00:00"/>
    <d v="2025-06-13T00:00:00"/>
    <x v="0"/>
    <s v="OK"/>
    <s v="OK"/>
    <x v="1"/>
    <n v="8"/>
    <n v="0"/>
    <n v="241.54"/>
  </r>
  <r>
    <n v="52769"/>
    <n v="31587"/>
    <x v="293"/>
    <n v="2108"/>
    <x v="14"/>
    <n v="1"/>
    <n v="119.74"/>
    <d v="2025-06-05T00:00:00"/>
    <d v="2025-06-13T00:00:00"/>
    <x v="0"/>
    <s v="OK"/>
    <s v="OK"/>
    <x v="3"/>
    <n v="8"/>
    <n v="0"/>
    <n v="119.74"/>
  </r>
  <r>
    <n v="52770"/>
    <n v="31588"/>
    <x v="282"/>
    <n v="2101"/>
    <x v="10"/>
    <n v="1"/>
    <n v="215.34"/>
    <d v="2025-05-26T00:00:00"/>
    <d v="2025-05-28T00:00:00"/>
    <x v="0"/>
    <s v="OK"/>
    <s v="OK"/>
    <x v="3"/>
    <n v="2"/>
    <n v="1"/>
    <n v="215.34"/>
  </r>
  <r>
    <n v="52771"/>
    <n v="31589"/>
    <x v="258"/>
    <n v="2422"/>
    <x v="3"/>
    <n v="5"/>
    <n v="593"/>
    <d v="2025-01-09T00:00:00"/>
    <d v="2025-01-17T00:00:00"/>
    <x v="0"/>
    <s v="OK"/>
    <s v="OK"/>
    <x v="2"/>
    <n v="8"/>
    <n v="1"/>
    <n v="118.6"/>
  </r>
  <r>
    <n v="52772"/>
    <n v="31589"/>
    <x v="258"/>
    <n v="2422"/>
    <x v="10"/>
    <n v="1"/>
    <n v="215.34"/>
    <d v="2025-01-09T00:00:00"/>
    <d v="2025-01-18T00:00:00"/>
    <x v="0"/>
    <s v="OK"/>
    <s v="OK"/>
    <x v="3"/>
    <n v="9"/>
    <n v="0"/>
    <n v="215.34"/>
  </r>
  <r>
    <n v="52773"/>
    <n v="31589"/>
    <x v="258"/>
    <n v="2422"/>
    <x v="6"/>
    <n v="2"/>
    <n v="63.46"/>
    <d v="2025-01-11T00:00:00"/>
    <d v="2025-01-15T00:00:00"/>
    <x v="0"/>
    <s v="OK"/>
    <s v="OK"/>
    <x v="2"/>
    <n v="4"/>
    <n v="0"/>
    <n v="31.73"/>
  </r>
  <r>
    <n v="52774"/>
    <n v="31590"/>
    <x v="73"/>
    <n v="2488"/>
    <x v="11"/>
    <n v="1"/>
    <n v="224.37"/>
    <d v="2025-09-23T00:00:00"/>
    <d v="2025-09-24T00:00:00"/>
    <x v="0"/>
    <s v="OK"/>
    <s v="OK"/>
    <x v="2"/>
    <n v="1"/>
    <n v="1"/>
    <n v="224.37"/>
  </r>
  <r>
    <n v="52775"/>
    <n v="31590"/>
    <x v="73"/>
    <n v="2488"/>
    <x v="2"/>
    <n v="2"/>
    <n v="483.08"/>
    <d v="2025-09-23T00:00:00"/>
    <d v="2025-09-29T00:00:00"/>
    <x v="0"/>
    <s v="OK"/>
    <s v="OK"/>
    <x v="1"/>
    <n v="6"/>
    <n v="0"/>
    <n v="241.54"/>
  </r>
  <r>
    <n v="52776"/>
    <n v="31591"/>
    <x v="139"/>
    <n v="2539"/>
    <x v="15"/>
    <n v="1"/>
    <n v="170.25"/>
    <d v="2025-03-12T00:00:00"/>
    <d v="2025-03-20T00:00:00"/>
    <x v="0"/>
    <s v="OK"/>
    <s v="OK"/>
    <x v="1"/>
    <n v="8"/>
    <n v="1"/>
    <n v="170.25"/>
  </r>
  <r>
    <n v="52777"/>
    <n v="31592"/>
    <x v="21"/>
    <n v="2271"/>
    <x v="10"/>
    <n v="2"/>
    <n v="430.68"/>
    <d v="2025-05-16T00:00:00"/>
    <d v="2025-05-17T00:00:00"/>
    <x v="0"/>
    <s v="OK"/>
    <s v="OK"/>
    <x v="3"/>
    <n v="1"/>
    <n v="1"/>
    <n v="215.34"/>
  </r>
  <r>
    <n v="52778"/>
    <n v="31592"/>
    <x v="21"/>
    <n v="2271"/>
    <x v="14"/>
    <n v="2"/>
    <n v="239.48"/>
    <d v="2025-05-15T00:00:00"/>
    <d v="2025-05-23T00:00:00"/>
    <x v="0"/>
    <s v="OK"/>
    <s v="OK"/>
    <x v="3"/>
    <n v="8"/>
    <n v="0"/>
    <n v="119.74"/>
  </r>
  <r>
    <n v="52779"/>
    <n v="31592"/>
    <x v="21"/>
    <n v="2271"/>
    <x v="12"/>
    <n v="1"/>
    <n v="65.260000000000005"/>
    <d v="2025-05-15T00:00:00"/>
    <d v="2025-05-22T00:00:00"/>
    <x v="0"/>
    <s v="OK"/>
    <s v="OK"/>
    <x v="3"/>
    <n v="7"/>
    <n v="0"/>
    <n v="65.260000000000005"/>
  </r>
  <r>
    <n v="52780"/>
    <n v="31593"/>
    <x v="80"/>
    <n v="2427"/>
    <x v="6"/>
    <n v="1"/>
    <n v="31.73"/>
    <s v=""/>
    <s v=""/>
    <x v="3"/>
    <s v="Missing date"/>
    <s v="Missing date"/>
    <x v="2"/>
    <s v=""/>
    <n v="1"/>
    <n v="31.73"/>
  </r>
  <r>
    <n v="52781"/>
    <n v="31593"/>
    <x v="80"/>
    <n v="2427"/>
    <x v="12"/>
    <n v="3"/>
    <n v="195.78"/>
    <s v=""/>
    <s v=""/>
    <x v="3"/>
    <s v="Missing date"/>
    <s v="Missing date"/>
    <x v="3"/>
    <s v=""/>
    <n v="0"/>
    <n v="65.260000000000005"/>
  </r>
  <r>
    <n v="52782"/>
    <n v="31594"/>
    <x v="28"/>
    <n v="2133"/>
    <x v="4"/>
    <n v="1"/>
    <n v="183.74"/>
    <d v="2025-06-23T00:00:00"/>
    <d v="2025-07-02T00:00:00"/>
    <x v="1"/>
    <s v="OK"/>
    <s v="OK"/>
    <x v="2"/>
    <n v="9"/>
    <n v="1"/>
    <n v="183.74"/>
  </r>
  <r>
    <n v="52783"/>
    <n v="31595"/>
    <x v="175"/>
    <n v="2218"/>
    <x v="3"/>
    <n v="1"/>
    <n v="118.6"/>
    <d v="2025-01-25T00:00:00"/>
    <d v="2025-01-27T00:00:00"/>
    <x v="0"/>
    <s v="OK"/>
    <s v="OK"/>
    <x v="2"/>
    <n v="2"/>
    <n v="1"/>
    <n v="118.6"/>
  </r>
  <r>
    <n v="52784"/>
    <n v="31596"/>
    <x v="158"/>
    <n v="2161"/>
    <x v="2"/>
    <n v="2"/>
    <n v="483.08"/>
    <d v="2025-04-18T00:00:00"/>
    <d v="2025-04-25T00:00:00"/>
    <x v="1"/>
    <s v="OK"/>
    <s v="OK"/>
    <x v="1"/>
    <n v="7"/>
    <n v="1"/>
    <n v="241.54"/>
  </r>
  <r>
    <n v="52785"/>
    <n v="31597"/>
    <x v="37"/>
    <n v="2122"/>
    <x v="10"/>
    <n v="1"/>
    <n v="215.34"/>
    <d v="2025-10-12T00:00:00"/>
    <d v="2025-10-14T00:00:00"/>
    <x v="0"/>
    <s v="OK"/>
    <s v="OK"/>
    <x v="3"/>
    <n v="2"/>
    <n v="1"/>
    <n v="215.34"/>
  </r>
  <r>
    <n v="52786"/>
    <n v="31598"/>
    <x v="269"/>
    <n v="2113"/>
    <x v="13"/>
    <n v="1"/>
    <n v="121.5"/>
    <d v="2025-10-08T00:00:00"/>
    <d v="2025-10-11T00:00:00"/>
    <x v="0"/>
    <s v="OK"/>
    <s v="OK"/>
    <x v="1"/>
    <n v="3"/>
    <n v="1"/>
    <n v="121.5"/>
  </r>
  <r>
    <n v="52787"/>
    <n v="31599"/>
    <x v="252"/>
    <n v="2042"/>
    <x v="4"/>
    <n v="1"/>
    <n v="183.74"/>
    <d v="2025-05-04T00:00:00"/>
    <d v="2025-05-13T00:00:00"/>
    <x v="0"/>
    <s v="OK"/>
    <s v="OK"/>
    <x v="2"/>
    <n v="9"/>
    <n v="1"/>
    <n v="183.74"/>
  </r>
  <r>
    <n v="52788"/>
    <n v="31599"/>
    <x v="275"/>
    <n v="2042"/>
    <x v="2"/>
    <n v="1"/>
    <n v="241.54"/>
    <d v="2025-05-03T00:00:00"/>
    <d v="2025-05-06T00:00:00"/>
    <x v="0"/>
    <s v="OK"/>
    <s v="OK"/>
    <x v="1"/>
    <n v="3"/>
    <n v="0"/>
    <n v="241.54"/>
  </r>
  <r>
    <n v="52789"/>
    <n v="31599"/>
    <x v="275"/>
    <n v="2042"/>
    <x v="13"/>
    <n v="4"/>
    <n v="486"/>
    <d v="2025-05-04T00:00:00"/>
    <d v="2025-08-05T00:00:00"/>
    <x v="0"/>
    <s v="OK"/>
    <s v="OK"/>
    <x v="1"/>
    <n v="93"/>
    <n v="0"/>
    <n v="121.5"/>
  </r>
  <r>
    <n v="52790"/>
    <n v="31599"/>
    <x v="252"/>
    <n v="2042"/>
    <x v="2"/>
    <n v="2"/>
    <n v="483.08"/>
    <d v="2025-05-03T00:00:00"/>
    <d v="2025-05-13T00:00:00"/>
    <x v="0"/>
    <s v="OK"/>
    <s v="OK"/>
    <x v="1"/>
    <n v="10"/>
    <n v="0"/>
    <n v="241.54"/>
  </r>
  <r>
    <n v="52791"/>
    <n v="31600"/>
    <x v="306"/>
    <n v="2311"/>
    <x v="8"/>
    <n v="1"/>
    <n v="203.04"/>
    <d v="2025-06-26T00:00:00"/>
    <d v="2025-06-29T00:00:00"/>
    <x v="0"/>
    <s v="OK"/>
    <s v="OK"/>
    <x v="2"/>
    <n v="3"/>
    <n v="1"/>
    <n v="203.04"/>
  </r>
  <r>
    <n v="52792"/>
    <n v="31601"/>
    <x v="299"/>
    <n v="2147"/>
    <x v="10"/>
    <n v="1"/>
    <n v="215.34"/>
    <d v="2025-01-21T00:00:00"/>
    <d v="2025-01-30T00:00:00"/>
    <x v="0"/>
    <s v="OK"/>
    <s v="OK"/>
    <x v="3"/>
    <n v="9"/>
    <n v="1"/>
    <n v="215.34"/>
  </r>
  <r>
    <n v="52793"/>
    <n v="31602"/>
    <x v="11"/>
    <n v="2050"/>
    <x v="13"/>
    <n v="1"/>
    <n v="121.5"/>
    <s v=""/>
    <s v=""/>
    <x v="2"/>
    <s v="Missing date"/>
    <s v="Missing date"/>
    <x v="1"/>
    <s v=""/>
    <n v="1"/>
    <n v="121.5"/>
  </r>
  <r>
    <n v="52794"/>
    <n v="31603"/>
    <x v="270"/>
    <n v="2291"/>
    <x v="12"/>
    <n v="3"/>
    <n v="195.78"/>
    <d v="2025-09-04T00:00:00"/>
    <d v="2025-09-07T00:00:00"/>
    <x v="0"/>
    <s v="OK"/>
    <s v="OK"/>
    <x v="3"/>
    <n v="3"/>
    <n v="1"/>
    <n v="65.260000000000005"/>
  </r>
  <r>
    <n v="52795"/>
    <n v="31603"/>
    <x v="120"/>
    <n v="2291"/>
    <x v="8"/>
    <n v="1"/>
    <n v="203.04"/>
    <d v="2025-09-05T00:00:00"/>
    <d v="2025-09-14T00:00:00"/>
    <x v="0"/>
    <s v="OK"/>
    <s v="OK"/>
    <x v="2"/>
    <n v="9"/>
    <n v="0"/>
    <n v="203.04"/>
  </r>
  <r>
    <n v="52796"/>
    <n v="31604"/>
    <x v="104"/>
    <n v="2126"/>
    <x v="11"/>
    <n v="1"/>
    <n v="224.37"/>
    <d v="2025-04-08T00:00:00"/>
    <d v="2025-04-10T00:00:00"/>
    <x v="0"/>
    <s v="OK"/>
    <s v="OK"/>
    <x v="2"/>
    <n v="2"/>
    <n v="1"/>
    <n v="224.37"/>
  </r>
  <r>
    <n v="52797"/>
    <n v="31604"/>
    <x v="104"/>
    <n v="2126"/>
    <x v="3"/>
    <n v="1"/>
    <n v="118.6"/>
    <d v="2025-04-06T00:00:00"/>
    <d v="2025-04-07T00:00:00"/>
    <x v="0"/>
    <s v="OK"/>
    <s v="OK"/>
    <x v="2"/>
    <n v="1"/>
    <n v="0"/>
    <n v="118.6"/>
  </r>
  <r>
    <n v="52798"/>
    <n v="31604"/>
    <x v="104"/>
    <n v="2126"/>
    <x v="10"/>
    <n v="3"/>
    <n v="646.02"/>
    <d v="2025-04-06T00:00:00"/>
    <d v="2025-04-16T00:00:00"/>
    <x v="0"/>
    <s v="OK"/>
    <s v="OK"/>
    <x v="3"/>
    <n v="10"/>
    <n v="0"/>
    <n v="215.34"/>
  </r>
  <r>
    <n v="52799"/>
    <n v="31605"/>
    <x v="122"/>
    <n v="2493"/>
    <x v="14"/>
    <n v="3"/>
    <n v="359.22"/>
    <d v="2025-01-16T00:00:00"/>
    <d v="2025-01-26T00:00:00"/>
    <x v="0"/>
    <s v="OK"/>
    <s v="OK"/>
    <x v="3"/>
    <n v="10"/>
    <n v="1"/>
    <n v="119.74000000000001"/>
  </r>
  <r>
    <n v="52800"/>
    <n v="31605"/>
    <x v="122"/>
    <n v="2493"/>
    <x v="5"/>
    <n v="2"/>
    <n v="202.88"/>
    <d v="2025-01-15T00:00:00"/>
    <d v="2025-01-25T00:00:00"/>
    <x v="0"/>
    <s v="OK"/>
    <s v="OK"/>
    <x v="1"/>
    <n v="10"/>
    <n v="0"/>
    <n v="101.44"/>
  </r>
  <r>
    <n v="52801"/>
    <n v="31606"/>
    <x v="20"/>
    <n v="2387"/>
    <x v="6"/>
    <n v="1"/>
    <n v="31.73"/>
    <d v="2025-08-11T00:00:00"/>
    <d v="2025-08-21T00:00:00"/>
    <x v="0"/>
    <s v="OK"/>
    <s v="OK"/>
    <x v="2"/>
    <n v="10"/>
    <n v="1"/>
    <n v="31.73"/>
  </r>
  <r>
    <n v="52802"/>
    <n v="31607"/>
    <x v="14"/>
    <n v="2142"/>
    <x v="14"/>
    <n v="1"/>
    <n v="119.74"/>
    <d v="2025-12-28T00:00:00"/>
    <d v="2025-12-29T00:00:00"/>
    <x v="0"/>
    <s v="OK"/>
    <s v="OK"/>
    <x v="3"/>
    <n v="1"/>
    <n v="1"/>
    <n v="119.74"/>
  </r>
  <r>
    <n v="52803"/>
    <n v="31607"/>
    <x v="14"/>
    <n v="2142"/>
    <x v="14"/>
    <n v="1"/>
    <n v="119.74"/>
    <d v="2025-12-26T00:00:00"/>
    <d v="2025-12-29T00:00:00"/>
    <x v="0"/>
    <s v="OK"/>
    <s v="OK"/>
    <x v="3"/>
    <n v="3"/>
    <n v="0"/>
    <n v="119.74"/>
  </r>
  <r>
    <n v="52804"/>
    <n v="31607"/>
    <x v="14"/>
    <n v="2142"/>
    <x v="14"/>
    <n v="3"/>
    <n v="359.22"/>
    <d v="2025-12-27T00:00:00"/>
    <d v="2025-12-29T00:00:00"/>
    <x v="0"/>
    <s v="OK"/>
    <s v="OK"/>
    <x v="3"/>
    <n v="2"/>
    <n v="0"/>
    <n v="119.74000000000001"/>
  </r>
  <r>
    <n v="52805"/>
    <n v="31608"/>
    <x v="285"/>
    <n v="2153"/>
    <x v="5"/>
    <n v="1"/>
    <n v="101.44"/>
    <s v=""/>
    <s v=""/>
    <x v="2"/>
    <s v="Missing date"/>
    <s v="Missing date"/>
    <x v="1"/>
    <s v=""/>
    <n v="1"/>
    <n v="101.44"/>
  </r>
  <r>
    <n v="52806"/>
    <n v="31608"/>
    <x v="285"/>
    <n v="2153"/>
    <x v="11"/>
    <n v="1"/>
    <n v="224.37"/>
    <s v=""/>
    <s v=""/>
    <x v="2"/>
    <s v="Missing date"/>
    <s v="Missing date"/>
    <x v="2"/>
    <s v=""/>
    <n v="0"/>
    <n v="224.37"/>
  </r>
  <r>
    <n v="52807"/>
    <n v="31609"/>
    <x v="333"/>
    <n v="2420"/>
    <x v="15"/>
    <n v="2"/>
    <n v="340.5"/>
    <d v="2025-10-17T00:00:00"/>
    <d v="2025-10-22T00:00:00"/>
    <x v="0"/>
    <s v="OK"/>
    <s v="OK"/>
    <x v="1"/>
    <n v="5"/>
    <n v="1"/>
    <n v="170.25"/>
  </r>
  <r>
    <n v="52808"/>
    <n v="31609"/>
    <x v="333"/>
    <n v="2420"/>
    <x v="5"/>
    <n v="1"/>
    <n v="101.44"/>
    <d v="2025-10-18T00:00:00"/>
    <d v="2025-10-28T00:00:00"/>
    <x v="0"/>
    <s v="OK"/>
    <s v="OK"/>
    <x v="1"/>
    <n v="10"/>
    <n v="0"/>
    <n v="101.44"/>
  </r>
  <r>
    <n v="52809"/>
    <n v="31609"/>
    <x v="333"/>
    <n v="2420"/>
    <x v="3"/>
    <n v="3"/>
    <n v="355.8"/>
    <d v="2025-10-17T00:00:00"/>
    <d v="2025-10-26T00:00:00"/>
    <x v="0"/>
    <s v="OK"/>
    <s v="OK"/>
    <x v="2"/>
    <n v="9"/>
    <n v="0"/>
    <n v="118.60000000000001"/>
  </r>
  <r>
    <n v="52810"/>
    <n v="31609"/>
    <x v="333"/>
    <n v="2420"/>
    <x v="14"/>
    <n v="2"/>
    <n v="239.48"/>
    <d v="2025-10-19T00:00:00"/>
    <d v="2025-10-28T00:00:00"/>
    <x v="0"/>
    <s v="OK"/>
    <s v="OK"/>
    <x v="3"/>
    <n v="9"/>
    <n v="0"/>
    <n v="119.74"/>
  </r>
  <r>
    <n v="52811"/>
    <n v="31610"/>
    <x v="339"/>
    <n v="2285"/>
    <x v="7"/>
    <n v="1"/>
    <n v="253.86"/>
    <d v="2025-09-01T00:00:00"/>
    <d v="2025-09-06T00:00:00"/>
    <x v="0"/>
    <s v="OK"/>
    <s v="OK"/>
    <x v="0"/>
    <n v="5"/>
    <n v="1"/>
    <n v="253.86"/>
  </r>
  <r>
    <n v="52812"/>
    <n v="31610"/>
    <x v="339"/>
    <n v="2285"/>
    <x v="8"/>
    <n v="5"/>
    <n v="1015.2"/>
    <d v="2025-09-02T00:00:00"/>
    <d v="2025-09-04T00:00:00"/>
    <x v="0"/>
    <s v="OK"/>
    <s v="OK"/>
    <x v="2"/>
    <n v="2"/>
    <n v="0"/>
    <n v="203.04000000000002"/>
  </r>
  <r>
    <n v="52813"/>
    <n v="31611"/>
    <x v="358"/>
    <n v="2586"/>
    <x v="13"/>
    <n v="1"/>
    <n v="121.5"/>
    <d v="2025-12-28T00:00:00"/>
    <d v="2026-01-06T00:00:00"/>
    <x v="0"/>
    <s v="OK"/>
    <s v="OK"/>
    <x v="1"/>
    <n v="9"/>
    <n v="1"/>
    <n v="121.5"/>
  </r>
  <r>
    <n v="52814"/>
    <n v="31612"/>
    <x v="199"/>
    <n v="2575"/>
    <x v="11"/>
    <n v="1"/>
    <n v="224.37"/>
    <d v="2025-01-10T00:00:00"/>
    <d v="2025-01-14T00:00:00"/>
    <x v="0"/>
    <s v="OK"/>
    <s v="OK"/>
    <x v="2"/>
    <n v="4"/>
    <n v="1"/>
    <n v="224.37"/>
  </r>
  <r>
    <n v="52815"/>
    <n v="31612"/>
    <x v="199"/>
    <n v="2575"/>
    <x v="0"/>
    <n v="3"/>
    <n v="599.42999999999995"/>
    <d v="2025-01-08T00:00:00"/>
    <d v="2025-01-13T00:00:00"/>
    <x v="0"/>
    <s v="OK"/>
    <s v="OK"/>
    <x v="0"/>
    <n v="5"/>
    <n v="0"/>
    <n v="199.80999999999997"/>
  </r>
  <r>
    <n v="52816"/>
    <n v="31613"/>
    <x v="155"/>
    <n v="2555"/>
    <x v="3"/>
    <n v="2"/>
    <n v="237.2"/>
    <d v="2025-10-10T00:00:00"/>
    <d v="2025-10-15T00:00:00"/>
    <x v="0"/>
    <s v="OK"/>
    <s v="OK"/>
    <x v="2"/>
    <n v="5"/>
    <n v="1"/>
    <n v="118.6"/>
  </r>
  <r>
    <n v="52817"/>
    <n v="31613"/>
    <x v="155"/>
    <n v="2555"/>
    <x v="0"/>
    <n v="1"/>
    <n v="199.81"/>
    <d v="2025-10-11T00:00:00"/>
    <d v="2025-10-20T00:00:00"/>
    <x v="0"/>
    <s v="OK"/>
    <s v="OK"/>
    <x v="0"/>
    <n v="9"/>
    <n v="0"/>
    <n v="199.81"/>
  </r>
  <r>
    <n v="52818"/>
    <n v="31614"/>
    <x v="153"/>
    <n v="2488"/>
    <x v="8"/>
    <n v="2"/>
    <n v="406.08"/>
    <d v="2025-05-06T00:00:00"/>
    <d v="2025-05-16T00:00:00"/>
    <x v="0"/>
    <s v="OK"/>
    <s v="OK"/>
    <x v="2"/>
    <n v="10"/>
    <n v="1"/>
    <n v="203.04"/>
  </r>
  <r>
    <n v="52819"/>
    <n v="31614"/>
    <x v="153"/>
    <n v="2488"/>
    <x v="4"/>
    <n v="1"/>
    <n v="183.74"/>
    <d v="2025-05-08T00:00:00"/>
    <d v="2025-05-12T00:00:00"/>
    <x v="0"/>
    <s v="OK"/>
    <s v="OK"/>
    <x v="2"/>
    <n v="4"/>
    <n v="0"/>
    <n v="183.74"/>
  </r>
  <r>
    <n v="52820"/>
    <n v="31615"/>
    <x v="283"/>
    <n v="2545"/>
    <x v="8"/>
    <n v="1"/>
    <n v="203.04"/>
    <d v="2025-10-01T00:00:00"/>
    <d v="2025-10-06T00:00:00"/>
    <x v="0"/>
    <s v="OK"/>
    <s v="OK"/>
    <x v="2"/>
    <n v="5"/>
    <n v="1"/>
    <n v="203.04"/>
  </r>
  <r>
    <n v="52821"/>
    <n v="31616"/>
    <x v="153"/>
    <n v="2282"/>
    <x v="1"/>
    <n v="3"/>
    <n v="618.27"/>
    <s v=""/>
    <s v=""/>
    <x v="3"/>
    <s v="Missing date"/>
    <s v="Missing date"/>
    <x v="0"/>
    <s v=""/>
    <n v="1"/>
    <n v="206.09"/>
  </r>
  <r>
    <n v="52822"/>
    <n v="31616"/>
    <x v="153"/>
    <n v="2282"/>
    <x v="14"/>
    <n v="1"/>
    <n v="119.74"/>
    <d v="2025-05-06T00:00:00"/>
    <s v=""/>
    <x v="3"/>
    <s v="Missing date"/>
    <s v="OK"/>
    <x v="3"/>
    <s v=""/>
    <n v="0"/>
    <n v="119.74"/>
  </r>
  <r>
    <n v="52823"/>
    <n v="31616"/>
    <x v="153"/>
    <n v="2282"/>
    <x v="5"/>
    <n v="3"/>
    <n v="304.32"/>
    <s v=""/>
    <s v=""/>
    <x v="3"/>
    <s v="Missing date"/>
    <s v="Missing date"/>
    <x v="1"/>
    <s v=""/>
    <n v="0"/>
    <n v="101.44"/>
  </r>
  <r>
    <n v="52824"/>
    <n v="31617"/>
    <x v="116"/>
    <n v="2047"/>
    <x v="8"/>
    <n v="3"/>
    <n v="609.12"/>
    <d v="2025-07-02T00:00:00"/>
    <d v="2025-07-09T00:00:00"/>
    <x v="0"/>
    <s v="OK"/>
    <s v="OK"/>
    <x v="2"/>
    <n v="7"/>
    <n v="1"/>
    <n v="203.04"/>
  </r>
  <r>
    <n v="52825"/>
    <n v="31617"/>
    <x v="116"/>
    <n v="2047"/>
    <x v="5"/>
    <n v="1"/>
    <n v="101.44"/>
    <d v="2025-07-02T00:00:00"/>
    <d v="2025-07-10T00:00:00"/>
    <x v="0"/>
    <s v="OK"/>
    <s v="OK"/>
    <x v="1"/>
    <n v="8"/>
    <n v="0"/>
    <n v="101.44"/>
  </r>
  <r>
    <n v="52826"/>
    <n v="31618"/>
    <x v="320"/>
    <n v="2448"/>
    <x v="8"/>
    <n v="4"/>
    <n v="812.16"/>
    <d v="2025-01-03T00:00:00"/>
    <d v="2025-01-09T00:00:00"/>
    <x v="0"/>
    <s v="OK"/>
    <s v="OK"/>
    <x v="2"/>
    <n v="6"/>
    <n v="1"/>
    <n v="203.04"/>
  </r>
  <r>
    <n v="52827"/>
    <n v="31619"/>
    <x v="172"/>
    <n v="2541"/>
    <x v="9"/>
    <n v="3"/>
    <n v="120.84"/>
    <d v="2025-06-29T00:00:00"/>
    <d v="2025-06-30T00:00:00"/>
    <x v="0"/>
    <s v="OK"/>
    <s v="OK"/>
    <x v="0"/>
    <n v="1"/>
    <n v="1"/>
    <n v="40.28"/>
  </r>
  <r>
    <n v="52828"/>
    <n v="31620"/>
    <x v="98"/>
    <n v="2094"/>
    <x v="4"/>
    <n v="2"/>
    <n v="367.48"/>
    <d v="2025-05-01T00:00:00"/>
    <d v="2025-05-04T00:00:00"/>
    <x v="0"/>
    <s v="OK"/>
    <s v="OK"/>
    <x v="2"/>
    <n v="3"/>
    <n v="1"/>
    <n v="183.74"/>
  </r>
  <r>
    <n v="52829"/>
    <n v="31620"/>
    <x v="98"/>
    <n v="2094"/>
    <x v="7"/>
    <n v="1"/>
    <n v="253.86"/>
    <d v="2025-05-02T00:00:00"/>
    <d v="2025-05-06T00:00:00"/>
    <x v="0"/>
    <s v="OK"/>
    <s v="OK"/>
    <x v="0"/>
    <n v="4"/>
    <n v="0"/>
    <n v="253.86"/>
  </r>
  <r>
    <n v="52830"/>
    <n v="31621"/>
    <x v="287"/>
    <n v="2293"/>
    <x v="9"/>
    <n v="3"/>
    <n v="120.84"/>
    <d v="2025-12-25T00:00:00"/>
    <d v="2026-01-03T00:00:00"/>
    <x v="0"/>
    <s v="OK"/>
    <s v="OK"/>
    <x v="0"/>
    <n v="9"/>
    <n v="1"/>
    <n v="40.28"/>
  </r>
  <r>
    <n v="52831"/>
    <n v="31621"/>
    <x v="287"/>
    <n v="2293"/>
    <x v="11"/>
    <n v="1"/>
    <n v="224.37"/>
    <d v="2025-12-25T00:00:00"/>
    <d v="2026-01-04T00:00:00"/>
    <x v="0"/>
    <s v="OK"/>
    <s v="OK"/>
    <x v="2"/>
    <n v="10"/>
    <n v="0"/>
    <n v="224.37"/>
  </r>
  <r>
    <n v="52832"/>
    <n v="31622"/>
    <x v="312"/>
    <n v="2158"/>
    <x v="10"/>
    <n v="2"/>
    <n v="430.68"/>
    <d v="2025-01-16T00:00:00"/>
    <d v="2025-01-24T00:00:00"/>
    <x v="0"/>
    <s v="OK"/>
    <s v="OK"/>
    <x v="3"/>
    <n v="8"/>
    <n v="1"/>
    <n v="215.34"/>
  </r>
  <r>
    <n v="52833"/>
    <n v="31623"/>
    <x v="162"/>
    <n v="2174"/>
    <x v="5"/>
    <n v="1"/>
    <n v="101.44"/>
    <d v="2026-01-01T00:00:00"/>
    <d v="2026-01-09T00:00:00"/>
    <x v="0"/>
    <s v="OK"/>
    <s v="OK"/>
    <x v="1"/>
    <n v="8"/>
    <n v="1"/>
    <n v="101.44"/>
  </r>
  <r>
    <n v="52834"/>
    <n v="31624"/>
    <x v="353"/>
    <n v="2186"/>
    <x v="3"/>
    <n v="2"/>
    <n v="237.2"/>
    <d v="2025-06-07T00:00:00"/>
    <d v="2025-06-17T00:00:00"/>
    <x v="0"/>
    <s v="OK"/>
    <s v="OK"/>
    <x v="2"/>
    <n v="10"/>
    <n v="1"/>
    <n v="118.6"/>
  </r>
  <r>
    <n v="52835"/>
    <n v="31624"/>
    <x v="293"/>
    <n v="2186"/>
    <x v="13"/>
    <n v="1"/>
    <n v="121.5"/>
    <d v="2025-06-06T00:00:00"/>
    <d v="2025-06-11T00:00:00"/>
    <x v="0"/>
    <s v="OK"/>
    <s v="OK"/>
    <x v="1"/>
    <n v="5"/>
    <n v="0"/>
    <n v="121.5"/>
  </r>
  <r>
    <n v="52836"/>
    <n v="31624"/>
    <x v="353"/>
    <n v="2186"/>
    <x v="15"/>
    <n v="2"/>
    <n v="340.5"/>
    <d v="2025-06-06T00:00:00"/>
    <d v="2025-06-10T00:00:00"/>
    <x v="0"/>
    <s v="OK"/>
    <s v="OK"/>
    <x v="1"/>
    <n v="4"/>
    <n v="0"/>
    <n v="170.25"/>
  </r>
  <r>
    <n v="52837"/>
    <n v="31624"/>
    <x v="353"/>
    <n v="2186"/>
    <x v="4"/>
    <n v="2"/>
    <n v="367.48"/>
    <d v="2025-06-06T00:00:00"/>
    <d v="2025-12-06T00:00:00"/>
    <x v="0"/>
    <s v="OK"/>
    <s v="OK"/>
    <x v="2"/>
    <n v="183"/>
    <n v="0"/>
    <n v="183.74"/>
  </r>
  <r>
    <n v="52838"/>
    <n v="31625"/>
    <x v="147"/>
    <n v="2328"/>
    <x v="5"/>
    <n v="4"/>
    <n v="405.76"/>
    <d v="2025-07-17T00:00:00"/>
    <d v="2025-07-24T00:00:00"/>
    <x v="0"/>
    <s v="OK"/>
    <s v="OK"/>
    <x v="1"/>
    <n v="7"/>
    <n v="1"/>
    <n v="101.44"/>
  </r>
  <r>
    <n v="52839"/>
    <n v="31626"/>
    <x v="359"/>
    <n v="2265"/>
    <x v="4"/>
    <n v="1"/>
    <n v="183.74"/>
    <d v="2025-05-28T00:00:00"/>
    <d v="2025-05-31T00:00:00"/>
    <x v="0"/>
    <s v="OK"/>
    <s v="OK"/>
    <x v="2"/>
    <n v="3"/>
    <n v="1"/>
    <n v="183.74"/>
  </r>
  <r>
    <n v="52840"/>
    <n v="31627"/>
    <x v="13"/>
    <n v="2054"/>
    <x v="1"/>
    <n v="4"/>
    <n v="824.36"/>
    <d v="2025-07-27T00:00:00"/>
    <d v="2025-07-31T00:00:00"/>
    <x v="0"/>
    <s v="OK"/>
    <s v="OK"/>
    <x v="0"/>
    <n v="4"/>
    <n v="1"/>
    <n v="206.09"/>
  </r>
  <r>
    <n v="52841"/>
    <n v="31627"/>
    <x v="13"/>
    <n v="2054"/>
    <x v="12"/>
    <n v="2"/>
    <n v="130.52000000000001"/>
    <d v="2025-07-27T00:00:00"/>
    <d v="2025-08-02T00:00:00"/>
    <x v="0"/>
    <s v="OK"/>
    <s v="OK"/>
    <x v="3"/>
    <n v="6"/>
    <n v="0"/>
    <n v="65.260000000000005"/>
  </r>
  <r>
    <n v="52842"/>
    <n v="31627"/>
    <x v="13"/>
    <n v="2054"/>
    <x v="15"/>
    <n v="3"/>
    <n v="510.75"/>
    <d v="2025-07-26T00:00:00"/>
    <d v="2025-08-03T00:00:00"/>
    <x v="0"/>
    <s v="OK"/>
    <s v="OK"/>
    <x v="1"/>
    <n v="8"/>
    <n v="0"/>
    <n v="170.25"/>
  </r>
  <r>
    <n v="52843"/>
    <n v="31628"/>
    <x v="137"/>
    <n v="2118"/>
    <x v="5"/>
    <n v="1"/>
    <n v="101.44"/>
    <d v="2025-01-11T00:00:00"/>
    <d v="2025-01-18T00:00:00"/>
    <x v="0"/>
    <s v="OK"/>
    <s v="OK"/>
    <x v="1"/>
    <n v="7"/>
    <n v="1"/>
    <n v="101.44"/>
  </r>
  <r>
    <n v="52844"/>
    <n v="31628"/>
    <x v="137"/>
    <n v="2118"/>
    <x v="14"/>
    <n v="1"/>
    <n v="119.74"/>
    <d v="2025-01-11T00:00:00"/>
    <d v="2025-01-15T00:00:00"/>
    <x v="0"/>
    <s v="OK"/>
    <s v="OK"/>
    <x v="3"/>
    <n v="4"/>
    <n v="0"/>
    <n v="119.74"/>
  </r>
  <r>
    <n v="52845"/>
    <n v="31628"/>
    <x v="137"/>
    <n v="2118"/>
    <x v="10"/>
    <n v="1"/>
    <n v="215.34"/>
    <d v="2025-01-10T00:00:00"/>
    <d v="2025-01-15T00:00:00"/>
    <x v="0"/>
    <s v="OK"/>
    <s v="OK"/>
    <x v="3"/>
    <n v="5"/>
    <n v="0"/>
    <n v="215.34"/>
  </r>
  <r>
    <n v="52846"/>
    <n v="31629"/>
    <x v="314"/>
    <n v="2068"/>
    <x v="10"/>
    <n v="1"/>
    <n v="215.34"/>
    <d v="2025-07-08T00:00:00"/>
    <d v="2025-07-11T00:00:00"/>
    <x v="0"/>
    <s v="OK"/>
    <s v="OK"/>
    <x v="3"/>
    <n v="3"/>
    <n v="1"/>
    <n v="215.34"/>
  </r>
  <r>
    <n v="52847"/>
    <n v="31630"/>
    <x v="157"/>
    <n v="2240"/>
    <x v="8"/>
    <n v="3"/>
    <n v="609.12"/>
    <s v=""/>
    <s v=""/>
    <x v="2"/>
    <s v="Missing date"/>
    <s v="Missing date"/>
    <x v="2"/>
    <s v=""/>
    <n v="1"/>
    <n v="203.04"/>
  </r>
  <r>
    <n v="52848"/>
    <n v="31631"/>
    <x v="308"/>
    <n v="2276"/>
    <x v="4"/>
    <n v="1"/>
    <n v="183.74"/>
    <d v="2025-03-20T00:00:00"/>
    <d v="2025-03-21T00:00:00"/>
    <x v="0"/>
    <s v="OK"/>
    <s v="OK"/>
    <x v="2"/>
    <n v="1"/>
    <n v="1"/>
    <n v="183.74"/>
  </r>
  <r>
    <n v="52849"/>
    <n v="31631"/>
    <x v="308"/>
    <n v="2276"/>
    <x v="1"/>
    <n v="1"/>
    <n v="206.09"/>
    <d v="2025-03-21T00:00:00"/>
    <d v="2025-03-31T00:00:00"/>
    <x v="0"/>
    <s v="OK"/>
    <s v="OK"/>
    <x v="0"/>
    <n v="10"/>
    <n v="0"/>
    <n v="206.09"/>
  </r>
  <r>
    <n v="52850"/>
    <n v="31632"/>
    <x v="215"/>
    <n v="2569"/>
    <x v="6"/>
    <n v="1"/>
    <n v="31.73"/>
    <d v="2025-08-24T00:00:00"/>
    <d v="2025-08-26T00:00:00"/>
    <x v="0"/>
    <s v="OK"/>
    <s v="OK"/>
    <x v="2"/>
    <n v="2"/>
    <n v="1"/>
    <n v="31.73"/>
  </r>
  <r>
    <n v="52851"/>
    <n v="31633"/>
    <x v="339"/>
    <n v="2312"/>
    <x v="14"/>
    <n v="2"/>
    <n v="239.48"/>
    <d v="2025-09-02T00:00:00"/>
    <d v="2025-09-03T00:00:00"/>
    <x v="0"/>
    <s v="OK"/>
    <s v="OK"/>
    <x v="3"/>
    <n v="1"/>
    <n v="1"/>
    <n v="119.74"/>
  </r>
  <r>
    <n v="52852"/>
    <n v="31634"/>
    <x v="16"/>
    <n v="2086"/>
    <x v="0"/>
    <n v="1"/>
    <n v="199.81"/>
    <s v=""/>
    <s v=""/>
    <x v="3"/>
    <s v="Missing date"/>
    <s v="Missing date"/>
    <x v="0"/>
    <s v=""/>
    <n v="1"/>
    <n v="199.81"/>
  </r>
  <r>
    <n v="52853"/>
    <n v="31634"/>
    <x v="345"/>
    <n v="2086"/>
    <x v="6"/>
    <n v="1"/>
    <n v="31.73"/>
    <s v=""/>
    <s v=""/>
    <x v="3"/>
    <s v="Missing date"/>
    <s v="Missing date"/>
    <x v="2"/>
    <s v=""/>
    <n v="0"/>
    <n v="31.73"/>
  </r>
  <r>
    <n v="52854"/>
    <n v="31635"/>
    <x v="308"/>
    <n v="2173"/>
    <x v="10"/>
    <n v="1"/>
    <n v="215.34"/>
    <s v=""/>
    <s v=""/>
    <x v="3"/>
    <s v="Missing date"/>
    <s v="Missing date"/>
    <x v="3"/>
    <s v=""/>
    <n v="1"/>
    <n v="215.34"/>
  </r>
  <r>
    <n v="52855"/>
    <n v="31636"/>
    <x v="205"/>
    <n v="2569"/>
    <x v="8"/>
    <n v="2"/>
    <n v="406.08"/>
    <d v="2025-04-12T00:00:00"/>
    <d v="2025-04-17T00:00:00"/>
    <x v="0"/>
    <s v="OK"/>
    <s v="OK"/>
    <x v="2"/>
    <n v="5"/>
    <n v="1"/>
    <n v="203.04"/>
  </r>
  <r>
    <n v="52856"/>
    <n v="31636"/>
    <x v="205"/>
    <n v="2569"/>
    <x v="14"/>
    <n v="1"/>
    <n v="119.74"/>
    <d v="2025-04-12T00:00:00"/>
    <d v="2025-04-21T00:00:00"/>
    <x v="0"/>
    <s v="OK"/>
    <s v="OK"/>
    <x v="3"/>
    <n v="9"/>
    <n v="0"/>
    <n v="119.74"/>
  </r>
  <r>
    <n v="52857"/>
    <n v="31636"/>
    <x v="205"/>
    <n v="2569"/>
    <x v="13"/>
    <n v="1"/>
    <n v="121.5"/>
    <d v="2025-04-12T00:00:00"/>
    <d v="2025-04-16T00:00:00"/>
    <x v="0"/>
    <s v="OK"/>
    <s v="OK"/>
    <x v="1"/>
    <n v="4"/>
    <n v="0"/>
    <n v="121.5"/>
  </r>
  <r>
    <n v="52858"/>
    <n v="31637"/>
    <x v="271"/>
    <n v="2172"/>
    <x v="12"/>
    <n v="1"/>
    <n v="65.260000000000005"/>
    <d v="2025-10-22T00:00:00"/>
    <d v="2025-10-26T00:00:00"/>
    <x v="0"/>
    <s v="OK"/>
    <s v="OK"/>
    <x v="3"/>
    <n v="4"/>
    <n v="1"/>
    <n v="65.260000000000005"/>
  </r>
  <r>
    <n v="52859"/>
    <n v="31638"/>
    <x v="65"/>
    <n v="2280"/>
    <x v="15"/>
    <n v="1"/>
    <n v="170.25"/>
    <d v="2025-04-11T00:00:00"/>
    <d v="2025-04-18T00:00:00"/>
    <x v="0"/>
    <s v="OK"/>
    <s v="OK"/>
    <x v="1"/>
    <n v="7"/>
    <n v="1"/>
    <n v="170.25"/>
  </r>
  <r>
    <n v="52860"/>
    <n v="31638"/>
    <x v="65"/>
    <n v="2280"/>
    <x v="2"/>
    <n v="1"/>
    <n v="241.54"/>
    <d v="2025-04-09T00:00:00"/>
    <d v="2025-04-13T00:00:00"/>
    <x v="0"/>
    <s v="OK"/>
    <s v="OK"/>
    <x v="1"/>
    <n v="4"/>
    <n v="0"/>
    <n v="241.54"/>
  </r>
  <r>
    <n v="52861"/>
    <n v="31639"/>
    <x v="310"/>
    <n v="2218"/>
    <x v="13"/>
    <n v="1"/>
    <n v="121.5"/>
    <d v="2025-08-16T00:00:00"/>
    <d v="2025-08-22T00:00:00"/>
    <x v="0"/>
    <s v="OK"/>
    <s v="OK"/>
    <x v="1"/>
    <n v="6"/>
    <n v="1"/>
    <n v="121.5"/>
  </r>
  <r>
    <n v="52862"/>
    <n v="31639"/>
    <x v="310"/>
    <n v="2218"/>
    <x v="3"/>
    <n v="1"/>
    <n v="118.6"/>
    <d v="2025-08-18T00:00:00"/>
    <d v="2025-08-21T00:00:00"/>
    <x v="0"/>
    <s v="OK"/>
    <s v="OK"/>
    <x v="2"/>
    <n v="3"/>
    <n v="0"/>
    <n v="118.6"/>
  </r>
  <r>
    <n v="52863"/>
    <n v="31639"/>
    <x v="310"/>
    <n v="2218"/>
    <x v="7"/>
    <n v="1"/>
    <n v="253.86"/>
    <d v="2025-08-16T00:00:00"/>
    <d v="2025-08-22T00:00:00"/>
    <x v="0"/>
    <s v="OK"/>
    <s v="OK"/>
    <x v="0"/>
    <n v="6"/>
    <n v="0"/>
    <n v="253.86"/>
  </r>
  <r>
    <n v="52864"/>
    <n v="31640"/>
    <x v="93"/>
    <n v="2547"/>
    <x v="13"/>
    <n v="3"/>
    <n v="364.5"/>
    <d v="2025-07-07T00:00:00"/>
    <d v="2025-07-17T00:00:00"/>
    <x v="0"/>
    <s v="OK"/>
    <s v="OK"/>
    <x v="1"/>
    <n v="10"/>
    <n v="1"/>
    <n v="121.5"/>
  </r>
  <r>
    <n v="52865"/>
    <n v="31641"/>
    <x v="223"/>
    <n v="2092"/>
    <x v="4"/>
    <n v="1"/>
    <n v="183.74"/>
    <d v="2025-03-25T00:00:00"/>
    <d v="2025-04-03T00:00:00"/>
    <x v="0"/>
    <s v="OK"/>
    <s v="OK"/>
    <x v="2"/>
    <n v="9"/>
    <n v="1"/>
    <n v="183.74"/>
  </r>
  <r>
    <n v="52866"/>
    <n v="31641"/>
    <x v="223"/>
    <n v="2092"/>
    <x v="6"/>
    <n v="1"/>
    <n v="31.73"/>
    <d v="2025-03-24T00:00:00"/>
    <d v="2025-03-30T00:00:00"/>
    <x v="0"/>
    <s v="OK"/>
    <s v="OK"/>
    <x v="2"/>
    <n v="6"/>
    <n v="0"/>
    <n v="31.73"/>
  </r>
  <r>
    <n v="52867"/>
    <n v="31642"/>
    <x v="301"/>
    <n v="2570"/>
    <x v="10"/>
    <n v="1"/>
    <n v="215.34"/>
    <d v="2025-10-25T00:00:00"/>
    <d v="2025-11-04T00:00:00"/>
    <x v="1"/>
    <s v="OK"/>
    <s v="OK"/>
    <x v="3"/>
    <n v="10"/>
    <n v="1"/>
    <n v="215.34"/>
  </r>
  <r>
    <n v="52868"/>
    <n v="31642"/>
    <x v="301"/>
    <n v="2570"/>
    <x v="0"/>
    <n v="3"/>
    <n v="599.42999999999995"/>
    <d v="2025-10-27T00:00:00"/>
    <d v="2025-11-01T00:00:00"/>
    <x v="1"/>
    <s v="OK"/>
    <s v="OK"/>
    <x v="0"/>
    <n v="5"/>
    <n v="0"/>
    <n v="199.80999999999997"/>
  </r>
  <r>
    <n v="52869"/>
    <n v="31642"/>
    <x v="301"/>
    <n v="2570"/>
    <x v="5"/>
    <n v="3"/>
    <n v="304.32"/>
    <d v="2025-10-26T00:00:00"/>
    <d v="2025-10-28T00:00:00"/>
    <x v="1"/>
    <s v="OK"/>
    <s v="OK"/>
    <x v="1"/>
    <n v="2"/>
    <n v="0"/>
    <n v="101.44"/>
  </r>
  <r>
    <n v="52870"/>
    <n v="31643"/>
    <x v="119"/>
    <n v="2351"/>
    <x v="14"/>
    <n v="1"/>
    <n v="119.74"/>
    <d v="2025-07-14T00:00:00"/>
    <d v="2025-07-23T00:00:00"/>
    <x v="0"/>
    <s v="OK"/>
    <s v="OK"/>
    <x v="3"/>
    <n v="9"/>
    <n v="1"/>
    <n v="119.74"/>
  </r>
  <r>
    <n v="52871"/>
    <n v="31644"/>
    <x v="235"/>
    <n v="2280"/>
    <x v="5"/>
    <n v="1"/>
    <n v="101.44"/>
    <d v="2025-05-12T00:00:00"/>
    <d v="2025-05-15T00:00:00"/>
    <x v="0"/>
    <s v="OK"/>
    <s v="OK"/>
    <x v="1"/>
    <n v="3"/>
    <n v="1"/>
    <n v="101.44"/>
  </r>
  <r>
    <n v="52872"/>
    <n v="31644"/>
    <x v="235"/>
    <n v="2280"/>
    <x v="5"/>
    <n v="2"/>
    <n v="202.88"/>
    <d v="2025-10-05T00:00:00"/>
    <d v="2025-11-05T00:00:00"/>
    <x v="0"/>
    <s v="OK"/>
    <s v="OK"/>
    <x v="1"/>
    <n v="31"/>
    <n v="0"/>
    <n v="101.44"/>
  </r>
  <r>
    <n v="52873"/>
    <n v="31644"/>
    <x v="235"/>
    <n v="2280"/>
    <x v="0"/>
    <n v="2"/>
    <n v="399.62"/>
    <d v="2025-05-10T00:00:00"/>
    <d v="2025-05-14T00:00:00"/>
    <x v="0"/>
    <s v="OK"/>
    <s v="OK"/>
    <x v="0"/>
    <n v="4"/>
    <n v="0"/>
    <n v="199.81"/>
  </r>
  <r>
    <n v="52874"/>
    <n v="31645"/>
    <x v="293"/>
    <n v="2471"/>
    <x v="5"/>
    <n v="1"/>
    <n v="101.44"/>
    <d v="2025-04-09T00:00:00"/>
    <d v="2025-04-12T00:00:00"/>
    <x v="1"/>
    <s v="OK"/>
    <s v="OK"/>
    <x v="1"/>
    <n v="3"/>
    <n v="1"/>
    <n v="101.44"/>
  </r>
  <r>
    <n v="52875"/>
    <n v="31645"/>
    <x v="293"/>
    <n v="2471"/>
    <x v="8"/>
    <n v="1"/>
    <n v="203.04"/>
    <d v="2025-04-07T00:00:00"/>
    <d v="2025-04-14T00:00:00"/>
    <x v="1"/>
    <s v="OK"/>
    <s v="OK"/>
    <x v="2"/>
    <n v="7"/>
    <n v="0"/>
    <n v="203.04"/>
  </r>
  <r>
    <n v="52876"/>
    <n v="31646"/>
    <x v="325"/>
    <n v="2137"/>
    <x v="8"/>
    <n v="1"/>
    <n v="203.04"/>
    <d v="2025-12-16T00:00:00"/>
    <d v="2025-12-19T00:00:00"/>
    <x v="0"/>
    <s v="OK"/>
    <s v="OK"/>
    <x v="2"/>
    <n v="3"/>
    <n v="1"/>
    <n v="203.04"/>
  </r>
  <r>
    <n v="52877"/>
    <n v="31646"/>
    <x v="325"/>
    <n v="2137"/>
    <x v="12"/>
    <n v="3"/>
    <n v="195.78"/>
    <d v="2025-12-16T00:00:00"/>
    <d v="2025-12-19T00:00:00"/>
    <x v="0"/>
    <s v="OK"/>
    <s v="OK"/>
    <x v="3"/>
    <n v="3"/>
    <n v="0"/>
    <n v="65.260000000000005"/>
  </r>
  <r>
    <n v="52878"/>
    <n v="31647"/>
    <x v="245"/>
    <n v="2005"/>
    <x v="7"/>
    <n v="1"/>
    <n v="253.86"/>
    <s v=""/>
    <s v=""/>
    <x v="2"/>
    <s v="Missing date"/>
    <s v="Missing date"/>
    <x v="0"/>
    <s v=""/>
    <n v="1"/>
    <n v="253.86"/>
  </r>
  <r>
    <n v="52879"/>
    <n v="31647"/>
    <x v="245"/>
    <n v="2005"/>
    <x v="10"/>
    <n v="1"/>
    <n v="215.34"/>
    <s v=""/>
    <s v=""/>
    <x v="2"/>
    <s v="Missing date"/>
    <s v="Missing date"/>
    <x v="3"/>
    <s v=""/>
    <n v="0"/>
    <n v="215.34"/>
  </r>
  <r>
    <n v="52880"/>
    <n v="31648"/>
    <x v="327"/>
    <n v="2570"/>
    <x v="12"/>
    <n v="1"/>
    <n v="65.260000000000005"/>
    <s v=""/>
    <s v=""/>
    <x v="2"/>
    <s v="Missing date"/>
    <s v="Missing date"/>
    <x v="3"/>
    <s v=""/>
    <n v="1"/>
    <n v="65.260000000000005"/>
  </r>
  <r>
    <n v="52881"/>
    <n v="31649"/>
    <x v="23"/>
    <n v="2403"/>
    <x v="11"/>
    <n v="3"/>
    <n v="673.11"/>
    <d v="2025-11-12T00:00:00"/>
    <d v="2025-11-19T00:00:00"/>
    <x v="0"/>
    <s v="OK"/>
    <s v="OK"/>
    <x v="2"/>
    <n v="7"/>
    <n v="1"/>
    <n v="224.37"/>
  </r>
  <r>
    <n v="52882"/>
    <n v="31649"/>
    <x v="313"/>
    <n v="2403"/>
    <x v="8"/>
    <n v="1"/>
    <n v="203.04"/>
    <d v="2025-11-11T00:00:00"/>
    <d v="2025-11-15T00:00:00"/>
    <x v="0"/>
    <s v="OK"/>
    <s v="OK"/>
    <x v="2"/>
    <n v="4"/>
    <n v="0"/>
    <n v="203.04"/>
  </r>
  <r>
    <n v="52883"/>
    <n v="31650"/>
    <x v="110"/>
    <n v="2456"/>
    <x v="2"/>
    <n v="1"/>
    <n v="241.54"/>
    <d v="2025-09-21T00:00:00"/>
    <d v="2025-09-26T00:00:00"/>
    <x v="0"/>
    <s v="OK"/>
    <s v="OK"/>
    <x v="1"/>
    <n v="5"/>
    <n v="1"/>
    <n v="241.54"/>
  </r>
  <r>
    <n v="52884"/>
    <n v="31651"/>
    <x v="125"/>
    <n v="2386"/>
    <x v="2"/>
    <n v="1"/>
    <n v="241.54"/>
    <s v=""/>
    <s v=""/>
    <x v="3"/>
    <s v="Missing date"/>
    <s v="Missing date"/>
    <x v="1"/>
    <s v=""/>
    <n v="1"/>
    <n v="241.54"/>
  </r>
  <r>
    <n v="52885"/>
    <n v="31651"/>
    <x v="125"/>
    <n v="2386"/>
    <x v="8"/>
    <n v="3"/>
    <n v="609.12"/>
    <d v="2025-11-14T00:00:00"/>
    <s v=""/>
    <x v="3"/>
    <s v="Missing date"/>
    <s v="OK"/>
    <x v="2"/>
    <s v=""/>
    <n v="0"/>
    <n v="203.04"/>
  </r>
  <r>
    <n v="52886"/>
    <n v="31652"/>
    <x v="169"/>
    <n v="2380"/>
    <x v="14"/>
    <n v="1"/>
    <n v="119.74"/>
    <s v=""/>
    <s v=""/>
    <x v="2"/>
    <s v="Missing date"/>
    <s v="Missing date"/>
    <x v="3"/>
    <s v=""/>
    <n v="1"/>
    <n v="119.74"/>
  </r>
  <r>
    <n v="52887"/>
    <n v="31653"/>
    <x v="272"/>
    <n v="2010"/>
    <x v="8"/>
    <n v="1"/>
    <n v="203.04"/>
    <d v="2025-05-22T00:00:00"/>
    <d v="2025-05-27T00:00:00"/>
    <x v="0"/>
    <s v="OK"/>
    <s v="OK"/>
    <x v="2"/>
    <n v="5"/>
    <n v="1"/>
    <n v="203.04"/>
  </r>
  <r>
    <n v="52888"/>
    <n v="31653"/>
    <x v="272"/>
    <n v="2010"/>
    <x v="9"/>
    <n v="1"/>
    <n v="40.28"/>
    <d v="2025-05-22T00:00:00"/>
    <d v="2025-05-29T00:00:00"/>
    <x v="0"/>
    <s v="OK"/>
    <s v="OK"/>
    <x v="0"/>
    <n v="7"/>
    <n v="0"/>
    <n v="40.28"/>
  </r>
  <r>
    <n v="52889"/>
    <n v="31653"/>
    <x v="272"/>
    <n v="2010"/>
    <x v="2"/>
    <n v="2"/>
    <n v="483.08"/>
    <d v="2025-05-22T00:00:00"/>
    <d v="2025-05-26T00:00:00"/>
    <x v="0"/>
    <s v="OK"/>
    <s v="OK"/>
    <x v="1"/>
    <n v="4"/>
    <n v="0"/>
    <n v="241.54"/>
  </r>
  <r>
    <n v="52890"/>
    <n v="31654"/>
    <x v="140"/>
    <n v="2197"/>
    <x v="13"/>
    <n v="1"/>
    <n v="121.5"/>
    <d v="2025-04-21T00:00:00"/>
    <d v="2025-04-30T00:00:00"/>
    <x v="0"/>
    <s v="OK"/>
    <s v="OK"/>
    <x v="1"/>
    <n v="9"/>
    <n v="1"/>
    <n v="121.5"/>
  </r>
  <r>
    <n v="52891"/>
    <n v="31655"/>
    <x v="253"/>
    <n v="2227"/>
    <x v="12"/>
    <n v="1"/>
    <n v="65.260000000000005"/>
    <d v="2025-08-06T00:00:00"/>
    <d v="2025-08-12T00:00:00"/>
    <x v="0"/>
    <s v="OK"/>
    <s v="OK"/>
    <x v="3"/>
    <n v="6"/>
    <n v="1"/>
    <n v="65.260000000000005"/>
  </r>
  <r>
    <n v="52892"/>
    <n v="31655"/>
    <x v="253"/>
    <n v="2227"/>
    <x v="2"/>
    <n v="1"/>
    <n v="241.54"/>
    <d v="2025-08-04T00:00:00"/>
    <d v="2025-08-10T00:00:00"/>
    <x v="0"/>
    <s v="OK"/>
    <s v="OK"/>
    <x v="1"/>
    <n v="6"/>
    <n v="0"/>
    <n v="241.54"/>
  </r>
  <r>
    <n v="52893"/>
    <n v="31656"/>
    <x v="190"/>
    <n v="2038"/>
    <x v="0"/>
    <n v="1"/>
    <n v="199.81"/>
    <d v="2025-05-08T00:00:00"/>
    <d v="2025-05-16T00:00:00"/>
    <x v="0"/>
    <s v="OK"/>
    <s v="OK"/>
    <x v="0"/>
    <n v="8"/>
    <n v="1"/>
    <n v="199.81"/>
  </r>
  <r>
    <n v="52894"/>
    <n v="31656"/>
    <x v="190"/>
    <n v="2038"/>
    <x v="8"/>
    <n v="1"/>
    <n v="203.04"/>
    <d v="2025-05-08T00:00:00"/>
    <d v="2025-05-18T00:00:00"/>
    <x v="0"/>
    <s v="OK"/>
    <s v="OK"/>
    <x v="2"/>
    <n v="10"/>
    <n v="0"/>
    <n v="203.04"/>
  </r>
  <r>
    <n v="52895"/>
    <n v="31656"/>
    <x v="190"/>
    <n v="2038"/>
    <x v="0"/>
    <n v="1"/>
    <n v="199.81"/>
    <d v="2025-05-07T00:00:00"/>
    <d v="2025-05-13T00:00:00"/>
    <x v="0"/>
    <s v="OK"/>
    <s v="OK"/>
    <x v="0"/>
    <n v="6"/>
    <n v="0"/>
    <n v="199.81"/>
  </r>
  <r>
    <n v="52896"/>
    <n v="31656"/>
    <x v="190"/>
    <n v="2038"/>
    <x v="15"/>
    <n v="1"/>
    <n v="170.25"/>
    <d v="2025-05-09T00:00:00"/>
    <d v="2025-05-19T00:00:00"/>
    <x v="0"/>
    <s v="OK"/>
    <s v="OK"/>
    <x v="1"/>
    <n v="10"/>
    <n v="0"/>
    <n v="170.25"/>
  </r>
  <r>
    <n v="52897"/>
    <n v="31657"/>
    <x v="333"/>
    <n v="2114"/>
    <x v="12"/>
    <n v="2"/>
    <n v="130.52000000000001"/>
    <s v=""/>
    <s v=""/>
    <x v="2"/>
    <s v="Missing date"/>
    <s v="Missing date"/>
    <x v="3"/>
    <s v=""/>
    <n v="1"/>
    <n v="65.260000000000005"/>
  </r>
  <r>
    <n v="52898"/>
    <n v="31658"/>
    <x v="230"/>
    <n v="2175"/>
    <x v="7"/>
    <n v="2"/>
    <n v="507.72"/>
    <d v="2025-07-31T00:00:00"/>
    <d v="2025-08-04T00:00:00"/>
    <x v="0"/>
    <s v="OK"/>
    <s v="OK"/>
    <x v="0"/>
    <n v="4"/>
    <n v="1"/>
    <n v="253.86"/>
  </r>
  <r>
    <n v="52899"/>
    <n v="31658"/>
    <x v="230"/>
    <n v="2175"/>
    <x v="11"/>
    <n v="2"/>
    <n v="448.74"/>
    <d v="2025-07-31T00:00:00"/>
    <d v="2025-08-04T00:00:00"/>
    <x v="0"/>
    <s v="OK"/>
    <s v="OK"/>
    <x v="2"/>
    <n v="4"/>
    <n v="0"/>
    <n v="224.37"/>
  </r>
  <r>
    <n v="52900"/>
    <n v="31658"/>
    <x v="230"/>
    <n v="2175"/>
    <x v="6"/>
    <n v="1"/>
    <n v="31.73"/>
    <d v="2025-08-01T00:00:00"/>
    <d v="2025-08-04T00:00:00"/>
    <x v="0"/>
    <s v="OK"/>
    <s v="OK"/>
    <x v="2"/>
    <n v="3"/>
    <n v="0"/>
    <n v="31.73"/>
  </r>
  <r>
    <n v="52901"/>
    <n v="31658"/>
    <x v="230"/>
    <n v="2175"/>
    <x v="11"/>
    <n v="2"/>
    <n v="448.74"/>
    <d v="2025-07-31T00:00:00"/>
    <d v="2025-08-04T00:00:00"/>
    <x v="0"/>
    <s v="OK"/>
    <s v="OK"/>
    <x v="2"/>
    <n v="4"/>
    <n v="0"/>
    <n v="224.37"/>
  </r>
  <r>
    <n v="52902"/>
    <n v="31659"/>
    <x v="283"/>
    <n v="2131"/>
    <x v="1"/>
    <n v="3"/>
    <n v="618.27"/>
    <d v="2025-09-30T00:00:00"/>
    <d v="2025-10-03T00:00:00"/>
    <x v="0"/>
    <s v="OK"/>
    <s v="OK"/>
    <x v="0"/>
    <n v="3"/>
    <n v="1"/>
    <n v="206.09"/>
  </r>
  <r>
    <n v="52903"/>
    <n v="31660"/>
    <x v="72"/>
    <n v="2536"/>
    <x v="9"/>
    <n v="1"/>
    <n v="40.28"/>
    <d v="2025-09-20T00:00:00"/>
    <d v="2025-09-21T00:00:00"/>
    <x v="0"/>
    <s v="OK"/>
    <s v="OK"/>
    <x v="0"/>
    <n v="1"/>
    <n v="1"/>
    <n v="40.28"/>
  </r>
  <r>
    <n v="52904"/>
    <n v="31660"/>
    <x v="72"/>
    <n v="2536"/>
    <x v="0"/>
    <n v="1"/>
    <n v="199.81"/>
    <d v="2025-09-20T00:00:00"/>
    <d v="2025-09-30T00:00:00"/>
    <x v="0"/>
    <s v="OK"/>
    <s v="OK"/>
    <x v="0"/>
    <n v="10"/>
    <n v="0"/>
    <n v="199.81"/>
  </r>
  <r>
    <n v="52905"/>
    <n v="31661"/>
    <x v="260"/>
    <n v="2024"/>
    <x v="9"/>
    <n v="2"/>
    <n v="80.56"/>
    <d v="2025-04-16T00:00:00"/>
    <d v="2025-04-22T00:00:00"/>
    <x v="1"/>
    <s v="OK"/>
    <s v="OK"/>
    <x v="0"/>
    <n v="6"/>
    <n v="1"/>
    <n v="40.28"/>
  </r>
  <r>
    <n v="52906"/>
    <n v="31662"/>
    <x v="214"/>
    <n v="2574"/>
    <x v="8"/>
    <n v="1"/>
    <n v="203.04"/>
    <s v=""/>
    <s v=""/>
    <x v="2"/>
    <s v="Missing date"/>
    <s v="Missing date"/>
    <x v="2"/>
    <s v=""/>
    <n v="1"/>
    <n v="203.04"/>
  </r>
  <r>
    <n v="52907"/>
    <n v="31662"/>
    <x v="214"/>
    <n v="2574"/>
    <x v="10"/>
    <n v="1"/>
    <n v="215.34"/>
    <s v=""/>
    <s v=""/>
    <x v="2"/>
    <s v="Missing date"/>
    <s v="Missing date"/>
    <x v="3"/>
    <s v=""/>
    <n v="0"/>
    <n v="215.34"/>
  </r>
  <r>
    <n v="52908"/>
    <n v="31663"/>
    <x v="87"/>
    <n v="2054"/>
    <x v="5"/>
    <n v="1"/>
    <n v="101.44"/>
    <s v=""/>
    <s v=""/>
    <x v="3"/>
    <s v="Missing date"/>
    <s v="Missing date"/>
    <x v="1"/>
    <s v=""/>
    <n v="1"/>
    <n v="101.44"/>
  </r>
  <r>
    <n v="52909"/>
    <n v="31663"/>
    <x v="5"/>
    <n v="2054"/>
    <x v="10"/>
    <n v="1"/>
    <n v="215.34"/>
    <s v=""/>
    <s v=""/>
    <x v="3"/>
    <s v="Missing date"/>
    <s v="Missing date"/>
    <x v="3"/>
    <s v=""/>
    <n v="0"/>
    <n v="215.34"/>
  </r>
  <r>
    <n v="52910"/>
    <n v="31664"/>
    <x v="283"/>
    <n v="2531"/>
    <x v="2"/>
    <n v="2"/>
    <n v="483.08"/>
    <d v="2025-10-01T00:00:00"/>
    <d v="2025-10-10T00:00:00"/>
    <x v="0"/>
    <s v="OK"/>
    <s v="OK"/>
    <x v="1"/>
    <n v="9"/>
    <n v="1"/>
    <n v="241.54"/>
  </r>
  <r>
    <n v="52911"/>
    <n v="31664"/>
    <x v="283"/>
    <n v="2531"/>
    <x v="3"/>
    <n v="1"/>
    <n v="118.6"/>
    <d v="2025-09-29T00:00:00"/>
    <d v="2025-10-08T00:00:00"/>
    <x v="0"/>
    <s v="OK"/>
    <s v="OK"/>
    <x v="2"/>
    <n v="9"/>
    <n v="0"/>
    <n v="118.6"/>
  </r>
  <r>
    <n v="52912"/>
    <n v="31665"/>
    <x v="360"/>
    <n v="2230"/>
    <x v="10"/>
    <n v="1"/>
    <n v="215.34"/>
    <d v="2025-07-03T00:00:00"/>
    <d v="2025-07-04T00:00:00"/>
    <x v="0"/>
    <s v="OK"/>
    <s v="OK"/>
    <x v="3"/>
    <n v="1"/>
    <n v="1"/>
    <n v="215.34"/>
  </r>
  <r>
    <n v="52913"/>
    <n v="31665"/>
    <x v="360"/>
    <n v="2230"/>
    <x v="14"/>
    <n v="1"/>
    <n v="119.74"/>
    <d v="2025-07-05T00:00:00"/>
    <d v="2025-11-07T00:00:00"/>
    <x v="0"/>
    <s v="OK"/>
    <s v="OK"/>
    <x v="3"/>
    <n v="125"/>
    <n v="0"/>
    <n v="119.74"/>
  </r>
  <r>
    <n v="52914"/>
    <n v="31666"/>
    <x v="347"/>
    <n v="2324"/>
    <x v="0"/>
    <n v="1"/>
    <n v="199.81"/>
    <d v="2025-09-11T00:00:00"/>
    <d v="2025-09-21T00:00:00"/>
    <x v="0"/>
    <s v="OK"/>
    <s v="OK"/>
    <x v="0"/>
    <n v="10"/>
    <n v="1"/>
    <n v="199.81"/>
  </r>
  <r>
    <n v="52915"/>
    <n v="31667"/>
    <x v="293"/>
    <n v="2343"/>
    <x v="8"/>
    <n v="1"/>
    <n v="203.04"/>
    <d v="2025-04-09T00:00:00"/>
    <d v="2025-11-04T00:00:00"/>
    <x v="0"/>
    <s v="OK"/>
    <s v="OK"/>
    <x v="2"/>
    <n v="209"/>
    <n v="1"/>
    <n v="203.04"/>
  </r>
  <r>
    <n v="52916"/>
    <n v="31668"/>
    <x v="122"/>
    <n v="2232"/>
    <x v="10"/>
    <n v="4"/>
    <n v="861.36"/>
    <d v="2025-01-16T00:00:00"/>
    <d v="2025-01-22T00:00:00"/>
    <x v="1"/>
    <s v="OK"/>
    <s v="OK"/>
    <x v="3"/>
    <n v="6"/>
    <n v="1"/>
    <n v="215.34"/>
  </r>
  <r>
    <n v="52917"/>
    <n v="31668"/>
    <x v="122"/>
    <n v="2232"/>
    <x v="11"/>
    <n v="1"/>
    <n v="224.37"/>
    <d v="2025-01-17T00:00:00"/>
    <d v="2025-01-22T00:00:00"/>
    <x v="1"/>
    <s v="OK"/>
    <s v="OK"/>
    <x v="2"/>
    <n v="5"/>
    <n v="0"/>
    <n v="224.37"/>
  </r>
  <r>
    <n v="52918"/>
    <n v="31669"/>
    <x v="264"/>
    <n v="2256"/>
    <x v="5"/>
    <n v="2"/>
    <n v="202.88"/>
    <d v="2025-01-12T00:00:00"/>
    <d v="2025-01-13T00:00:00"/>
    <x v="0"/>
    <s v="OK"/>
    <s v="OK"/>
    <x v="1"/>
    <n v="1"/>
    <n v="1"/>
    <n v="101.44"/>
  </r>
  <r>
    <n v="52919"/>
    <n v="31670"/>
    <x v="77"/>
    <n v="2319"/>
    <x v="4"/>
    <n v="1"/>
    <n v="183.74"/>
    <d v="2025-08-30T00:00:00"/>
    <d v="2025-09-02T00:00:00"/>
    <x v="0"/>
    <s v="OK"/>
    <s v="OK"/>
    <x v="2"/>
    <n v="3"/>
    <n v="1"/>
    <n v="183.74"/>
  </r>
  <r>
    <n v="52920"/>
    <n v="31671"/>
    <x v="327"/>
    <n v="2029"/>
    <x v="8"/>
    <n v="1"/>
    <n v="203.04"/>
    <d v="2025-09-17T00:00:00"/>
    <d v="2025-09-27T00:00:00"/>
    <x v="0"/>
    <s v="OK"/>
    <s v="OK"/>
    <x v="2"/>
    <n v="10"/>
    <n v="1"/>
    <n v="203.04"/>
  </r>
  <r>
    <n v="52921"/>
    <n v="31671"/>
    <x v="327"/>
    <n v="2029"/>
    <x v="5"/>
    <n v="1"/>
    <n v="101.44"/>
    <d v="2025-09-18T00:00:00"/>
    <d v="2025-09-20T00:00:00"/>
    <x v="0"/>
    <s v="OK"/>
    <s v="OK"/>
    <x v="1"/>
    <n v="2"/>
    <n v="0"/>
    <n v="101.44"/>
  </r>
  <r>
    <n v="52922"/>
    <n v="31672"/>
    <x v="111"/>
    <n v="2257"/>
    <x v="12"/>
    <n v="2"/>
    <n v="130.52000000000001"/>
    <d v="2025-11-30T00:00:00"/>
    <d v="2025-12-02T00:00:00"/>
    <x v="0"/>
    <s v="OK"/>
    <s v="OK"/>
    <x v="3"/>
    <n v="2"/>
    <n v="1"/>
    <n v="65.260000000000005"/>
  </r>
  <r>
    <n v="52923"/>
    <n v="31672"/>
    <x v="111"/>
    <n v="2257"/>
    <x v="1"/>
    <n v="4"/>
    <n v="824.36"/>
    <d v="2025-11-29T00:00:00"/>
    <d v="2025-12-08T00:00:00"/>
    <x v="0"/>
    <s v="OK"/>
    <s v="OK"/>
    <x v="0"/>
    <n v="9"/>
    <n v="0"/>
    <n v="206.09"/>
  </r>
  <r>
    <n v="52924"/>
    <n v="31673"/>
    <x v="141"/>
    <n v="2349"/>
    <x v="5"/>
    <n v="2"/>
    <n v="202.88"/>
    <s v=""/>
    <s v=""/>
    <x v="3"/>
    <s v="Missing date"/>
    <s v="Missing date"/>
    <x v="1"/>
    <s v=""/>
    <n v="1"/>
    <n v="101.44"/>
  </r>
  <r>
    <n v="52925"/>
    <n v="31674"/>
    <x v="10"/>
    <n v="2243"/>
    <x v="14"/>
    <n v="4"/>
    <n v="478.96"/>
    <d v="2025-10-21T00:00:00"/>
    <d v="2025-10-25T00:00:00"/>
    <x v="1"/>
    <s v="OK"/>
    <s v="OK"/>
    <x v="3"/>
    <n v="4"/>
    <n v="1"/>
    <n v="119.74"/>
  </r>
  <r>
    <n v="52926"/>
    <n v="31674"/>
    <x v="10"/>
    <n v="2243"/>
    <x v="4"/>
    <n v="2"/>
    <n v="367.48"/>
    <d v="2025-10-19T00:00:00"/>
    <d v="2025-10-29T00:00:00"/>
    <x v="1"/>
    <s v="OK"/>
    <s v="OK"/>
    <x v="2"/>
    <n v="10"/>
    <n v="0"/>
    <n v="183.74"/>
  </r>
  <r>
    <n v="52927"/>
    <n v="31675"/>
    <x v="195"/>
    <n v="2458"/>
    <x v="11"/>
    <n v="1"/>
    <n v="224.37"/>
    <d v="2025-11-02T00:00:00"/>
    <d v="2025-12-11T00:00:00"/>
    <x v="0"/>
    <s v="OK"/>
    <s v="OK"/>
    <x v="2"/>
    <n v="39"/>
    <n v="1"/>
    <n v="224.37"/>
  </r>
  <r>
    <n v="52928"/>
    <n v="31676"/>
    <x v="3"/>
    <n v="2063"/>
    <x v="15"/>
    <n v="3"/>
    <n v="510.75"/>
    <s v=""/>
    <s v=""/>
    <x v="2"/>
    <s v="Missing date"/>
    <s v="Missing date"/>
    <x v="1"/>
    <s v=""/>
    <n v="1"/>
    <n v="170.25"/>
  </r>
  <r>
    <n v="52929"/>
    <n v="31677"/>
    <x v="241"/>
    <n v="2321"/>
    <x v="11"/>
    <n v="5"/>
    <n v="1121.8499999999999"/>
    <s v=""/>
    <s v=""/>
    <x v="2"/>
    <s v="Missing date"/>
    <s v="Missing date"/>
    <x v="2"/>
    <s v=""/>
    <n v="1"/>
    <n v="224.36999999999998"/>
  </r>
  <r>
    <n v="52930"/>
    <n v="31677"/>
    <x v="241"/>
    <n v="2321"/>
    <x v="6"/>
    <n v="3"/>
    <n v="95.19"/>
    <s v=""/>
    <s v=""/>
    <x v="2"/>
    <s v="Missing date"/>
    <s v="Missing date"/>
    <x v="2"/>
    <s v=""/>
    <n v="0"/>
    <n v="31.73"/>
  </r>
  <r>
    <n v="52931"/>
    <n v="31677"/>
    <x v="241"/>
    <n v="2321"/>
    <x v="3"/>
    <n v="1"/>
    <n v="118.6"/>
    <s v=""/>
    <s v=""/>
    <x v="2"/>
    <s v="Missing date"/>
    <s v="Missing date"/>
    <x v="2"/>
    <s v=""/>
    <n v="0"/>
    <n v="118.6"/>
  </r>
  <r>
    <n v="52932"/>
    <n v="31678"/>
    <x v="148"/>
    <n v="2453"/>
    <x v="10"/>
    <n v="2"/>
    <n v="430.68"/>
    <d v="2025-10-29T00:00:00"/>
    <d v="2025-11-05T00:00:00"/>
    <x v="0"/>
    <s v="OK"/>
    <s v="OK"/>
    <x v="3"/>
    <n v="7"/>
    <n v="1"/>
    <n v="215.34"/>
  </r>
  <r>
    <n v="52933"/>
    <n v="31679"/>
    <x v="208"/>
    <n v="2068"/>
    <x v="3"/>
    <n v="1"/>
    <n v="118.6"/>
    <d v="2025-05-25T00:00:00"/>
    <d v="2025-06-03T00:00:00"/>
    <x v="0"/>
    <s v="OK"/>
    <s v="OK"/>
    <x v="2"/>
    <n v="9"/>
    <n v="1"/>
    <n v="118.6"/>
  </r>
  <r>
    <n v="52934"/>
    <n v="31679"/>
    <x v="208"/>
    <n v="2068"/>
    <x v="3"/>
    <n v="1"/>
    <n v="118.6"/>
    <d v="2025-05-25T00:00:00"/>
    <d v="2025-05-27T00:00:00"/>
    <x v="0"/>
    <s v="OK"/>
    <s v="OK"/>
    <x v="2"/>
    <n v="2"/>
    <n v="0"/>
    <n v="118.6"/>
  </r>
  <r>
    <n v="52935"/>
    <n v="31679"/>
    <x v="208"/>
    <n v="2068"/>
    <x v="13"/>
    <n v="1"/>
    <n v="121.5"/>
    <d v="2025-05-25T00:00:00"/>
    <d v="2025-05-26T00:00:00"/>
    <x v="0"/>
    <s v="OK"/>
    <s v="OK"/>
    <x v="1"/>
    <n v="1"/>
    <n v="0"/>
    <n v="121.5"/>
  </r>
  <r>
    <n v="52936"/>
    <n v="31680"/>
    <x v="189"/>
    <n v="2391"/>
    <x v="10"/>
    <n v="1"/>
    <n v="215.34"/>
    <d v="2025-03-23T00:00:00"/>
    <d v="2025-03-31T00:00:00"/>
    <x v="0"/>
    <s v="OK"/>
    <s v="OK"/>
    <x v="3"/>
    <n v="8"/>
    <n v="1"/>
    <n v="215.34"/>
  </r>
  <r>
    <n v="52937"/>
    <n v="31681"/>
    <x v="251"/>
    <n v="2239"/>
    <x v="8"/>
    <n v="2"/>
    <n v="406.08"/>
    <s v=""/>
    <s v=""/>
    <x v="2"/>
    <s v="Missing date"/>
    <s v="Missing date"/>
    <x v="2"/>
    <s v=""/>
    <n v="1"/>
    <n v="203.04"/>
  </r>
  <r>
    <n v="52938"/>
    <n v="31682"/>
    <x v="249"/>
    <n v="2465"/>
    <x v="10"/>
    <n v="1"/>
    <n v="215.34"/>
    <d v="2025-01-20T00:00:00"/>
    <d v="2025-01-21T00:00:00"/>
    <x v="0"/>
    <s v="OK"/>
    <s v="OK"/>
    <x v="3"/>
    <n v="1"/>
    <n v="1"/>
    <n v="215.34"/>
  </r>
  <r>
    <n v="52939"/>
    <n v="31683"/>
    <x v="189"/>
    <n v="2104"/>
    <x v="8"/>
    <n v="1"/>
    <n v="203.04"/>
    <d v="2025-03-23T00:00:00"/>
    <d v="2025-03-27T00:00:00"/>
    <x v="0"/>
    <s v="OK"/>
    <s v="OK"/>
    <x v="2"/>
    <n v="4"/>
    <n v="1"/>
    <n v="203.04"/>
  </r>
  <r>
    <n v="52940"/>
    <n v="31683"/>
    <x v="189"/>
    <n v="2104"/>
    <x v="14"/>
    <n v="2"/>
    <n v="239.48"/>
    <d v="2025-03-21T00:00:00"/>
    <d v="2025-03-27T00:00:00"/>
    <x v="0"/>
    <s v="OK"/>
    <s v="OK"/>
    <x v="3"/>
    <n v="6"/>
    <n v="0"/>
    <n v="119.74"/>
  </r>
  <r>
    <n v="52941"/>
    <n v="31684"/>
    <x v="93"/>
    <n v="2530"/>
    <x v="0"/>
    <n v="4"/>
    <n v="799.24"/>
    <d v="2025-07-07T00:00:00"/>
    <d v="2025-07-08T00:00:00"/>
    <x v="0"/>
    <s v="OK"/>
    <s v="OK"/>
    <x v="0"/>
    <n v="1"/>
    <n v="1"/>
    <n v="199.81"/>
  </r>
  <r>
    <n v="52942"/>
    <n v="31685"/>
    <x v="100"/>
    <n v="2111"/>
    <x v="11"/>
    <n v="3"/>
    <n v="673.11"/>
    <d v="2025-06-04T00:00:00"/>
    <d v="2025-06-11T00:00:00"/>
    <x v="0"/>
    <s v="OK"/>
    <s v="OK"/>
    <x v="2"/>
    <n v="7"/>
    <n v="1"/>
    <n v="224.37"/>
  </r>
  <r>
    <n v="52943"/>
    <n v="31686"/>
    <x v="313"/>
    <n v="2199"/>
    <x v="6"/>
    <n v="1"/>
    <n v="31.73"/>
    <s v=""/>
    <s v=""/>
    <x v="2"/>
    <s v="Missing date"/>
    <s v="Missing date"/>
    <x v="2"/>
    <s v=""/>
    <n v="1"/>
    <n v="31.73"/>
  </r>
  <r>
    <n v="52944"/>
    <n v="31686"/>
    <x v="313"/>
    <n v="2199"/>
    <x v="9"/>
    <n v="3"/>
    <n v="120.84"/>
    <s v=""/>
    <s v=""/>
    <x v="2"/>
    <s v="Missing date"/>
    <s v="Missing date"/>
    <x v="0"/>
    <s v=""/>
    <n v="0"/>
    <n v="40.28"/>
  </r>
  <r>
    <n v="52945"/>
    <n v="31686"/>
    <x v="313"/>
    <n v="2199"/>
    <x v="2"/>
    <n v="2"/>
    <n v="483.08"/>
    <s v=""/>
    <s v=""/>
    <x v="2"/>
    <s v="Missing date"/>
    <s v="Missing date"/>
    <x v="1"/>
    <s v=""/>
    <n v="0"/>
    <n v="241.54"/>
  </r>
  <r>
    <n v="52946"/>
    <n v="31687"/>
    <x v="237"/>
    <n v="2432"/>
    <x v="14"/>
    <n v="1"/>
    <n v="119.74"/>
    <d v="2025-08-15T00:00:00"/>
    <d v="2025-08-17T00:00:00"/>
    <x v="0"/>
    <s v="OK"/>
    <s v="OK"/>
    <x v="3"/>
    <n v="2"/>
    <n v="1"/>
    <n v="119.74"/>
  </r>
  <r>
    <n v="52947"/>
    <n v="31688"/>
    <x v="121"/>
    <n v="2191"/>
    <x v="3"/>
    <n v="1"/>
    <n v="118.6"/>
    <d v="2025-04-30T00:00:00"/>
    <d v="2025-05-03T00:00:00"/>
    <x v="0"/>
    <s v="OK"/>
    <s v="OK"/>
    <x v="2"/>
    <n v="3"/>
    <n v="1"/>
    <n v="118.6"/>
  </r>
  <r>
    <n v="52948"/>
    <n v="31689"/>
    <x v="38"/>
    <n v="2062"/>
    <x v="10"/>
    <n v="1"/>
    <n v="215.34"/>
    <d v="2025-09-11T00:00:00"/>
    <d v="2025-09-20T00:00:00"/>
    <x v="0"/>
    <s v="OK"/>
    <s v="OK"/>
    <x v="3"/>
    <n v="9"/>
    <n v="1"/>
    <n v="215.34"/>
  </r>
  <r>
    <n v="52949"/>
    <n v="31689"/>
    <x v="38"/>
    <n v="2062"/>
    <x v="2"/>
    <n v="1"/>
    <n v="241.54"/>
    <d v="2025-09-12T00:00:00"/>
    <d v="2025-09-21T00:00:00"/>
    <x v="0"/>
    <s v="OK"/>
    <s v="OK"/>
    <x v="1"/>
    <n v="9"/>
    <n v="0"/>
    <n v="241.54"/>
  </r>
  <r>
    <n v="52950"/>
    <n v="31690"/>
    <x v="17"/>
    <n v="2319"/>
    <x v="6"/>
    <n v="2"/>
    <n v="63.46"/>
    <d v="2025-10-26T00:00:00"/>
    <d v="2025-10-29T00:00:00"/>
    <x v="0"/>
    <s v="OK"/>
    <s v="OK"/>
    <x v="2"/>
    <n v="3"/>
    <n v="1"/>
    <n v="31.73"/>
  </r>
  <r>
    <n v="52951"/>
    <n v="31691"/>
    <x v="279"/>
    <n v="2151"/>
    <x v="5"/>
    <n v="1"/>
    <n v="101.44"/>
    <d v="2025-02-25T00:00:00"/>
    <d v="2025-03-05T00:00:00"/>
    <x v="0"/>
    <s v="OK"/>
    <s v="OK"/>
    <x v="1"/>
    <n v="8"/>
    <n v="1"/>
    <n v="101.44"/>
  </r>
  <r>
    <n v="52952"/>
    <n v="31691"/>
    <x v="279"/>
    <n v="2151"/>
    <x v="13"/>
    <n v="3"/>
    <n v="364.5"/>
    <d v="2025-02-27T00:00:00"/>
    <d v="2025-03-08T00:00:00"/>
    <x v="0"/>
    <s v="OK"/>
    <s v="OK"/>
    <x v="1"/>
    <n v="9"/>
    <n v="0"/>
    <n v="121.5"/>
  </r>
  <r>
    <n v="52953"/>
    <n v="31692"/>
    <x v="314"/>
    <n v="2378"/>
    <x v="6"/>
    <n v="1"/>
    <n v="31.73"/>
    <d v="2025-07-09T00:00:00"/>
    <d v="2025-07-16T00:00:00"/>
    <x v="1"/>
    <s v="OK"/>
    <s v="OK"/>
    <x v="2"/>
    <n v="7"/>
    <n v="1"/>
    <n v="31.73"/>
  </r>
  <r>
    <n v="52954"/>
    <n v="31692"/>
    <x v="180"/>
    <n v="2378"/>
    <x v="3"/>
    <n v="3"/>
    <n v="355.8"/>
    <d v="2025-07-08T00:00:00"/>
    <d v="2025-07-13T00:00:00"/>
    <x v="1"/>
    <s v="OK"/>
    <s v="OK"/>
    <x v="2"/>
    <n v="5"/>
    <n v="0"/>
    <n v="118.60000000000001"/>
  </r>
  <r>
    <n v="52955"/>
    <n v="31692"/>
    <x v="314"/>
    <n v="2378"/>
    <x v="1"/>
    <n v="4"/>
    <n v="824.36"/>
    <d v="2025-07-09T00:00:00"/>
    <d v="2025-07-16T00:00:00"/>
    <x v="1"/>
    <s v="OK"/>
    <s v="OK"/>
    <x v="0"/>
    <n v="7"/>
    <n v="0"/>
    <n v="206.09"/>
  </r>
  <r>
    <n v="52956"/>
    <n v="31693"/>
    <x v="20"/>
    <n v="2520"/>
    <x v="3"/>
    <n v="4"/>
    <n v="474.4"/>
    <s v=""/>
    <s v=""/>
    <x v="3"/>
    <s v="Missing date"/>
    <s v="Missing date"/>
    <x v="2"/>
    <s v=""/>
    <n v="1"/>
    <n v="118.6"/>
  </r>
  <r>
    <n v="52957"/>
    <n v="31694"/>
    <x v="26"/>
    <n v="2201"/>
    <x v="0"/>
    <n v="3"/>
    <n v="599.42999999999995"/>
    <d v="2025-09-02T00:00:00"/>
    <d v="2025-09-04T00:00:00"/>
    <x v="1"/>
    <s v="OK"/>
    <s v="OK"/>
    <x v="0"/>
    <n v="2"/>
    <n v="1"/>
    <n v="199.80999999999997"/>
  </r>
  <r>
    <n v="52958"/>
    <n v="31694"/>
    <x v="26"/>
    <n v="2201"/>
    <x v="11"/>
    <n v="4"/>
    <n v="897.48"/>
    <d v="2025-09-01T00:00:00"/>
    <d v="2025-09-04T00:00:00"/>
    <x v="1"/>
    <s v="OK"/>
    <s v="OK"/>
    <x v="2"/>
    <n v="3"/>
    <n v="0"/>
    <n v="224.37"/>
  </r>
  <r>
    <n v="52959"/>
    <n v="31695"/>
    <x v="86"/>
    <n v="2350"/>
    <x v="12"/>
    <n v="1"/>
    <n v="65.260000000000005"/>
    <d v="2025-02-05T00:00:00"/>
    <d v="2025-02-09T00:00:00"/>
    <x v="0"/>
    <s v="OK"/>
    <s v="OK"/>
    <x v="3"/>
    <n v="4"/>
    <n v="1"/>
    <n v="65.260000000000005"/>
  </r>
  <r>
    <n v="52960"/>
    <n v="31695"/>
    <x v="86"/>
    <n v="2350"/>
    <x v="14"/>
    <n v="1"/>
    <n v="119.74"/>
    <d v="2025-02-06T00:00:00"/>
    <d v="2025-11-02T00:00:00"/>
    <x v="0"/>
    <s v="OK"/>
    <s v="OK"/>
    <x v="3"/>
    <n v="269"/>
    <n v="0"/>
    <n v="119.74"/>
  </r>
  <r>
    <n v="52961"/>
    <n v="31695"/>
    <x v="86"/>
    <n v="2350"/>
    <x v="5"/>
    <n v="1"/>
    <n v="101.44"/>
    <d v="2025-02-06T00:00:00"/>
    <d v="2025-02-16T00:00:00"/>
    <x v="0"/>
    <s v="OK"/>
    <s v="OK"/>
    <x v="1"/>
    <n v="10"/>
    <n v="0"/>
    <n v="101.44"/>
  </r>
  <r>
    <n v="52962"/>
    <n v="31696"/>
    <x v="276"/>
    <n v="2593"/>
    <x v="5"/>
    <n v="1"/>
    <n v="101.44"/>
    <d v="2026-01-01T00:00:00"/>
    <d v="2026-01-06T00:00:00"/>
    <x v="0"/>
    <s v="OK"/>
    <s v="OK"/>
    <x v="1"/>
    <n v="5"/>
    <n v="1"/>
    <n v="101.44"/>
  </r>
  <r>
    <n v="52963"/>
    <n v="31696"/>
    <x v="276"/>
    <n v="2593"/>
    <x v="13"/>
    <n v="2"/>
    <n v="243"/>
    <d v="2025-12-31T00:00:00"/>
    <d v="2026-01-01T00:00:00"/>
    <x v="0"/>
    <s v="OK"/>
    <s v="OK"/>
    <x v="1"/>
    <n v="1"/>
    <n v="0"/>
    <n v="121.5"/>
  </r>
  <r>
    <n v="52964"/>
    <n v="31696"/>
    <x v="276"/>
    <n v="2593"/>
    <x v="10"/>
    <n v="1"/>
    <n v="215.34"/>
    <d v="2026-01-02T00:00:00"/>
    <d v="2026-01-05T00:00:00"/>
    <x v="0"/>
    <s v="OK"/>
    <s v="OK"/>
    <x v="3"/>
    <n v="3"/>
    <n v="0"/>
    <n v="215.34"/>
  </r>
  <r>
    <n v="52965"/>
    <n v="31697"/>
    <x v="17"/>
    <n v="2337"/>
    <x v="14"/>
    <n v="2"/>
    <n v="239.48"/>
    <d v="2025-10-26T00:00:00"/>
    <d v="2025-11-05T00:00:00"/>
    <x v="0"/>
    <s v="OK"/>
    <s v="OK"/>
    <x v="3"/>
    <n v="10"/>
    <n v="1"/>
    <n v="119.74"/>
  </r>
  <r>
    <n v="52966"/>
    <n v="31697"/>
    <x v="17"/>
    <n v="2337"/>
    <x v="3"/>
    <n v="2"/>
    <n v="237.2"/>
    <d v="2025-10-26T00:00:00"/>
    <d v="2025-11-02T00:00:00"/>
    <x v="0"/>
    <s v="OK"/>
    <s v="OK"/>
    <x v="2"/>
    <n v="7"/>
    <n v="0"/>
    <n v="118.6"/>
  </r>
  <r>
    <n v="52967"/>
    <n v="31697"/>
    <x v="17"/>
    <n v="2337"/>
    <x v="12"/>
    <n v="1"/>
    <n v="65.260000000000005"/>
    <d v="2025-10-26T00:00:00"/>
    <d v="2025-10-27T00:00:00"/>
    <x v="0"/>
    <s v="OK"/>
    <s v="OK"/>
    <x v="3"/>
    <n v="1"/>
    <n v="0"/>
    <n v="65.260000000000005"/>
  </r>
  <r>
    <n v="52968"/>
    <n v="31698"/>
    <x v="18"/>
    <n v="2225"/>
    <x v="1"/>
    <n v="2"/>
    <n v="412.18"/>
    <s v=""/>
    <s v=""/>
    <x v="2"/>
    <s v="Missing date"/>
    <s v="Missing date"/>
    <x v="0"/>
    <s v=""/>
    <n v="1"/>
    <n v="206.09"/>
  </r>
  <r>
    <n v="52969"/>
    <n v="31698"/>
    <x v="157"/>
    <n v="2225"/>
    <x v="1"/>
    <n v="1"/>
    <n v="206.09"/>
    <s v=""/>
    <s v=""/>
    <x v="2"/>
    <s v="Missing date"/>
    <s v="Missing date"/>
    <x v="0"/>
    <s v=""/>
    <n v="0"/>
    <n v="206.09"/>
  </r>
  <r>
    <n v="52970"/>
    <n v="31699"/>
    <x v="184"/>
    <n v="2478"/>
    <x v="1"/>
    <n v="1"/>
    <n v="206.09"/>
    <d v="2025-03-31T00:00:00"/>
    <d v="2025-04-03T00:00:00"/>
    <x v="0"/>
    <s v="OK"/>
    <s v="OK"/>
    <x v="0"/>
    <n v="3"/>
    <n v="1"/>
    <n v="206.09"/>
  </r>
  <r>
    <n v="52971"/>
    <n v="31699"/>
    <x v="184"/>
    <n v="2478"/>
    <x v="12"/>
    <n v="4"/>
    <n v="261.04000000000002"/>
    <d v="2025-03-30T00:00:00"/>
    <d v="2025-04-04T00:00:00"/>
    <x v="0"/>
    <s v="OK"/>
    <s v="OK"/>
    <x v="3"/>
    <n v="5"/>
    <n v="0"/>
    <n v="65.260000000000005"/>
  </r>
  <r>
    <n v="52972"/>
    <n v="31700"/>
    <x v="163"/>
    <n v="2340"/>
    <x v="15"/>
    <n v="1"/>
    <n v="170.25"/>
    <d v="2025-06-11T00:00:00"/>
    <s v=""/>
    <x v="3"/>
    <s v="Missing date"/>
    <s v="OK"/>
    <x v="1"/>
    <s v=""/>
    <n v="1"/>
    <n v="170.25"/>
  </r>
  <r>
    <n v="52973"/>
    <n v="31701"/>
    <x v="142"/>
    <n v="2189"/>
    <x v="8"/>
    <n v="2"/>
    <n v="406.08"/>
    <s v=""/>
    <s v=""/>
    <x v="3"/>
    <s v="Missing date"/>
    <s v="Missing date"/>
    <x v="2"/>
    <s v=""/>
    <n v="1"/>
    <n v="203.04"/>
  </r>
  <r>
    <n v="52974"/>
    <n v="31701"/>
    <x v="142"/>
    <n v="2189"/>
    <x v="11"/>
    <n v="2"/>
    <n v="448.74"/>
    <s v=""/>
    <s v=""/>
    <x v="3"/>
    <s v="Missing date"/>
    <s v="Missing date"/>
    <x v="2"/>
    <s v=""/>
    <n v="0"/>
    <n v="224.37"/>
  </r>
  <r>
    <n v="52975"/>
    <n v="31701"/>
    <x v="142"/>
    <n v="2189"/>
    <x v="4"/>
    <n v="1"/>
    <n v="183.74"/>
    <d v="2025-11-27T00:00:00"/>
    <s v=""/>
    <x v="3"/>
    <s v="Missing date"/>
    <s v="OK"/>
    <x v="2"/>
    <s v=""/>
    <n v="0"/>
    <n v="183.74"/>
  </r>
  <r>
    <n v="52976"/>
    <n v="31701"/>
    <x v="142"/>
    <n v="2189"/>
    <x v="14"/>
    <n v="1"/>
    <n v="119.74"/>
    <d v="2027-04-11T00:00:00"/>
    <s v=""/>
    <x v="3"/>
    <s v="Missing date"/>
    <s v="OK"/>
    <x v="3"/>
    <s v=""/>
    <n v="0"/>
    <n v="119.74"/>
  </r>
  <r>
    <n v="52977"/>
    <n v="31702"/>
    <x v="121"/>
    <n v="2600"/>
    <x v="2"/>
    <n v="3"/>
    <n v="724.62"/>
    <s v=""/>
    <s v=""/>
    <x v="2"/>
    <s v="Missing date"/>
    <s v="Missing date"/>
    <x v="1"/>
    <s v=""/>
    <n v="1"/>
    <n v="241.54"/>
  </r>
  <r>
    <n v="52978"/>
    <n v="31703"/>
    <x v="42"/>
    <n v="2045"/>
    <x v="0"/>
    <n v="1"/>
    <n v="199.81"/>
    <d v="2025-10-13T00:00:00"/>
    <d v="2025-10-16T00:00:00"/>
    <x v="1"/>
    <s v="OK"/>
    <s v="OK"/>
    <x v="0"/>
    <n v="3"/>
    <n v="1"/>
    <n v="199.81"/>
  </r>
  <r>
    <n v="52979"/>
    <n v="31704"/>
    <x v="79"/>
    <n v="2203"/>
    <x v="1"/>
    <n v="1"/>
    <n v="206.09"/>
    <d v="2025-11-04T00:00:00"/>
    <d v="2025-11-13T00:00:00"/>
    <x v="0"/>
    <s v="OK"/>
    <s v="OK"/>
    <x v="0"/>
    <n v="9"/>
    <n v="1"/>
    <n v="206.09"/>
  </r>
  <r>
    <n v="52980"/>
    <n v="31705"/>
    <x v="161"/>
    <n v="2269"/>
    <x v="5"/>
    <n v="1"/>
    <n v="101.44"/>
    <d v="2025-11-21T00:00:00"/>
    <d v="2025-11-28T00:00:00"/>
    <x v="0"/>
    <s v="OK"/>
    <s v="OK"/>
    <x v="1"/>
    <n v="7"/>
    <n v="1"/>
    <n v="101.44"/>
  </r>
  <r>
    <n v="52981"/>
    <n v="31705"/>
    <x v="161"/>
    <n v="2269"/>
    <x v="1"/>
    <n v="4"/>
    <n v="824.36"/>
    <d v="2025-11-22T00:00:00"/>
    <d v="2025-11-25T00:00:00"/>
    <x v="0"/>
    <s v="OK"/>
    <s v="OK"/>
    <x v="0"/>
    <n v="3"/>
    <n v="0"/>
    <n v="206.09"/>
  </r>
  <r>
    <n v="52982"/>
    <n v="31705"/>
    <x v="161"/>
    <n v="2269"/>
    <x v="7"/>
    <n v="2"/>
    <n v="507.72"/>
    <d v="2025-11-21T00:00:00"/>
    <d v="2025-12-01T00:00:00"/>
    <x v="0"/>
    <s v="OK"/>
    <s v="OK"/>
    <x v="0"/>
    <n v="10"/>
    <n v="0"/>
    <n v="253.86"/>
  </r>
  <r>
    <n v="52983"/>
    <n v="31706"/>
    <x v="208"/>
    <n v="2201"/>
    <x v="9"/>
    <n v="3"/>
    <n v="120.84"/>
    <d v="2025-05-27T00:00:00"/>
    <d v="2025-06-04T00:00:00"/>
    <x v="0"/>
    <s v="OK"/>
    <s v="OK"/>
    <x v="0"/>
    <n v="8"/>
    <n v="1"/>
    <n v="40.28"/>
  </r>
  <r>
    <n v="52984"/>
    <n v="31706"/>
    <x v="208"/>
    <n v="2201"/>
    <x v="4"/>
    <n v="4"/>
    <n v="734.96"/>
    <d v="2025-05-25T00:00:00"/>
    <d v="2025-05-31T00:00:00"/>
    <x v="0"/>
    <s v="OK"/>
    <s v="OK"/>
    <x v="2"/>
    <n v="6"/>
    <n v="0"/>
    <n v="183.74"/>
  </r>
  <r>
    <n v="52985"/>
    <n v="31707"/>
    <x v="166"/>
    <n v="2022"/>
    <x v="6"/>
    <n v="2"/>
    <n v="63.46"/>
    <s v=""/>
    <s v=""/>
    <x v="3"/>
    <s v="Missing date"/>
    <s v="Missing date"/>
    <x v="2"/>
    <s v=""/>
    <n v="1"/>
    <n v="31.73"/>
  </r>
  <r>
    <n v="52986"/>
    <n v="31708"/>
    <x v="230"/>
    <n v="2114"/>
    <x v="0"/>
    <n v="2"/>
    <n v="399.62"/>
    <d v="2025-07-31T00:00:00"/>
    <d v="2025-08-03T00:00:00"/>
    <x v="0"/>
    <s v="OK"/>
    <s v="OK"/>
    <x v="0"/>
    <n v="3"/>
    <n v="1"/>
    <n v="199.81"/>
  </r>
  <r>
    <n v="52987"/>
    <n v="31708"/>
    <x v="230"/>
    <n v="2114"/>
    <x v="13"/>
    <n v="1"/>
    <n v="121.5"/>
    <d v="2025-08-01T00:00:00"/>
    <d v="2025-09-08T00:00:00"/>
    <x v="0"/>
    <s v="OK"/>
    <s v="OK"/>
    <x v="1"/>
    <n v="38"/>
    <n v="0"/>
    <n v="121.5"/>
  </r>
  <r>
    <n v="52988"/>
    <n v="31708"/>
    <x v="230"/>
    <n v="2114"/>
    <x v="14"/>
    <n v="4"/>
    <n v="478.96"/>
    <d v="2025-08-01T00:00:00"/>
    <d v="2025-08-03T00:00:00"/>
    <x v="0"/>
    <s v="OK"/>
    <s v="OK"/>
    <x v="3"/>
    <n v="2"/>
    <n v="0"/>
    <n v="119.74"/>
  </r>
  <r>
    <n v="52989"/>
    <n v="31709"/>
    <x v="122"/>
    <n v="2246"/>
    <x v="2"/>
    <n v="1"/>
    <n v="241.54"/>
    <d v="2025-01-15T00:00:00"/>
    <d v="2025-01-18T00:00:00"/>
    <x v="0"/>
    <s v="OK"/>
    <s v="OK"/>
    <x v="1"/>
    <n v="3"/>
    <n v="1"/>
    <n v="241.54"/>
  </r>
  <r>
    <n v="52990"/>
    <n v="31710"/>
    <x v="287"/>
    <n v="2176"/>
    <x v="10"/>
    <n v="1"/>
    <n v="215.34"/>
    <d v="2025-12-27T00:00:00"/>
    <d v="2025-12-30T00:00:00"/>
    <x v="1"/>
    <s v="OK"/>
    <s v="OK"/>
    <x v="3"/>
    <n v="3"/>
    <n v="1"/>
    <n v="215.34"/>
  </r>
  <r>
    <n v="52991"/>
    <n v="31711"/>
    <x v="92"/>
    <n v="2067"/>
    <x v="6"/>
    <n v="1"/>
    <n v="31.73"/>
    <d v="2025-05-18T00:00:00"/>
    <d v="2025-05-26T00:00:00"/>
    <x v="0"/>
    <s v="OK"/>
    <s v="OK"/>
    <x v="2"/>
    <n v="8"/>
    <n v="1"/>
    <n v="31.73"/>
  </r>
  <r>
    <n v="52992"/>
    <n v="31711"/>
    <x v="92"/>
    <n v="2067"/>
    <x v="0"/>
    <n v="1"/>
    <n v="199.81"/>
    <d v="2025-05-17T00:00:00"/>
    <d v="2025-05-23T00:00:00"/>
    <x v="0"/>
    <s v="OK"/>
    <s v="OK"/>
    <x v="0"/>
    <n v="6"/>
    <n v="0"/>
    <n v="199.81"/>
  </r>
  <r>
    <n v="52993"/>
    <n v="31711"/>
    <x v="92"/>
    <n v="2067"/>
    <x v="0"/>
    <n v="5"/>
    <n v="999.05"/>
    <d v="2025-05-19T00:00:00"/>
    <d v="2025-05-26T00:00:00"/>
    <x v="0"/>
    <s v="OK"/>
    <s v="OK"/>
    <x v="0"/>
    <n v="7"/>
    <n v="0"/>
    <n v="199.81"/>
  </r>
  <r>
    <n v="52994"/>
    <n v="31711"/>
    <x v="92"/>
    <n v="2067"/>
    <x v="15"/>
    <n v="2"/>
    <n v="340.5"/>
    <d v="2025-05-17T00:00:00"/>
    <d v="2025-05-21T00:00:00"/>
    <x v="0"/>
    <s v="OK"/>
    <s v="OK"/>
    <x v="1"/>
    <n v="4"/>
    <n v="0"/>
    <n v="170.25"/>
  </r>
  <r>
    <n v="52995"/>
    <n v="31712"/>
    <x v="22"/>
    <n v="2384"/>
    <x v="10"/>
    <n v="1"/>
    <n v="215.34"/>
    <d v="2025-01-31T00:00:00"/>
    <d v="2025-02-09T00:00:00"/>
    <x v="0"/>
    <s v="OK"/>
    <s v="OK"/>
    <x v="3"/>
    <n v="9"/>
    <n v="1"/>
    <n v="215.34"/>
  </r>
  <r>
    <n v="52996"/>
    <n v="31712"/>
    <x v="22"/>
    <n v="2384"/>
    <x v="1"/>
    <n v="4"/>
    <n v="824.36"/>
    <d v="2025-01-30T00:00:00"/>
    <d v="2025-02-01T00:00:00"/>
    <x v="0"/>
    <s v="OK"/>
    <s v="OK"/>
    <x v="0"/>
    <n v="2"/>
    <n v="0"/>
    <n v="206.09"/>
  </r>
  <r>
    <n v="52997"/>
    <n v="31713"/>
    <x v="230"/>
    <n v="2048"/>
    <x v="0"/>
    <n v="1"/>
    <n v="199.81"/>
    <s v=""/>
    <s v=""/>
    <x v="3"/>
    <s v="Missing date"/>
    <s v="Missing date"/>
    <x v="0"/>
    <s v=""/>
    <n v="1"/>
    <n v="199.81"/>
  </r>
  <r>
    <n v="52998"/>
    <n v="31714"/>
    <x v="84"/>
    <n v="2302"/>
    <x v="5"/>
    <n v="1"/>
    <n v="101.44"/>
    <d v="2026-10-06T00:00:00"/>
    <s v=""/>
    <x v="3"/>
    <s v="Missing date"/>
    <s v="OK"/>
    <x v="1"/>
    <s v=""/>
    <n v="1"/>
    <n v="101.44"/>
  </r>
  <r>
    <n v="52999"/>
    <n v="31715"/>
    <x v="97"/>
    <n v="2287"/>
    <x v="12"/>
    <n v="3"/>
    <n v="195.78"/>
    <s v=""/>
    <s v=""/>
    <x v="2"/>
    <s v="Missing date"/>
    <s v="Missing date"/>
    <x v="3"/>
    <s v=""/>
    <n v="1"/>
    <n v="65.260000000000005"/>
  </r>
  <r>
    <n v="53000"/>
    <n v="31716"/>
    <x v="136"/>
    <n v="2215"/>
    <x v="12"/>
    <n v="1"/>
    <n v="65.260000000000005"/>
    <d v="2025-06-13T00:00:00"/>
    <d v="2025-06-16T00:00:00"/>
    <x v="0"/>
    <s v="OK"/>
    <s v="OK"/>
    <x v="3"/>
    <n v="3"/>
    <n v="1"/>
    <n v="65.260000000000005"/>
  </r>
  <r>
    <n v="53001"/>
    <n v="31716"/>
    <x v="136"/>
    <n v="2215"/>
    <x v="11"/>
    <n v="1"/>
    <n v="224.37"/>
    <d v="2025-06-15T00:00:00"/>
    <d v="2025-06-23T00:00:00"/>
    <x v="0"/>
    <s v="OK"/>
    <s v="OK"/>
    <x v="2"/>
    <n v="8"/>
    <n v="0"/>
    <n v="224.37"/>
  </r>
  <r>
    <n v="53002"/>
    <n v="31717"/>
    <x v="328"/>
    <n v="2172"/>
    <x v="2"/>
    <n v="2"/>
    <n v="483.08"/>
    <d v="2025-03-08T00:00:00"/>
    <d v="2025-03-15T00:00:00"/>
    <x v="0"/>
    <s v="OK"/>
    <s v="OK"/>
    <x v="1"/>
    <n v="7"/>
    <n v="1"/>
    <n v="241.54"/>
  </r>
  <r>
    <n v="53003"/>
    <n v="31717"/>
    <x v="328"/>
    <n v="2172"/>
    <x v="12"/>
    <n v="1"/>
    <n v="65.260000000000005"/>
    <d v="2025-03-10T00:00:00"/>
    <d v="2025-03-13T00:00:00"/>
    <x v="0"/>
    <s v="OK"/>
    <s v="OK"/>
    <x v="3"/>
    <n v="3"/>
    <n v="0"/>
    <n v="65.260000000000005"/>
  </r>
  <r>
    <n v="53004"/>
    <n v="31718"/>
    <x v="325"/>
    <n v="2532"/>
    <x v="5"/>
    <n v="2"/>
    <n v="202.88"/>
    <d v="2025-12-17T00:00:00"/>
    <d v="2025-12-23T00:00:00"/>
    <x v="0"/>
    <s v="OK"/>
    <s v="OK"/>
    <x v="1"/>
    <n v="6"/>
    <n v="1"/>
    <n v="101.44"/>
  </r>
  <r>
    <n v="53005"/>
    <n v="31718"/>
    <x v="325"/>
    <n v="2532"/>
    <x v="2"/>
    <n v="1"/>
    <n v="241.54"/>
    <d v="2025-12-15T00:00:00"/>
    <d v="2025-12-25T00:00:00"/>
    <x v="0"/>
    <s v="OK"/>
    <s v="OK"/>
    <x v="1"/>
    <n v="10"/>
    <n v="0"/>
    <n v="241.54"/>
  </r>
  <r>
    <n v="53006"/>
    <n v="31719"/>
    <x v="239"/>
    <n v="2539"/>
    <x v="12"/>
    <n v="1"/>
    <n v="65.260000000000005"/>
    <d v="2025-12-15T00:00:00"/>
    <d v="2025-12-25T00:00:00"/>
    <x v="0"/>
    <s v="OK"/>
    <s v="OK"/>
    <x v="3"/>
    <n v="10"/>
    <n v="1"/>
    <n v="65.260000000000005"/>
  </r>
  <r>
    <n v="53007"/>
    <n v="31719"/>
    <x v="239"/>
    <n v="2539"/>
    <x v="12"/>
    <n v="2"/>
    <n v="130.52000000000001"/>
    <d v="2025-12-15T00:00:00"/>
    <d v="2025-12-19T00:00:00"/>
    <x v="0"/>
    <s v="OK"/>
    <s v="OK"/>
    <x v="3"/>
    <n v="4"/>
    <n v="0"/>
    <n v="65.260000000000005"/>
  </r>
  <r>
    <n v="53008"/>
    <n v="31720"/>
    <x v="265"/>
    <n v="2275"/>
    <x v="3"/>
    <n v="1"/>
    <n v="118.6"/>
    <d v="2025-03-30T00:00:00"/>
    <d v="2025-04-09T00:00:00"/>
    <x v="0"/>
    <s v="OK"/>
    <s v="OK"/>
    <x v="2"/>
    <n v="10"/>
    <n v="1"/>
    <n v="118.6"/>
  </r>
  <r>
    <n v="53009"/>
    <n v="31720"/>
    <x v="265"/>
    <n v="2275"/>
    <x v="0"/>
    <n v="2"/>
    <n v="399.62"/>
    <d v="2025-03-30T00:00:00"/>
    <d v="2025-08-04T00:00:00"/>
    <x v="0"/>
    <s v="OK"/>
    <s v="OK"/>
    <x v="0"/>
    <n v="127"/>
    <n v="0"/>
    <n v="199.81"/>
  </r>
  <r>
    <n v="53010"/>
    <n v="31721"/>
    <x v="256"/>
    <n v="2225"/>
    <x v="14"/>
    <n v="1"/>
    <n v="119.74"/>
    <s v=""/>
    <s v=""/>
    <x v="2"/>
    <s v="Missing date"/>
    <s v="Missing date"/>
    <x v="3"/>
    <s v=""/>
    <n v="1"/>
    <n v="119.74"/>
  </r>
  <r>
    <n v="53011"/>
    <n v="31721"/>
    <x v="256"/>
    <n v="2225"/>
    <x v="1"/>
    <n v="1"/>
    <n v="206.09"/>
    <s v=""/>
    <s v=""/>
    <x v="2"/>
    <s v="Missing date"/>
    <s v="Missing date"/>
    <x v="0"/>
    <s v=""/>
    <n v="0"/>
    <n v="206.09"/>
  </r>
  <r>
    <n v="53012"/>
    <n v="31721"/>
    <x v="256"/>
    <n v="2225"/>
    <x v="15"/>
    <n v="2"/>
    <n v="340.5"/>
    <s v=""/>
    <s v=""/>
    <x v="2"/>
    <s v="Missing date"/>
    <s v="Missing date"/>
    <x v="1"/>
    <s v=""/>
    <n v="0"/>
    <n v="170.25"/>
  </r>
  <r>
    <n v="53013"/>
    <n v="31722"/>
    <x v="308"/>
    <n v="2224"/>
    <x v="15"/>
    <n v="2"/>
    <n v="340.5"/>
    <d v="2025-03-21T00:00:00"/>
    <d v="2025-03-31T00:00:00"/>
    <x v="0"/>
    <s v="OK"/>
    <s v="OK"/>
    <x v="1"/>
    <n v="10"/>
    <n v="1"/>
    <n v="170.25"/>
  </r>
  <r>
    <n v="53014"/>
    <n v="31723"/>
    <x v="342"/>
    <n v="2586"/>
    <x v="2"/>
    <n v="3"/>
    <n v="724.62"/>
    <d v="2025-11-29T00:00:00"/>
    <d v="2025-12-02T00:00:00"/>
    <x v="0"/>
    <s v="OK"/>
    <s v="OK"/>
    <x v="1"/>
    <n v="3"/>
    <n v="1"/>
    <n v="241.54"/>
  </r>
  <r>
    <n v="53015"/>
    <n v="31723"/>
    <x v="342"/>
    <n v="2586"/>
    <x v="9"/>
    <n v="1"/>
    <n v="40.28"/>
    <d v="2025-11-27T00:00:00"/>
    <d v="2025-12-03T00:00:00"/>
    <x v="0"/>
    <s v="OK"/>
    <s v="OK"/>
    <x v="0"/>
    <n v="6"/>
    <n v="0"/>
    <n v="40.28"/>
  </r>
  <r>
    <n v="53016"/>
    <n v="31723"/>
    <x v="342"/>
    <n v="2586"/>
    <x v="11"/>
    <n v="1"/>
    <n v="224.37"/>
    <d v="2025-11-28T00:00:00"/>
    <d v="2025-12-06T00:00:00"/>
    <x v="0"/>
    <s v="OK"/>
    <s v="OK"/>
    <x v="2"/>
    <n v="8"/>
    <n v="0"/>
    <n v="224.37"/>
  </r>
  <r>
    <n v="53017"/>
    <n v="31724"/>
    <x v="290"/>
    <n v="2138"/>
    <x v="13"/>
    <n v="1"/>
    <n v="121.5"/>
    <d v="2025-04-26T00:00:00"/>
    <d v="2025-04-30T00:00:00"/>
    <x v="0"/>
    <s v="OK"/>
    <s v="OK"/>
    <x v="1"/>
    <n v="4"/>
    <n v="1"/>
    <n v="121.5"/>
  </r>
  <r>
    <n v="53018"/>
    <n v="31725"/>
    <x v="30"/>
    <n v="2456"/>
    <x v="1"/>
    <n v="2"/>
    <n v="412.18"/>
    <d v="2025-04-16T00:00:00"/>
    <d v="2025-04-22T00:00:00"/>
    <x v="0"/>
    <s v="OK"/>
    <s v="OK"/>
    <x v="0"/>
    <n v="6"/>
    <n v="1"/>
    <n v="206.09"/>
  </r>
  <r>
    <n v="53019"/>
    <n v="31726"/>
    <x v="149"/>
    <n v="2598"/>
    <x v="5"/>
    <n v="3"/>
    <n v="304.32"/>
    <d v="2025-04-12T00:00:00"/>
    <d v="2025-12-13T00:00:00"/>
    <x v="0"/>
    <s v="OK"/>
    <s v="OK"/>
    <x v="1"/>
    <n v="245"/>
    <n v="1"/>
    <n v="101.44"/>
  </r>
  <r>
    <n v="53020"/>
    <n v="31727"/>
    <x v="0"/>
    <n v="2437"/>
    <x v="10"/>
    <n v="1"/>
    <n v="215.34"/>
    <d v="2025-02-06T00:00:00"/>
    <d v="2025-02-12T00:00:00"/>
    <x v="0"/>
    <s v="OK"/>
    <s v="OK"/>
    <x v="3"/>
    <n v="6"/>
    <n v="1"/>
    <n v="215.34"/>
  </r>
  <r>
    <n v="53021"/>
    <n v="31728"/>
    <x v="214"/>
    <n v="2419"/>
    <x v="12"/>
    <n v="4"/>
    <n v="261.04000000000002"/>
    <d v="2025-07-12T00:00:00"/>
    <d v="2025-07-15T00:00:00"/>
    <x v="0"/>
    <s v="OK"/>
    <s v="OK"/>
    <x v="3"/>
    <n v="3"/>
    <n v="1"/>
    <n v="65.260000000000005"/>
  </r>
  <r>
    <n v="53022"/>
    <n v="31728"/>
    <x v="214"/>
    <n v="2419"/>
    <x v="5"/>
    <n v="1"/>
    <n v="101.44"/>
    <d v="2025-07-12T00:00:00"/>
    <d v="2025-07-20T00:00:00"/>
    <x v="0"/>
    <s v="OK"/>
    <s v="OK"/>
    <x v="1"/>
    <n v="8"/>
    <n v="0"/>
    <n v="101.44"/>
  </r>
  <r>
    <n v="53023"/>
    <n v="31729"/>
    <x v="240"/>
    <n v="2280"/>
    <x v="7"/>
    <n v="1"/>
    <n v="253.86"/>
    <d v="2025-04-01T00:00:00"/>
    <d v="2025-04-07T00:00:00"/>
    <x v="0"/>
    <s v="OK"/>
    <s v="OK"/>
    <x v="0"/>
    <n v="6"/>
    <n v="1"/>
    <n v="253.86"/>
  </r>
  <r>
    <n v="53024"/>
    <n v="31730"/>
    <x v="256"/>
    <n v="2453"/>
    <x v="11"/>
    <n v="1"/>
    <n v="224.37"/>
    <d v="2025-03-14T00:00:00"/>
    <d v="2025-03-19T00:00:00"/>
    <x v="0"/>
    <s v="OK"/>
    <s v="OK"/>
    <x v="2"/>
    <n v="5"/>
    <n v="1"/>
    <n v="224.37"/>
  </r>
  <r>
    <n v="53025"/>
    <n v="31731"/>
    <x v="270"/>
    <n v="2368"/>
    <x v="13"/>
    <n v="4"/>
    <n v="486"/>
    <s v=""/>
    <s v=""/>
    <x v="2"/>
    <s v="Missing date"/>
    <s v="Missing date"/>
    <x v="1"/>
    <s v=""/>
    <n v="1"/>
    <n v="121.5"/>
  </r>
  <r>
    <n v="53026"/>
    <n v="31731"/>
    <x v="270"/>
    <n v="2368"/>
    <x v="11"/>
    <n v="1"/>
    <n v="224.37"/>
    <s v=""/>
    <s v=""/>
    <x v="2"/>
    <s v="Missing date"/>
    <s v="Missing date"/>
    <x v="2"/>
    <s v=""/>
    <n v="0"/>
    <n v="224.37"/>
  </r>
  <r>
    <n v="53027"/>
    <n v="31732"/>
    <x v="332"/>
    <n v="2284"/>
    <x v="4"/>
    <n v="2"/>
    <n v="367.48"/>
    <s v=""/>
    <s v=""/>
    <x v="2"/>
    <s v="Missing date"/>
    <s v="Missing date"/>
    <x v="2"/>
    <s v=""/>
    <n v="1"/>
    <n v="183.74"/>
  </r>
  <r>
    <n v="53028"/>
    <n v="31732"/>
    <x v="332"/>
    <n v="2284"/>
    <x v="4"/>
    <n v="2"/>
    <n v="367.48"/>
    <s v=""/>
    <s v=""/>
    <x v="2"/>
    <s v="Missing date"/>
    <s v="Missing date"/>
    <x v="2"/>
    <s v=""/>
    <n v="0"/>
    <n v="183.74"/>
  </r>
  <r>
    <n v="53029"/>
    <n v="31732"/>
    <x v="332"/>
    <n v="2284"/>
    <x v="11"/>
    <n v="1"/>
    <n v="224.37"/>
    <s v=""/>
    <s v=""/>
    <x v="2"/>
    <s v="Missing date"/>
    <s v="Missing date"/>
    <x v="2"/>
    <s v=""/>
    <n v="0"/>
    <n v="224.37"/>
  </r>
  <r>
    <n v="53030"/>
    <n v="31732"/>
    <x v="332"/>
    <n v="2284"/>
    <x v="2"/>
    <n v="1"/>
    <n v="241.54"/>
    <s v=""/>
    <s v=""/>
    <x v="2"/>
    <s v="Missing date"/>
    <s v="Missing date"/>
    <x v="1"/>
    <s v=""/>
    <n v="0"/>
    <n v="241.54"/>
  </r>
  <r>
    <n v="53031"/>
    <n v="31733"/>
    <x v="208"/>
    <n v="2040"/>
    <x v="5"/>
    <n v="2"/>
    <n v="202.88"/>
    <d v="2025-05-25T00:00:00"/>
    <d v="2025-05-31T00:00:00"/>
    <x v="0"/>
    <s v="OK"/>
    <s v="OK"/>
    <x v="1"/>
    <n v="6"/>
    <n v="1"/>
    <n v="101.44"/>
  </r>
  <r>
    <n v="53032"/>
    <n v="31733"/>
    <x v="208"/>
    <n v="2040"/>
    <x v="0"/>
    <n v="1"/>
    <n v="199.81"/>
    <d v="2025-05-25T00:00:00"/>
    <d v="2025-05-29T00:00:00"/>
    <x v="0"/>
    <s v="OK"/>
    <s v="OK"/>
    <x v="0"/>
    <n v="4"/>
    <n v="0"/>
    <n v="199.81"/>
  </r>
  <r>
    <n v="53033"/>
    <n v="31733"/>
    <x v="208"/>
    <n v="2040"/>
    <x v="5"/>
    <n v="1"/>
    <n v="101.44"/>
    <d v="2025-05-27T00:00:00"/>
    <d v="2025-06-04T00:00:00"/>
    <x v="0"/>
    <s v="OK"/>
    <s v="OK"/>
    <x v="1"/>
    <n v="8"/>
    <n v="0"/>
    <n v="101.44"/>
  </r>
  <r>
    <n v="53034"/>
    <n v="31734"/>
    <x v="132"/>
    <n v="2257"/>
    <x v="9"/>
    <n v="1"/>
    <n v="40.28"/>
    <d v="2025-11-23T00:00:00"/>
    <d v="2025-11-25T00:00:00"/>
    <x v="0"/>
    <s v="OK"/>
    <s v="OK"/>
    <x v="0"/>
    <n v="2"/>
    <n v="1"/>
    <n v="40.28"/>
  </r>
  <r>
    <n v="53035"/>
    <n v="31735"/>
    <x v="43"/>
    <n v="2196"/>
    <x v="6"/>
    <n v="1"/>
    <n v="31.73"/>
    <d v="2025-12-07T00:00:00"/>
    <d v="2025-12-14T00:00:00"/>
    <x v="0"/>
    <s v="OK"/>
    <s v="OK"/>
    <x v="2"/>
    <n v="7"/>
    <n v="1"/>
    <n v="31.73"/>
  </r>
  <r>
    <n v="53036"/>
    <n v="31736"/>
    <x v="191"/>
    <n v="2557"/>
    <x v="8"/>
    <n v="3"/>
    <n v="609.12"/>
    <s v=""/>
    <s v=""/>
    <x v="2"/>
    <s v="Missing date"/>
    <s v="Missing date"/>
    <x v="2"/>
    <s v=""/>
    <n v="1"/>
    <n v="203.04"/>
  </r>
  <r>
    <n v="53037"/>
    <n v="31736"/>
    <x v="191"/>
    <n v="2557"/>
    <x v="13"/>
    <n v="1"/>
    <n v="121.5"/>
    <s v=""/>
    <s v=""/>
    <x v="2"/>
    <s v="Missing date"/>
    <s v="Missing date"/>
    <x v="1"/>
    <s v=""/>
    <n v="0"/>
    <n v="121.5"/>
  </r>
  <r>
    <n v="53038"/>
    <n v="31737"/>
    <x v="296"/>
    <n v="2289"/>
    <x v="15"/>
    <n v="3"/>
    <n v="510.75"/>
    <s v=""/>
    <s v=""/>
    <x v="3"/>
    <s v="Missing date"/>
    <s v="Missing date"/>
    <x v="1"/>
    <s v=""/>
    <n v="1"/>
    <n v="170.25"/>
  </r>
  <r>
    <n v="53039"/>
    <n v="31737"/>
    <x v="296"/>
    <n v="2289"/>
    <x v="8"/>
    <n v="1"/>
    <n v="203.04"/>
    <s v=""/>
    <s v=""/>
    <x v="3"/>
    <s v="Missing date"/>
    <s v="Missing date"/>
    <x v="2"/>
    <s v=""/>
    <n v="0"/>
    <n v="203.04"/>
  </r>
  <r>
    <n v="53040"/>
    <n v="31737"/>
    <x v="296"/>
    <n v="2289"/>
    <x v="6"/>
    <n v="2"/>
    <n v="63.46"/>
    <s v=""/>
    <s v=""/>
    <x v="3"/>
    <s v="Missing date"/>
    <s v="Missing date"/>
    <x v="2"/>
    <s v=""/>
    <n v="0"/>
    <n v="31.73"/>
  </r>
  <r>
    <n v="53041"/>
    <n v="31738"/>
    <x v="42"/>
    <n v="2234"/>
    <x v="0"/>
    <n v="1"/>
    <n v="199.81"/>
    <d v="2025-10-12T00:00:00"/>
    <d v="2025-10-16T00:00:00"/>
    <x v="0"/>
    <s v="OK"/>
    <s v="OK"/>
    <x v="0"/>
    <n v="4"/>
    <n v="1"/>
    <n v="199.81"/>
  </r>
  <r>
    <n v="53042"/>
    <n v="31739"/>
    <x v="137"/>
    <n v="2486"/>
    <x v="14"/>
    <n v="1"/>
    <n v="119.74"/>
    <d v="2025-01-12T00:00:00"/>
    <d v="2025-01-18T00:00:00"/>
    <x v="0"/>
    <s v="OK"/>
    <s v="OK"/>
    <x v="3"/>
    <n v="6"/>
    <n v="1"/>
    <n v="119.74"/>
  </r>
  <r>
    <n v="53043"/>
    <n v="31739"/>
    <x v="137"/>
    <n v="2486"/>
    <x v="14"/>
    <n v="1"/>
    <n v="119.74"/>
    <d v="2025-01-12T00:00:00"/>
    <d v="2025-01-16T00:00:00"/>
    <x v="0"/>
    <s v="OK"/>
    <s v="OK"/>
    <x v="3"/>
    <n v="4"/>
    <n v="0"/>
    <n v="119.74"/>
  </r>
  <r>
    <n v="53044"/>
    <n v="31739"/>
    <x v="137"/>
    <n v="2486"/>
    <x v="5"/>
    <n v="1"/>
    <n v="101.44"/>
    <d v="2025-01-12T00:00:00"/>
    <d v="2025-01-16T00:00:00"/>
    <x v="0"/>
    <s v="OK"/>
    <s v="OK"/>
    <x v="1"/>
    <n v="4"/>
    <n v="0"/>
    <n v="101.44"/>
  </r>
  <r>
    <n v="53045"/>
    <n v="31739"/>
    <x v="137"/>
    <n v="2486"/>
    <x v="11"/>
    <n v="2"/>
    <n v="448.74"/>
    <d v="2025-01-10T00:00:00"/>
    <d v="2025-01-20T00:00:00"/>
    <x v="0"/>
    <s v="OK"/>
    <s v="OK"/>
    <x v="2"/>
    <n v="10"/>
    <n v="0"/>
    <n v="224.37"/>
  </r>
  <r>
    <n v="53046"/>
    <n v="31740"/>
    <x v="131"/>
    <n v="2321"/>
    <x v="10"/>
    <n v="2"/>
    <n v="430.68"/>
    <s v=""/>
    <s v=""/>
    <x v="3"/>
    <s v="Missing date"/>
    <s v="Missing date"/>
    <x v="3"/>
    <s v=""/>
    <n v="1"/>
    <n v="215.34"/>
  </r>
  <r>
    <n v="53047"/>
    <n v="31740"/>
    <x v="131"/>
    <n v="2321"/>
    <x v="10"/>
    <n v="2"/>
    <n v="430.68"/>
    <d v="2026-06-09T00:00:00"/>
    <s v=""/>
    <x v="3"/>
    <s v="Missing date"/>
    <s v="OK"/>
    <x v="3"/>
    <s v=""/>
    <n v="0"/>
    <n v="215.34"/>
  </r>
  <r>
    <n v="53048"/>
    <n v="31740"/>
    <x v="131"/>
    <n v="2321"/>
    <x v="14"/>
    <n v="1"/>
    <n v="119.74"/>
    <s v=""/>
    <s v=""/>
    <x v="3"/>
    <s v="Missing date"/>
    <s v="Missing date"/>
    <x v="3"/>
    <s v=""/>
    <n v="0"/>
    <n v="119.74"/>
  </r>
  <r>
    <n v="53049"/>
    <n v="31740"/>
    <x v="131"/>
    <n v="2321"/>
    <x v="8"/>
    <n v="1"/>
    <n v="203.04"/>
    <s v=""/>
    <s v=""/>
    <x v="3"/>
    <s v="Missing date"/>
    <s v="Missing date"/>
    <x v="2"/>
    <s v=""/>
    <n v="0"/>
    <n v="203.04"/>
  </r>
  <r>
    <n v="53050"/>
    <n v="31741"/>
    <x v="262"/>
    <n v="2592"/>
    <x v="13"/>
    <n v="1"/>
    <n v="121.5"/>
    <s v=""/>
    <s v=""/>
    <x v="2"/>
    <s v="Missing date"/>
    <s v="Missing date"/>
    <x v="1"/>
    <s v=""/>
    <n v="1"/>
    <n v="121.5"/>
  </r>
  <r>
    <n v="53051"/>
    <n v="31741"/>
    <x v="262"/>
    <n v="2592"/>
    <x v="8"/>
    <n v="3"/>
    <n v="609.12"/>
    <s v=""/>
    <s v=""/>
    <x v="2"/>
    <s v="Missing date"/>
    <s v="Missing date"/>
    <x v="2"/>
    <s v=""/>
    <n v="0"/>
    <n v="203.04"/>
  </r>
  <r>
    <n v="53052"/>
    <n v="31742"/>
    <x v="123"/>
    <n v="2512"/>
    <x v="2"/>
    <n v="2"/>
    <n v="483.08"/>
    <s v=""/>
    <s v=""/>
    <x v="3"/>
    <s v="Missing date"/>
    <s v="Missing date"/>
    <x v="1"/>
    <s v=""/>
    <n v="1"/>
    <n v="241.54"/>
  </r>
  <r>
    <n v="53053"/>
    <n v="31743"/>
    <x v="207"/>
    <n v="2430"/>
    <x v="15"/>
    <n v="1"/>
    <n v="170.25"/>
    <d v="2025-05-05T00:00:00"/>
    <d v="2025-05-10T00:00:00"/>
    <x v="0"/>
    <s v="OK"/>
    <s v="OK"/>
    <x v="1"/>
    <n v="5"/>
    <n v="1"/>
    <n v="170.25"/>
  </r>
  <r>
    <n v="53054"/>
    <n v="31743"/>
    <x v="207"/>
    <n v="2430"/>
    <x v="13"/>
    <n v="2"/>
    <n v="243"/>
    <d v="2025-05-05T00:00:00"/>
    <d v="2025-05-07T00:00:00"/>
    <x v="0"/>
    <s v="OK"/>
    <s v="OK"/>
    <x v="1"/>
    <n v="2"/>
    <n v="0"/>
    <n v="121.5"/>
  </r>
  <r>
    <n v="53055"/>
    <n v="31743"/>
    <x v="207"/>
    <n v="2430"/>
    <x v="5"/>
    <n v="4"/>
    <n v="405.76"/>
    <d v="2025-05-05T00:00:00"/>
    <d v="2025-05-10T00:00:00"/>
    <x v="0"/>
    <s v="OK"/>
    <s v="OK"/>
    <x v="1"/>
    <n v="5"/>
    <n v="0"/>
    <n v="101.44"/>
  </r>
  <r>
    <n v="53056"/>
    <n v="31744"/>
    <x v="77"/>
    <n v="2024"/>
    <x v="3"/>
    <n v="1"/>
    <n v="118.6"/>
    <d v="2025-08-30T00:00:00"/>
    <d v="2025-09-09T00:00:00"/>
    <x v="0"/>
    <s v="OK"/>
    <s v="OK"/>
    <x v="2"/>
    <n v="10"/>
    <n v="1"/>
    <n v="118.6"/>
  </r>
  <r>
    <n v="53057"/>
    <n v="31745"/>
    <x v="141"/>
    <n v="2143"/>
    <x v="5"/>
    <n v="1"/>
    <n v="101.44"/>
    <d v="2025-04-24T00:00:00"/>
    <d v="2025-05-04T00:00:00"/>
    <x v="0"/>
    <s v="OK"/>
    <s v="OK"/>
    <x v="1"/>
    <n v="10"/>
    <n v="1"/>
    <n v="101.44"/>
  </r>
  <r>
    <n v="53058"/>
    <n v="31745"/>
    <x v="141"/>
    <n v="2143"/>
    <x v="15"/>
    <n v="1"/>
    <n v="170.25"/>
    <d v="2025-04-25T00:00:00"/>
    <d v="2025-05-01T00:00:00"/>
    <x v="0"/>
    <s v="OK"/>
    <s v="OK"/>
    <x v="1"/>
    <n v="6"/>
    <n v="0"/>
    <n v="170.25"/>
  </r>
  <r>
    <n v="53059"/>
    <n v="31745"/>
    <x v="141"/>
    <n v="2143"/>
    <x v="15"/>
    <n v="1"/>
    <n v="170.25"/>
    <d v="2025-04-25T00:00:00"/>
    <d v="2025-05-04T00:00:00"/>
    <x v="0"/>
    <s v="OK"/>
    <s v="OK"/>
    <x v="1"/>
    <n v="9"/>
    <n v="0"/>
    <n v="170.25"/>
  </r>
  <r>
    <n v="53060"/>
    <n v="31746"/>
    <x v="175"/>
    <n v="2210"/>
    <x v="11"/>
    <n v="5"/>
    <n v="1121.8499999999999"/>
    <d v="2025-01-23T00:00:00"/>
    <d v="2025-01-27T00:00:00"/>
    <x v="1"/>
    <s v="OK"/>
    <s v="OK"/>
    <x v="2"/>
    <n v="4"/>
    <n v="1"/>
    <n v="224.36999999999998"/>
  </r>
  <r>
    <n v="53061"/>
    <n v="31746"/>
    <x v="175"/>
    <n v="2210"/>
    <x v="15"/>
    <n v="4"/>
    <n v="681"/>
    <d v="2025-01-24T00:00:00"/>
    <d v="2025-01-26T00:00:00"/>
    <x v="1"/>
    <s v="OK"/>
    <s v="OK"/>
    <x v="1"/>
    <n v="2"/>
    <n v="0"/>
    <n v="170.25"/>
  </r>
  <r>
    <n v="53062"/>
    <n v="31746"/>
    <x v="175"/>
    <n v="2210"/>
    <x v="0"/>
    <n v="1"/>
    <n v="199.81"/>
    <d v="2025-01-25T00:00:00"/>
    <d v="2025-01-26T00:00:00"/>
    <x v="1"/>
    <s v="OK"/>
    <s v="OK"/>
    <x v="0"/>
    <n v="1"/>
    <n v="0"/>
    <n v="199.81"/>
  </r>
  <r>
    <n v="53063"/>
    <n v="31746"/>
    <x v="175"/>
    <n v="2210"/>
    <x v="12"/>
    <n v="1"/>
    <n v="65.260000000000005"/>
    <d v="2025-01-23T00:00:00"/>
    <d v="2025-01-24T00:00:00"/>
    <x v="1"/>
    <s v="OK"/>
    <s v="OK"/>
    <x v="3"/>
    <n v="1"/>
    <n v="0"/>
    <n v="65.260000000000005"/>
  </r>
  <r>
    <n v="53064"/>
    <n v="31747"/>
    <x v="214"/>
    <n v="2112"/>
    <x v="14"/>
    <n v="2"/>
    <n v="239.48"/>
    <d v="2025-07-11T00:00:00"/>
    <d v="2025-07-18T00:00:00"/>
    <x v="0"/>
    <s v="OK"/>
    <s v="OK"/>
    <x v="3"/>
    <n v="7"/>
    <n v="1"/>
    <n v="119.74"/>
  </r>
  <r>
    <n v="53065"/>
    <n v="31748"/>
    <x v="338"/>
    <n v="2312"/>
    <x v="4"/>
    <n v="1"/>
    <n v="183.74"/>
    <d v="2025-11-03T00:00:00"/>
    <d v="2025-11-11T00:00:00"/>
    <x v="0"/>
    <s v="OK"/>
    <s v="OK"/>
    <x v="2"/>
    <n v="8"/>
    <n v="1"/>
    <n v="183.74"/>
  </r>
  <r>
    <n v="53066"/>
    <n v="31748"/>
    <x v="338"/>
    <n v="2312"/>
    <x v="7"/>
    <n v="1"/>
    <n v="253.86"/>
    <d v="2025-11-03T00:00:00"/>
    <d v="2025-11-11T00:00:00"/>
    <x v="0"/>
    <s v="OK"/>
    <s v="OK"/>
    <x v="0"/>
    <n v="8"/>
    <n v="0"/>
    <n v="253.86"/>
  </r>
  <r>
    <n v="53067"/>
    <n v="31749"/>
    <x v="95"/>
    <n v="2033"/>
    <x v="12"/>
    <n v="1"/>
    <n v="65.260000000000005"/>
    <d v="2025-01-07T00:00:00"/>
    <s v=""/>
    <x v="3"/>
    <s v="Missing date"/>
    <s v="OK"/>
    <x v="3"/>
    <s v=""/>
    <n v="1"/>
    <n v="65.260000000000005"/>
  </r>
  <r>
    <n v="53068"/>
    <n v="31750"/>
    <x v="254"/>
    <n v="2204"/>
    <x v="15"/>
    <n v="2"/>
    <n v="340.5"/>
    <d v="2025-10-04T00:00:00"/>
    <d v="2025-10-10T00:00:00"/>
    <x v="0"/>
    <s v="OK"/>
    <s v="OK"/>
    <x v="1"/>
    <n v="6"/>
    <n v="1"/>
    <n v="170.25"/>
  </r>
  <r>
    <n v="53069"/>
    <n v="31750"/>
    <x v="254"/>
    <n v="2204"/>
    <x v="13"/>
    <n v="4"/>
    <n v="486"/>
    <d v="2025-10-04T00:00:00"/>
    <d v="2025-10-14T00:00:00"/>
    <x v="0"/>
    <s v="OK"/>
    <s v="OK"/>
    <x v="1"/>
    <n v="10"/>
    <n v="0"/>
    <n v="121.5"/>
  </r>
  <r>
    <n v="53070"/>
    <n v="31750"/>
    <x v="255"/>
    <n v="2204"/>
    <x v="0"/>
    <n v="2"/>
    <n v="399.62"/>
    <d v="2025-10-02T00:00:00"/>
    <d v="2025-10-11T00:00:00"/>
    <x v="0"/>
    <s v="OK"/>
    <s v="OK"/>
    <x v="0"/>
    <n v="9"/>
    <n v="0"/>
    <n v="199.81"/>
  </r>
  <r>
    <n v="53071"/>
    <n v="31751"/>
    <x v="114"/>
    <n v="2239"/>
    <x v="11"/>
    <n v="1"/>
    <n v="224.37"/>
    <d v="2025-05-09T00:00:00"/>
    <d v="2025-05-19T00:00:00"/>
    <x v="0"/>
    <s v="OK"/>
    <s v="OK"/>
    <x v="2"/>
    <n v="10"/>
    <n v="1"/>
    <n v="224.37"/>
  </r>
  <r>
    <n v="53072"/>
    <n v="31752"/>
    <x v="72"/>
    <n v="2466"/>
    <x v="8"/>
    <n v="1"/>
    <n v="203.04"/>
    <d v="2025-09-22T00:00:00"/>
    <d v="2025-10-01T00:00:00"/>
    <x v="0"/>
    <s v="OK"/>
    <s v="OK"/>
    <x v="2"/>
    <n v="9"/>
    <n v="1"/>
    <n v="203.04"/>
  </r>
  <r>
    <n v="53073"/>
    <n v="31753"/>
    <x v="353"/>
    <n v="2176"/>
    <x v="10"/>
    <n v="4"/>
    <n v="861.36"/>
    <d v="2025-06-07T00:00:00"/>
    <d v="2025-06-11T00:00:00"/>
    <x v="0"/>
    <s v="OK"/>
    <s v="OK"/>
    <x v="3"/>
    <n v="4"/>
    <n v="1"/>
    <n v="215.34"/>
  </r>
  <r>
    <n v="53074"/>
    <n v="31753"/>
    <x v="293"/>
    <n v="2176"/>
    <x v="15"/>
    <n v="1"/>
    <n v="170.25"/>
    <d v="2025-06-05T00:00:00"/>
    <d v="2025-06-11T00:00:00"/>
    <x v="0"/>
    <s v="OK"/>
    <s v="OK"/>
    <x v="1"/>
    <n v="6"/>
    <n v="0"/>
    <n v="170.25"/>
  </r>
  <r>
    <n v="53075"/>
    <n v="31754"/>
    <x v="196"/>
    <n v="2161"/>
    <x v="6"/>
    <n v="1"/>
    <n v="31.73"/>
    <d v="2025-06-11T00:00:00"/>
    <d v="2025-06-18T00:00:00"/>
    <x v="1"/>
    <s v="OK"/>
    <s v="OK"/>
    <x v="2"/>
    <n v="7"/>
    <n v="1"/>
    <n v="31.73"/>
  </r>
  <r>
    <n v="53076"/>
    <n v="31755"/>
    <x v="284"/>
    <n v="2550"/>
    <x v="11"/>
    <n v="3"/>
    <n v="673.11"/>
    <d v="2025-03-04T00:00:00"/>
    <d v="2025-08-03T00:00:00"/>
    <x v="0"/>
    <s v="OK"/>
    <s v="OK"/>
    <x v="2"/>
    <n v="152"/>
    <n v="1"/>
    <n v="224.37"/>
  </r>
  <r>
    <n v="53077"/>
    <n v="31756"/>
    <x v="81"/>
    <n v="2399"/>
    <x v="0"/>
    <n v="4"/>
    <n v="799.24"/>
    <d v="2025-09-27T00:00:00"/>
    <d v="2025-09-29T00:00:00"/>
    <x v="1"/>
    <s v="OK"/>
    <s v="OK"/>
    <x v="0"/>
    <n v="2"/>
    <n v="1"/>
    <n v="199.81"/>
  </r>
  <r>
    <n v="53078"/>
    <n v="31756"/>
    <x v="81"/>
    <n v="2399"/>
    <x v="6"/>
    <n v="1"/>
    <n v="31.73"/>
    <d v="2025-09-28T00:00:00"/>
    <d v="2025-10-03T00:00:00"/>
    <x v="1"/>
    <s v="OK"/>
    <s v="OK"/>
    <x v="2"/>
    <n v="5"/>
    <n v="0"/>
    <n v="31.73"/>
  </r>
  <r>
    <n v="53079"/>
    <n v="31757"/>
    <x v="281"/>
    <n v="2211"/>
    <x v="12"/>
    <n v="2"/>
    <n v="130.52000000000001"/>
    <d v="2025-09-10T00:00:00"/>
    <d v="2025-09-13T00:00:00"/>
    <x v="0"/>
    <s v="OK"/>
    <s v="OK"/>
    <x v="3"/>
    <n v="3"/>
    <n v="1"/>
    <n v="65.260000000000005"/>
  </r>
  <r>
    <n v="53080"/>
    <n v="31758"/>
    <x v="80"/>
    <n v="2163"/>
    <x v="13"/>
    <n v="2"/>
    <n v="243"/>
    <d v="2025-12-10T00:00:00"/>
    <d v="2025-12-12T00:00:00"/>
    <x v="0"/>
    <s v="OK"/>
    <s v="OK"/>
    <x v="1"/>
    <n v="2"/>
    <n v="1"/>
    <n v="121.5"/>
  </r>
  <r>
    <n v="53081"/>
    <n v="31759"/>
    <x v="208"/>
    <n v="2208"/>
    <x v="14"/>
    <n v="1"/>
    <n v="119.74"/>
    <d v="2025-05-27T00:00:00"/>
    <d v="2025-06-04T00:00:00"/>
    <x v="0"/>
    <s v="OK"/>
    <s v="OK"/>
    <x v="3"/>
    <n v="8"/>
    <n v="1"/>
    <n v="119.74"/>
  </r>
  <r>
    <n v="53082"/>
    <n v="31760"/>
    <x v="338"/>
    <n v="2283"/>
    <x v="6"/>
    <n v="2"/>
    <n v="63.46"/>
    <d v="2025-11-02T00:00:00"/>
    <d v="2025-11-09T00:00:00"/>
    <x v="0"/>
    <s v="OK"/>
    <s v="OK"/>
    <x v="2"/>
    <n v="7"/>
    <n v="1"/>
    <n v="31.73"/>
  </r>
  <r>
    <n v="53083"/>
    <n v="31760"/>
    <x v="338"/>
    <n v="2283"/>
    <x v="14"/>
    <n v="4"/>
    <n v="478.96"/>
    <d v="2025-11-03T00:00:00"/>
    <d v="2025-11-12T00:00:00"/>
    <x v="0"/>
    <s v="OK"/>
    <s v="OK"/>
    <x v="3"/>
    <n v="9"/>
    <n v="0"/>
    <n v="119.74"/>
  </r>
  <r>
    <n v="53084"/>
    <n v="31761"/>
    <x v="204"/>
    <n v="2066"/>
    <x v="1"/>
    <n v="1"/>
    <n v="206.09"/>
    <s v=""/>
    <s v=""/>
    <x v="3"/>
    <s v="Missing date"/>
    <s v="Missing date"/>
    <x v="0"/>
    <s v=""/>
    <n v="1"/>
    <n v="206.09"/>
  </r>
  <r>
    <n v="53085"/>
    <n v="31762"/>
    <x v="284"/>
    <n v="2583"/>
    <x v="14"/>
    <n v="1"/>
    <n v="119.74"/>
    <s v=""/>
    <s v=""/>
    <x v="2"/>
    <s v="Missing date"/>
    <s v="Missing date"/>
    <x v="3"/>
    <s v=""/>
    <n v="1"/>
    <n v="119.74"/>
  </r>
  <r>
    <n v="53086"/>
    <n v="31763"/>
    <x v="323"/>
    <n v="2474"/>
    <x v="11"/>
    <n v="3"/>
    <n v="673.11"/>
    <d v="2025-04-26T00:00:00"/>
    <d v="2025-04-30T00:00:00"/>
    <x v="0"/>
    <s v="OK"/>
    <s v="OK"/>
    <x v="2"/>
    <n v="4"/>
    <n v="1"/>
    <n v="224.37"/>
  </r>
  <r>
    <n v="53087"/>
    <n v="31763"/>
    <x v="323"/>
    <n v="2474"/>
    <x v="13"/>
    <n v="1"/>
    <n v="121.5"/>
    <d v="2025-04-26T00:00:00"/>
    <d v="2025-04-27T00:00:00"/>
    <x v="0"/>
    <s v="OK"/>
    <s v="OK"/>
    <x v="1"/>
    <n v="1"/>
    <n v="0"/>
    <n v="121.5"/>
  </r>
  <r>
    <n v="53088"/>
    <n v="31763"/>
    <x v="323"/>
    <n v="2474"/>
    <x v="14"/>
    <n v="1"/>
    <n v="119.74"/>
    <d v="2025-04-26T00:00:00"/>
    <d v="2025-04-27T00:00:00"/>
    <x v="0"/>
    <s v="OK"/>
    <s v="OK"/>
    <x v="3"/>
    <n v="1"/>
    <n v="0"/>
    <n v="119.74"/>
  </r>
  <r>
    <n v="53089"/>
    <n v="31764"/>
    <x v="42"/>
    <n v="2356"/>
    <x v="13"/>
    <n v="1"/>
    <n v="121.5"/>
    <d v="2025-10-14T00:00:00"/>
    <d v="2025-10-23T00:00:00"/>
    <x v="0"/>
    <s v="OK"/>
    <s v="OK"/>
    <x v="1"/>
    <n v="9"/>
    <n v="1"/>
    <n v="121.5"/>
  </r>
  <r>
    <n v="53090"/>
    <n v="31764"/>
    <x v="42"/>
    <n v="2356"/>
    <x v="15"/>
    <n v="1"/>
    <n v="170.25"/>
    <d v="2025-10-14T00:00:00"/>
    <d v="2025-10-21T00:00:00"/>
    <x v="0"/>
    <s v="OK"/>
    <s v="OK"/>
    <x v="1"/>
    <n v="7"/>
    <n v="0"/>
    <n v="170.25"/>
  </r>
  <r>
    <n v="53091"/>
    <n v="31764"/>
    <x v="42"/>
    <n v="2356"/>
    <x v="7"/>
    <n v="1"/>
    <n v="253.86"/>
    <d v="2025-10-14T00:00:00"/>
    <d v="2025-10-17T00:00:00"/>
    <x v="0"/>
    <s v="OK"/>
    <s v="OK"/>
    <x v="0"/>
    <n v="3"/>
    <n v="0"/>
    <n v="253.86"/>
  </r>
  <r>
    <n v="53092"/>
    <n v="31765"/>
    <x v="5"/>
    <n v="2426"/>
    <x v="10"/>
    <n v="1"/>
    <n v="215.34"/>
    <d v="2025-03-14T00:00:00"/>
    <d v="2025-03-20T00:00:00"/>
    <x v="0"/>
    <s v="OK"/>
    <s v="OK"/>
    <x v="3"/>
    <n v="6"/>
    <n v="1"/>
    <n v="215.34"/>
  </r>
  <r>
    <n v="53093"/>
    <n v="31765"/>
    <x v="5"/>
    <n v="2426"/>
    <x v="14"/>
    <n v="1"/>
    <n v="119.74"/>
    <d v="2025-03-12T00:00:00"/>
    <d v="2025-03-19T00:00:00"/>
    <x v="0"/>
    <s v="OK"/>
    <s v="OK"/>
    <x v="3"/>
    <n v="7"/>
    <n v="0"/>
    <n v="119.74"/>
  </r>
  <r>
    <n v="53094"/>
    <n v="31766"/>
    <x v="83"/>
    <n v="2394"/>
    <x v="7"/>
    <n v="1"/>
    <n v="253.86"/>
    <s v=""/>
    <s v=""/>
    <x v="2"/>
    <s v="Missing date"/>
    <s v="Missing date"/>
    <x v="0"/>
    <s v=""/>
    <n v="1"/>
    <n v="253.86"/>
  </r>
  <r>
    <n v="53095"/>
    <n v="31767"/>
    <x v="195"/>
    <n v="2583"/>
    <x v="3"/>
    <n v="1"/>
    <n v="118.6"/>
    <d v="2025-10-31T00:00:00"/>
    <d v="2025-11-06T00:00:00"/>
    <x v="0"/>
    <s v="OK"/>
    <s v="OK"/>
    <x v="2"/>
    <n v="6"/>
    <n v="1"/>
    <n v="118.6"/>
  </r>
  <r>
    <n v="53096"/>
    <n v="31767"/>
    <x v="195"/>
    <n v="2583"/>
    <x v="1"/>
    <n v="2"/>
    <n v="412.18"/>
    <d v="2025-11-02T00:00:00"/>
    <d v="2025-11-06T00:00:00"/>
    <x v="0"/>
    <s v="OK"/>
    <s v="OK"/>
    <x v="0"/>
    <n v="4"/>
    <n v="0"/>
    <n v="206.09"/>
  </r>
  <r>
    <n v="53097"/>
    <n v="31768"/>
    <x v="150"/>
    <n v="2162"/>
    <x v="13"/>
    <n v="2"/>
    <n v="243"/>
    <d v="2025-07-24T00:00:00"/>
    <d v="2025-08-01T00:00:00"/>
    <x v="0"/>
    <s v="OK"/>
    <s v="OK"/>
    <x v="1"/>
    <n v="8"/>
    <n v="1"/>
    <n v="121.5"/>
  </r>
  <r>
    <n v="53098"/>
    <n v="31769"/>
    <x v="241"/>
    <n v="2069"/>
    <x v="0"/>
    <n v="1"/>
    <n v="199.81"/>
    <d v="2025-02-24T00:00:00"/>
    <d v="2025-03-06T00:00:00"/>
    <x v="0"/>
    <s v="OK"/>
    <s v="OK"/>
    <x v="0"/>
    <n v="10"/>
    <n v="1"/>
    <n v="199.81"/>
  </r>
  <r>
    <n v="53099"/>
    <n v="31770"/>
    <x v="4"/>
    <n v="2506"/>
    <x v="4"/>
    <n v="1"/>
    <n v="183.74"/>
    <d v="2025-06-02T00:00:00"/>
    <d v="2025-08-06T00:00:00"/>
    <x v="0"/>
    <s v="OK"/>
    <s v="OK"/>
    <x v="2"/>
    <n v="65"/>
    <n v="1"/>
    <n v="183.74"/>
  </r>
  <r>
    <n v="53100"/>
    <n v="31770"/>
    <x v="4"/>
    <n v="2506"/>
    <x v="2"/>
    <n v="2"/>
    <n v="483.08"/>
    <d v="2025-06-01T00:00:00"/>
    <d v="2025-06-03T00:00:00"/>
    <x v="0"/>
    <s v="OK"/>
    <s v="OK"/>
    <x v="1"/>
    <n v="2"/>
    <n v="0"/>
    <n v="241.54"/>
  </r>
  <r>
    <n v="53101"/>
    <n v="31770"/>
    <x v="4"/>
    <n v="2506"/>
    <x v="11"/>
    <n v="1"/>
    <n v="224.37"/>
    <d v="2025-06-02T00:00:00"/>
    <d v="2025-06-07T00:00:00"/>
    <x v="0"/>
    <s v="OK"/>
    <s v="OK"/>
    <x v="2"/>
    <n v="5"/>
    <n v="0"/>
    <n v="224.37"/>
  </r>
  <r>
    <n v="53102"/>
    <n v="31771"/>
    <x v="204"/>
    <n v="2108"/>
    <x v="5"/>
    <n v="1"/>
    <n v="101.44"/>
    <d v="2025-11-26T00:00:00"/>
    <d v="2025-12-06T00:00:00"/>
    <x v="0"/>
    <s v="OK"/>
    <s v="OK"/>
    <x v="1"/>
    <n v="10"/>
    <n v="1"/>
    <n v="101.44"/>
  </r>
  <r>
    <n v="53103"/>
    <n v="31772"/>
    <x v="151"/>
    <n v="2420"/>
    <x v="9"/>
    <n v="1"/>
    <n v="40.28"/>
    <d v="2025-07-03T00:00:00"/>
    <d v="2025-07-12T00:00:00"/>
    <x v="0"/>
    <s v="OK"/>
    <s v="OK"/>
    <x v="0"/>
    <n v="9"/>
    <n v="1"/>
    <n v="40.28"/>
  </r>
  <r>
    <n v="53104"/>
    <n v="31773"/>
    <x v="14"/>
    <n v="2213"/>
    <x v="14"/>
    <n v="2"/>
    <n v="239.48"/>
    <d v="2025-12-27T00:00:00"/>
    <d v="2025-12-31T00:00:00"/>
    <x v="0"/>
    <s v="OK"/>
    <s v="OK"/>
    <x v="3"/>
    <n v="4"/>
    <n v="1"/>
    <n v="119.74"/>
  </r>
  <r>
    <n v="53105"/>
    <n v="31774"/>
    <x v="238"/>
    <n v="2028"/>
    <x v="14"/>
    <n v="1"/>
    <n v="119.74"/>
    <d v="2025-04-25T00:00:00"/>
    <d v="2025-04-28T00:00:00"/>
    <x v="0"/>
    <s v="OK"/>
    <s v="OK"/>
    <x v="3"/>
    <n v="3"/>
    <n v="1"/>
    <n v="119.74"/>
  </r>
  <r>
    <n v="53106"/>
    <n v="31775"/>
    <x v="176"/>
    <n v="2391"/>
    <x v="15"/>
    <n v="2"/>
    <n v="340.5"/>
    <d v="2025-03-19T00:00:00"/>
    <d v="2025-03-25T00:00:00"/>
    <x v="0"/>
    <s v="OK"/>
    <s v="OK"/>
    <x v="1"/>
    <n v="6"/>
    <n v="1"/>
    <n v="170.25"/>
  </r>
  <r>
    <n v="53107"/>
    <n v="31776"/>
    <x v="223"/>
    <n v="2200"/>
    <x v="8"/>
    <n v="1"/>
    <n v="203.04"/>
    <d v="2025-03-25T00:00:00"/>
    <d v="2025-03-29T00:00:00"/>
    <x v="0"/>
    <s v="OK"/>
    <s v="OK"/>
    <x v="2"/>
    <n v="4"/>
    <n v="1"/>
    <n v="203.04"/>
  </r>
  <r>
    <n v="53108"/>
    <n v="31776"/>
    <x v="223"/>
    <n v="2200"/>
    <x v="9"/>
    <n v="1"/>
    <n v="40.28"/>
    <d v="2025-03-24T00:00:00"/>
    <d v="2025-03-26T00:00:00"/>
    <x v="0"/>
    <s v="OK"/>
    <s v="OK"/>
    <x v="0"/>
    <n v="2"/>
    <n v="0"/>
    <n v="40.28"/>
  </r>
  <r>
    <n v="53109"/>
    <n v="31776"/>
    <x v="223"/>
    <n v="2200"/>
    <x v="4"/>
    <n v="1"/>
    <n v="183.74"/>
    <d v="2025-03-24T00:00:00"/>
    <d v="2025-04-02T00:00:00"/>
    <x v="0"/>
    <s v="OK"/>
    <s v="OK"/>
    <x v="2"/>
    <n v="9"/>
    <n v="0"/>
    <n v="183.74"/>
  </r>
  <r>
    <n v="53110"/>
    <n v="31777"/>
    <x v="290"/>
    <n v="2140"/>
    <x v="14"/>
    <n v="1"/>
    <n v="119.74"/>
    <d v="2025-04-26T00:00:00"/>
    <d v="2025-06-05T00:00:00"/>
    <x v="0"/>
    <s v="OK"/>
    <s v="OK"/>
    <x v="3"/>
    <n v="40"/>
    <n v="1"/>
    <n v="119.74"/>
  </r>
  <r>
    <n v="53111"/>
    <n v="31778"/>
    <x v="238"/>
    <n v="2497"/>
    <x v="11"/>
    <n v="1"/>
    <n v="224.37"/>
    <d v="2025-04-26T00:00:00"/>
    <d v="2025-04-27T00:00:00"/>
    <x v="0"/>
    <s v="OK"/>
    <s v="OK"/>
    <x v="2"/>
    <n v="1"/>
    <n v="1"/>
    <n v="224.37"/>
  </r>
  <r>
    <n v="53112"/>
    <n v="31779"/>
    <x v="268"/>
    <n v="2562"/>
    <x v="14"/>
    <n v="1"/>
    <n v="119.74"/>
    <d v="2025-09-03T00:00:00"/>
    <d v="2025-11-09T00:00:00"/>
    <x v="0"/>
    <s v="OK"/>
    <s v="OK"/>
    <x v="3"/>
    <n v="67"/>
    <n v="1"/>
    <n v="119.74"/>
  </r>
  <r>
    <n v="53113"/>
    <n v="31780"/>
    <x v="177"/>
    <n v="2144"/>
    <x v="9"/>
    <n v="1"/>
    <n v="40.28"/>
    <d v="2025-06-03T00:00:00"/>
    <d v="2025-06-11T00:00:00"/>
    <x v="0"/>
    <s v="OK"/>
    <s v="OK"/>
    <x v="0"/>
    <n v="8"/>
    <n v="1"/>
    <n v="40.28"/>
  </r>
  <r>
    <n v="53114"/>
    <n v="31780"/>
    <x v="82"/>
    <n v="2144"/>
    <x v="7"/>
    <n v="5"/>
    <n v="1269.3"/>
    <d v="2025-05-06T00:00:00"/>
    <d v="2025-06-14T00:00:00"/>
    <x v="0"/>
    <s v="OK"/>
    <s v="OK"/>
    <x v="0"/>
    <n v="39"/>
    <n v="0"/>
    <n v="253.85999999999999"/>
  </r>
  <r>
    <n v="53115"/>
    <n v="31781"/>
    <x v="10"/>
    <n v="2175"/>
    <x v="4"/>
    <n v="1"/>
    <n v="183.74"/>
    <d v="2025-10-21T00:00:00"/>
    <s v=""/>
    <x v="3"/>
    <s v="Missing date"/>
    <s v="OK"/>
    <x v="2"/>
    <s v=""/>
    <n v="1"/>
    <n v="183.74"/>
  </r>
  <r>
    <n v="53116"/>
    <n v="31782"/>
    <x v="253"/>
    <n v="2128"/>
    <x v="15"/>
    <n v="4"/>
    <n v="681"/>
    <d v="2025-08-06T00:00:00"/>
    <d v="2025-08-15T00:00:00"/>
    <x v="0"/>
    <s v="OK"/>
    <s v="OK"/>
    <x v="1"/>
    <n v="9"/>
    <n v="1"/>
    <n v="170.25"/>
  </r>
  <r>
    <n v="53117"/>
    <n v="31782"/>
    <x v="99"/>
    <n v="2128"/>
    <x v="7"/>
    <n v="1"/>
    <n v="253.86"/>
    <d v="2025-08-04T00:00:00"/>
    <d v="2025-08-12T00:00:00"/>
    <x v="0"/>
    <s v="OK"/>
    <s v="OK"/>
    <x v="0"/>
    <n v="8"/>
    <n v="0"/>
    <n v="253.86"/>
  </r>
  <r>
    <n v="53118"/>
    <n v="31782"/>
    <x v="99"/>
    <n v="2128"/>
    <x v="11"/>
    <n v="3"/>
    <n v="673.11"/>
    <d v="2025-08-06T00:00:00"/>
    <d v="2025-08-13T00:00:00"/>
    <x v="0"/>
    <s v="OK"/>
    <s v="OK"/>
    <x v="2"/>
    <n v="7"/>
    <n v="0"/>
    <n v="224.37"/>
  </r>
  <r>
    <n v="53119"/>
    <n v="31783"/>
    <x v="325"/>
    <n v="2012"/>
    <x v="6"/>
    <n v="2"/>
    <n v="63.46"/>
    <d v="2025-12-17T00:00:00"/>
    <d v="2025-12-24T00:00:00"/>
    <x v="0"/>
    <s v="OK"/>
    <s v="OK"/>
    <x v="2"/>
    <n v="7"/>
    <n v="1"/>
    <n v="31.73"/>
  </r>
  <r>
    <n v="53120"/>
    <n v="31784"/>
    <x v="140"/>
    <n v="2452"/>
    <x v="0"/>
    <n v="3"/>
    <n v="599.42999999999995"/>
    <d v="2025-04-20T00:00:00"/>
    <d v="2025-04-30T00:00:00"/>
    <x v="0"/>
    <s v="OK"/>
    <s v="OK"/>
    <x v="0"/>
    <n v="10"/>
    <n v="1"/>
    <n v="199.80999999999997"/>
  </r>
  <r>
    <n v="53121"/>
    <n v="31785"/>
    <x v="133"/>
    <n v="2036"/>
    <x v="0"/>
    <n v="1"/>
    <n v="199.81"/>
    <s v=""/>
    <s v=""/>
    <x v="2"/>
    <s v="Missing date"/>
    <s v="Missing date"/>
    <x v="0"/>
    <s v=""/>
    <n v="1"/>
    <n v="199.81"/>
  </r>
  <r>
    <n v="53122"/>
    <n v="31786"/>
    <x v="23"/>
    <n v="2453"/>
    <x v="4"/>
    <n v="3"/>
    <n v="551.22"/>
    <d v="2025-11-11T00:00:00"/>
    <d v="2025-11-18T00:00:00"/>
    <x v="0"/>
    <s v="OK"/>
    <s v="OK"/>
    <x v="2"/>
    <n v="7"/>
    <n v="1"/>
    <n v="183.74"/>
  </r>
  <r>
    <n v="53123"/>
    <n v="31787"/>
    <x v="12"/>
    <n v="2400"/>
    <x v="14"/>
    <n v="1"/>
    <n v="119.74"/>
    <d v="2025-08-30T00:00:00"/>
    <d v="2025-09-05T00:00:00"/>
    <x v="0"/>
    <s v="OK"/>
    <s v="OK"/>
    <x v="3"/>
    <n v="6"/>
    <n v="1"/>
    <n v="119.74"/>
  </r>
  <r>
    <n v="53124"/>
    <n v="31788"/>
    <x v="333"/>
    <n v="2054"/>
    <x v="3"/>
    <n v="4"/>
    <n v="474.4"/>
    <d v="2025-10-18T00:00:00"/>
    <d v="2025-10-24T00:00:00"/>
    <x v="0"/>
    <s v="OK"/>
    <s v="OK"/>
    <x v="2"/>
    <n v="6"/>
    <n v="1"/>
    <n v="118.6"/>
  </r>
  <r>
    <n v="53125"/>
    <n v="31789"/>
    <x v="246"/>
    <n v="2387"/>
    <x v="1"/>
    <n v="3"/>
    <n v="618.27"/>
    <s v=""/>
    <s v=""/>
    <x v="3"/>
    <s v="Missing date"/>
    <s v="Missing date"/>
    <x v="0"/>
    <s v=""/>
    <n v="1"/>
    <n v="206.09"/>
  </r>
  <r>
    <n v="53126"/>
    <n v="31790"/>
    <x v="46"/>
    <n v="2245"/>
    <x v="8"/>
    <n v="2"/>
    <n v="406.08"/>
    <d v="2025-01-05T00:00:00"/>
    <d v="2025-01-13T00:00:00"/>
    <x v="0"/>
    <s v="OK"/>
    <s v="OK"/>
    <x v="2"/>
    <n v="8"/>
    <n v="1"/>
    <n v="203.04"/>
  </r>
  <r>
    <n v="53127"/>
    <n v="31790"/>
    <x v="46"/>
    <n v="2245"/>
    <x v="10"/>
    <n v="1"/>
    <n v="215.34"/>
    <d v="2025-01-05T00:00:00"/>
    <d v="2025-01-13T00:00:00"/>
    <x v="0"/>
    <s v="OK"/>
    <s v="OK"/>
    <x v="3"/>
    <n v="8"/>
    <n v="0"/>
    <n v="215.34"/>
  </r>
  <r>
    <n v="53128"/>
    <n v="31791"/>
    <x v="4"/>
    <n v="2029"/>
    <x v="5"/>
    <n v="2"/>
    <n v="202.88"/>
    <d v="2025-06-02T00:00:00"/>
    <d v="2025-06-09T00:00:00"/>
    <x v="1"/>
    <s v="OK"/>
    <s v="OK"/>
    <x v="1"/>
    <n v="7"/>
    <n v="1"/>
    <n v="101.44"/>
  </r>
  <r>
    <n v="53129"/>
    <n v="31792"/>
    <x v="323"/>
    <n v="2197"/>
    <x v="11"/>
    <n v="1"/>
    <n v="224.37"/>
    <d v="2025-04-26T00:00:00"/>
    <d v="2025-05-05T00:00:00"/>
    <x v="0"/>
    <s v="OK"/>
    <s v="OK"/>
    <x v="2"/>
    <n v="9"/>
    <n v="1"/>
    <n v="224.37"/>
  </r>
  <r>
    <n v="53130"/>
    <n v="31793"/>
    <x v="294"/>
    <n v="2226"/>
    <x v="4"/>
    <n v="2"/>
    <n v="367.48"/>
    <d v="2025-10-11T00:00:00"/>
    <d v="2025-10-14T00:00:00"/>
    <x v="1"/>
    <s v="OK"/>
    <s v="OK"/>
    <x v="2"/>
    <n v="3"/>
    <n v="1"/>
    <n v="183.74"/>
  </r>
  <r>
    <n v="53131"/>
    <n v="31794"/>
    <x v="127"/>
    <n v="2172"/>
    <x v="3"/>
    <n v="4"/>
    <n v="474.4"/>
    <d v="2025-02-12T00:00:00"/>
    <d v="2025-02-13T00:00:00"/>
    <x v="0"/>
    <s v="OK"/>
    <s v="OK"/>
    <x v="2"/>
    <n v="1"/>
    <n v="1"/>
    <n v="118.6"/>
  </r>
  <r>
    <n v="53132"/>
    <n v="31794"/>
    <x v="127"/>
    <n v="2172"/>
    <x v="10"/>
    <n v="1"/>
    <n v="215.34"/>
    <d v="2025-02-11T00:00:00"/>
    <d v="2025-02-21T00:00:00"/>
    <x v="0"/>
    <s v="OK"/>
    <s v="OK"/>
    <x v="3"/>
    <n v="10"/>
    <n v="0"/>
    <n v="215.34"/>
  </r>
  <r>
    <n v="53133"/>
    <n v="31795"/>
    <x v="317"/>
    <n v="2525"/>
    <x v="5"/>
    <n v="4"/>
    <n v="405.76"/>
    <d v="2025-07-04T00:00:00"/>
    <d v="2025-07-07T00:00:00"/>
    <x v="0"/>
    <s v="OK"/>
    <s v="OK"/>
    <x v="1"/>
    <n v="3"/>
    <n v="1"/>
    <n v="101.44"/>
  </r>
  <r>
    <n v="53134"/>
    <n v="31796"/>
    <x v="232"/>
    <n v="2331"/>
    <x v="0"/>
    <n v="1"/>
    <n v="199.81"/>
    <d v="2025-11-23T00:00:00"/>
    <d v="2025-12-03T00:00:00"/>
    <x v="0"/>
    <s v="OK"/>
    <s v="OK"/>
    <x v="0"/>
    <n v="10"/>
    <n v="1"/>
    <n v="199.81"/>
  </r>
  <r>
    <n v="53135"/>
    <n v="31796"/>
    <x v="232"/>
    <n v="2331"/>
    <x v="0"/>
    <n v="2"/>
    <n v="399.62"/>
    <d v="2025-11-24T00:00:00"/>
    <d v="2025-12-01T00:00:00"/>
    <x v="0"/>
    <s v="OK"/>
    <s v="OK"/>
    <x v="0"/>
    <n v="7"/>
    <n v="0"/>
    <n v="199.81"/>
  </r>
  <r>
    <n v="53136"/>
    <n v="31797"/>
    <x v="2"/>
    <n v="2555"/>
    <x v="10"/>
    <n v="1"/>
    <n v="215.34"/>
    <d v="2025-05-13T00:00:00"/>
    <d v="2025-05-14T00:00:00"/>
    <x v="0"/>
    <s v="OK"/>
    <s v="OK"/>
    <x v="3"/>
    <n v="1"/>
    <n v="1"/>
    <n v="215.34"/>
  </r>
  <r>
    <n v="53137"/>
    <n v="31797"/>
    <x v="2"/>
    <n v="2555"/>
    <x v="4"/>
    <n v="1"/>
    <n v="183.74"/>
    <d v="2025-05-12T00:00:00"/>
    <d v="2025-05-19T00:00:00"/>
    <x v="0"/>
    <s v="OK"/>
    <s v="OK"/>
    <x v="2"/>
    <n v="7"/>
    <n v="0"/>
    <n v="183.74"/>
  </r>
  <r>
    <n v="53138"/>
    <n v="31798"/>
    <x v="227"/>
    <n v="2238"/>
    <x v="2"/>
    <n v="1"/>
    <n v="241.54"/>
    <d v="2025-07-11T00:00:00"/>
    <d v="2025-07-20T00:00:00"/>
    <x v="0"/>
    <s v="OK"/>
    <s v="OK"/>
    <x v="1"/>
    <n v="9"/>
    <n v="1"/>
    <n v="241.54"/>
  </r>
  <r>
    <n v="53139"/>
    <n v="31799"/>
    <x v="33"/>
    <n v="2332"/>
    <x v="15"/>
    <n v="1"/>
    <n v="170.25"/>
    <d v="2025-10-25T00:00:00"/>
    <d v="2025-10-29T00:00:00"/>
    <x v="0"/>
    <s v="OK"/>
    <s v="OK"/>
    <x v="1"/>
    <n v="4"/>
    <n v="1"/>
    <n v="170.25"/>
  </r>
  <r>
    <n v="53140"/>
    <n v="31800"/>
    <x v="124"/>
    <n v="2324"/>
    <x v="0"/>
    <n v="1"/>
    <n v="199.81"/>
    <d v="2025-03-27T00:00:00"/>
    <d v="2025-03-30T00:00:00"/>
    <x v="0"/>
    <s v="OK"/>
    <s v="OK"/>
    <x v="0"/>
    <n v="3"/>
    <n v="1"/>
    <n v="199.81"/>
  </r>
  <r>
    <n v="53141"/>
    <n v="31800"/>
    <x v="124"/>
    <n v="2324"/>
    <x v="14"/>
    <n v="3"/>
    <n v="359.22"/>
    <d v="2025-03-27T00:00:00"/>
    <d v="2025-03-28T00:00:00"/>
    <x v="0"/>
    <s v="OK"/>
    <s v="OK"/>
    <x v="3"/>
    <n v="1"/>
    <n v="0"/>
    <n v="119.74000000000001"/>
  </r>
  <r>
    <n v="51549"/>
    <n v="30901"/>
    <x v="11"/>
    <n v="2223"/>
    <x v="13"/>
    <n v="2"/>
    <n v="243"/>
    <d v="2025-07-29T00:00:00"/>
    <d v="2025-07-30T00:00:00"/>
    <x v="0"/>
    <s v="OK"/>
    <s v="OK"/>
    <x v="1"/>
    <n v="1"/>
    <n v="0"/>
    <n v="121.5"/>
  </r>
  <r>
    <n v="50764"/>
    <n v="30431"/>
    <x v="125"/>
    <n v="2269"/>
    <x v="15"/>
    <n v="1"/>
    <n v="170.25"/>
    <d v="2025-11-12T00:00:00"/>
    <d v="2025-11-14T00:00:00"/>
    <x v="0"/>
    <s v="OK"/>
    <s v="OK"/>
    <x v="1"/>
    <n v="2"/>
    <n v="0"/>
    <n v="170.25"/>
  </r>
  <r>
    <n v="50921"/>
    <n v="30521"/>
    <x v="56"/>
    <n v="2449"/>
    <x v="10"/>
    <n v="4"/>
    <n v="861.36"/>
    <d v="2025-12-15T00:00:00"/>
    <d v="2025-12-25T00:00:00"/>
    <x v="0"/>
    <s v="OK"/>
    <s v="OK"/>
    <x v="3"/>
    <n v="10"/>
    <n v="0"/>
    <n v="215.34"/>
  </r>
  <r>
    <n v="52791"/>
    <n v="31600"/>
    <x v="306"/>
    <n v="2311"/>
    <x v="8"/>
    <n v="1"/>
    <n v="203.04"/>
    <d v="2025-06-26T00:00:00"/>
    <d v="2025-06-29T00:00:00"/>
    <x v="0"/>
    <s v="OK"/>
    <s v="OK"/>
    <x v="2"/>
    <n v="3"/>
    <n v="0"/>
    <n v="203.04"/>
  </r>
  <r>
    <n v="50211"/>
    <n v="30121"/>
    <x v="104"/>
    <n v="2476"/>
    <x v="12"/>
    <n v="1"/>
    <n v="65.260000000000005"/>
    <d v="2025-04-06T00:00:00"/>
    <d v="2025-04-11T00:00:00"/>
    <x v="1"/>
    <s v="OK"/>
    <s v="OK"/>
    <x v="3"/>
    <n v="5"/>
    <n v="0"/>
    <n v="65.260000000000005"/>
  </r>
  <r>
    <n v="52056"/>
    <n v="31193"/>
    <x v="279"/>
    <n v="2109"/>
    <x v="9"/>
    <n v="1"/>
    <n v="40.28"/>
    <s v=""/>
    <s v=""/>
    <x v="2"/>
    <s v="Missing date"/>
    <s v="Missing date"/>
    <x v="0"/>
    <s v=""/>
    <n v="0"/>
    <n v="40.28"/>
  </r>
  <r>
    <n v="51431"/>
    <n v="30829"/>
    <x v="329"/>
    <n v="2078"/>
    <x v="5"/>
    <n v="1"/>
    <n v="101.44"/>
    <d v="2025-03-02T00:00:00"/>
    <d v="2025-12-02T00:00:00"/>
    <x v="0"/>
    <s v="OK"/>
    <s v="OK"/>
    <x v="1"/>
    <n v="275"/>
    <n v="0"/>
    <n v="101.44"/>
  </r>
  <r>
    <n v="51322"/>
    <n v="30766"/>
    <x v="198"/>
    <n v="2106"/>
    <x v="9"/>
    <n v="1"/>
    <n v="40.28"/>
    <d v="2025-11-15T00:00:00"/>
    <d v="2025-11-17T00:00:00"/>
    <x v="0"/>
    <s v="OK"/>
    <s v="OK"/>
    <x v="0"/>
    <n v="2"/>
    <n v="0"/>
    <n v="40.28"/>
  </r>
  <r>
    <n v="50119"/>
    <n v="30070"/>
    <x v="64"/>
    <n v="2058"/>
    <x v="11"/>
    <n v="2"/>
    <n v="448.74"/>
    <d v="2025-05-31T00:00:00"/>
    <d v="2025-06-10T00:00:00"/>
    <x v="0"/>
    <s v="OK"/>
    <s v="OK"/>
    <x v="2"/>
    <n v="10"/>
    <n v="0"/>
    <n v="224.37"/>
  </r>
  <r>
    <n v="50266"/>
    <n v="30150"/>
    <x v="80"/>
    <n v="2143"/>
    <x v="12"/>
    <n v="1"/>
    <n v="65.260000000000005"/>
    <d v="2025-09-14T00:00:00"/>
    <d v="2025-09-18T00:00:00"/>
    <x v="0"/>
    <s v="OK"/>
    <s v="OK"/>
    <x v="3"/>
    <n v="4"/>
    <n v="0"/>
    <n v="65.260000000000005"/>
  </r>
  <r>
    <n v="51873"/>
    <n v="31084"/>
    <x v="71"/>
    <n v="2222"/>
    <x v="7"/>
    <n v="1"/>
    <n v="253.86"/>
    <d v="2025-08-13T00:00:00"/>
    <d v="2025-08-15T00:00:00"/>
    <x v="0"/>
    <s v="OK"/>
    <s v="OK"/>
    <x v="0"/>
    <n v="2"/>
    <n v="0"/>
    <n v="253.86"/>
  </r>
  <r>
    <n v="52159"/>
    <n v="31252"/>
    <x v="137"/>
    <n v="2352"/>
    <x v="13"/>
    <n v="2"/>
    <n v="243"/>
    <d v="2025-01-11T00:00:00"/>
    <d v="2025-01-17T00:00:00"/>
    <x v="0"/>
    <s v="OK"/>
    <s v="OK"/>
    <x v="1"/>
    <n v="6"/>
    <n v="0"/>
    <n v="121.5"/>
  </r>
  <r>
    <n v="50006"/>
    <n v="30004"/>
    <x v="3"/>
    <n v="2558"/>
    <x v="2"/>
    <n v="2"/>
    <n v="496.08"/>
    <s v=""/>
    <s v=""/>
    <x v="2"/>
    <s v="Missing date"/>
    <s v="Missing date"/>
    <x v="1"/>
    <s v=""/>
    <n v="0"/>
    <n v="248.04"/>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41F34AE4-D62E-4EC2-BEA6-E26C18F9F66C}" name="PivotTable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3:B8" firstHeaderRow="1" firstDataRow="1" firstDataCol="1"/>
  <pivotFields count="18">
    <pivotField showAll="0"/>
    <pivotField showAll="0"/>
    <pivotField numFmtId="164" showAll="0">
      <items count="362">
        <item x="320"/>
        <item x="39"/>
        <item x="46"/>
        <item x="95"/>
        <item x="348"/>
        <item x="100"/>
        <item x="199"/>
        <item x="258"/>
        <item x="137"/>
        <item x="255"/>
        <item x="264"/>
        <item x="146"/>
        <item x="166"/>
        <item x="122"/>
        <item x="312"/>
        <item x="169"/>
        <item x="349"/>
        <item x="249"/>
        <item x="299"/>
        <item x="52"/>
        <item x="175"/>
        <item x="179"/>
        <item x="304"/>
        <item x="186"/>
        <item x="251"/>
        <item x="216"/>
        <item x="305"/>
        <item x="22"/>
        <item x="45"/>
        <item x="182"/>
        <item x="329"/>
        <item x="135"/>
        <item x="0"/>
        <item x="86"/>
        <item x="275"/>
        <item x="82"/>
        <item x="173"/>
        <item x="18"/>
        <item x="268"/>
        <item x="127"/>
        <item x="106"/>
        <item x="62"/>
        <item x="85"/>
        <item x="178"/>
        <item x="289"/>
        <item x="185"/>
        <item x="66"/>
        <item x="226"/>
        <item x="188"/>
        <item x="126"/>
        <item x="241"/>
        <item x="298"/>
        <item x="70"/>
        <item x="279"/>
        <item x="19"/>
        <item x="3"/>
        <item x="352"/>
        <item x="332"/>
        <item x="129"/>
        <item x="242"/>
        <item x="284"/>
        <item x="27"/>
        <item x="159"/>
        <item x="246"/>
        <item x="328"/>
        <item x="99"/>
        <item x="120"/>
        <item x="139"/>
        <item x="5"/>
        <item x="149"/>
        <item x="256"/>
        <item x="356"/>
        <item x="167"/>
        <item x="259"/>
        <item x="176"/>
        <item x="168"/>
        <item x="308"/>
        <item x="189"/>
        <item x="88"/>
        <item x="223"/>
        <item x="203"/>
        <item x="165"/>
        <item x="295"/>
        <item x="124"/>
        <item x="15"/>
        <item x="265"/>
        <item x="184"/>
        <item x="240"/>
        <item x="91"/>
        <item x="355"/>
        <item x="24"/>
        <item x="213"/>
        <item x="315"/>
        <item x="104"/>
        <item x="293"/>
        <item x="54"/>
        <item x="65"/>
        <item x="181"/>
        <item x="205"/>
        <item x="48"/>
        <item x="50"/>
        <item x="31"/>
        <item x="30"/>
        <item x="260"/>
        <item x="76"/>
        <item x="158"/>
        <item x="140"/>
        <item x="309"/>
        <item x="83"/>
        <item x="117"/>
        <item x="141"/>
        <item x="323"/>
        <item x="238"/>
        <item x="290"/>
        <item x="89"/>
        <item x="121"/>
        <item x="32"/>
        <item x="108"/>
        <item x="98"/>
        <item x="261"/>
        <item x="252"/>
        <item x="160"/>
        <item x="207"/>
        <item x="153"/>
        <item x="190"/>
        <item x="94"/>
        <item x="114"/>
        <item x="235"/>
        <item x="2"/>
        <item x="67"/>
        <item x="133"/>
        <item x="21"/>
        <item x="61"/>
        <item x="193"/>
        <item x="92"/>
        <item x="297"/>
        <item x="272"/>
        <item x="130"/>
        <item x="319"/>
        <item x="9"/>
        <item x="267"/>
        <item x="208"/>
        <item x="282"/>
        <item x="218"/>
        <item x="359"/>
        <item x="291"/>
        <item x="64"/>
        <item x="4"/>
        <item x="250"/>
        <item x="191"/>
        <item x="177"/>
        <item x="200"/>
        <item x="353"/>
        <item x="266"/>
        <item x="231"/>
        <item x="180"/>
        <item x="16"/>
        <item x="196"/>
        <item x="163"/>
        <item x="74"/>
        <item x="136"/>
        <item x="318"/>
        <item x="277"/>
        <item x="280"/>
        <item x="202"/>
        <item x="128"/>
        <item x="84"/>
        <item x="171"/>
        <item x="28"/>
        <item x="201"/>
        <item x="138"/>
        <item x="286"/>
        <item x="306"/>
        <item x="145"/>
        <item x="351"/>
        <item x="172"/>
        <item x="330"/>
        <item x="29"/>
        <item x="116"/>
        <item x="151"/>
        <item x="360"/>
        <item x="317"/>
        <item x="55"/>
        <item x="93"/>
        <item x="314"/>
        <item x="90"/>
        <item x="53"/>
        <item x="214"/>
        <item x="227"/>
        <item x="57"/>
        <item x="245"/>
        <item x="119"/>
        <item x="147"/>
        <item x="324"/>
        <item x="103"/>
        <item x="221"/>
        <item x="75"/>
        <item x="228"/>
        <item x="263"/>
        <item x="150"/>
        <item x="244"/>
        <item x="229"/>
        <item x="13"/>
        <item x="212"/>
        <item x="6"/>
        <item x="11"/>
        <item x="164"/>
        <item x="350"/>
        <item x="230"/>
        <item x="326"/>
        <item x="233"/>
        <item x="157"/>
        <item x="253"/>
        <item x="335"/>
        <item x="234"/>
        <item x="345"/>
        <item x="303"/>
        <item x="247"/>
        <item x="347"/>
        <item x="20"/>
        <item x="113"/>
        <item x="71"/>
        <item x="237"/>
        <item x="143"/>
        <item x="310"/>
        <item x="288"/>
        <item x="354"/>
        <item x="331"/>
        <item x="1"/>
        <item x="34"/>
        <item x="101"/>
        <item x="60"/>
        <item x="215"/>
        <item x="174"/>
        <item x="25"/>
        <item x="12"/>
        <item x="77"/>
        <item x="68"/>
        <item x="26"/>
        <item x="339"/>
        <item x="187"/>
        <item x="211"/>
        <item x="270"/>
        <item x="183"/>
        <item x="112"/>
        <item x="300"/>
        <item x="302"/>
        <item x="346"/>
        <item x="281"/>
        <item x="38"/>
        <item x="313"/>
        <item x="80"/>
        <item x="7"/>
        <item x="105"/>
        <item x="327"/>
        <item x="131"/>
        <item x="96"/>
        <item x="110"/>
        <item x="72"/>
        <item x="41"/>
        <item x="73"/>
        <item x="152"/>
        <item x="262"/>
        <item x="69"/>
        <item x="334"/>
        <item x="81"/>
        <item x="44"/>
        <item x="283"/>
        <item x="102"/>
        <item x="49"/>
        <item x="254"/>
        <item x="118"/>
        <item x="257"/>
        <item x="311"/>
        <item x="307"/>
        <item x="156"/>
        <item x="269"/>
        <item x="155"/>
        <item x="37"/>
        <item x="294"/>
        <item x="42"/>
        <item x="58"/>
        <item x="206"/>
        <item x="47"/>
        <item x="219"/>
        <item x="333"/>
        <item x="316"/>
        <item x="10"/>
        <item x="271"/>
        <item x="296"/>
        <item x="336"/>
        <item x="115"/>
        <item x="33"/>
        <item x="301"/>
        <item x="17"/>
        <item x="148"/>
        <item x="278"/>
        <item x="170"/>
        <item x="154"/>
        <item x="195"/>
        <item x="40"/>
        <item x="338"/>
        <item x="79"/>
        <item x="87"/>
        <item x="8"/>
        <item x="337"/>
        <item x="220"/>
        <item x="123"/>
        <item x="292"/>
        <item x="23"/>
        <item x="134"/>
        <item x="125"/>
        <item x="236"/>
        <item x="209"/>
        <item x="198"/>
        <item x="192"/>
        <item x="340"/>
        <item x="344"/>
        <item x="274"/>
        <item x="161"/>
        <item x="343"/>
        <item x="132"/>
        <item x="232"/>
        <item x="204"/>
        <item x="142"/>
        <item x="285"/>
        <item x="342"/>
        <item x="111"/>
        <item x="194"/>
        <item x="222"/>
        <item x="357"/>
        <item x="63"/>
        <item x="217"/>
        <item x="51"/>
        <item x="43"/>
        <item x="197"/>
        <item x="273"/>
        <item x="35"/>
        <item x="210"/>
        <item x="144"/>
        <item x="224"/>
        <item x="239"/>
        <item x="56"/>
        <item x="325"/>
        <item x="341"/>
        <item x="225"/>
        <item x="107"/>
        <item x="78"/>
        <item x="59"/>
        <item x="36"/>
        <item x="248"/>
        <item x="321"/>
        <item x="109"/>
        <item x="287"/>
        <item x="14"/>
        <item x="358"/>
        <item x="243"/>
        <item x="97"/>
        <item x="162"/>
        <item x="276"/>
        <item x="322"/>
        <item t="default"/>
      </items>
    </pivotField>
    <pivotField showAll="0"/>
    <pivotField showAll="0"/>
    <pivotField showAll="0"/>
    <pivotField dataField="1" showAll="0"/>
    <pivotField showAll="0"/>
    <pivotField showAll="0"/>
    <pivotField axis="axisRow" showAll="0">
      <items count="5">
        <item x="2"/>
        <item x="0"/>
        <item x="3"/>
        <item x="1"/>
        <item t="default"/>
      </items>
    </pivotField>
    <pivotField showAll="0"/>
    <pivotField showAll="0"/>
    <pivotField showAll="0">
      <items count="6">
        <item x="2"/>
        <item x="0"/>
        <item x="4"/>
        <item x="1"/>
        <item x="3"/>
        <item t="default"/>
      </items>
    </pivotField>
    <pivotField showAll="0"/>
    <pivotField numFmtId="1" showAll="0"/>
    <pivotField showAll="0"/>
    <pivotField showAll="0" defaultSubtotal="0"/>
    <pivotField showAll="0" defaultSubtotal="0">
      <items count="4">
        <item x="0"/>
        <item x="1"/>
        <item x="2"/>
        <item x="3"/>
      </items>
    </pivotField>
  </pivotFields>
  <rowFields count="1">
    <field x="9"/>
  </rowFields>
  <rowItems count="5">
    <i>
      <x/>
    </i>
    <i>
      <x v="1"/>
    </i>
    <i>
      <x v="2"/>
    </i>
    <i>
      <x v="3"/>
    </i>
    <i t="grand">
      <x/>
    </i>
  </rowItems>
  <colItems count="1">
    <i/>
  </colItems>
  <dataFields count="1">
    <dataField name="Sum of LineAmount" fld="6" baseField="9" baseItem="0" numFmtId="4"/>
  </dataField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9B324191-4DAA-4C97-901E-747BF92D9F42}" name="PivotTable1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3:B17" firstHeaderRow="1" firstDataRow="1" firstDataCol="1"/>
  <pivotFields count="18">
    <pivotField showAll="0"/>
    <pivotField showAll="0"/>
    <pivotField axis="axisRow" numFmtId="164" showAll="0">
      <items count="362">
        <item x="320"/>
        <item x="39"/>
        <item x="46"/>
        <item x="95"/>
        <item x="348"/>
        <item x="100"/>
        <item x="199"/>
        <item x="258"/>
        <item x="137"/>
        <item x="255"/>
        <item x="264"/>
        <item x="146"/>
        <item x="166"/>
        <item x="122"/>
        <item x="312"/>
        <item x="169"/>
        <item x="349"/>
        <item x="249"/>
        <item x="299"/>
        <item x="52"/>
        <item x="175"/>
        <item x="179"/>
        <item x="304"/>
        <item x="186"/>
        <item x="251"/>
        <item x="216"/>
        <item x="305"/>
        <item x="22"/>
        <item x="45"/>
        <item x="182"/>
        <item x="329"/>
        <item x="135"/>
        <item x="0"/>
        <item x="86"/>
        <item x="275"/>
        <item x="82"/>
        <item x="173"/>
        <item x="18"/>
        <item x="268"/>
        <item x="127"/>
        <item x="106"/>
        <item x="62"/>
        <item x="85"/>
        <item x="178"/>
        <item x="289"/>
        <item x="185"/>
        <item x="66"/>
        <item x="226"/>
        <item x="188"/>
        <item x="126"/>
        <item x="241"/>
        <item x="298"/>
        <item x="70"/>
        <item x="279"/>
        <item x="19"/>
        <item x="3"/>
        <item x="352"/>
        <item x="332"/>
        <item x="129"/>
        <item x="242"/>
        <item x="284"/>
        <item x="27"/>
        <item x="159"/>
        <item x="246"/>
        <item x="328"/>
        <item x="99"/>
        <item x="120"/>
        <item x="139"/>
        <item x="5"/>
        <item x="149"/>
        <item x="256"/>
        <item x="356"/>
        <item x="167"/>
        <item x="259"/>
        <item x="176"/>
        <item x="168"/>
        <item x="308"/>
        <item x="189"/>
        <item x="88"/>
        <item x="223"/>
        <item x="203"/>
        <item x="165"/>
        <item x="295"/>
        <item x="124"/>
        <item x="15"/>
        <item x="265"/>
        <item x="184"/>
        <item x="240"/>
        <item x="91"/>
        <item x="355"/>
        <item x="24"/>
        <item x="213"/>
        <item x="315"/>
        <item x="104"/>
        <item x="293"/>
        <item x="54"/>
        <item x="65"/>
        <item x="181"/>
        <item x="205"/>
        <item x="48"/>
        <item x="50"/>
        <item x="31"/>
        <item x="30"/>
        <item x="260"/>
        <item x="76"/>
        <item x="158"/>
        <item x="140"/>
        <item x="309"/>
        <item x="83"/>
        <item x="117"/>
        <item x="141"/>
        <item x="323"/>
        <item x="238"/>
        <item x="290"/>
        <item x="89"/>
        <item x="121"/>
        <item x="32"/>
        <item x="108"/>
        <item x="98"/>
        <item x="261"/>
        <item x="252"/>
        <item x="160"/>
        <item x="207"/>
        <item x="153"/>
        <item x="190"/>
        <item x="94"/>
        <item x="114"/>
        <item x="235"/>
        <item x="2"/>
        <item x="67"/>
        <item x="133"/>
        <item x="21"/>
        <item x="61"/>
        <item x="193"/>
        <item x="92"/>
        <item x="297"/>
        <item x="272"/>
        <item x="130"/>
        <item x="319"/>
        <item x="9"/>
        <item x="267"/>
        <item x="208"/>
        <item x="282"/>
        <item x="218"/>
        <item x="359"/>
        <item x="291"/>
        <item x="64"/>
        <item x="4"/>
        <item x="250"/>
        <item x="191"/>
        <item x="177"/>
        <item x="200"/>
        <item x="353"/>
        <item x="266"/>
        <item x="231"/>
        <item x="180"/>
        <item x="16"/>
        <item x="196"/>
        <item x="163"/>
        <item x="74"/>
        <item x="136"/>
        <item x="318"/>
        <item x="277"/>
        <item x="280"/>
        <item x="202"/>
        <item x="128"/>
        <item x="84"/>
        <item x="171"/>
        <item x="28"/>
        <item x="201"/>
        <item x="138"/>
        <item x="286"/>
        <item x="306"/>
        <item x="145"/>
        <item x="351"/>
        <item x="172"/>
        <item x="330"/>
        <item x="29"/>
        <item x="116"/>
        <item x="151"/>
        <item x="360"/>
        <item x="317"/>
        <item x="55"/>
        <item x="93"/>
        <item x="314"/>
        <item x="90"/>
        <item x="53"/>
        <item x="214"/>
        <item x="227"/>
        <item x="57"/>
        <item x="245"/>
        <item x="119"/>
        <item x="147"/>
        <item x="324"/>
        <item x="103"/>
        <item x="221"/>
        <item x="75"/>
        <item x="228"/>
        <item x="263"/>
        <item x="150"/>
        <item x="244"/>
        <item x="229"/>
        <item x="13"/>
        <item x="212"/>
        <item x="6"/>
        <item x="11"/>
        <item x="164"/>
        <item x="350"/>
        <item x="230"/>
        <item x="326"/>
        <item x="233"/>
        <item x="157"/>
        <item x="253"/>
        <item x="335"/>
        <item x="234"/>
        <item x="345"/>
        <item x="303"/>
        <item x="247"/>
        <item x="347"/>
        <item x="20"/>
        <item x="113"/>
        <item x="71"/>
        <item x="237"/>
        <item x="143"/>
        <item x="310"/>
        <item x="288"/>
        <item x="354"/>
        <item x="331"/>
        <item x="1"/>
        <item x="34"/>
        <item x="101"/>
        <item x="60"/>
        <item x="215"/>
        <item x="174"/>
        <item x="25"/>
        <item x="12"/>
        <item x="77"/>
        <item x="68"/>
        <item x="26"/>
        <item x="339"/>
        <item x="187"/>
        <item x="211"/>
        <item x="270"/>
        <item x="183"/>
        <item x="112"/>
        <item x="300"/>
        <item x="302"/>
        <item x="346"/>
        <item x="281"/>
        <item x="38"/>
        <item x="313"/>
        <item x="80"/>
        <item x="7"/>
        <item x="105"/>
        <item x="327"/>
        <item x="131"/>
        <item x="96"/>
        <item x="110"/>
        <item x="72"/>
        <item x="41"/>
        <item x="73"/>
        <item x="152"/>
        <item x="262"/>
        <item x="69"/>
        <item x="334"/>
        <item x="81"/>
        <item x="44"/>
        <item x="283"/>
        <item x="102"/>
        <item x="49"/>
        <item x="254"/>
        <item x="118"/>
        <item x="257"/>
        <item x="311"/>
        <item x="307"/>
        <item x="156"/>
        <item x="269"/>
        <item x="155"/>
        <item x="37"/>
        <item x="294"/>
        <item x="42"/>
        <item x="58"/>
        <item x="206"/>
        <item x="47"/>
        <item x="219"/>
        <item x="333"/>
        <item x="316"/>
        <item x="10"/>
        <item x="271"/>
        <item x="296"/>
        <item x="336"/>
        <item x="115"/>
        <item x="33"/>
        <item x="301"/>
        <item x="17"/>
        <item x="148"/>
        <item x="278"/>
        <item x="170"/>
        <item x="154"/>
        <item x="195"/>
        <item x="40"/>
        <item x="338"/>
        <item x="79"/>
        <item x="87"/>
        <item x="8"/>
        <item x="337"/>
        <item x="220"/>
        <item x="123"/>
        <item x="292"/>
        <item x="23"/>
        <item x="134"/>
        <item x="125"/>
        <item x="236"/>
        <item x="209"/>
        <item x="198"/>
        <item x="192"/>
        <item x="340"/>
        <item x="344"/>
        <item x="274"/>
        <item x="161"/>
        <item x="343"/>
        <item x="132"/>
        <item x="232"/>
        <item x="204"/>
        <item x="142"/>
        <item x="285"/>
        <item x="342"/>
        <item x="111"/>
        <item x="194"/>
        <item x="222"/>
        <item x="357"/>
        <item x="63"/>
        <item x="217"/>
        <item x="51"/>
        <item x="43"/>
        <item x="197"/>
        <item x="273"/>
        <item x="35"/>
        <item x="210"/>
        <item x="144"/>
        <item x="224"/>
        <item x="239"/>
        <item x="56"/>
        <item x="325"/>
        <item x="341"/>
        <item x="225"/>
        <item x="107"/>
        <item x="78"/>
        <item x="59"/>
        <item x="36"/>
        <item x="248"/>
        <item x="321"/>
        <item x="109"/>
        <item x="287"/>
        <item x="14"/>
        <item x="358"/>
        <item x="243"/>
        <item x="97"/>
        <item x="162"/>
        <item x="276"/>
        <item x="322"/>
        <item t="default"/>
      </items>
    </pivotField>
    <pivotField showAll="0"/>
    <pivotField showAll="0"/>
    <pivotField showAll="0"/>
    <pivotField showAll="0"/>
    <pivotField showAll="0"/>
    <pivotField showAll="0"/>
    <pivotField showAll="0">
      <items count="5">
        <item x="2"/>
        <item x="0"/>
        <item x="3"/>
        <item x="1"/>
        <item t="default"/>
      </items>
    </pivotField>
    <pivotField showAll="0"/>
    <pivotField showAll="0"/>
    <pivotField showAll="0">
      <items count="6">
        <item x="2"/>
        <item x="0"/>
        <item x="4"/>
        <item x="1"/>
        <item x="3"/>
        <item t="default"/>
      </items>
    </pivotField>
    <pivotField dataField="1" showAll="0"/>
    <pivotField numFmtId="1" showAll="0"/>
    <pivotField showAll="0"/>
    <pivotField axis="axisRow" showAll="0" defaultSubtotal="0">
      <items count="14">
        <item sd="0" x="0"/>
        <item sd="0" x="1"/>
        <item sd="0" x="2"/>
        <item sd="0" x="3"/>
        <item sd="0" x="4"/>
        <item sd="0" x="5"/>
        <item sd="0" x="6"/>
        <item sd="0" x="7"/>
        <item sd="0" x="8"/>
        <item sd="0" x="9"/>
        <item sd="0" x="10"/>
        <item sd="0" x="11"/>
        <item sd="0" x="12"/>
        <item sd="0" x="13"/>
      </items>
    </pivotField>
    <pivotField axis="axisRow" showAll="0" defaultSubtotal="0">
      <items count="4">
        <item sd="0" x="0"/>
        <item x="1"/>
        <item sd="0" x="2"/>
        <item sd="0" x="3"/>
      </items>
    </pivotField>
  </pivotFields>
  <rowFields count="3">
    <field x="17"/>
    <field x="16"/>
    <field x="2"/>
  </rowFields>
  <rowItems count="14">
    <i>
      <x v="1"/>
    </i>
    <i r="1">
      <x v="1"/>
    </i>
    <i r="1">
      <x v="2"/>
    </i>
    <i r="1">
      <x v="3"/>
    </i>
    <i r="1">
      <x v="4"/>
    </i>
    <i r="1">
      <x v="5"/>
    </i>
    <i r="1">
      <x v="6"/>
    </i>
    <i r="1">
      <x v="7"/>
    </i>
    <i r="1">
      <x v="8"/>
    </i>
    <i r="1">
      <x v="9"/>
    </i>
    <i r="1">
      <x v="10"/>
    </i>
    <i r="1">
      <x v="11"/>
    </i>
    <i r="1">
      <x v="12"/>
    </i>
    <i t="grand">
      <x/>
    </i>
  </rowItems>
  <colItems count="1">
    <i/>
  </colItems>
  <dataFields count="1">
    <dataField name="Average of DeliveryDays" fld="13" subtotal="average" baseField="16" baseItem="1" numFmtId="2"/>
  </dataField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362B547D-6A2C-4CFE-9611-0B6C51A9B2F9}" name="PivotTable10"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location ref="A3:B17" firstHeaderRow="1" firstDataRow="1" firstDataCol="1"/>
  <pivotFields count="18">
    <pivotField showAll="0"/>
    <pivotField showAll="0"/>
    <pivotField axis="axisRow" numFmtId="164" showAll="0">
      <items count="362">
        <item x="320"/>
        <item x="39"/>
        <item x="46"/>
        <item x="95"/>
        <item x="348"/>
        <item x="100"/>
        <item x="199"/>
        <item x="258"/>
        <item x="137"/>
        <item x="255"/>
        <item x="264"/>
        <item x="146"/>
        <item x="166"/>
        <item x="122"/>
        <item x="312"/>
        <item x="169"/>
        <item x="349"/>
        <item x="249"/>
        <item x="299"/>
        <item x="52"/>
        <item x="175"/>
        <item x="179"/>
        <item x="304"/>
        <item x="186"/>
        <item x="251"/>
        <item x="216"/>
        <item x="305"/>
        <item x="22"/>
        <item x="45"/>
        <item x="182"/>
        <item x="329"/>
        <item x="135"/>
        <item x="0"/>
        <item x="86"/>
        <item x="275"/>
        <item x="82"/>
        <item x="173"/>
        <item x="18"/>
        <item x="268"/>
        <item x="127"/>
        <item x="106"/>
        <item x="62"/>
        <item x="85"/>
        <item x="178"/>
        <item x="289"/>
        <item x="185"/>
        <item x="66"/>
        <item x="226"/>
        <item x="188"/>
        <item x="126"/>
        <item x="241"/>
        <item x="298"/>
        <item x="70"/>
        <item x="279"/>
        <item x="19"/>
        <item x="3"/>
        <item x="352"/>
        <item x="332"/>
        <item x="129"/>
        <item x="242"/>
        <item x="284"/>
        <item x="27"/>
        <item x="159"/>
        <item x="246"/>
        <item x="328"/>
        <item x="99"/>
        <item x="120"/>
        <item x="139"/>
        <item x="5"/>
        <item x="149"/>
        <item x="256"/>
        <item x="356"/>
        <item x="167"/>
        <item x="259"/>
        <item x="176"/>
        <item x="168"/>
        <item x="308"/>
        <item x="189"/>
        <item x="88"/>
        <item x="223"/>
        <item x="203"/>
        <item x="165"/>
        <item x="295"/>
        <item x="124"/>
        <item x="15"/>
        <item x="265"/>
        <item x="184"/>
        <item x="240"/>
        <item x="91"/>
        <item x="355"/>
        <item x="24"/>
        <item x="213"/>
        <item x="315"/>
        <item x="104"/>
        <item x="293"/>
        <item x="54"/>
        <item x="65"/>
        <item x="181"/>
        <item x="205"/>
        <item x="48"/>
        <item x="50"/>
        <item x="31"/>
        <item x="30"/>
        <item x="260"/>
        <item x="76"/>
        <item x="158"/>
        <item x="140"/>
        <item x="309"/>
        <item x="83"/>
        <item x="117"/>
        <item x="141"/>
        <item x="323"/>
        <item x="238"/>
        <item x="290"/>
        <item x="89"/>
        <item x="121"/>
        <item x="32"/>
        <item x="108"/>
        <item x="98"/>
        <item x="261"/>
        <item x="252"/>
        <item x="160"/>
        <item x="207"/>
        <item x="153"/>
        <item x="190"/>
        <item x="94"/>
        <item x="114"/>
        <item x="235"/>
        <item x="2"/>
        <item x="67"/>
        <item x="133"/>
        <item x="21"/>
        <item x="61"/>
        <item x="193"/>
        <item x="92"/>
        <item x="297"/>
        <item x="272"/>
        <item x="130"/>
        <item x="319"/>
        <item x="9"/>
        <item x="267"/>
        <item x="208"/>
        <item x="282"/>
        <item x="218"/>
        <item x="359"/>
        <item x="291"/>
        <item x="64"/>
        <item x="4"/>
        <item x="250"/>
        <item x="191"/>
        <item x="177"/>
        <item x="200"/>
        <item x="353"/>
        <item x="266"/>
        <item x="231"/>
        <item x="180"/>
        <item x="16"/>
        <item x="196"/>
        <item x="163"/>
        <item x="74"/>
        <item x="136"/>
        <item x="318"/>
        <item x="277"/>
        <item x="280"/>
        <item x="202"/>
        <item x="128"/>
        <item x="84"/>
        <item x="171"/>
        <item x="28"/>
        <item x="201"/>
        <item x="138"/>
        <item x="286"/>
        <item x="306"/>
        <item x="145"/>
        <item x="351"/>
        <item x="172"/>
        <item x="330"/>
        <item x="29"/>
        <item x="116"/>
        <item x="151"/>
        <item x="360"/>
        <item x="317"/>
        <item x="55"/>
        <item x="93"/>
        <item x="314"/>
        <item x="90"/>
        <item x="53"/>
        <item x="214"/>
        <item x="227"/>
        <item x="57"/>
        <item x="245"/>
        <item x="119"/>
        <item x="147"/>
        <item x="324"/>
        <item x="103"/>
        <item x="221"/>
        <item x="75"/>
        <item x="228"/>
        <item x="263"/>
        <item x="150"/>
        <item x="244"/>
        <item x="229"/>
        <item x="13"/>
        <item x="212"/>
        <item x="6"/>
        <item x="11"/>
        <item x="164"/>
        <item x="350"/>
        <item x="230"/>
        <item x="326"/>
        <item x="233"/>
        <item x="157"/>
        <item x="253"/>
        <item x="335"/>
        <item x="234"/>
        <item x="345"/>
        <item x="303"/>
        <item x="247"/>
        <item x="347"/>
        <item x="20"/>
        <item x="113"/>
        <item x="71"/>
        <item x="237"/>
        <item x="143"/>
        <item x="310"/>
        <item x="288"/>
        <item x="354"/>
        <item x="331"/>
        <item x="1"/>
        <item x="34"/>
        <item x="101"/>
        <item x="60"/>
        <item x="215"/>
        <item x="174"/>
        <item x="25"/>
        <item x="12"/>
        <item x="77"/>
        <item x="68"/>
        <item x="26"/>
        <item x="339"/>
        <item x="187"/>
        <item x="211"/>
        <item x="270"/>
        <item x="183"/>
        <item x="112"/>
        <item x="300"/>
        <item x="302"/>
        <item x="346"/>
        <item x="281"/>
        <item x="38"/>
        <item x="313"/>
        <item x="80"/>
        <item x="7"/>
        <item x="105"/>
        <item x="327"/>
        <item x="131"/>
        <item x="96"/>
        <item x="110"/>
        <item x="72"/>
        <item x="41"/>
        <item x="73"/>
        <item x="152"/>
        <item x="262"/>
        <item x="69"/>
        <item x="334"/>
        <item x="81"/>
        <item x="44"/>
        <item x="283"/>
        <item x="102"/>
        <item x="49"/>
        <item x="254"/>
        <item x="118"/>
        <item x="257"/>
        <item x="311"/>
        <item x="307"/>
        <item x="156"/>
        <item x="269"/>
        <item x="155"/>
        <item x="37"/>
        <item x="294"/>
        <item x="42"/>
        <item x="58"/>
        <item x="206"/>
        <item x="47"/>
        <item x="219"/>
        <item x="333"/>
        <item x="316"/>
        <item x="10"/>
        <item x="271"/>
        <item x="296"/>
        <item x="336"/>
        <item x="115"/>
        <item x="33"/>
        <item x="301"/>
        <item x="17"/>
        <item x="148"/>
        <item x="278"/>
        <item x="170"/>
        <item x="154"/>
        <item x="195"/>
        <item x="40"/>
        <item x="338"/>
        <item x="79"/>
        <item x="87"/>
        <item x="8"/>
        <item x="337"/>
        <item x="220"/>
        <item x="123"/>
        <item x="292"/>
        <item x="23"/>
        <item x="134"/>
        <item x="125"/>
        <item x="236"/>
        <item x="209"/>
        <item x="198"/>
        <item x="192"/>
        <item x="340"/>
        <item x="344"/>
        <item x="274"/>
        <item x="161"/>
        <item x="343"/>
        <item x="132"/>
        <item x="232"/>
        <item x="204"/>
        <item x="142"/>
        <item x="285"/>
        <item x="342"/>
        <item x="111"/>
        <item x="194"/>
        <item x="222"/>
        <item x="357"/>
        <item x="63"/>
        <item x="217"/>
        <item x="51"/>
        <item x="43"/>
        <item x="197"/>
        <item x="273"/>
        <item x="35"/>
        <item x="210"/>
        <item x="144"/>
        <item x="224"/>
        <item x="239"/>
        <item x="56"/>
        <item x="325"/>
        <item x="341"/>
        <item x="225"/>
        <item x="107"/>
        <item x="78"/>
        <item x="59"/>
        <item x="36"/>
        <item x="248"/>
        <item x="321"/>
        <item x="109"/>
        <item x="287"/>
        <item x="14"/>
        <item x="358"/>
        <item x="243"/>
        <item x="97"/>
        <item x="162"/>
        <item x="276"/>
        <item x="322"/>
        <item t="default"/>
      </items>
    </pivotField>
    <pivotField showAll="0"/>
    <pivotField showAll="0"/>
    <pivotField showAll="0"/>
    <pivotField showAll="0"/>
    <pivotField showAll="0"/>
    <pivotField showAll="0"/>
    <pivotField showAll="0">
      <items count="5">
        <item x="2"/>
        <item x="0"/>
        <item x="3"/>
        <item x="1"/>
        <item t="default"/>
      </items>
    </pivotField>
    <pivotField showAll="0"/>
    <pivotField showAll="0"/>
    <pivotField showAll="0">
      <items count="6">
        <item x="2"/>
        <item x="0"/>
        <item x="4"/>
        <item x="1"/>
        <item x="3"/>
        <item t="default"/>
      </items>
    </pivotField>
    <pivotField showAll="0"/>
    <pivotField dataField="1" numFmtId="1" showAll="0"/>
    <pivotField showAll="0"/>
    <pivotField axis="axisRow" showAll="0" defaultSubtotal="0">
      <items count="14">
        <item sd="0" x="0"/>
        <item sd="0" x="1"/>
        <item sd="0" x="2"/>
        <item sd="0" x="3"/>
        <item sd="0" x="4"/>
        <item sd="0" x="5"/>
        <item sd="0" x="6"/>
        <item sd="0" x="7"/>
        <item sd="0" x="8"/>
        <item sd="0" x="9"/>
        <item sd="0" x="10"/>
        <item sd="0" x="11"/>
        <item sd="0" x="12"/>
        <item sd="0" x="13"/>
      </items>
    </pivotField>
    <pivotField axis="axisRow" showAll="0" defaultSubtotal="0">
      <items count="4">
        <item sd="0" x="0"/>
        <item x="1"/>
        <item sd="0" x="2"/>
        <item sd="0" x="3"/>
      </items>
    </pivotField>
  </pivotFields>
  <rowFields count="3">
    <field x="17"/>
    <field x="16"/>
    <field x="2"/>
  </rowFields>
  <rowItems count="14">
    <i>
      <x v="1"/>
    </i>
    <i r="1">
      <x v="1"/>
    </i>
    <i r="1">
      <x v="2"/>
    </i>
    <i r="1">
      <x v="3"/>
    </i>
    <i r="1">
      <x v="4"/>
    </i>
    <i r="1">
      <x v="5"/>
    </i>
    <i r="1">
      <x v="6"/>
    </i>
    <i r="1">
      <x v="7"/>
    </i>
    <i r="1">
      <x v="8"/>
    </i>
    <i r="1">
      <x v="9"/>
    </i>
    <i r="1">
      <x v="10"/>
    </i>
    <i r="1">
      <x v="11"/>
    </i>
    <i r="1">
      <x v="12"/>
    </i>
    <i t="grand">
      <x/>
    </i>
  </rowItems>
  <colItems count="1">
    <i/>
  </colItems>
  <dataFields count="1">
    <dataField name="Sum of FirstOrderFlag" fld="14" baseField="0" baseItem="0" numFmtId="1"/>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41F2BA7D-E868-4224-A864-8F0B70545D0B}"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location ref="A3:B17" firstHeaderRow="1" firstDataRow="1" firstDataCol="1"/>
  <pivotFields count="18">
    <pivotField showAll="0"/>
    <pivotField showAll="0"/>
    <pivotField numFmtId="164" showAll="0">
      <items count="362">
        <item x="320"/>
        <item x="39"/>
        <item x="46"/>
        <item x="95"/>
        <item x="348"/>
        <item x="100"/>
        <item x="199"/>
        <item x="258"/>
        <item x="137"/>
        <item x="255"/>
        <item x="264"/>
        <item x="146"/>
        <item x="166"/>
        <item x="122"/>
        <item x="312"/>
        <item x="169"/>
        <item x="349"/>
        <item x="249"/>
        <item x="299"/>
        <item x="52"/>
        <item x="175"/>
        <item x="179"/>
        <item x="304"/>
        <item x="186"/>
        <item x="251"/>
        <item x="216"/>
        <item x="305"/>
        <item x="22"/>
        <item x="45"/>
        <item x="182"/>
        <item x="329"/>
        <item x="135"/>
        <item x="0"/>
        <item x="86"/>
        <item x="275"/>
        <item x="82"/>
        <item x="173"/>
        <item x="18"/>
        <item x="268"/>
        <item x="127"/>
        <item x="106"/>
        <item x="62"/>
        <item x="85"/>
        <item x="178"/>
        <item x="289"/>
        <item x="185"/>
        <item x="66"/>
        <item x="226"/>
        <item x="188"/>
        <item x="126"/>
        <item x="241"/>
        <item x="298"/>
        <item x="70"/>
        <item x="279"/>
        <item x="19"/>
        <item x="3"/>
        <item x="352"/>
        <item x="332"/>
        <item x="129"/>
        <item x="242"/>
        <item x="284"/>
        <item x="27"/>
        <item x="159"/>
        <item x="246"/>
        <item x="328"/>
        <item x="99"/>
        <item x="120"/>
        <item x="139"/>
        <item x="5"/>
        <item x="149"/>
        <item x="256"/>
        <item x="356"/>
        <item x="167"/>
        <item x="259"/>
        <item x="176"/>
        <item x="168"/>
        <item x="308"/>
        <item x="189"/>
        <item x="88"/>
        <item x="223"/>
        <item x="203"/>
        <item x="165"/>
        <item x="295"/>
        <item x="124"/>
        <item x="15"/>
        <item x="265"/>
        <item x="184"/>
        <item x="240"/>
        <item x="91"/>
        <item x="355"/>
        <item x="24"/>
        <item x="213"/>
        <item x="315"/>
        <item x="104"/>
        <item x="293"/>
        <item x="54"/>
        <item x="65"/>
        <item x="181"/>
        <item x="205"/>
        <item x="48"/>
        <item x="50"/>
        <item x="31"/>
        <item x="30"/>
        <item x="260"/>
        <item x="76"/>
        <item x="158"/>
        <item x="140"/>
        <item x="309"/>
        <item x="83"/>
        <item x="117"/>
        <item x="141"/>
        <item x="323"/>
        <item x="238"/>
        <item x="290"/>
        <item x="89"/>
        <item x="121"/>
        <item x="32"/>
        <item x="108"/>
        <item x="98"/>
        <item x="261"/>
        <item x="252"/>
        <item x="160"/>
        <item x="207"/>
        <item x="153"/>
        <item x="190"/>
        <item x="94"/>
        <item x="114"/>
        <item x="235"/>
        <item x="2"/>
        <item x="67"/>
        <item x="133"/>
        <item x="21"/>
        <item x="61"/>
        <item x="193"/>
        <item x="92"/>
        <item x="297"/>
        <item x="272"/>
        <item x="130"/>
        <item x="319"/>
        <item x="9"/>
        <item x="267"/>
        <item x="208"/>
        <item x="282"/>
        <item x="218"/>
        <item x="359"/>
        <item x="291"/>
        <item x="64"/>
        <item x="4"/>
        <item x="250"/>
        <item x="191"/>
        <item x="177"/>
        <item x="200"/>
        <item x="353"/>
        <item x="266"/>
        <item x="231"/>
        <item x="180"/>
        <item x="16"/>
        <item x="196"/>
        <item x="163"/>
        <item x="74"/>
        <item x="136"/>
        <item x="318"/>
        <item x="277"/>
        <item x="280"/>
        <item x="202"/>
        <item x="128"/>
        <item x="84"/>
        <item x="171"/>
        <item x="28"/>
        <item x="201"/>
        <item x="138"/>
        <item x="286"/>
        <item x="306"/>
        <item x="145"/>
        <item x="351"/>
        <item x="172"/>
        <item x="330"/>
        <item x="29"/>
        <item x="116"/>
        <item x="151"/>
        <item x="360"/>
        <item x="317"/>
        <item x="55"/>
        <item x="93"/>
        <item x="314"/>
        <item x="90"/>
        <item x="53"/>
        <item x="214"/>
        <item x="227"/>
        <item x="57"/>
        <item x="245"/>
        <item x="119"/>
        <item x="147"/>
        <item x="324"/>
        <item x="103"/>
        <item x="221"/>
        <item x="75"/>
        <item x="228"/>
        <item x="263"/>
        <item x="150"/>
        <item x="244"/>
        <item x="229"/>
        <item x="13"/>
        <item x="212"/>
        <item x="6"/>
        <item x="11"/>
        <item x="164"/>
        <item x="350"/>
        <item x="230"/>
        <item x="326"/>
        <item x="233"/>
        <item x="157"/>
        <item x="253"/>
        <item x="335"/>
        <item x="234"/>
        <item x="345"/>
        <item x="303"/>
        <item x="247"/>
        <item x="347"/>
        <item x="20"/>
        <item x="113"/>
        <item x="71"/>
        <item x="237"/>
        <item x="143"/>
        <item x="310"/>
        <item x="288"/>
        <item x="354"/>
        <item x="331"/>
        <item x="1"/>
        <item x="34"/>
        <item x="101"/>
        <item x="60"/>
        <item x="215"/>
        <item x="174"/>
        <item x="25"/>
        <item x="12"/>
        <item x="77"/>
        <item x="68"/>
        <item x="26"/>
        <item x="339"/>
        <item x="187"/>
        <item x="211"/>
        <item x="270"/>
        <item x="183"/>
        <item x="112"/>
        <item x="300"/>
        <item x="302"/>
        <item x="346"/>
        <item x="281"/>
        <item x="38"/>
        <item x="313"/>
        <item x="80"/>
        <item x="7"/>
        <item x="105"/>
        <item x="327"/>
        <item x="131"/>
        <item x="96"/>
        <item x="110"/>
        <item x="72"/>
        <item x="41"/>
        <item x="73"/>
        <item x="152"/>
        <item x="262"/>
        <item x="69"/>
        <item x="334"/>
        <item x="81"/>
        <item x="44"/>
        <item x="283"/>
        <item x="102"/>
        <item x="49"/>
        <item x="254"/>
        <item x="118"/>
        <item x="257"/>
        <item x="311"/>
        <item x="307"/>
        <item x="156"/>
        <item x="269"/>
        <item x="155"/>
        <item x="37"/>
        <item x="294"/>
        <item x="42"/>
        <item x="58"/>
        <item x="206"/>
        <item x="47"/>
        <item x="219"/>
        <item x="333"/>
        <item x="316"/>
        <item x="10"/>
        <item x="271"/>
        <item x="296"/>
        <item x="336"/>
        <item x="115"/>
        <item x="33"/>
        <item x="301"/>
        <item x="17"/>
        <item x="148"/>
        <item x="278"/>
        <item x="170"/>
        <item x="154"/>
        <item x="195"/>
        <item x="40"/>
        <item x="338"/>
        <item x="79"/>
        <item x="87"/>
        <item x="8"/>
        <item x="337"/>
        <item x="220"/>
        <item x="123"/>
        <item x="292"/>
        <item x="23"/>
        <item x="134"/>
        <item x="125"/>
        <item x="236"/>
        <item x="209"/>
        <item x="198"/>
        <item x="192"/>
        <item x="340"/>
        <item x="344"/>
        <item x="274"/>
        <item x="161"/>
        <item x="343"/>
        <item x="132"/>
        <item x="232"/>
        <item x="204"/>
        <item x="142"/>
        <item x="285"/>
        <item x="342"/>
        <item x="111"/>
        <item x="194"/>
        <item x="222"/>
        <item x="357"/>
        <item x="63"/>
        <item x="217"/>
        <item x="51"/>
        <item x="43"/>
        <item x="197"/>
        <item x="273"/>
        <item x="35"/>
        <item x="210"/>
        <item x="144"/>
        <item x="224"/>
        <item x="239"/>
        <item x="56"/>
        <item x="325"/>
        <item x="341"/>
        <item x="225"/>
        <item x="107"/>
        <item x="78"/>
        <item x="59"/>
        <item x="36"/>
        <item x="248"/>
        <item x="321"/>
        <item x="109"/>
        <item x="287"/>
        <item x="14"/>
        <item x="358"/>
        <item x="243"/>
        <item x="97"/>
        <item x="162"/>
        <item x="276"/>
        <item x="322"/>
        <item t="default"/>
      </items>
    </pivotField>
    <pivotField showAll="0"/>
    <pivotField showAll="0"/>
    <pivotField showAll="0"/>
    <pivotField dataField="1" showAll="0"/>
    <pivotField showAll="0"/>
    <pivotField showAll="0"/>
    <pivotField showAll="0">
      <items count="5">
        <item x="2"/>
        <item x="0"/>
        <item x="3"/>
        <item x="1"/>
        <item t="default"/>
      </items>
    </pivotField>
    <pivotField showAll="0"/>
    <pivotField showAll="0"/>
    <pivotField showAll="0">
      <items count="6">
        <item x="2"/>
        <item x="0"/>
        <item x="4"/>
        <item x="1"/>
        <item x="3"/>
        <item t="default"/>
      </items>
    </pivotField>
    <pivotField showAll="0"/>
    <pivotField numFmtId="1" showAll="0"/>
    <pivotField showAll="0"/>
    <pivotField axis="axisRow" showAll="0">
      <items count="15">
        <item x="0"/>
        <item x="1"/>
        <item x="2"/>
        <item x="3"/>
        <item x="4"/>
        <item x="5"/>
        <item x="6"/>
        <item x="7"/>
        <item x="8"/>
        <item x="9"/>
        <item x="10"/>
        <item x="11"/>
        <item x="12"/>
        <item x="13"/>
        <item t="default"/>
      </items>
    </pivotField>
    <pivotField axis="axisRow" showAll="0">
      <items count="5">
        <item x="0"/>
        <item x="1"/>
        <item x="2"/>
        <item x="3"/>
        <item t="default"/>
      </items>
    </pivotField>
  </pivotFields>
  <rowFields count="2">
    <field x="17"/>
    <field x="16"/>
  </rowFields>
  <rowItems count="14">
    <i>
      <x v="1"/>
    </i>
    <i r="1">
      <x v="1"/>
    </i>
    <i r="1">
      <x v="2"/>
    </i>
    <i r="1">
      <x v="3"/>
    </i>
    <i r="1">
      <x v="4"/>
    </i>
    <i r="1">
      <x v="5"/>
    </i>
    <i r="1">
      <x v="6"/>
    </i>
    <i r="1">
      <x v="7"/>
    </i>
    <i r="1">
      <x v="8"/>
    </i>
    <i r="1">
      <x v="9"/>
    </i>
    <i r="1">
      <x v="10"/>
    </i>
    <i r="1">
      <x v="11"/>
    </i>
    <i r="1">
      <x v="12"/>
    </i>
    <i t="grand">
      <x/>
    </i>
  </rowItems>
  <colItems count="1">
    <i/>
  </colItems>
  <dataFields count="1">
    <dataField name="Sum of LineAmount" fld="6" baseField="13" baseItem="1" numFmtId="4"/>
  </dataFields>
  <chartFormats count="2">
    <chartFormat chart="0" format="0" series="1">
      <pivotArea type="data" outline="0" fieldPosition="0">
        <references count="1">
          <reference field="4294967294" count="1" selected="0">
            <x v="0"/>
          </reference>
        </references>
      </pivotArea>
    </chartFormat>
    <chartFormat chart="10"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6E97B128-BB2E-4F90-9B9B-0FFF61A750D4}"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3:B9" firstHeaderRow="1" firstDataRow="1" firstDataCol="1"/>
  <pivotFields count="18">
    <pivotField showAll="0"/>
    <pivotField showAll="0"/>
    <pivotField numFmtId="164" showAll="0">
      <items count="362">
        <item x="320"/>
        <item x="39"/>
        <item x="46"/>
        <item x="95"/>
        <item x="348"/>
        <item x="100"/>
        <item x="199"/>
        <item x="258"/>
        <item x="137"/>
        <item x="255"/>
        <item x="264"/>
        <item x="146"/>
        <item x="166"/>
        <item x="122"/>
        <item x="312"/>
        <item x="169"/>
        <item x="349"/>
        <item x="249"/>
        <item x="299"/>
        <item x="52"/>
        <item x="175"/>
        <item x="179"/>
        <item x="304"/>
        <item x="186"/>
        <item x="251"/>
        <item x="216"/>
        <item x="305"/>
        <item x="22"/>
        <item x="45"/>
        <item x="182"/>
        <item x="329"/>
        <item x="135"/>
        <item x="0"/>
        <item x="86"/>
        <item x="275"/>
        <item x="82"/>
        <item x="173"/>
        <item x="18"/>
        <item x="268"/>
        <item x="127"/>
        <item x="106"/>
        <item x="62"/>
        <item x="85"/>
        <item x="178"/>
        <item x="289"/>
        <item x="185"/>
        <item x="66"/>
        <item x="226"/>
        <item x="188"/>
        <item x="126"/>
        <item x="241"/>
        <item x="298"/>
        <item x="70"/>
        <item x="279"/>
        <item x="19"/>
        <item x="3"/>
        <item x="352"/>
        <item x="332"/>
        <item x="129"/>
        <item x="242"/>
        <item x="284"/>
        <item x="27"/>
        <item x="159"/>
        <item x="246"/>
        <item x="328"/>
        <item x="99"/>
        <item x="120"/>
        <item x="139"/>
        <item x="5"/>
        <item x="149"/>
        <item x="256"/>
        <item x="356"/>
        <item x="167"/>
        <item x="259"/>
        <item x="176"/>
        <item x="168"/>
        <item x="308"/>
        <item x="189"/>
        <item x="88"/>
        <item x="223"/>
        <item x="203"/>
        <item x="165"/>
        <item x="295"/>
        <item x="124"/>
        <item x="15"/>
        <item x="265"/>
        <item x="184"/>
        <item x="240"/>
        <item x="91"/>
        <item x="355"/>
        <item x="24"/>
        <item x="213"/>
        <item x="315"/>
        <item x="104"/>
        <item x="293"/>
        <item x="54"/>
        <item x="65"/>
        <item x="181"/>
        <item x="205"/>
        <item x="48"/>
        <item x="50"/>
        <item x="31"/>
        <item x="30"/>
        <item x="260"/>
        <item x="76"/>
        <item x="158"/>
        <item x="140"/>
        <item x="309"/>
        <item x="83"/>
        <item x="117"/>
        <item x="141"/>
        <item x="323"/>
        <item x="238"/>
        <item x="290"/>
        <item x="89"/>
        <item x="121"/>
        <item x="32"/>
        <item x="108"/>
        <item x="98"/>
        <item x="261"/>
        <item x="252"/>
        <item x="160"/>
        <item x="207"/>
        <item x="153"/>
        <item x="190"/>
        <item x="94"/>
        <item x="114"/>
        <item x="235"/>
        <item x="2"/>
        <item x="67"/>
        <item x="133"/>
        <item x="21"/>
        <item x="61"/>
        <item x="193"/>
        <item x="92"/>
        <item x="297"/>
        <item x="272"/>
        <item x="130"/>
        <item x="319"/>
        <item x="9"/>
        <item x="267"/>
        <item x="208"/>
        <item x="282"/>
        <item x="218"/>
        <item x="359"/>
        <item x="291"/>
        <item x="64"/>
        <item x="4"/>
        <item x="250"/>
        <item x="191"/>
        <item x="177"/>
        <item x="200"/>
        <item x="353"/>
        <item x="266"/>
        <item x="231"/>
        <item x="180"/>
        <item x="16"/>
        <item x="196"/>
        <item x="163"/>
        <item x="74"/>
        <item x="136"/>
        <item x="318"/>
        <item x="277"/>
        <item x="280"/>
        <item x="202"/>
        <item x="128"/>
        <item x="84"/>
        <item x="171"/>
        <item x="28"/>
        <item x="201"/>
        <item x="138"/>
        <item x="286"/>
        <item x="306"/>
        <item x="145"/>
        <item x="351"/>
        <item x="172"/>
        <item x="330"/>
        <item x="29"/>
        <item x="116"/>
        <item x="151"/>
        <item x="360"/>
        <item x="317"/>
        <item x="55"/>
        <item x="93"/>
        <item x="314"/>
        <item x="90"/>
        <item x="53"/>
        <item x="214"/>
        <item x="227"/>
        <item x="57"/>
        <item x="245"/>
        <item x="119"/>
        <item x="147"/>
        <item x="324"/>
        <item x="103"/>
        <item x="221"/>
        <item x="75"/>
        <item x="228"/>
        <item x="263"/>
        <item x="150"/>
        <item x="244"/>
        <item x="229"/>
        <item x="13"/>
        <item x="212"/>
        <item x="6"/>
        <item x="11"/>
        <item x="164"/>
        <item x="350"/>
        <item x="230"/>
        <item x="326"/>
        <item x="233"/>
        <item x="157"/>
        <item x="253"/>
        <item x="335"/>
        <item x="234"/>
        <item x="345"/>
        <item x="303"/>
        <item x="247"/>
        <item x="347"/>
        <item x="20"/>
        <item x="113"/>
        <item x="71"/>
        <item x="237"/>
        <item x="143"/>
        <item x="310"/>
        <item x="288"/>
        <item x="354"/>
        <item x="331"/>
        <item x="1"/>
        <item x="34"/>
        <item x="101"/>
        <item x="60"/>
        <item x="215"/>
        <item x="174"/>
        <item x="25"/>
        <item x="12"/>
        <item x="77"/>
        <item x="68"/>
        <item x="26"/>
        <item x="339"/>
        <item x="187"/>
        <item x="211"/>
        <item x="270"/>
        <item x="183"/>
        <item x="112"/>
        <item x="300"/>
        <item x="302"/>
        <item x="346"/>
        <item x="281"/>
        <item x="38"/>
        <item x="313"/>
        <item x="80"/>
        <item x="7"/>
        <item x="105"/>
        <item x="327"/>
        <item x="131"/>
        <item x="96"/>
        <item x="110"/>
        <item x="72"/>
        <item x="41"/>
        <item x="73"/>
        <item x="152"/>
        <item x="262"/>
        <item x="69"/>
        <item x="334"/>
        <item x="81"/>
        <item x="44"/>
        <item x="283"/>
        <item x="102"/>
        <item x="49"/>
        <item x="254"/>
        <item x="118"/>
        <item x="257"/>
        <item x="311"/>
        <item x="307"/>
        <item x="156"/>
        <item x="269"/>
        <item x="155"/>
        <item x="37"/>
        <item x="294"/>
        <item x="42"/>
        <item x="58"/>
        <item x="206"/>
        <item x="47"/>
        <item x="219"/>
        <item x="333"/>
        <item x="316"/>
        <item x="10"/>
        <item x="271"/>
        <item x="296"/>
        <item x="336"/>
        <item x="115"/>
        <item x="33"/>
        <item x="301"/>
        <item x="17"/>
        <item x="148"/>
        <item x="278"/>
        <item x="170"/>
        <item x="154"/>
        <item x="195"/>
        <item x="40"/>
        <item x="338"/>
        <item x="79"/>
        <item x="87"/>
        <item x="8"/>
        <item x="337"/>
        <item x="220"/>
        <item x="123"/>
        <item x="292"/>
        <item x="23"/>
        <item x="134"/>
        <item x="125"/>
        <item x="236"/>
        <item x="209"/>
        <item x="198"/>
        <item x="192"/>
        <item x="340"/>
        <item x="344"/>
        <item x="274"/>
        <item x="161"/>
        <item x="343"/>
        <item x="132"/>
        <item x="232"/>
        <item x="204"/>
        <item x="142"/>
        <item x="285"/>
        <item x="342"/>
        <item x="111"/>
        <item x="194"/>
        <item x="222"/>
        <item x="357"/>
        <item x="63"/>
        <item x="217"/>
        <item x="51"/>
        <item x="43"/>
        <item x="197"/>
        <item x="273"/>
        <item x="35"/>
        <item x="210"/>
        <item x="144"/>
        <item x="224"/>
        <item x="239"/>
        <item x="56"/>
        <item x="325"/>
        <item x="341"/>
        <item x="225"/>
        <item x="107"/>
        <item x="78"/>
        <item x="59"/>
        <item x="36"/>
        <item x="248"/>
        <item x="321"/>
        <item x="109"/>
        <item x="287"/>
        <item x="14"/>
        <item x="358"/>
        <item x="243"/>
        <item x="97"/>
        <item x="162"/>
        <item x="276"/>
        <item x="322"/>
        <item t="default"/>
      </items>
    </pivotField>
    <pivotField showAll="0"/>
    <pivotField showAll="0"/>
    <pivotField showAll="0"/>
    <pivotField dataField="1" showAll="0"/>
    <pivotField showAll="0"/>
    <pivotField showAll="0"/>
    <pivotField showAll="0">
      <items count="5">
        <item x="2"/>
        <item x="0"/>
        <item x="3"/>
        <item x="1"/>
        <item t="default"/>
      </items>
    </pivotField>
    <pivotField showAll="0"/>
    <pivotField showAll="0"/>
    <pivotField axis="axisRow" showAll="0" sortType="descending">
      <items count="6">
        <item x="2"/>
        <item x="0"/>
        <item x="1"/>
        <item x="3"/>
        <item x="4"/>
        <item t="default"/>
      </items>
      <autoSortScope>
        <pivotArea dataOnly="0" outline="0" fieldPosition="0">
          <references count="1">
            <reference field="4294967294" count="1" selected="0">
              <x v="0"/>
            </reference>
          </references>
        </pivotArea>
      </autoSortScope>
    </pivotField>
    <pivotField showAll="0"/>
    <pivotField numFmtId="1" showAll="0"/>
    <pivotField showAll="0"/>
    <pivotField showAll="0" defaultSubtotal="0"/>
    <pivotField showAll="0" defaultSubtotal="0">
      <items count="4">
        <item x="0"/>
        <item x="1"/>
        <item x="2"/>
        <item x="3"/>
      </items>
    </pivotField>
  </pivotFields>
  <rowFields count="1">
    <field x="12"/>
  </rowFields>
  <rowItems count="6">
    <i>
      <x/>
    </i>
    <i>
      <x v="1"/>
    </i>
    <i>
      <x v="2"/>
    </i>
    <i>
      <x v="3"/>
    </i>
    <i>
      <x v="4"/>
    </i>
    <i t="grand">
      <x/>
    </i>
  </rowItems>
  <colItems count="1">
    <i/>
  </colItems>
  <dataFields count="1">
    <dataField name="Sum of LineAmount" fld="6" baseField="12" baseItem="1" numFmtId="4"/>
  </dataField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FE63F5EC-8FD0-4F5B-9E05-498FC00F8A6E}" name="PivotTable9"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location ref="A3:B17" firstHeaderRow="1" firstDataRow="1" firstDataCol="1"/>
  <pivotFields count="18">
    <pivotField showAll="0"/>
    <pivotField dataField="1" showAll="0"/>
    <pivotField axis="axisRow" numFmtId="164" showAll="0">
      <items count="362">
        <item x="320"/>
        <item x="39"/>
        <item x="46"/>
        <item x="95"/>
        <item x="348"/>
        <item x="100"/>
        <item x="199"/>
        <item x="258"/>
        <item x="137"/>
        <item x="255"/>
        <item x="264"/>
        <item x="146"/>
        <item x="166"/>
        <item x="122"/>
        <item x="312"/>
        <item x="169"/>
        <item x="349"/>
        <item x="249"/>
        <item x="299"/>
        <item x="52"/>
        <item x="175"/>
        <item x="179"/>
        <item x="304"/>
        <item x="186"/>
        <item x="251"/>
        <item x="216"/>
        <item x="305"/>
        <item x="22"/>
        <item x="45"/>
        <item x="182"/>
        <item x="329"/>
        <item x="135"/>
        <item x="0"/>
        <item x="86"/>
        <item x="275"/>
        <item x="82"/>
        <item x="173"/>
        <item x="18"/>
        <item x="268"/>
        <item x="127"/>
        <item x="106"/>
        <item x="62"/>
        <item x="85"/>
        <item x="178"/>
        <item x="289"/>
        <item x="185"/>
        <item x="66"/>
        <item x="226"/>
        <item x="188"/>
        <item x="126"/>
        <item x="241"/>
        <item x="298"/>
        <item x="70"/>
        <item x="279"/>
        <item x="19"/>
        <item x="3"/>
        <item x="352"/>
        <item x="332"/>
        <item x="129"/>
        <item x="242"/>
        <item x="284"/>
        <item x="27"/>
        <item x="159"/>
        <item x="246"/>
        <item x="328"/>
        <item x="99"/>
        <item x="120"/>
        <item x="139"/>
        <item x="5"/>
        <item x="149"/>
        <item x="256"/>
        <item x="356"/>
        <item x="167"/>
        <item x="259"/>
        <item x="176"/>
        <item x="168"/>
        <item x="308"/>
        <item x="189"/>
        <item x="88"/>
        <item x="223"/>
        <item x="203"/>
        <item x="165"/>
        <item x="295"/>
        <item x="124"/>
        <item x="15"/>
        <item x="265"/>
        <item x="184"/>
        <item x="240"/>
        <item x="91"/>
        <item x="355"/>
        <item x="24"/>
        <item x="213"/>
        <item x="315"/>
        <item x="104"/>
        <item x="293"/>
        <item x="54"/>
        <item x="65"/>
        <item x="181"/>
        <item x="205"/>
        <item x="48"/>
        <item x="50"/>
        <item x="31"/>
        <item x="30"/>
        <item x="260"/>
        <item x="76"/>
        <item x="158"/>
        <item x="140"/>
        <item x="309"/>
        <item x="83"/>
        <item x="117"/>
        <item x="141"/>
        <item x="323"/>
        <item x="238"/>
        <item x="290"/>
        <item x="89"/>
        <item x="121"/>
        <item x="32"/>
        <item x="108"/>
        <item x="98"/>
        <item x="261"/>
        <item x="252"/>
        <item x="160"/>
        <item x="207"/>
        <item x="153"/>
        <item x="190"/>
        <item x="94"/>
        <item x="114"/>
        <item x="235"/>
        <item x="2"/>
        <item x="67"/>
        <item x="133"/>
        <item x="21"/>
        <item x="61"/>
        <item x="193"/>
        <item x="92"/>
        <item x="297"/>
        <item x="272"/>
        <item x="130"/>
        <item x="319"/>
        <item x="9"/>
        <item x="267"/>
        <item x="208"/>
        <item x="282"/>
        <item x="218"/>
        <item x="359"/>
        <item x="291"/>
        <item x="64"/>
        <item x="4"/>
        <item x="250"/>
        <item x="191"/>
        <item x="177"/>
        <item x="200"/>
        <item x="353"/>
        <item x="266"/>
        <item x="231"/>
        <item x="180"/>
        <item x="16"/>
        <item x="196"/>
        <item x="163"/>
        <item x="74"/>
        <item x="136"/>
        <item x="318"/>
        <item x="277"/>
        <item x="280"/>
        <item x="202"/>
        <item x="128"/>
        <item x="84"/>
        <item x="171"/>
        <item x="28"/>
        <item x="201"/>
        <item x="138"/>
        <item x="286"/>
        <item x="306"/>
        <item x="145"/>
        <item x="351"/>
        <item x="172"/>
        <item x="330"/>
        <item x="29"/>
        <item x="116"/>
        <item x="151"/>
        <item x="360"/>
        <item x="317"/>
        <item x="55"/>
        <item x="93"/>
        <item x="314"/>
        <item x="90"/>
        <item x="53"/>
        <item x="214"/>
        <item x="227"/>
        <item x="57"/>
        <item x="245"/>
        <item x="119"/>
        <item x="147"/>
        <item x="324"/>
        <item x="103"/>
        <item x="221"/>
        <item x="75"/>
        <item x="228"/>
        <item x="263"/>
        <item x="150"/>
        <item x="244"/>
        <item x="229"/>
        <item x="13"/>
        <item x="212"/>
        <item x="6"/>
        <item x="11"/>
        <item x="164"/>
        <item x="350"/>
        <item x="230"/>
        <item x="326"/>
        <item x="233"/>
        <item x="157"/>
        <item x="253"/>
        <item x="335"/>
        <item x="234"/>
        <item x="345"/>
        <item x="303"/>
        <item x="247"/>
        <item x="347"/>
        <item x="20"/>
        <item x="113"/>
        <item x="71"/>
        <item x="237"/>
        <item x="143"/>
        <item x="310"/>
        <item x="288"/>
        <item x="354"/>
        <item x="331"/>
        <item x="1"/>
        <item x="34"/>
        <item x="101"/>
        <item x="60"/>
        <item x="215"/>
        <item x="174"/>
        <item x="25"/>
        <item x="12"/>
        <item x="77"/>
        <item x="68"/>
        <item x="26"/>
        <item x="339"/>
        <item x="187"/>
        <item x="211"/>
        <item x="270"/>
        <item x="183"/>
        <item x="112"/>
        <item x="300"/>
        <item x="302"/>
        <item x="346"/>
        <item x="281"/>
        <item x="38"/>
        <item x="313"/>
        <item x="80"/>
        <item x="7"/>
        <item x="105"/>
        <item x="327"/>
        <item x="131"/>
        <item x="96"/>
        <item x="110"/>
        <item x="72"/>
        <item x="41"/>
        <item x="73"/>
        <item x="152"/>
        <item x="262"/>
        <item x="69"/>
        <item x="334"/>
        <item x="81"/>
        <item x="44"/>
        <item x="283"/>
        <item x="102"/>
        <item x="49"/>
        <item x="254"/>
        <item x="118"/>
        <item x="257"/>
        <item x="311"/>
        <item x="307"/>
        <item x="156"/>
        <item x="269"/>
        <item x="155"/>
        <item x="37"/>
        <item x="294"/>
        <item x="42"/>
        <item x="58"/>
        <item x="206"/>
        <item x="47"/>
        <item x="219"/>
        <item x="333"/>
        <item x="316"/>
        <item x="10"/>
        <item x="271"/>
        <item x="296"/>
        <item x="336"/>
        <item x="115"/>
        <item x="33"/>
        <item x="301"/>
        <item x="17"/>
        <item x="148"/>
        <item x="278"/>
        <item x="170"/>
        <item x="154"/>
        <item x="195"/>
        <item x="40"/>
        <item x="338"/>
        <item x="79"/>
        <item x="87"/>
        <item x="8"/>
        <item x="337"/>
        <item x="220"/>
        <item x="123"/>
        <item x="292"/>
        <item x="23"/>
        <item x="134"/>
        <item x="125"/>
        <item x="236"/>
        <item x="209"/>
        <item x="198"/>
        <item x="192"/>
        <item x="340"/>
        <item x="344"/>
        <item x="274"/>
        <item x="161"/>
        <item x="343"/>
        <item x="132"/>
        <item x="232"/>
        <item x="204"/>
        <item x="142"/>
        <item x="285"/>
        <item x="342"/>
        <item x="111"/>
        <item x="194"/>
        <item x="222"/>
        <item x="357"/>
        <item x="63"/>
        <item x="217"/>
        <item x="51"/>
        <item x="43"/>
        <item x="197"/>
        <item x="273"/>
        <item x="35"/>
        <item x="210"/>
        <item x="144"/>
        <item x="224"/>
        <item x="239"/>
        <item x="56"/>
        <item x="325"/>
        <item x="341"/>
        <item x="225"/>
        <item x="107"/>
        <item x="78"/>
        <item x="59"/>
        <item x="36"/>
        <item x="248"/>
        <item x="321"/>
        <item x="109"/>
        <item x="287"/>
        <item x="14"/>
        <item x="358"/>
        <item x="243"/>
        <item x="97"/>
        <item x="162"/>
        <item x="276"/>
        <item x="322"/>
        <item t="default"/>
      </items>
    </pivotField>
    <pivotField showAll="0"/>
    <pivotField showAll="0"/>
    <pivotField showAll="0"/>
    <pivotField showAll="0"/>
    <pivotField showAll="0"/>
    <pivotField showAll="0"/>
    <pivotField showAll="0"/>
    <pivotField showAll="0"/>
    <pivotField showAll="0"/>
    <pivotField showAll="0"/>
    <pivotField showAll="0"/>
    <pivotField numFmtId="1" showAll="0"/>
    <pivotField showAll="0"/>
    <pivotField axis="axisRow" showAll="0" defaultSubtotal="0">
      <items count="14">
        <item sd="0" x="0"/>
        <item sd="0" x="1"/>
        <item sd="0" x="2"/>
        <item sd="0" x="3"/>
        <item sd="0" x="4"/>
        <item sd="0" x="5"/>
        <item sd="0" x="6"/>
        <item sd="0" x="7"/>
        <item sd="0" x="8"/>
        <item sd="0" x="9"/>
        <item sd="0" x="10"/>
        <item sd="0" x="11"/>
        <item sd="0" x="12"/>
        <item sd="0" x="13"/>
      </items>
    </pivotField>
    <pivotField axis="axisRow" showAll="0" defaultSubtotal="0">
      <items count="4">
        <item sd="0" x="0"/>
        <item x="1"/>
        <item sd="0" x="2"/>
        <item sd="0" x="3"/>
      </items>
    </pivotField>
  </pivotFields>
  <rowFields count="3">
    <field x="17"/>
    <field x="16"/>
    <field x="2"/>
  </rowFields>
  <rowItems count="14">
    <i>
      <x v="1"/>
    </i>
    <i r="1">
      <x v="1"/>
    </i>
    <i r="1">
      <x v="2"/>
    </i>
    <i r="1">
      <x v="3"/>
    </i>
    <i r="1">
      <x v="4"/>
    </i>
    <i r="1">
      <x v="5"/>
    </i>
    <i r="1">
      <x v="6"/>
    </i>
    <i r="1">
      <x v="7"/>
    </i>
    <i r="1">
      <x v="8"/>
    </i>
    <i r="1">
      <x v="9"/>
    </i>
    <i r="1">
      <x v="10"/>
    </i>
    <i r="1">
      <x v="11"/>
    </i>
    <i r="1">
      <x v="12"/>
    </i>
    <i t="grand">
      <x/>
    </i>
  </rowItems>
  <colItems count="1">
    <i/>
  </colItems>
  <dataFields count="1">
    <dataField name="Count of OrderID" fld="1" subtotal="count" baseField="15" baseItem="1"/>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CCD26255-7473-46F7-BB6C-8F69FBCDA19E}" name="PivotTable1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location ref="A3:B20" firstHeaderRow="1" firstDataRow="1" firstDataCol="1"/>
  <pivotFields count="18">
    <pivotField showAll="0"/>
    <pivotField showAll="0"/>
    <pivotField numFmtId="164" showAll="0">
      <items count="362">
        <item x="320"/>
        <item x="39"/>
        <item x="46"/>
        <item x="95"/>
        <item x="348"/>
        <item x="100"/>
        <item x="199"/>
        <item x="258"/>
        <item x="137"/>
        <item x="255"/>
        <item x="264"/>
        <item x="146"/>
        <item x="166"/>
        <item x="122"/>
        <item x="312"/>
        <item x="169"/>
        <item x="349"/>
        <item x="249"/>
        <item x="299"/>
        <item x="52"/>
        <item x="175"/>
        <item x="179"/>
        <item x="304"/>
        <item x="186"/>
        <item x="251"/>
        <item x="216"/>
        <item x="305"/>
        <item x="22"/>
        <item x="45"/>
        <item x="182"/>
        <item x="329"/>
        <item x="135"/>
        <item x="0"/>
        <item x="86"/>
        <item x="275"/>
        <item x="82"/>
        <item x="173"/>
        <item x="18"/>
        <item x="268"/>
        <item x="127"/>
        <item x="106"/>
        <item x="62"/>
        <item x="85"/>
        <item x="178"/>
        <item x="289"/>
        <item x="185"/>
        <item x="66"/>
        <item x="226"/>
        <item x="188"/>
        <item x="126"/>
        <item x="241"/>
        <item x="298"/>
        <item x="70"/>
        <item x="279"/>
        <item x="19"/>
        <item x="3"/>
        <item x="352"/>
        <item x="332"/>
        <item x="129"/>
        <item x="242"/>
        <item x="284"/>
        <item x="27"/>
        <item x="159"/>
        <item x="246"/>
        <item x="328"/>
        <item x="99"/>
        <item x="120"/>
        <item x="139"/>
        <item x="5"/>
        <item x="149"/>
        <item x="256"/>
        <item x="356"/>
        <item x="167"/>
        <item x="259"/>
        <item x="176"/>
        <item x="168"/>
        <item x="308"/>
        <item x="189"/>
        <item x="88"/>
        <item x="223"/>
        <item x="203"/>
        <item x="165"/>
        <item x="295"/>
        <item x="124"/>
        <item x="15"/>
        <item x="265"/>
        <item x="184"/>
        <item x="240"/>
        <item x="91"/>
        <item x="355"/>
        <item x="24"/>
        <item x="213"/>
        <item x="315"/>
        <item x="104"/>
        <item x="293"/>
        <item x="54"/>
        <item x="65"/>
        <item x="181"/>
        <item x="205"/>
        <item x="48"/>
        <item x="50"/>
        <item x="31"/>
        <item x="30"/>
        <item x="260"/>
        <item x="76"/>
        <item x="158"/>
        <item x="140"/>
        <item x="309"/>
        <item x="83"/>
        <item x="117"/>
        <item x="141"/>
        <item x="323"/>
        <item x="238"/>
        <item x="290"/>
        <item x="89"/>
        <item x="121"/>
        <item x="32"/>
        <item x="108"/>
        <item x="98"/>
        <item x="261"/>
        <item x="252"/>
        <item x="160"/>
        <item x="207"/>
        <item x="153"/>
        <item x="190"/>
        <item x="94"/>
        <item x="114"/>
        <item x="235"/>
        <item x="2"/>
        <item x="67"/>
        <item x="133"/>
        <item x="21"/>
        <item x="61"/>
        <item x="193"/>
        <item x="92"/>
        <item x="297"/>
        <item x="272"/>
        <item x="130"/>
        <item x="319"/>
        <item x="9"/>
        <item x="267"/>
        <item x="208"/>
        <item x="282"/>
        <item x="218"/>
        <item x="359"/>
        <item x="291"/>
        <item x="64"/>
        <item x="4"/>
        <item x="250"/>
        <item x="191"/>
        <item x="177"/>
        <item x="200"/>
        <item x="353"/>
        <item x="266"/>
        <item x="231"/>
        <item x="180"/>
        <item x="16"/>
        <item x="196"/>
        <item x="163"/>
        <item x="74"/>
        <item x="136"/>
        <item x="318"/>
        <item x="277"/>
        <item x="280"/>
        <item x="202"/>
        <item x="128"/>
        <item x="84"/>
        <item x="171"/>
        <item x="28"/>
        <item x="201"/>
        <item x="138"/>
        <item x="286"/>
        <item x="306"/>
        <item x="145"/>
        <item x="351"/>
        <item x="172"/>
        <item x="330"/>
        <item x="29"/>
        <item x="116"/>
        <item x="151"/>
        <item x="360"/>
        <item x="317"/>
        <item x="55"/>
        <item x="93"/>
        <item x="314"/>
        <item x="90"/>
        <item x="53"/>
        <item x="214"/>
        <item x="227"/>
        <item x="57"/>
        <item x="245"/>
        <item x="119"/>
        <item x="147"/>
        <item x="324"/>
        <item x="103"/>
        <item x="221"/>
        <item x="75"/>
        <item x="228"/>
        <item x="263"/>
        <item x="150"/>
        <item x="244"/>
        <item x="229"/>
        <item x="13"/>
        <item x="212"/>
        <item x="6"/>
        <item x="11"/>
        <item x="164"/>
        <item x="350"/>
        <item x="230"/>
        <item x="326"/>
        <item x="233"/>
        <item x="157"/>
        <item x="253"/>
        <item x="335"/>
        <item x="234"/>
        <item x="345"/>
        <item x="303"/>
        <item x="247"/>
        <item x="347"/>
        <item x="20"/>
        <item x="113"/>
        <item x="71"/>
        <item x="237"/>
        <item x="143"/>
        <item x="310"/>
        <item x="288"/>
        <item x="354"/>
        <item x="331"/>
        <item x="1"/>
        <item x="34"/>
        <item x="101"/>
        <item x="60"/>
        <item x="215"/>
        <item x="174"/>
        <item x="25"/>
        <item x="12"/>
        <item x="77"/>
        <item x="68"/>
        <item x="26"/>
        <item x="339"/>
        <item x="187"/>
        <item x="211"/>
        <item x="270"/>
        <item x="183"/>
        <item x="112"/>
        <item x="300"/>
        <item x="302"/>
        <item x="346"/>
        <item x="281"/>
        <item x="38"/>
        <item x="313"/>
        <item x="80"/>
        <item x="7"/>
        <item x="105"/>
        <item x="327"/>
        <item x="131"/>
        <item x="96"/>
        <item x="110"/>
        <item x="72"/>
        <item x="41"/>
        <item x="73"/>
        <item x="152"/>
        <item x="262"/>
        <item x="69"/>
        <item x="334"/>
        <item x="81"/>
        <item x="44"/>
        <item x="283"/>
        <item x="102"/>
        <item x="49"/>
        <item x="254"/>
        <item x="118"/>
        <item x="257"/>
        <item x="311"/>
        <item x="307"/>
        <item x="156"/>
        <item x="269"/>
        <item x="155"/>
        <item x="37"/>
        <item x="294"/>
        <item x="42"/>
        <item x="58"/>
        <item x="206"/>
        <item x="47"/>
        <item x="219"/>
        <item x="333"/>
        <item x="316"/>
        <item x="10"/>
        <item x="271"/>
        <item x="296"/>
        <item x="336"/>
        <item x="115"/>
        <item x="33"/>
        <item x="301"/>
        <item x="17"/>
        <item x="148"/>
        <item x="278"/>
        <item x="170"/>
        <item x="154"/>
        <item x="195"/>
        <item x="40"/>
        <item x="338"/>
        <item x="79"/>
        <item x="87"/>
        <item x="8"/>
        <item x="337"/>
        <item x="220"/>
        <item x="123"/>
        <item x="292"/>
        <item x="23"/>
        <item x="134"/>
        <item x="125"/>
        <item x="236"/>
        <item x="209"/>
        <item x="198"/>
        <item x="192"/>
        <item x="340"/>
        <item x="344"/>
        <item x="274"/>
        <item x="161"/>
        <item x="343"/>
        <item x="132"/>
        <item x="232"/>
        <item x="204"/>
        <item x="142"/>
        <item x="285"/>
        <item x="342"/>
        <item x="111"/>
        <item x="194"/>
        <item x="222"/>
        <item x="357"/>
        <item x="63"/>
        <item x="217"/>
        <item x="51"/>
        <item x="43"/>
        <item x="197"/>
        <item x="273"/>
        <item x="35"/>
        <item x="210"/>
        <item x="144"/>
        <item x="224"/>
        <item x="239"/>
        <item x="56"/>
        <item x="325"/>
        <item x="341"/>
        <item x="225"/>
        <item x="107"/>
        <item x="78"/>
        <item x="59"/>
        <item x="36"/>
        <item x="248"/>
        <item x="321"/>
        <item x="109"/>
        <item x="287"/>
        <item x="14"/>
        <item x="358"/>
        <item x="243"/>
        <item x="97"/>
        <item x="162"/>
        <item x="276"/>
        <item x="322"/>
        <item t="default"/>
      </items>
    </pivotField>
    <pivotField showAll="0"/>
    <pivotField axis="axisRow" showAll="0" sortType="descending">
      <items count="18">
        <item x="8"/>
        <item x="3"/>
        <item x="11"/>
        <item x="4"/>
        <item x="6"/>
        <item x="7"/>
        <item x="0"/>
        <item x="1"/>
        <item x="9"/>
        <item x="13"/>
        <item x="5"/>
        <item x="2"/>
        <item x="15"/>
        <item x="10"/>
        <item x="14"/>
        <item x="12"/>
        <item h="1" x="16"/>
        <item t="default"/>
      </items>
      <autoSortScope>
        <pivotArea dataOnly="0" outline="0" fieldPosition="0">
          <references count="1">
            <reference field="4294967294" count="1" selected="0">
              <x v="0"/>
            </reference>
          </references>
        </pivotArea>
      </autoSortScope>
    </pivotField>
    <pivotField showAll="0"/>
    <pivotField dataField="1" showAll="0"/>
    <pivotField showAll="0"/>
    <pivotField showAll="0"/>
    <pivotField showAll="0"/>
    <pivotField showAll="0"/>
    <pivotField showAll="0"/>
    <pivotField showAll="0"/>
    <pivotField showAll="0"/>
    <pivotField numFmtId="1" showAll="0"/>
    <pivotField showAll="0"/>
    <pivotField showAll="0" defaultSubtotal="0"/>
    <pivotField showAll="0" defaultSubtotal="0">
      <items count="4">
        <item x="0"/>
        <item x="1"/>
        <item x="2"/>
        <item x="3"/>
      </items>
    </pivotField>
  </pivotFields>
  <rowFields count="1">
    <field x="4"/>
  </rowFields>
  <rowItems count="17">
    <i>
      <x v="2"/>
    </i>
    <i>
      <x v="13"/>
    </i>
    <i>
      <x v="11"/>
    </i>
    <i>
      <x v="5"/>
    </i>
    <i>
      <x v="7"/>
    </i>
    <i>
      <x v="6"/>
    </i>
    <i>
      <x/>
    </i>
    <i>
      <x v="3"/>
    </i>
    <i>
      <x v="12"/>
    </i>
    <i>
      <x v="9"/>
    </i>
    <i>
      <x v="14"/>
    </i>
    <i>
      <x v="1"/>
    </i>
    <i>
      <x v="10"/>
    </i>
    <i>
      <x v="15"/>
    </i>
    <i>
      <x v="8"/>
    </i>
    <i>
      <x v="4"/>
    </i>
    <i t="grand">
      <x/>
    </i>
  </rowItems>
  <colItems count="1">
    <i/>
  </colItems>
  <dataFields count="1">
    <dataField name="Sum of LineAmount" fld="6" baseField="4" baseItem="1" numFmtId="4"/>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64540D8F-C611-4EBF-A326-4042141CD846}" name="PivotTable1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A4" firstHeaderRow="1" firstDataRow="1" firstDataCol="0"/>
  <pivotFields count="18">
    <pivotField showAll="0"/>
    <pivotField showAll="0"/>
    <pivotField numFmtId="164" showAll="0">
      <items count="362">
        <item x="320"/>
        <item x="39"/>
        <item x="46"/>
        <item x="95"/>
        <item x="348"/>
        <item x="100"/>
        <item x="199"/>
        <item x="258"/>
        <item x="137"/>
        <item x="255"/>
        <item x="264"/>
        <item x="146"/>
        <item x="166"/>
        <item x="122"/>
        <item x="312"/>
        <item x="169"/>
        <item x="349"/>
        <item x="249"/>
        <item x="299"/>
        <item x="52"/>
        <item x="175"/>
        <item x="179"/>
        <item x="304"/>
        <item x="186"/>
        <item x="251"/>
        <item x="216"/>
        <item x="305"/>
        <item x="22"/>
        <item x="45"/>
        <item x="182"/>
        <item x="329"/>
        <item x="135"/>
        <item x="0"/>
        <item x="86"/>
        <item x="275"/>
        <item x="82"/>
        <item x="173"/>
        <item x="18"/>
        <item x="268"/>
        <item x="127"/>
        <item x="106"/>
        <item x="62"/>
        <item x="85"/>
        <item x="178"/>
        <item x="289"/>
        <item x="185"/>
        <item x="66"/>
        <item x="226"/>
        <item x="188"/>
        <item x="126"/>
        <item x="241"/>
        <item x="298"/>
        <item x="70"/>
        <item x="279"/>
        <item x="19"/>
        <item x="3"/>
        <item x="352"/>
        <item x="332"/>
        <item x="129"/>
        <item x="242"/>
        <item x="284"/>
        <item x="27"/>
        <item x="159"/>
        <item x="246"/>
        <item x="328"/>
        <item x="99"/>
        <item x="120"/>
        <item x="139"/>
        <item x="5"/>
        <item x="149"/>
        <item x="256"/>
        <item x="356"/>
        <item x="167"/>
        <item x="259"/>
        <item x="176"/>
        <item x="168"/>
        <item x="308"/>
        <item x="189"/>
        <item x="88"/>
        <item x="223"/>
        <item x="203"/>
        <item x="165"/>
        <item x="295"/>
        <item x="124"/>
        <item x="15"/>
        <item x="265"/>
        <item x="184"/>
        <item x="240"/>
        <item x="91"/>
        <item x="355"/>
        <item x="24"/>
        <item x="213"/>
        <item x="315"/>
        <item x="104"/>
        <item x="293"/>
        <item x="54"/>
        <item x="65"/>
        <item x="181"/>
        <item x="205"/>
        <item x="48"/>
        <item x="50"/>
        <item x="31"/>
        <item x="30"/>
        <item x="260"/>
        <item x="76"/>
        <item x="158"/>
        <item x="140"/>
        <item x="309"/>
        <item x="83"/>
        <item x="117"/>
        <item x="141"/>
        <item x="323"/>
        <item x="238"/>
        <item x="290"/>
        <item x="89"/>
        <item x="121"/>
        <item x="32"/>
        <item x="108"/>
        <item x="98"/>
        <item x="261"/>
        <item x="252"/>
        <item x="160"/>
        <item x="207"/>
        <item x="153"/>
        <item x="190"/>
        <item x="94"/>
        <item x="114"/>
        <item x="235"/>
        <item x="2"/>
        <item x="67"/>
        <item x="133"/>
        <item x="21"/>
        <item x="61"/>
        <item x="193"/>
        <item x="92"/>
        <item x="297"/>
        <item x="272"/>
        <item x="130"/>
        <item x="319"/>
        <item x="9"/>
        <item x="267"/>
        <item x="208"/>
        <item x="282"/>
        <item x="218"/>
        <item x="359"/>
        <item x="291"/>
        <item x="64"/>
        <item x="4"/>
        <item x="250"/>
        <item x="191"/>
        <item x="177"/>
        <item x="200"/>
        <item x="353"/>
        <item x="266"/>
        <item x="231"/>
        <item x="180"/>
        <item x="16"/>
        <item x="196"/>
        <item x="163"/>
        <item x="74"/>
        <item x="136"/>
        <item x="318"/>
        <item x="277"/>
        <item x="280"/>
        <item x="202"/>
        <item x="128"/>
        <item x="84"/>
        <item x="171"/>
        <item x="28"/>
        <item x="201"/>
        <item x="138"/>
        <item x="286"/>
        <item x="306"/>
        <item x="145"/>
        <item x="351"/>
        <item x="172"/>
        <item x="330"/>
        <item x="29"/>
        <item x="116"/>
        <item x="151"/>
        <item x="360"/>
        <item x="317"/>
        <item x="55"/>
        <item x="93"/>
        <item x="314"/>
        <item x="90"/>
        <item x="53"/>
        <item x="214"/>
        <item x="227"/>
        <item x="57"/>
        <item x="245"/>
        <item x="119"/>
        <item x="147"/>
        <item x="324"/>
        <item x="103"/>
        <item x="221"/>
        <item x="75"/>
        <item x="228"/>
        <item x="263"/>
        <item x="150"/>
        <item x="244"/>
        <item x="229"/>
        <item x="13"/>
        <item x="212"/>
        <item x="6"/>
        <item x="11"/>
        <item x="164"/>
        <item x="350"/>
        <item x="230"/>
        <item x="326"/>
        <item x="233"/>
        <item x="157"/>
        <item x="253"/>
        <item x="335"/>
        <item x="234"/>
        <item x="345"/>
        <item x="303"/>
        <item x="247"/>
        <item x="347"/>
        <item x="20"/>
        <item x="113"/>
        <item x="71"/>
        <item x="237"/>
        <item x="143"/>
        <item x="310"/>
        <item x="288"/>
        <item x="354"/>
        <item x="331"/>
        <item x="1"/>
        <item x="34"/>
        <item x="101"/>
        <item x="60"/>
        <item x="215"/>
        <item x="174"/>
        <item x="25"/>
        <item x="12"/>
        <item x="77"/>
        <item x="68"/>
        <item x="26"/>
        <item x="339"/>
        <item x="187"/>
        <item x="211"/>
        <item x="270"/>
        <item x="183"/>
        <item x="112"/>
        <item x="300"/>
        <item x="302"/>
        <item x="346"/>
        <item x="281"/>
        <item x="38"/>
        <item x="313"/>
        <item x="80"/>
        <item x="7"/>
        <item x="105"/>
        <item x="327"/>
        <item x="131"/>
        <item x="96"/>
        <item x="110"/>
        <item x="72"/>
        <item x="41"/>
        <item x="73"/>
        <item x="152"/>
        <item x="262"/>
        <item x="69"/>
        <item x="334"/>
        <item x="81"/>
        <item x="44"/>
        <item x="283"/>
        <item x="102"/>
        <item x="49"/>
        <item x="254"/>
        <item x="118"/>
        <item x="257"/>
        <item x="311"/>
        <item x="307"/>
        <item x="156"/>
        <item x="269"/>
        <item x="155"/>
        <item x="37"/>
        <item x="294"/>
        <item x="42"/>
        <item x="58"/>
        <item x="206"/>
        <item x="47"/>
        <item x="219"/>
        <item x="333"/>
        <item x="316"/>
        <item x="10"/>
        <item x="271"/>
        <item x="296"/>
        <item x="336"/>
        <item x="115"/>
        <item x="33"/>
        <item x="301"/>
        <item x="17"/>
        <item x="148"/>
        <item x="278"/>
        <item x="170"/>
        <item x="154"/>
        <item x="195"/>
        <item x="40"/>
        <item x="338"/>
        <item x="79"/>
        <item x="87"/>
        <item x="8"/>
        <item x="337"/>
        <item x="220"/>
        <item x="123"/>
        <item x="292"/>
        <item x="23"/>
        <item x="134"/>
        <item x="125"/>
        <item x="236"/>
        <item x="209"/>
        <item x="198"/>
        <item x="192"/>
        <item x="340"/>
        <item x="344"/>
        <item x="274"/>
        <item x="161"/>
        <item x="343"/>
        <item x="132"/>
        <item x="232"/>
        <item x="204"/>
        <item x="142"/>
        <item x="285"/>
        <item x="342"/>
        <item x="111"/>
        <item x="194"/>
        <item x="222"/>
        <item x="357"/>
        <item x="63"/>
        <item x="217"/>
        <item x="51"/>
        <item x="43"/>
        <item x="197"/>
        <item x="273"/>
        <item x="35"/>
        <item x="210"/>
        <item x="144"/>
        <item x="224"/>
        <item x="239"/>
        <item x="56"/>
        <item x="325"/>
        <item x="341"/>
        <item x="225"/>
        <item x="107"/>
        <item x="78"/>
        <item x="59"/>
        <item x="36"/>
        <item x="248"/>
        <item x="321"/>
        <item x="109"/>
        <item x="287"/>
        <item x="14"/>
        <item x="358"/>
        <item x="243"/>
        <item x="97"/>
        <item x="162"/>
        <item x="276"/>
        <item x="322"/>
        <item t="default"/>
      </items>
    </pivotField>
    <pivotField showAll="0"/>
    <pivotField showAll="0"/>
    <pivotField showAll="0"/>
    <pivotField showAll="0"/>
    <pivotField showAll="0"/>
    <pivotField showAll="0"/>
    <pivotField showAll="0">
      <items count="5">
        <item x="2"/>
        <item x="0"/>
        <item x="3"/>
        <item x="1"/>
        <item t="default"/>
      </items>
    </pivotField>
    <pivotField showAll="0"/>
    <pivotField showAll="0"/>
    <pivotField showAll="0">
      <items count="6">
        <item x="2"/>
        <item x="0"/>
        <item x="4"/>
        <item x="1"/>
        <item x="3"/>
        <item t="default"/>
      </items>
    </pivotField>
    <pivotField dataField="1" showAll="0"/>
    <pivotField numFmtId="1" showAll="0"/>
    <pivotField showAll="0"/>
    <pivotField showAll="0" defaultSubtotal="0"/>
    <pivotField showAll="0" defaultSubtotal="0">
      <items count="4">
        <item x="0"/>
        <item x="1"/>
        <item x="2"/>
        <item x="3"/>
      </items>
    </pivotField>
  </pivotFields>
  <rowItems count="1">
    <i/>
  </rowItems>
  <colItems count="1">
    <i/>
  </colItems>
  <dataFields count="1">
    <dataField name="Average of DeliveryDays" fld="13" subtotal="average" baseField="0" baseItem="0" numFmtId="2"/>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0ABBD8C6-44E7-4BEF-998F-ECAC4FFB559A}" autoFormatId="16" applyNumberFormats="0" applyBorderFormats="0" applyFontFormats="0" applyPatternFormats="0" applyAlignmentFormats="0" applyWidthHeightFormats="0">
  <queryTableRefresh nextId="11">
    <queryTableFields count="10">
      <queryTableField id="1" name="OrderLineID" tableColumnId="1"/>
      <queryTableField id="2" name="OrderID" tableColumnId="2"/>
      <queryTableField id="3" name="OrderDate" tableColumnId="3"/>
      <queryTableField id="4" name="CustomerID" tableColumnId="4"/>
      <queryTableField id="5" name="ProductID" tableColumnId="5"/>
      <queryTableField id="6" name="Quantity" tableColumnId="6"/>
      <queryTableField id="7" name="LineAmount" tableColumnId="7"/>
      <queryTableField id="8" name="OrderStatus" tableColumnId="8"/>
      <queryTableField id="9" name="ShipDate" tableColumnId="9"/>
      <queryTableField id="10" name="DeliveryDate" tableColumnId="10"/>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tatus" xr10:uid="{825B8EBB-DAAE-4F6A-A86D-06BBFCC2F3D9}" sourceName="Status">
  <pivotTables>
    <pivotTable tabId="14" name="PivotTable8"/>
    <pivotTable tabId="19" name="PivotTable13"/>
    <pivotTable tabId="7" name="PivotTable1"/>
    <pivotTable tabId="13" name="PivotTable7"/>
    <pivotTable tabId="16" name="PivotTable10"/>
    <pivotTable tabId="18" name="PivotTable12"/>
  </pivotTables>
  <data>
    <tabular pivotCacheId="717743526">
      <items count="4">
        <i x="2" s="1"/>
        <i x="0" s="1"/>
        <i x="3"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ty" xr10:uid="{F3F91032-8DC8-4E54-B297-3F38EE3FDA34}" sourceName="Categoty">
  <pivotTables>
    <pivotTable tabId="13" name="PivotTable7"/>
    <pivotTable tabId="19" name="PivotTable13"/>
    <pivotTable tabId="7" name="PivotTable1"/>
    <pivotTable tabId="14" name="PivotTable8"/>
    <pivotTable tabId="16" name="PivotTable10"/>
    <pivotTable tabId="18" name="PivotTable12"/>
  </pivotTables>
  <data>
    <tabular pivotCacheId="717743526" customListSort="0" showMissing="0" crossFilter="showItemsWithNoData">
      <items count="5">
        <i x="2" s="1"/>
        <i x="0" s="1"/>
        <i x="4" s="1"/>
        <i x="1" s="1"/>
        <i x="3"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tatus" xr10:uid="{90ED7483-D6C8-48FC-BEEC-6F5CCACCBB3B}" cache="Slicer_Status" caption="Status" rowHeight="540000"/>
  <slicer name="Categoty" xr10:uid="{F5976A3D-2AA1-4B7D-9122-7B242C739DAD}" cache="Slicer_Categoty" caption="Categoty" rowHeight="432000"/>
</slicers>
</file>

<file path=xl/tables/_rels/table2.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BFABEFF3-5521-4308-BB00-3A959D5398FD}" name="RawWorking" displayName="RawWorking" ref="A1:N3155" totalsRowShown="0">
  <autoFilter ref="A1:N3155" xr:uid="{BFABEFF3-5521-4308-BB00-3A959D5398FD}"/>
  <tableColumns count="14">
    <tableColumn id="1" xr3:uid="{482966A6-F5FF-49C6-91C8-80E015EC57BE}" name="OrderLineID"/>
    <tableColumn id="2" xr3:uid="{8DBEBEBE-AC71-4930-9B0E-981D95FCFEB1}" name="OrderID"/>
    <tableColumn id="11" xr3:uid="{0AFD1EA5-B237-42C4-BF2B-C3FE8CB9FDC3}" name="OrderDate" dataDxfId="10"/>
    <tableColumn id="4" xr3:uid="{D15C5024-60BF-4A2F-955F-941A08858829}" name="CustomerID"/>
    <tableColumn id="5" xr3:uid="{62BDA7BB-3FE8-4272-A4DF-A53B20A27FF1}" name="ProductID"/>
    <tableColumn id="6" xr3:uid="{B91A169D-C7F3-4AC4-A641-CE8E7E7E9434}" name="Quantity"/>
    <tableColumn id="7" xr3:uid="{33C43B72-7C36-4275-AB64-56B2231187ED}" name="LineAmount"/>
    <tableColumn id="9" xr3:uid="{7111EF34-DE7B-4BD7-9C63-2F22B52E8040}" name="ShipDate"/>
    <tableColumn id="10" xr3:uid="{713A084C-4DB2-4FE1-9525-89E969A966E1}" name="DeliveryDate"/>
    <tableColumn id="21" xr3:uid="{40E9450F-EE4E-4B39-9981-058E5AEF88B1}" name="Status" dataDxfId="9"/>
    <tableColumn id="13" xr3:uid="{3C22396A-EBD4-4F94-9BD6-1F42A2AC7C69}" name="Categoty" dataDxfId="8">
      <calculatedColumnFormula>IFERROR(INDEX(Product_lookup[Category],MATCH(RawWorking[[#This Row],[ProductID]],Product_lookup[ProductID],0)),"")</calculatedColumnFormula>
    </tableColumn>
    <tableColumn id="19" xr3:uid="{298A83BE-5603-4309-8DC7-A571AD85AEB0}" name="DeliveryDays" dataDxfId="7">
      <calculatedColumnFormula>IF(OR(RawWorking[[#This Row],[ShipDate]]="",RawWorking[[#This Row],[DeliveryDate]]=""),"",RawWorking[[#This Row],[DeliveryDate]]-RawWorking[[#This Row],[ShipDate]])</calculatedColumnFormula>
    </tableColumn>
    <tableColumn id="18" xr3:uid="{76173F39-1F0A-4A8B-AECD-95C0C265BBCB}" name="FirstOrderFlag" dataDxfId="6">
      <calculatedColumnFormula>IF(COUNTIF(INDEX(RawWorking[OrderID],1):RawWorking[[#This Row],[OrderID]],RawWorking[[#This Row],[OrderID]])=1,1,0)</calculatedColumnFormula>
    </tableColumn>
    <tableColumn id="17" xr3:uid="{96F52F75-D967-4EC7-8406-D22DE104BBBC}" name="UnitPrice" dataDxfId="5"/>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C2814731-29BD-4693-82B0-1B2EEA81FBF0}" name="raw_order_lines_messy" displayName="raw_order_lines_messy" ref="A1:J3155" tableType="queryTable" totalsRowShown="0">
  <autoFilter ref="A1:J3155" xr:uid="{C2814731-29BD-4693-82B0-1B2EEA81FBF0}"/>
  <tableColumns count="10">
    <tableColumn id="1" xr3:uid="{C6C153E4-FA71-4ED1-B790-5E10697E829E}" uniqueName="1" name="OrderLineID" queryTableFieldId="1"/>
    <tableColumn id="2" xr3:uid="{7B4BFCDE-C29A-431D-A75E-536E612B78AA}" uniqueName="2" name="OrderID" queryTableFieldId="2"/>
    <tableColumn id="3" xr3:uid="{120316AD-D809-40D3-B101-45B3C25D0E9A}" uniqueName="3" name="OrderDate" queryTableFieldId="3" dataDxfId="4"/>
    <tableColumn id="4" xr3:uid="{9242EFE1-63A0-4C2F-B68E-DB0DEDA1784D}" uniqueName="4" name="CustomerID" queryTableFieldId="4"/>
    <tableColumn id="5" xr3:uid="{89599509-097D-4E96-9B80-16D14B7E355A}" uniqueName="5" name="ProductID" queryTableFieldId="5"/>
    <tableColumn id="6" xr3:uid="{82BF9CAB-1886-42D3-9190-24D0FD73FE13}" uniqueName="6" name="Quantity" queryTableFieldId="6"/>
    <tableColumn id="7" xr3:uid="{681512E2-6028-4D16-9692-57332AAAB275}" uniqueName="7" name="LineAmount" queryTableFieldId="7" dataDxfId="3"/>
    <tableColumn id="8" xr3:uid="{EDF2328F-40B8-464F-BC6A-C81858D74F36}" uniqueName="8" name="OrderStatus" queryTableFieldId="8" dataDxfId="2"/>
    <tableColumn id="9" xr3:uid="{935D26CD-E03B-4764-B339-42A1B08964B9}" uniqueName="9" name="ShipDate" queryTableFieldId="9" dataDxfId="1"/>
    <tableColumn id="10" xr3:uid="{543C2383-8D8A-4EEE-93C6-EE3B0AFC05AF}" uniqueName="10" name="DeliveryDate" queryTableFieldId="10" dataDxfId="0"/>
  </tableColumns>
  <tableStyleInfo name="TableStyleMedium7"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8DB1548C-BAA4-41B5-BC1E-94E50B932842}" name="Product_lookup" displayName="Product_lookup" ref="A1:D17" totalsRowShown="0">
  <autoFilter ref="A1:D17" xr:uid="{8DB1548C-BAA4-41B5-BC1E-94E50B932842}"/>
  <tableColumns count="4">
    <tableColumn id="1" xr3:uid="{9865800A-971D-4800-8B10-B85B121030E2}" name="ProductID"/>
    <tableColumn id="2" xr3:uid="{7D25BF26-9B5E-4F75-8BF6-AF4DBF9590DC}" name="ProductName"/>
    <tableColumn id="3" xr3:uid="{3A10A0C6-437B-442A-96EF-A9939253420E}" name="Category"/>
    <tableColumn id="4" xr3:uid="{B42E8D1E-3243-4031-BF17-CA31A3254BD7}" name="UnitPrice"/>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896AD4F5-405A-4A94-82D2-81460E23AB51}" name="Table2" displayName="Table2" ref="A1:G13" totalsRowShown="0">
  <autoFilter ref="A1:G13" xr:uid="{896AD4F5-405A-4A94-82D2-81460E23AB51}"/>
  <tableColumns count="7">
    <tableColumn id="1" xr3:uid="{559CE018-DDA7-4CD4-B8EE-4C88464ADD39}" name="Issue ID"/>
    <tableColumn id="2" xr3:uid="{8E8B4C62-DBB9-4A70-AD85-A84C258A0C33}" name="Column(s)"/>
    <tableColumn id="3" xr3:uid="{BEE0BB91-E0FF-44F9-865C-56C6F3CFCC32}" name="Issue"/>
    <tableColumn id="4" xr3:uid="{060EB6F4-0DE7-493E-AD29-8CC56465BFD7}" name="Investigation"/>
    <tableColumn id="5" xr3:uid="{A219C379-C542-4094-B6EA-99BA0D9B24F6}" name="Action taken"/>
    <tableColumn id="6" xr3:uid="{F418E724-EF0C-4C5E-9912-CD657ED07FC9}" name="Status"/>
    <tableColumn id="7" xr3:uid="{E34E18DE-B564-4C8F-A9D1-E77C4388799D}" name="Impact"/>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1" Type="http://schemas.openxmlformats.org/officeDocument/2006/relationships/table" Target="../tables/table2.xml"/></Relationships>
</file>

<file path=xl/worksheets/_rels/sheet4.xml.rels><?xml version="1.0" encoding="UTF-8" standalone="yes"?>
<Relationships xmlns="http://schemas.openxmlformats.org/package/2006/relationships"><Relationship Id="rId1" Type="http://schemas.openxmlformats.org/officeDocument/2006/relationships/table" Target="../tables/table3.xml"/></Relationships>
</file>

<file path=xl/worksheets/_rels/sheet5.xml.rels><?xml version="1.0" encoding="UTF-8" standalone="yes"?>
<Relationships xmlns="http://schemas.openxmlformats.org/package/2006/relationships"><Relationship Id="rId1" Type="http://schemas.openxmlformats.org/officeDocument/2006/relationships/table" Target="../tables/table4.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1.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2.xml"/></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3.xml"/></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4.xml"/></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ivotTable" Target="../pivotTables/pivotTable5.xml"/></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ivotTable" Target="../pivotTables/pivotTable6.xml"/></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ivotTable" Target="../pivotTables/pivotTable7.xml"/></Relationships>
</file>

<file path=xl/worksheets/_rels/sheet13.xml.rels><?xml version="1.0" encoding="UTF-8" standalone="yes"?>
<Relationships xmlns="http://schemas.openxmlformats.org/package/2006/relationships"><Relationship Id="rId1" Type="http://schemas.openxmlformats.org/officeDocument/2006/relationships/pivotTable" Target="../pivotTables/pivotTable8.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8CBABC-4959-4644-80A8-F9DA52E9B8E4}">
  <dimension ref="A1:N39"/>
  <sheetViews>
    <sheetView zoomScale="59" zoomScaleNormal="59" zoomScaleSheetLayoutView="85" zoomScalePageLayoutView="40" workbookViewId="0">
      <selection activeCell="R17" sqref="R17"/>
    </sheetView>
  </sheetViews>
  <sheetFormatPr defaultRowHeight="14.4"/>
  <cols>
    <col min="2" max="2" width="21.109375" customWidth="1"/>
    <col min="4" max="4" width="32.33203125" customWidth="1"/>
    <col min="5" max="5" width="19.109375" customWidth="1"/>
    <col min="6" max="6" width="44.77734375" customWidth="1"/>
    <col min="7" max="7" width="30.109375" customWidth="1"/>
    <col min="8" max="8" width="25.109375" customWidth="1"/>
    <col min="9" max="9" width="0.109375" hidden="1" customWidth="1"/>
    <col min="10" max="10" width="8.88671875" hidden="1" customWidth="1"/>
    <col min="11" max="11" width="4" hidden="1" customWidth="1"/>
  </cols>
  <sheetData>
    <row r="1" spans="1:14" ht="23.4">
      <c r="A1" s="14" t="s">
        <v>1561</v>
      </c>
      <c r="B1" s="14"/>
      <c r="C1" s="14"/>
      <c r="D1" s="14"/>
      <c r="E1" s="14"/>
      <c r="F1" s="14"/>
      <c r="G1" s="14"/>
      <c r="H1" s="14"/>
      <c r="I1" s="14"/>
      <c r="J1" s="14"/>
      <c r="K1" s="14"/>
      <c r="L1" s="14"/>
      <c r="M1" s="14"/>
      <c r="N1" s="14"/>
    </row>
    <row r="2" spans="1:14" ht="18">
      <c r="A2" s="15" t="s">
        <v>1562</v>
      </c>
      <c r="B2" s="15"/>
      <c r="C2" s="15"/>
      <c r="D2" s="15"/>
      <c r="E2" s="15"/>
      <c r="F2" s="15"/>
      <c r="G2" s="15"/>
      <c r="H2" s="15"/>
      <c r="I2" s="15"/>
      <c r="J2" s="15"/>
      <c r="K2" s="15"/>
      <c r="L2" s="15"/>
      <c r="M2" s="15"/>
      <c r="N2" s="15"/>
    </row>
    <row r="3" spans="1:14">
      <c r="A3" s="12"/>
      <c r="B3" s="12"/>
      <c r="C3" s="12"/>
      <c r="D3" s="12"/>
      <c r="E3" s="12"/>
      <c r="F3" s="12"/>
      <c r="G3" s="12"/>
      <c r="H3" s="12"/>
      <c r="I3" s="12"/>
      <c r="J3" s="12"/>
      <c r="K3" s="12"/>
      <c r="L3" s="12"/>
      <c r="M3" s="12"/>
      <c r="N3" s="12"/>
    </row>
    <row r="4" spans="1:14" ht="18">
      <c r="A4" s="13" t="s">
        <v>1563</v>
      </c>
      <c r="B4" s="13"/>
      <c r="C4" s="13" t="s">
        <v>1564</v>
      </c>
      <c r="D4" s="13"/>
      <c r="E4" s="13" t="s">
        <v>1565</v>
      </c>
      <c r="F4" s="13"/>
      <c r="G4" s="13" t="s">
        <v>1566</v>
      </c>
      <c r="H4" s="13"/>
      <c r="I4" s="13"/>
      <c r="J4" s="13"/>
      <c r="K4" s="13"/>
      <c r="L4" s="13"/>
      <c r="M4" s="13"/>
      <c r="N4" s="13"/>
    </row>
    <row r="5" spans="1:14" ht="23.4">
      <c r="A5" s="16">
        <f>GETPIVOTDATA("LineAmount",Monthly_Sales!$A$3)</f>
        <v>828510.58000000007</v>
      </c>
      <c r="B5" s="16"/>
      <c r="C5" s="17">
        <f>GETPIVOTDATA("FirstOrderFlag",Monthly_Unique_Orders!$A$3)</f>
        <v>1800</v>
      </c>
      <c r="D5" s="17"/>
      <c r="E5" s="18">
        <f>IFERROR(GETPIVOTDATA("Average of DeliveryDays",Delivery_Time!$A$3),"N/A")</f>
        <v>12.376929012345679</v>
      </c>
      <c r="F5" s="18"/>
      <c r="G5" s="16">
        <f>SUMIFS(Cleaned_Data!G2:G3155,Cleaned_Data!J2:J3155,"Completed")</f>
        <v>629502.24999999616</v>
      </c>
      <c r="H5" s="16"/>
      <c r="I5" s="16"/>
      <c r="J5" s="16"/>
      <c r="K5" s="16"/>
      <c r="L5" s="16"/>
      <c r="M5" s="16"/>
      <c r="N5" s="16"/>
    </row>
    <row r="6" spans="1:14">
      <c r="A6" s="12"/>
      <c r="B6" s="12"/>
      <c r="C6" s="12"/>
      <c r="D6" s="12"/>
      <c r="E6" s="12"/>
      <c r="F6" s="12"/>
      <c r="G6" s="12"/>
      <c r="H6" s="12"/>
      <c r="I6" s="12"/>
      <c r="J6" s="12"/>
      <c r="K6" s="12"/>
      <c r="L6" s="12"/>
      <c r="M6" s="12"/>
      <c r="N6" s="12"/>
    </row>
    <row r="7" spans="1:14">
      <c r="A7" s="12"/>
      <c r="B7" s="12"/>
      <c r="C7" s="12"/>
      <c r="D7" s="12"/>
      <c r="E7" s="12"/>
      <c r="F7" s="12"/>
      <c r="G7" s="12"/>
      <c r="H7" s="12"/>
      <c r="I7" s="12"/>
      <c r="J7" s="12"/>
      <c r="K7" s="12"/>
      <c r="L7" s="12"/>
      <c r="M7" s="12"/>
      <c r="N7" s="12"/>
    </row>
    <row r="8" spans="1:14">
      <c r="A8" s="12"/>
      <c r="B8" s="12"/>
      <c r="C8" s="12"/>
      <c r="D8" s="12"/>
      <c r="E8" s="12"/>
      <c r="F8" s="12"/>
      <c r="G8" s="12"/>
      <c r="H8" s="12"/>
      <c r="I8" s="12"/>
      <c r="J8" s="12"/>
      <c r="K8" s="12"/>
      <c r="L8" s="12"/>
      <c r="M8" s="12"/>
      <c r="N8" s="12"/>
    </row>
    <row r="23" spans="1:14">
      <c r="A23" s="10"/>
      <c r="B23" s="10"/>
      <c r="C23" s="10"/>
      <c r="D23" s="10"/>
      <c r="E23" s="10"/>
      <c r="F23" s="10"/>
      <c r="G23" s="10"/>
      <c r="H23" s="10"/>
      <c r="L23" s="10"/>
      <c r="M23" s="10"/>
      <c r="N23" s="10"/>
    </row>
    <row r="39" spans="1:14" ht="18">
      <c r="A39" s="10"/>
      <c r="B39" s="10"/>
      <c r="C39" s="10"/>
      <c r="D39" s="10"/>
      <c r="E39" s="10"/>
      <c r="F39" s="11" t="s">
        <v>1568</v>
      </c>
      <c r="G39" s="11"/>
      <c r="H39" s="11"/>
      <c r="I39" s="11"/>
      <c r="J39" s="11"/>
      <c r="K39" s="11"/>
      <c r="L39" s="11"/>
      <c r="M39" s="11"/>
      <c r="N39" s="11"/>
    </row>
  </sheetData>
  <mergeCells count="13">
    <mergeCell ref="F39:N39"/>
    <mergeCell ref="A6:N8"/>
    <mergeCell ref="A3:N3"/>
    <mergeCell ref="G4:N4"/>
    <mergeCell ref="A1:N1"/>
    <mergeCell ref="A2:N2"/>
    <mergeCell ref="G5:N5"/>
    <mergeCell ref="A4:B4"/>
    <mergeCell ref="A5:B5"/>
    <mergeCell ref="C4:D4"/>
    <mergeCell ref="C5:D5"/>
    <mergeCell ref="E4:F4"/>
    <mergeCell ref="E5:F5"/>
  </mergeCells>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06B63C-71BB-4053-9F61-244B431B42CC}">
  <dimension ref="A1:N3155"/>
  <sheetViews>
    <sheetView topLeftCell="E1" workbookViewId="0">
      <selection activeCell="O11" sqref="O11"/>
    </sheetView>
  </sheetViews>
  <sheetFormatPr defaultRowHeight="14.4"/>
  <cols>
    <col min="1" max="1" width="18" customWidth="1"/>
    <col min="2" max="3" width="17.21875" customWidth="1"/>
    <col min="4" max="4" width="19.77734375" customWidth="1"/>
    <col min="5" max="5" width="15.6640625" customWidth="1"/>
    <col min="6" max="6" width="16.33203125" customWidth="1"/>
    <col min="7" max="9" width="17" customWidth="1"/>
    <col min="10" max="10" width="21.109375" customWidth="1"/>
    <col min="11" max="11" width="17.6640625" customWidth="1"/>
    <col min="12" max="13" width="17.6640625" style="9" customWidth="1"/>
    <col min="14" max="14" width="13.109375" customWidth="1"/>
  </cols>
  <sheetData>
    <row r="1" spans="1:14">
      <c r="A1" t="s">
        <v>0</v>
      </c>
      <c r="B1" t="s">
        <v>1</v>
      </c>
      <c r="C1" s="2" t="s">
        <v>2</v>
      </c>
      <c r="D1" t="s">
        <v>3</v>
      </c>
      <c r="E1" t="s">
        <v>4</v>
      </c>
      <c r="F1" t="s">
        <v>5</v>
      </c>
      <c r="G1" t="s">
        <v>6</v>
      </c>
      <c r="H1" t="s">
        <v>7</v>
      </c>
      <c r="I1" t="s">
        <v>8</v>
      </c>
      <c r="J1" s="1" t="s">
        <v>1362</v>
      </c>
      <c r="K1" t="s">
        <v>1555</v>
      </c>
      <c r="L1" s="9" t="s">
        <v>1559</v>
      </c>
      <c r="M1" s="9" t="s">
        <v>1557</v>
      </c>
      <c r="N1" s="4" t="s">
        <v>1399</v>
      </c>
    </row>
    <row r="2" spans="1:14">
      <c r="A2">
        <v>50001</v>
      </c>
      <c r="B2">
        <v>30001</v>
      </c>
      <c r="C2" s="2">
        <v>45691</v>
      </c>
      <c r="D2">
        <v>2034</v>
      </c>
      <c r="E2">
        <v>1007</v>
      </c>
      <c r="F2">
        <v>3</v>
      </c>
      <c r="G2">
        <v>599.42999999999995</v>
      </c>
      <c r="H2" s="2">
        <v>45693</v>
      </c>
      <c r="I2" s="2">
        <v>45696</v>
      </c>
      <c r="J2" t="s">
        <v>9</v>
      </c>
      <c r="K2" s="2" t="str">
        <f>IFERROR(INDEX(Product_lookup[Category],MATCH(RawWorking[[#This Row],[ProductID]],Product_lookup[ProductID],0)),"")</f>
        <v>Home</v>
      </c>
      <c r="L2" s="9">
        <f>IF(OR(RawWorking[[#This Row],[ShipDate]]="",RawWorking[[#This Row],[DeliveryDate]]=""),"",RawWorking[[#This Row],[DeliveryDate]]-RawWorking[[#This Row],[ShipDate]])</f>
        <v>3</v>
      </c>
      <c r="M2" s="9">
        <f>IF(COUNTIF(INDEX(RawWorking[OrderID],1):RawWorking[[#This Row],[OrderID]],RawWorking[[#This Row],[OrderID]])=1,1,0)</f>
        <v>1</v>
      </c>
      <c r="N2" s="4">
        <f>IFERROR(RawWorking[[#This Row],[LineAmount]]/RawWorking[[#This Row],[Quantity]],"")</f>
        <v>199.80999999999997</v>
      </c>
    </row>
    <row r="3" spans="1:14">
      <c r="A3">
        <v>50002</v>
      </c>
      <c r="B3">
        <v>30002</v>
      </c>
      <c r="C3" s="2">
        <v>45888</v>
      </c>
      <c r="D3">
        <v>2455</v>
      </c>
      <c r="E3">
        <v>1008</v>
      </c>
      <c r="F3">
        <v>1</v>
      </c>
      <c r="G3">
        <v>206.09</v>
      </c>
      <c r="H3" s="2">
        <v>45889</v>
      </c>
      <c r="I3" s="2">
        <v>45899</v>
      </c>
      <c r="J3" t="s">
        <v>9</v>
      </c>
      <c r="K3" s="2" t="str">
        <f>IFERROR(INDEX(Product_lookup[Category],MATCH(RawWorking[[#This Row],[ProductID]],Product_lookup[ProductID],0)),"")</f>
        <v>Home</v>
      </c>
      <c r="L3" s="9">
        <f>IF(OR(RawWorking[[#This Row],[ShipDate]]="",RawWorking[[#This Row],[DeliveryDate]]=""),"",RawWorking[[#This Row],[DeliveryDate]]-RawWorking[[#This Row],[ShipDate]])</f>
        <v>10</v>
      </c>
      <c r="M3" s="9">
        <f>IF(COUNTIF(INDEX(RawWorking[OrderID],1):RawWorking[[#This Row],[OrderID]],RawWorking[[#This Row],[OrderID]])=1,1,0)</f>
        <v>1</v>
      </c>
      <c r="N3" s="4">
        <f>IFERROR(RawWorking[[#This Row],[LineAmount]]/RawWorking[[#This Row],[Quantity]],"")</f>
        <v>206.09</v>
      </c>
    </row>
    <row r="4" spans="1:14">
      <c r="A4">
        <v>50003</v>
      </c>
      <c r="B4">
        <v>30002</v>
      </c>
      <c r="C4" s="2">
        <v>45888</v>
      </c>
      <c r="D4">
        <v>2455</v>
      </c>
      <c r="E4">
        <v>1012</v>
      </c>
      <c r="F4">
        <v>3</v>
      </c>
      <c r="G4">
        <v>724.62</v>
      </c>
      <c r="H4" s="2">
        <v>45891</v>
      </c>
      <c r="I4" s="2">
        <v>45899</v>
      </c>
      <c r="J4" t="s">
        <v>9</v>
      </c>
      <c r="K4" s="2" t="str">
        <f>IFERROR(INDEX(Product_lookup[Category],MATCH(RawWorking[[#This Row],[ProductID]],Product_lookup[ProductID],0)),"")</f>
        <v>Office</v>
      </c>
      <c r="L4" s="9">
        <f>IF(OR(RawWorking[[#This Row],[ShipDate]]="",RawWorking[[#This Row],[DeliveryDate]]=""),"",RawWorking[[#This Row],[DeliveryDate]]-RawWorking[[#This Row],[ShipDate]])</f>
        <v>8</v>
      </c>
      <c r="M4" s="9">
        <f>IF(COUNTIF(INDEX(RawWorking[OrderID],1):RawWorking[[#This Row],[OrderID]],RawWorking[[#This Row],[OrderID]])=1,1,0)</f>
        <v>0</v>
      </c>
      <c r="N4" s="4">
        <f>IFERROR(RawWorking[[#This Row],[LineAmount]]/RawWorking[[#This Row],[Quantity]],"")</f>
        <v>241.54</v>
      </c>
    </row>
    <row r="5" spans="1:14">
      <c r="A5">
        <v>50004</v>
      </c>
      <c r="B5">
        <v>30003</v>
      </c>
      <c r="C5" s="2">
        <v>45787</v>
      </c>
      <c r="D5">
        <v>2102</v>
      </c>
      <c r="E5">
        <v>1012</v>
      </c>
      <c r="F5">
        <v>1</v>
      </c>
      <c r="G5">
        <v>241.54</v>
      </c>
      <c r="H5" s="2">
        <v>45818</v>
      </c>
      <c r="I5" s="2">
        <v>46001</v>
      </c>
      <c r="J5" t="s">
        <v>11</v>
      </c>
      <c r="K5" s="2" t="str">
        <f>IFERROR(INDEX(Product_lookup[Category],MATCH(RawWorking[[#This Row],[ProductID]],Product_lookup[ProductID],0)),"")</f>
        <v>Office</v>
      </c>
      <c r="L5" s="9">
        <f>IF(OR(RawWorking[[#This Row],[ShipDate]]="",RawWorking[[#This Row],[DeliveryDate]]=""),"",RawWorking[[#This Row],[DeliveryDate]]-RawWorking[[#This Row],[ShipDate]])</f>
        <v>183</v>
      </c>
      <c r="M5" s="9">
        <f>IF(COUNTIF(INDEX(RawWorking[OrderID],1):RawWorking[[#This Row],[OrderID]],RawWorking[[#This Row],[OrderID]])=1,1,0)</f>
        <v>1</v>
      </c>
      <c r="N5" s="4">
        <f>IFERROR(RawWorking[[#This Row],[LineAmount]]/RawWorking[[#This Row],[Quantity]],"")</f>
        <v>241.54</v>
      </c>
    </row>
    <row r="6" spans="1:14">
      <c r="A6">
        <v>50005</v>
      </c>
      <c r="B6">
        <v>30004</v>
      </c>
      <c r="C6" s="2">
        <v>45714</v>
      </c>
      <c r="D6">
        <v>2558</v>
      </c>
      <c r="E6">
        <v>1012</v>
      </c>
      <c r="F6">
        <v>2</v>
      </c>
      <c r="G6">
        <v>483.08</v>
      </c>
      <c r="H6" s="2" t="s">
        <v>1421</v>
      </c>
      <c r="I6" s="2" t="s">
        <v>1421</v>
      </c>
      <c r="J6" t="s">
        <v>12</v>
      </c>
      <c r="K6" s="2" t="str">
        <f>IFERROR(INDEX(Product_lookup[Category],MATCH(RawWorking[[#This Row],[ProductID]],Product_lookup[ProductID],0)),"")</f>
        <v>Office</v>
      </c>
      <c r="L6" s="9" t="str">
        <f>IF(OR(RawWorking[[#This Row],[ShipDate]]="",RawWorking[[#This Row],[DeliveryDate]]=""),"",RawWorking[[#This Row],[DeliveryDate]]-RawWorking[[#This Row],[ShipDate]])</f>
        <v/>
      </c>
      <c r="M6" s="9">
        <f>IF(COUNTIF(INDEX(RawWorking[OrderID],1):RawWorking[[#This Row],[OrderID]],RawWorking[[#This Row],[OrderID]])=1,1,0)</f>
        <v>1</v>
      </c>
      <c r="N6" s="4">
        <f>IFERROR(RawWorking[[#This Row],[LineAmount]]/RawWorking[[#This Row],[Quantity]],"")</f>
        <v>241.54</v>
      </c>
    </row>
    <row r="7" spans="1:14">
      <c r="A7">
        <v>50006</v>
      </c>
      <c r="B7">
        <v>30004</v>
      </c>
      <c r="C7" s="2">
        <v>45714</v>
      </c>
      <c r="D7">
        <v>2558</v>
      </c>
      <c r="E7">
        <v>1002</v>
      </c>
      <c r="F7">
        <v>4</v>
      </c>
      <c r="G7">
        <v>474.4</v>
      </c>
      <c r="H7" s="2" t="s">
        <v>1421</v>
      </c>
      <c r="I7" s="2" t="s">
        <v>1421</v>
      </c>
      <c r="J7" t="s">
        <v>12</v>
      </c>
      <c r="K7" s="2" t="str">
        <f>IFERROR(INDEX(Product_lookup[Category],MATCH(RawWorking[[#This Row],[ProductID]],Product_lookup[ProductID],0)),"")</f>
        <v>Electronics</v>
      </c>
      <c r="L7" s="9" t="str">
        <f>IF(OR(RawWorking[[#This Row],[ShipDate]]="",RawWorking[[#This Row],[DeliveryDate]]=""),"",RawWorking[[#This Row],[DeliveryDate]]-RawWorking[[#This Row],[ShipDate]])</f>
        <v/>
      </c>
      <c r="M7" s="9">
        <f>IF(COUNTIF(INDEX(RawWorking[OrderID],1):RawWorking[[#This Row],[OrderID]],RawWorking[[#This Row],[OrderID]])=1,1,0)</f>
        <v>0</v>
      </c>
      <c r="N7" s="4">
        <f>IFERROR(RawWorking[[#This Row],[LineAmount]]/RawWorking[[#This Row],[Quantity]],"")</f>
        <v>118.6</v>
      </c>
    </row>
    <row r="8" spans="1:14">
      <c r="A8">
        <v>50007</v>
      </c>
      <c r="B8">
        <v>30005</v>
      </c>
      <c r="C8" s="2">
        <v>45807</v>
      </c>
      <c r="D8">
        <v>2408</v>
      </c>
      <c r="E8">
        <v>1004</v>
      </c>
      <c r="F8">
        <v>1</v>
      </c>
      <c r="G8">
        <v>183.74</v>
      </c>
      <c r="H8" s="2">
        <v>45808</v>
      </c>
      <c r="I8" s="2">
        <v>45816</v>
      </c>
      <c r="J8" t="s">
        <v>9</v>
      </c>
      <c r="K8" s="2" t="str">
        <f>IFERROR(INDEX(Product_lookup[Category],MATCH(RawWorking[[#This Row],[ProductID]],Product_lookup[ProductID],0)),"")</f>
        <v>Electronics</v>
      </c>
      <c r="L8" s="9">
        <f>IF(OR(RawWorking[[#This Row],[ShipDate]]="",RawWorking[[#This Row],[DeliveryDate]]=""),"",RawWorking[[#This Row],[DeliveryDate]]-RawWorking[[#This Row],[ShipDate]])</f>
        <v>8</v>
      </c>
      <c r="M8" s="9">
        <f>IF(COUNTIF(INDEX(RawWorking[OrderID],1):RawWorking[[#This Row],[OrderID]],RawWorking[[#This Row],[OrderID]])=1,1,0)</f>
        <v>1</v>
      </c>
      <c r="N8" s="4">
        <f>IFERROR(RawWorking[[#This Row],[LineAmount]]/RawWorking[[#This Row],[Quantity]],"")</f>
        <v>183.74</v>
      </c>
    </row>
    <row r="9" spans="1:14">
      <c r="A9">
        <v>50008</v>
      </c>
      <c r="B9">
        <v>30006</v>
      </c>
      <c r="C9" s="2">
        <v>45727</v>
      </c>
      <c r="D9">
        <v>2466</v>
      </c>
      <c r="E9">
        <v>1007</v>
      </c>
      <c r="F9">
        <v>1</v>
      </c>
      <c r="G9">
        <v>199.81</v>
      </c>
      <c r="H9" s="2">
        <v>45728</v>
      </c>
      <c r="I9" s="2">
        <v>45731</v>
      </c>
      <c r="J9" t="s">
        <v>9</v>
      </c>
      <c r="K9" s="2" t="str">
        <f>IFERROR(INDEX(Product_lookup[Category],MATCH(RawWorking[[#This Row],[ProductID]],Product_lookup[ProductID],0)),"")</f>
        <v>Home</v>
      </c>
      <c r="L9" s="9">
        <f>IF(OR(RawWorking[[#This Row],[ShipDate]]="",RawWorking[[#This Row],[DeliveryDate]]=""),"",RawWorking[[#This Row],[DeliveryDate]]-RawWorking[[#This Row],[ShipDate]])</f>
        <v>3</v>
      </c>
      <c r="M9" s="9">
        <f>IF(COUNTIF(INDEX(RawWorking[OrderID],1):RawWorking[[#This Row],[OrderID]],RawWorking[[#This Row],[OrderID]])=1,1,0)</f>
        <v>1</v>
      </c>
      <c r="N9" s="4">
        <f>IFERROR(RawWorking[[#This Row],[LineAmount]]/RawWorking[[#This Row],[Quantity]],"")</f>
        <v>199.81</v>
      </c>
    </row>
    <row r="10" spans="1:14">
      <c r="A10">
        <v>50009</v>
      </c>
      <c r="B10">
        <v>30007</v>
      </c>
      <c r="C10" s="2">
        <v>45864</v>
      </c>
      <c r="D10">
        <v>2022</v>
      </c>
      <c r="E10">
        <v>1011</v>
      </c>
      <c r="F10">
        <v>3</v>
      </c>
      <c r="G10">
        <v>304.32</v>
      </c>
      <c r="H10" s="2">
        <v>45867</v>
      </c>
      <c r="I10" s="2">
        <v>45874</v>
      </c>
      <c r="J10" t="s">
        <v>9</v>
      </c>
      <c r="K10" s="2" t="str">
        <f>IFERROR(INDEX(Product_lookup[Category],MATCH(RawWorking[[#This Row],[ProductID]],Product_lookup[ProductID],0)),"")</f>
        <v>Office</v>
      </c>
      <c r="L10" s="9">
        <f>IF(OR(RawWorking[[#This Row],[ShipDate]]="",RawWorking[[#This Row],[DeliveryDate]]=""),"",RawWorking[[#This Row],[DeliveryDate]]-RawWorking[[#This Row],[ShipDate]])</f>
        <v>7</v>
      </c>
      <c r="M10" s="9">
        <f>IF(COUNTIF(INDEX(RawWorking[OrderID],1):RawWorking[[#This Row],[OrderID]],RawWorking[[#This Row],[OrderID]])=1,1,0)</f>
        <v>1</v>
      </c>
      <c r="N10" s="4">
        <f>IFERROR(RawWorking[[#This Row],[LineAmount]]/RawWorking[[#This Row],[Quantity]],"")</f>
        <v>101.44</v>
      </c>
    </row>
    <row r="11" spans="1:14">
      <c r="A11">
        <v>50010</v>
      </c>
      <c r="B11">
        <v>30008</v>
      </c>
      <c r="C11" s="2">
        <v>45913</v>
      </c>
      <c r="D11">
        <v>2250</v>
      </c>
      <c r="E11">
        <v>1007</v>
      </c>
      <c r="F11">
        <v>3</v>
      </c>
      <c r="G11">
        <v>599.42999999999995</v>
      </c>
      <c r="H11" s="2">
        <v>45915</v>
      </c>
      <c r="I11" s="2">
        <v>45924</v>
      </c>
      <c r="J11" t="s">
        <v>11</v>
      </c>
      <c r="K11" s="2" t="str">
        <f>IFERROR(INDEX(Product_lookup[Category],MATCH(RawWorking[[#This Row],[ProductID]],Product_lookup[ProductID],0)),"")</f>
        <v>Home</v>
      </c>
      <c r="L11" s="9">
        <f>IF(OR(RawWorking[[#This Row],[ShipDate]]="",RawWorking[[#This Row],[DeliveryDate]]=""),"",RawWorking[[#This Row],[DeliveryDate]]-RawWorking[[#This Row],[ShipDate]])</f>
        <v>9</v>
      </c>
      <c r="M11" s="9">
        <f>IF(COUNTIF(INDEX(RawWorking[OrderID],1):RawWorking[[#This Row],[OrderID]],RawWorking[[#This Row],[OrderID]])=1,1,0)</f>
        <v>1</v>
      </c>
      <c r="N11" s="4">
        <f>IFERROR(RawWorking[[#This Row],[LineAmount]]/RawWorking[[#This Row],[Quantity]],"")</f>
        <v>199.80999999999997</v>
      </c>
    </row>
    <row r="12" spans="1:14">
      <c r="A12">
        <v>50011</v>
      </c>
      <c r="B12">
        <v>30009</v>
      </c>
      <c r="C12" s="2">
        <v>45965</v>
      </c>
      <c r="D12">
        <v>2071</v>
      </c>
      <c r="E12">
        <v>1007</v>
      </c>
      <c r="F12">
        <v>2</v>
      </c>
      <c r="G12">
        <v>399.62</v>
      </c>
      <c r="H12" s="2" t="s">
        <v>1421</v>
      </c>
      <c r="I12" s="2" t="s">
        <v>1421</v>
      </c>
      <c r="J12" t="s">
        <v>16</v>
      </c>
      <c r="K12" s="2" t="str">
        <f>IFERROR(INDEX(Product_lookup[Category],MATCH(RawWorking[[#This Row],[ProductID]],Product_lookup[ProductID],0)),"")</f>
        <v>Home</v>
      </c>
      <c r="L12" s="9" t="str">
        <f>IF(OR(RawWorking[[#This Row],[ShipDate]]="",RawWorking[[#This Row],[DeliveryDate]]=""),"",RawWorking[[#This Row],[DeliveryDate]]-RawWorking[[#This Row],[ShipDate]])</f>
        <v/>
      </c>
      <c r="M12" s="9">
        <f>IF(COUNTIF(INDEX(RawWorking[OrderID],1):RawWorking[[#This Row],[OrderID]],RawWorking[[#This Row],[OrderID]])=1,1,0)</f>
        <v>1</v>
      </c>
      <c r="N12" s="4">
        <f>IFERROR(RawWorking[[#This Row],[LineAmount]]/RawWorking[[#This Row],[Quantity]],"")</f>
        <v>199.81</v>
      </c>
    </row>
    <row r="13" spans="1:14">
      <c r="A13">
        <v>50012</v>
      </c>
      <c r="B13">
        <v>30010</v>
      </c>
      <c r="C13" s="2">
        <v>45799</v>
      </c>
      <c r="D13">
        <v>2239</v>
      </c>
      <c r="E13">
        <v>1005</v>
      </c>
      <c r="F13">
        <v>1</v>
      </c>
      <c r="G13">
        <v>31.73</v>
      </c>
      <c r="H13" s="2">
        <v>45802</v>
      </c>
      <c r="I13" s="2">
        <v>45803</v>
      </c>
      <c r="J13" t="s">
        <v>9</v>
      </c>
      <c r="K13" s="2" t="str">
        <f>IFERROR(INDEX(Product_lookup[Category],MATCH(RawWorking[[#This Row],[ProductID]],Product_lookup[ProductID],0)),"")</f>
        <v>Electronics</v>
      </c>
      <c r="L13" s="9">
        <f>IF(OR(RawWorking[[#This Row],[ShipDate]]="",RawWorking[[#This Row],[DeliveryDate]]=""),"",RawWorking[[#This Row],[DeliveryDate]]-RawWorking[[#This Row],[ShipDate]])</f>
        <v>1</v>
      </c>
      <c r="M13" s="9">
        <f>IF(COUNTIF(INDEX(RawWorking[OrderID],1):RawWorking[[#This Row],[OrderID]],RawWorking[[#This Row],[OrderID]])=1,1,0)</f>
        <v>1</v>
      </c>
      <c r="N13" s="4">
        <f>IFERROR(RawWorking[[#This Row],[LineAmount]]/RawWorking[[#This Row],[Quantity]],"")</f>
        <v>31.73</v>
      </c>
    </row>
    <row r="14" spans="1:14">
      <c r="A14">
        <v>50013</v>
      </c>
      <c r="B14">
        <v>30011</v>
      </c>
      <c r="C14" s="2">
        <v>45948</v>
      </c>
      <c r="D14">
        <v>2003</v>
      </c>
      <c r="E14">
        <v>1005</v>
      </c>
      <c r="F14">
        <v>2</v>
      </c>
      <c r="G14">
        <v>63.46</v>
      </c>
      <c r="H14" s="2">
        <v>45951</v>
      </c>
      <c r="I14" s="2">
        <v>45954</v>
      </c>
      <c r="J14" t="s">
        <v>9</v>
      </c>
      <c r="K14" s="2" t="str">
        <f>IFERROR(INDEX(Product_lookup[Category],MATCH(RawWorking[[#This Row],[ProductID]],Product_lookup[ProductID],0)),"")</f>
        <v>Electronics</v>
      </c>
      <c r="L14" s="9">
        <f>IF(OR(RawWorking[[#This Row],[ShipDate]]="",RawWorking[[#This Row],[DeliveryDate]]=""),"",RawWorking[[#This Row],[DeliveryDate]]-RawWorking[[#This Row],[ShipDate]])</f>
        <v>3</v>
      </c>
      <c r="M14" s="9">
        <f>IF(COUNTIF(INDEX(RawWorking[OrderID],1):RawWorking[[#This Row],[OrderID]],RawWorking[[#This Row],[OrderID]])=1,1,0)</f>
        <v>1</v>
      </c>
      <c r="N14" s="4">
        <f>IFERROR(RawWorking[[#This Row],[LineAmount]]/RawWorking[[#This Row],[Quantity]],"")</f>
        <v>31.73</v>
      </c>
    </row>
    <row r="15" spans="1:14">
      <c r="A15">
        <v>50014</v>
      </c>
      <c r="B15">
        <v>30011</v>
      </c>
      <c r="C15" s="2">
        <v>45948</v>
      </c>
      <c r="D15">
        <v>2003</v>
      </c>
      <c r="E15">
        <v>1005</v>
      </c>
      <c r="F15">
        <v>1</v>
      </c>
      <c r="G15">
        <v>31.73</v>
      </c>
      <c r="H15" s="2">
        <v>45951</v>
      </c>
      <c r="I15" s="2">
        <v>45957</v>
      </c>
      <c r="J15" t="s">
        <v>9</v>
      </c>
      <c r="K15" s="2" t="str">
        <f>IFERROR(INDEX(Product_lookup[Category],MATCH(RawWorking[[#This Row],[ProductID]],Product_lookup[ProductID],0)),"")</f>
        <v>Electronics</v>
      </c>
      <c r="L15" s="9">
        <f>IF(OR(RawWorking[[#This Row],[ShipDate]]="",RawWorking[[#This Row],[DeliveryDate]]=""),"",RawWorking[[#This Row],[DeliveryDate]]-RawWorking[[#This Row],[ShipDate]])</f>
        <v>6</v>
      </c>
      <c r="M15" s="9">
        <f>IF(COUNTIF(INDEX(RawWorking[OrderID],1):RawWorking[[#This Row],[OrderID]],RawWorking[[#This Row],[OrderID]])=1,1,0)</f>
        <v>0</v>
      </c>
      <c r="N15" s="4">
        <f>IFERROR(RawWorking[[#This Row],[LineAmount]]/RawWorking[[#This Row],[Quantity]],"")</f>
        <v>31.73</v>
      </c>
    </row>
    <row r="16" spans="1:14">
      <c r="A16">
        <v>50015</v>
      </c>
      <c r="B16">
        <v>30012</v>
      </c>
      <c r="C16" s="2">
        <v>45865</v>
      </c>
      <c r="D16">
        <v>2554</v>
      </c>
      <c r="E16">
        <v>1006</v>
      </c>
      <c r="F16">
        <v>1</v>
      </c>
      <c r="G16">
        <v>253.86</v>
      </c>
      <c r="H16" s="2">
        <v>45867</v>
      </c>
      <c r="I16" s="2">
        <v>45874</v>
      </c>
      <c r="J16" t="s">
        <v>9</v>
      </c>
      <c r="K16" s="2" t="str">
        <f>IFERROR(INDEX(Product_lookup[Category],MATCH(RawWorking[[#This Row],[ProductID]],Product_lookup[ProductID],0)),"")</f>
        <v>Home</v>
      </c>
      <c r="L16" s="9">
        <f>IF(OR(RawWorking[[#This Row],[ShipDate]]="",RawWorking[[#This Row],[DeliveryDate]]=""),"",RawWorking[[#This Row],[DeliveryDate]]-RawWorking[[#This Row],[ShipDate]])</f>
        <v>7</v>
      </c>
      <c r="M16" s="9">
        <f>IF(COUNTIF(INDEX(RawWorking[OrderID],1):RawWorking[[#This Row],[OrderID]],RawWorking[[#This Row],[OrderID]])=1,1,0)</f>
        <v>1</v>
      </c>
      <c r="N16" s="4">
        <f>IFERROR(RawWorking[[#This Row],[LineAmount]]/RawWorking[[#This Row],[Quantity]],"")</f>
        <v>253.86</v>
      </c>
    </row>
    <row r="17" spans="1:14">
      <c r="A17">
        <v>50016</v>
      </c>
      <c r="B17">
        <v>30013</v>
      </c>
      <c r="C17" s="2">
        <v>45896</v>
      </c>
      <c r="D17">
        <v>2113</v>
      </c>
      <c r="E17">
        <v>1001</v>
      </c>
      <c r="F17">
        <v>2</v>
      </c>
      <c r="G17">
        <v>406.08</v>
      </c>
      <c r="H17" s="2">
        <v>45898</v>
      </c>
      <c r="I17" s="2">
        <v>45904</v>
      </c>
      <c r="J17" t="s">
        <v>9</v>
      </c>
      <c r="K17" s="2" t="str">
        <f>IFERROR(INDEX(Product_lookup[Category],MATCH(RawWorking[[#This Row],[ProductID]],Product_lookup[ProductID],0)),"")</f>
        <v>Electronics</v>
      </c>
      <c r="L17" s="9">
        <f>IF(OR(RawWorking[[#This Row],[ShipDate]]="",RawWorking[[#This Row],[DeliveryDate]]=""),"",RawWorking[[#This Row],[DeliveryDate]]-RawWorking[[#This Row],[ShipDate]])</f>
        <v>6</v>
      </c>
      <c r="M17" s="9">
        <f>IF(COUNTIF(INDEX(RawWorking[OrderID],1):RawWorking[[#This Row],[OrderID]],RawWorking[[#This Row],[OrderID]])=1,1,0)</f>
        <v>1</v>
      </c>
      <c r="N17" s="4">
        <f>IFERROR(RawWorking[[#This Row],[LineAmount]]/RawWorking[[#This Row],[Quantity]],"")</f>
        <v>203.04</v>
      </c>
    </row>
    <row r="18" spans="1:14">
      <c r="A18">
        <v>50017</v>
      </c>
      <c r="B18">
        <v>30013</v>
      </c>
      <c r="C18" s="2">
        <v>45896</v>
      </c>
      <c r="D18">
        <v>2113</v>
      </c>
      <c r="E18">
        <v>1005</v>
      </c>
      <c r="F18">
        <v>1</v>
      </c>
      <c r="G18">
        <v>31.73</v>
      </c>
      <c r="H18" s="2">
        <v>45898</v>
      </c>
      <c r="I18" s="2">
        <v>45899</v>
      </c>
      <c r="J18" t="s">
        <v>9</v>
      </c>
      <c r="K18" s="2" t="str">
        <f>IFERROR(INDEX(Product_lookup[Category],MATCH(RawWorking[[#This Row],[ProductID]],Product_lookup[ProductID],0)),"")</f>
        <v>Electronics</v>
      </c>
      <c r="L18" s="9">
        <f>IF(OR(RawWorking[[#This Row],[ShipDate]]="",RawWorking[[#This Row],[DeliveryDate]]=""),"",RawWorking[[#This Row],[DeliveryDate]]-RawWorking[[#This Row],[ShipDate]])</f>
        <v>1</v>
      </c>
      <c r="M18" s="9">
        <f>IF(COUNTIF(INDEX(RawWorking[OrderID],1):RawWorking[[#This Row],[OrderID]],RawWorking[[#This Row],[OrderID]])=1,1,0)</f>
        <v>0</v>
      </c>
      <c r="N18" s="4">
        <f>IFERROR(RawWorking[[#This Row],[LineAmount]]/RawWorking[[#This Row],[Quantity]],"")</f>
        <v>31.73</v>
      </c>
    </row>
    <row r="19" spans="1:14">
      <c r="A19">
        <v>50018</v>
      </c>
      <c r="B19">
        <v>30014</v>
      </c>
      <c r="C19" s="2">
        <v>45862</v>
      </c>
      <c r="D19">
        <v>2016</v>
      </c>
      <c r="E19">
        <v>1008</v>
      </c>
      <c r="F19">
        <v>5</v>
      </c>
      <c r="G19">
        <v>206.09</v>
      </c>
      <c r="H19" s="2">
        <v>45864</v>
      </c>
      <c r="I19" s="2">
        <v>45869</v>
      </c>
      <c r="J19" t="s">
        <v>9</v>
      </c>
      <c r="K19" s="2" t="str">
        <f>IFERROR(INDEX(Product_lookup[Category],MATCH(RawWorking[[#This Row],[ProductID]],Product_lookup[ProductID],0)),"")</f>
        <v>Home</v>
      </c>
      <c r="L19" s="9">
        <f>IF(OR(RawWorking[[#This Row],[ShipDate]]="",RawWorking[[#This Row],[DeliveryDate]]=""),"",RawWorking[[#This Row],[DeliveryDate]]-RawWorking[[#This Row],[ShipDate]])</f>
        <v>5</v>
      </c>
      <c r="M19" s="9">
        <f>IF(COUNTIF(INDEX(RawWorking[OrderID],1):RawWorking[[#This Row],[OrderID]],RawWorking[[#This Row],[OrderID]])=1,1,0)</f>
        <v>1</v>
      </c>
      <c r="N19" s="4">
        <f>IFERROR(RawWorking[[#This Row],[LineAmount]]/RawWorking[[#This Row],[Quantity]],"")</f>
        <v>41.218000000000004</v>
      </c>
    </row>
    <row r="20" spans="1:14">
      <c r="A20">
        <v>50019</v>
      </c>
      <c r="B20">
        <v>30015</v>
      </c>
      <c r="C20" s="2">
        <v>46016</v>
      </c>
      <c r="D20">
        <v>2332</v>
      </c>
      <c r="E20">
        <v>1009</v>
      </c>
      <c r="F20">
        <v>1</v>
      </c>
      <c r="G20">
        <v>120.84</v>
      </c>
      <c r="H20" s="2">
        <v>46017</v>
      </c>
      <c r="I20" s="2">
        <v>46018</v>
      </c>
      <c r="J20" t="s">
        <v>9</v>
      </c>
      <c r="K20" s="2" t="str">
        <f>IFERROR(INDEX(Product_lookup[Category],MATCH(RawWorking[[#This Row],[ProductID]],Product_lookup[ProductID],0)),"")</f>
        <v>Home</v>
      </c>
      <c r="L20" s="9">
        <f>IF(OR(RawWorking[[#This Row],[ShipDate]]="",RawWorking[[#This Row],[DeliveryDate]]=""),"",RawWorking[[#This Row],[DeliveryDate]]-RawWorking[[#This Row],[ShipDate]])</f>
        <v>1</v>
      </c>
      <c r="M20" s="9">
        <f>IF(COUNTIF(INDEX(RawWorking[OrderID],1):RawWorking[[#This Row],[OrderID]],RawWorking[[#This Row],[OrderID]])=1,1,0)</f>
        <v>1</v>
      </c>
      <c r="N20" s="4">
        <f>IFERROR(RawWorking[[#This Row],[LineAmount]]/RawWorking[[#This Row],[Quantity]],"")</f>
        <v>120.84</v>
      </c>
    </row>
    <row r="21" spans="1:14">
      <c r="A21">
        <v>50020</v>
      </c>
      <c r="B21">
        <v>30016</v>
      </c>
      <c r="C21" s="2">
        <v>45743</v>
      </c>
      <c r="D21">
        <v>2054</v>
      </c>
      <c r="E21">
        <v>1014</v>
      </c>
      <c r="F21">
        <v>3</v>
      </c>
      <c r="G21">
        <v>215.34</v>
      </c>
      <c r="H21" s="2">
        <v>45746</v>
      </c>
      <c r="I21" s="2">
        <v>45749</v>
      </c>
      <c r="J21" t="s">
        <v>9</v>
      </c>
      <c r="K21" s="2" t="str">
        <f>IFERROR(INDEX(Product_lookup[Category],MATCH(RawWorking[[#This Row],[ProductID]],Product_lookup[ProductID],0)),"")</f>
        <v>Sports</v>
      </c>
      <c r="L21" s="9">
        <f>IF(OR(RawWorking[[#This Row],[ShipDate]]="",RawWorking[[#This Row],[DeliveryDate]]=""),"",RawWorking[[#This Row],[DeliveryDate]]-RawWorking[[#This Row],[ShipDate]])</f>
        <v>3</v>
      </c>
      <c r="M21" s="9">
        <f>IF(COUNTIF(INDEX(RawWorking[OrderID],1):RawWorking[[#This Row],[OrderID]],RawWorking[[#This Row],[OrderID]])=1,1,0)</f>
        <v>1</v>
      </c>
      <c r="N21" s="4">
        <f>IFERROR(RawWorking[[#This Row],[LineAmount]]/RawWorking[[#This Row],[Quantity]],"")</f>
        <v>71.78</v>
      </c>
    </row>
    <row r="22" spans="1:14">
      <c r="A22">
        <v>50021</v>
      </c>
      <c r="B22">
        <v>30017</v>
      </c>
      <c r="C22" s="2">
        <v>45816</v>
      </c>
      <c r="D22">
        <v>2539</v>
      </c>
      <c r="E22">
        <v>1003</v>
      </c>
      <c r="F22">
        <v>1</v>
      </c>
      <c r="G22">
        <v>448.74</v>
      </c>
      <c r="H22" s="2">
        <v>45818</v>
      </c>
      <c r="I22" s="2">
        <v>45828</v>
      </c>
      <c r="J22" t="s">
        <v>9</v>
      </c>
      <c r="K22" s="2" t="str">
        <f>IFERROR(INDEX(Product_lookup[Category],MATCH(RawWorking[[#This Row],[ProductID]],Product_lookup[ProductID],0)),"")</f>
        <v>Electronics</v>
      </c>
      <c r="L22" s="9">
        <f>IF(OR(RawWorking[[#This Row],[ShipDate]]="",RawWorking[[#This Row],[DeliveryDate]]=""),"",RawWorking[[#This Row],[DeliveryDate]]-RawWorking[[#This Row],[ShipDate]])</f>
        <v>10</v>
      </c>
      <c r="M22" s="9">
        <f>IF(COUNTIF(INDEX(RawWorking[OrderID],1):RawWorking[[#This Row],[OrderID]],RawWorking[[#This Row],[OrderID]])=1,1,0)</f>
        <v>1</v>
      </c>
      <c r="N22" s="4">
        <f>IFERROR(RawWorking[[#This Row],[LineAmount]]/RawWorking[[#This Row],[Quantity]],"")</f>
        <v>448.74</v>
      </c>
    </row>
    <row r="23" spans="1:14">
      <c r="A23">
        <v>50022</v>
      </c>
      <c r="B23">
        <v>30017</v>
      </c>
      <c r="C23" s="2">
        <v>45816</v>
      </c>
      <c r="D23">
        <v>2539</v>
      </c>
      <c r="E23">
        <v>1016</v>
      </c>
      <c r="F23">
        <v>1</v>
      </c>
      <c r="G23">
        <v>65.260000000000005</v>
      </c>
      <c r="H23" s="2">
        <v>45818</v>
      </c>
      <c r="I23" s="2">
        <v>45823</v>
      </c>
      <c r="J23" t="s">
        <v>9</v>
      </c>
      <c r="K23" s="2" t="str">
        <f>IFERROR(INDEX(Product_lookup[Category],MATCH(RawWorking[[#This Row],[ProductID]],Product_lookup[ProductID],0)),"")</f>
        <v>Sports</v>
      </c>
      <c r="L23" s="9">
        <f>IF(OR(RawWorking[[#This Row],[ShipDate]]="",RawWorking[[#This Row],[DeliveryDate]]=""),"",RawWorking[[#This Row],[DeliveryDate]]-RawWorking[[#This Row],[ShipDate]])</f>
        <v>5</v>
      </c>
      <c r="M23" s="9">
        <f>IF(COUNTIF(INDEX(RawWorking[OrderID],1):RawWorking[[#This Row],[OrderID]],RawWorking[[#This Row],[OrderID]])=1,1,0)</f>
        <v>0</v>
      </c>
      <c r="N23" s="4">
        <f>IFERROR(RawWorking[[#This Row],[LineAmount]]/RawWorking[[#This Row],[Quantity]],"")</f>
        <v>65.260000000000005</v>
      </c>
    </row>
    <row r="24" spans="1:14">
      <c r="A24">
        <v>50023</v>
      </c>
      <c r="B24">
        <v>30018</v>
      </c>
      <c r="C24" s="2">
        <v>45955</v>
      </c>
      <c r="D24">
        <v>2460</v>
      </c>
      <c r="E24">
        <v>1004</v>
      </c>
      <c r="F24">
        <v>1</v>
      </c>
      <c r="G24">
        <v>183.74</v>
      </c>
      <c r="H24" s="2" t="s">
        <v>1421</v>
      </c>
      <c r="I24" s="2" t="s">
        <v>1421</v>
      </c>
      <c r="J24" t="s">
        <v>16</v>
      </c>
      <c r="K24" s="2" t="str">
        <f>IFERROR(INDEX(Product_lookup[Category],MATCH(RawWorking[[#This Row],[ProductID]],Product_lookup[ProductID],0)),"")</f>
        <v>Electronics</v>
      </c>
      <c r="L24" s="9" t="str">
        <f>IF(OR(RawWorking[[#This Row],[ShipDate]]="",RawWorking[[#This Row],[DeliveryDate]]=""),"",RawWorking[[#This Row],[DeliveryDate]]-RawWorking[[#This Row],[ShipDate]])</f>
        <v/>
      </c>
      <c r="M24" s="9">
        <f>IF(COUNTIF(INDEX(RawWorking[OrderID],1):RawWorking[[#This Row],[OrderID]],RawWorking[[#This Row],[OrderID]])=1,1,0)</f>
        <v>1</v>
      </c>
      <c r="N24" s="4">
        <f>IFERROR(RawWorking[[#This Row],[LineAmount]]/RawWorking[[#This Row],[Quantity]],"")</f>
        <v>183.74</v>
      </c>
    </row>
    <row r="25" spans="1:14">
      <c r="A25">
        <v>50024</v>
      </c>
      <c r="B25">
        <v>30019</v>
      </c>
      <c r="C25" s="2">
        <v>45696</v>
      </c>
      <c r="D25">
        <v>2227</v>
      </c>
      <c r="E25">
        <v>1002</v>
      </c>
      <c r="F25">
        <v>1</v>
      </c>
      <c r="G25">
        <v>118.6</v>
      </c>
      <c r="H25" s="2">
        <v>45697</v>
      </c>
      <c r="I25" s="2">
        <v>45705</v>
      </c>
      <c r="J25" t="s">
        <v>11</v>
      </c>
      <c r="K25" s="2" t="str">
        <f>IFERROR(INDEX(Product_lookup[Category],MATCH(RawWorking[[#This Row],[ProductID]],Product_lookup[ProductID],0)),"")</f>
        <v>Electronics</v>
      </c>
      <c r="L25" s="9">
        <f>IF(OR(RawWorking[[#This Row],[ShipDate]]="",RawWorking[[#This Row],[DeliveryDate]]=""),"",RawWorking[[#This Row],[DeliveryDate]]-RawWorking[[#This Row],[ShipDate]])</f>
        <v>8</v>
      </c>
      <c r="M25" s="9">
        <f>IF(COUNTIF(INDEX(RawWorking[OrderID],1):RawWorking[[#This Row],[OrderID]],RawWorking[[#This Row],[OrderID]])=1,1,0)</f>
        <v>1</v>
      </c>
      <c r="N25" s="4">
        <f>IFERROR(RawWorking[[#This Row],[LineAmount]]/RawWorking[[#This Row],[Quantity]],"")</f>
        <v>118.6</v>
      </c>
    </row>
    <row r="26" spans="1:14">
      <c r="A26">
        <v>50025</v>
      </c>
      <c r="B26">
        <v>30019</v>
      </c>
      <c r="C26" s="2">
        <v>45696</v>
      </c>
      <c r="D26">
        <v>2227</v>
      </c>
      <c r="E26">
        <v>1010</v>
      </c>
      <c r="F26">
        <v>4</v>
      </c>
      <c r="G26">
        <v>121.5</v>
      </c>
      <c r="H26" s="2">
        <v>45697</v>
      </c>
      <c r="I26" s="2">
        <v>45707</v>
      </c>
      <c r="J26" t="s">
        <v>11</v>
      </c>
      <c r="K26" s="2" t="str">
        <f>IFERROR(INDEX(Product_lookup[Category],MATCH(RawWorking[[#This Row],[ProductID]],Product_lookup[ProductID],0)),"")</f>
        <v>Office</v>
      </c>
      <c r="L26" s="9">
        <f>IF(OR(RawWorking[[#This Row],[ShipDate]]="",RawWorking[[#This Row],[DeliveryDate]]=""),"",RawWorking[[#This Row],[DeliveryDate]]-RawWorking[[#This Row],[ShipDate]])</f>
        <v>10</v>
      </c>
      <c r="M26" s="9">
        <f>IF(COUNTIF(INDEX(RawWorking[OrderID],1):RawWorking[[#This Row],[OrderID]],RawWorking[[#This Row],[OrderID]])=1,1,0)</f>
        <v>0</v>
      </c>
      <c r="N26" s="4">
        <f>IFERROR(RawWorking[[#This Row],[LineAmount]]/RawWorking[[#This Row],[Quantity]],"")</f>
        <v>30.375</v>
      </c>
    </row>
    <row r="27" spans="1:14">
      <c r="A27">
        <v>50026</v>
      </c>
      <c r="B27">
        <v>30020</v>
      </c>
      <c r="C27" s="2">
        <v>45713</v>
      </c>
      <c r="D27">
        <v>2470</v>
      </c>
      <c r="E27">
        <v>1001</v>
      </c>
      <c r="F27">
        <v>2</v>
      </c>
      <c r="G27">
        <v>203.04</v>
      </c>
      <c r="H27" s="2">
        <v>45714</v>
      </c>
      <c r="I27" s="2">
        <v>45718</v>
      </c>
      <c r="J27" t="s">
        <v>9</v>
      </c>
      <c r="K27" s="2" t="str">
        <f>IFERROR(INDEX(Product_lookup[Category],MATCH(RawWorking[[#This Row],[ProductID]],Product_lookup[ProductID],0)),"")</f>
        <v>Electronics</v>
      </c>
      <c r="L27" s="9">
        <f>IF(OR(RawWorking[[#This Row],[ShipDate]]="",RawWorking[[#This Row],[DeliveryDate]]=""),"",RawWorking[[#This Row],[DeliveryDate]]-RawWorking[[#This Row],[ShipDate]])</f>
        <v>4</v>
      </c>
      <c r="M27" s="9">
        <f>IF(COUNTIF(INDEX(RawWorking[OrderID],1):RawWorking[[#This Row],[OrderID]],RawWorking[[#This Row],[OrderID]])=1,1,0)</f>
        <v>1</v>
      </c>
      <c r="N27" s="4">
        <f>IFERROR(RawWorking[[#This Row],[LineAmount]]/RawWorking[[#This Row],[Quantity]],"")</f>
        <v>101.52</v>
      </c>
    </row>
    <row r="28" spans="1:14">
      <c r="A28">
        <v>50027</v>
      </c>
      <c r="B28">
        <v>30020</v>
      </c>
      <c r="C28" s="2">
        <v>45713</v>
      </c>
      <c r="D28">
        <v>2470</v>
      </c>
      <c r="E28">
        <v>1002</v>
      </c>
      <c r="F28">
        <v>1</v>
      </c>
      <c r="G28">
        <v>118.6</v>
      </c>
      <c r="H28" s="2">
        <v>45716</v>
      </c>
      <c r="I28" s="2">
        <v>45723</v>
      </c>
      <c r="J28" t="s">
        <v>9</v>
      </c>
      <c r="K28" s="2" t="str">
        <f>IFERROR(INDEX(Product_lookup[Category],MATCH(RawWorking[[#This Row],[ProductID]],Product_lookup[ProductID],0)),"")</f>
        <v>Electronics</v>
      </c>
      <c r="L28" s="9">
        <f>IF(OR(RawWorking[[#This Row],[ShipDate]]="",RawWorking[[#This Row],[DeliveryDate]]=""),"",RawWorking[[#This Row],[DeliveryDate]]-RawWorking[[#This Row],[ShipDate]])</f>
        <v>7</v>
      </c>
      <c r="M28" s="9">
        <f>IF(COUNTIF(INDEX(RawWorking[OrderID],1):RawWorking[[#This Row],[OrderID]],RawWorking[[#This Row],[OrderID]])=1,1,0)</f>
        <v>0</v>
      </c>
      <c r="N28" s="4">
        <f>IFERROR(RawWorking[[#This Row],[LineAmount]]/RawWorking[[#This Row],[Quantity]],"")</f>
        <v>118.6</v>
      </c>
    </row>
    <row r="29" spans="1:14">
      <c r="A29">
        <v>50028</v>
      </c>
      <c r="B29">
        <v>30021</v>
      </c>
      <c r="C29" s="2">
        <v>45879</v>
      </c>
      <c r="D29">
        <v>2491</v>
      </c>
      <c r="E29">
        <v>1014</v>
      </c>
      <c r="F29">
        <v>1</v>
      </c>
      <c r="G29">
        <v>215.34</v>
      </c>
      <c r="H29" s="2" t="s">
        <v>1421</v>
      </c>
      <c r="I29" s="2" t="s">
        <v>1421</v>
      </c>
      <c r="J29" t="s">
        <v>16</v>
      </c>
      <c r="K29" s="2" t="str">
        <f>IFERROR(INDEX(Product_lookup[Category],MATCH(RawWorking[[#This Row],[ProductID]],Product_lookup[ProductID],0)),"")</f>
        <v>Sports</v>
      </c>
      <c r="L29" s="9" t="str">
        <f>IF(OR(RawWorking[[#This Row],[ShipDate]]="",RawWorking[[#This Row],[DeliveryDate]]=""),"",RawWorking[[#This Row],[DeliveryDate]]-RawWorking[[#This Row],[ShipDate]])</f>
        <v/>
      </c>
      <c r="M29" s="9">
        <f>IF(COUNTIF(INDEX(RawWorking[OrderID],1):RawWorking[[#This Row],[OrderID]],RawWorking[[#This Row],[OrderID]])=1,1,0)</f>
        <v>1</v>
      </c>
      <c r="N29" s="4">
        <f>IFERROR(RawWorking[[#This Row],[LineAmount]]/RawWorking[[#This Row],[Quantity]],"")</f>
        <v>215.34</v>
      </c>
    </row>
    <row r="30" spans="1:14">
      <c r="A30">
        <v>50029</v>
      </c>
      <c r="B30">
        <v>30022</v>
      </c>
      <c r="C30" s="2">
        <v>45790</v>
      </c>
      <c r="D30">
        <v>2503</v>
      </c>
      <c r="E30">
        <v>1015</v>
      </c>
      <c r="F30">
        <v>3</v>
      </c>
      <c r="G30">
        <v>359.22</v>
      </c>
      <c r="H30" s="2">
        <v>45792</v>
      </c>
      <c r="I30" s="2">
        <v>45799</v>
      </c>
      <c r="J30" t="s">
        <v>9</v>
      </c>
      <c r="K30" s="2" t="str">
        <f>IFERROR(INDEX(Product_lookup[Category],MATCH(RawWorking[[#This Row],[ProductID]],Product_lookup[ProductID],0)),"")</f>
        <v>Sports</v>
      </c>
      <c r="L30" s="9">
        <f>IF(OR(RawWorking[[#This Row],[ShipDate]]="",RawWorking[[#This Row],[DeliveryDate]]=""),"",RawWorking[[#This Row],[DeliveryDate]]-RawWorking[[#This Row],[ShipDate]])</f>
        <v>7</v>
      </c>
      <c r="M30" s="9">
        <f>IF(COUNTIF(INDEX(RawWorking[OrderID],1):RawWorking[[#This Row],[OrderID]],RawWorking[[#This Row],[OrderID]])=1,1,0)</f>
        <v>1</v>
      </c>
      <c r="N30" s="4">
        <f>IFERROR(RawWorking[[#This Row],[LineAmount]]/RawWorking[[#This Row],[Quantity]],"")</f>
        <v>119.74000000000001</v>
      </c>
    </row>
    <row r="31" spans="1:14">
      <c r="A31">
        <v>50030</v>
      </c>
      <c r="B31">
        <v>30022</v>
      </c>
      <c r="C31" s="2">
        <v>45790</v>
      </c>
      <c r="D31">
        <v>2503</v>
      </c>
      <c r="E31">
        <v>1003</v>
      </c>
      <c r="F31">
        <v>1</v>
      </c>
      <c r="G31">
        <v>224.37</v>
      </c>
      <c r="H31" s="2">
        <v>45793</v>
      </c>
      <c r="I31" s="2">
        <v>45803</v>
      </c>
      <c r="J31" t="s">
        <v>9</v>
      </c>
      <c r="K31" s="2" t="str">
        <f>IFERROR(INDEX(Product_lookup[Category],MATCH(RawWorking[[#This Row],[ProductID]],Product_lookup[ProductID],0)),"")</f>
        <v>Electronics</v>
      </c>
      <c r="L31" s="9">
        <f>IF(OR(RawWorking[[#This Row],[ShipDate]]="",RawWorking[[#This Row],[DeliveryDate]]=""),"",RawWorking[[#This Row],[DeliveryDate]]-RawWorking[[#This Row],[ShipDate]])</f>
        <v>10</v>
      </c>
      <c r="M31" s="9">
        <f>IF(COUNTIF(INDEX(RawWorking[OrderID],1):RawWorking[[#This Row],[OrderID]],RawWorking[[#This Row],[OrderID]])=1,1,0)</f>
        <v>0</v>
      </c>
      <c r="N31" s="4">
        <f>IFERROR(RawWorking[[#This Row],[LineAmount]]/RawWorking[[#This Row],[Quantity]],"")</f>
        <v>224.37</v>
      </c>
    </row>
    <row r="32" spans="1:14">
      <c r="A32">
        <v>50031</v>
      </c>
      <c r="B32">
        <v>30022</v>
      </c>
      <c r="C32" s="2">
        <v>45790</v>
      </c>
      <c r="D32">
        <v>2503</v>
      </c>
      <c r="E32">
        <v>1003</v>
      </c>
      <c r="F32">
        <v>2</v>
      </c>
      <c r="G32">
        <v>448.74</v>
      </c>
      <c r="H32" s="2">
        <v>45791</v>
      </c>
      <c r="I32" s="2">
        <v>45799</v>
      </c>
      <c r="J32" t="s">
        <v>9</v>
      </c>
      <c r="K32" s="2" t="str">
        <f>IFERROR(INDEX(Product_lookup[Category],MATCH(RawWorking[[#This Row],[ProductID]],Product_lookup[ProductID],0)),"")</f>
        <v>Electronics</v>
      </c>
      <c r="L32" s="9">
        <f>IF(OR(RawWorking[[#This Row],[ShipDate]]="",RawWorking[[#This Row],[DeliveryDate]]=""),"",RawWorking[[#This Row],[DeliveryDate]]-RawWorking[[#This Row],[ShipDate]])</f>
        <v>8</v>
      </c>
      <c r="M32" s="9">
        <f>IF(COUNTIF(INDEX(RawWorking[OrderID],1):RawWorking[[#This Row],[OrderID]],RawWorking[[#This Row],[OrderID]])=1,1,0)</f>
        <v>0</v>
      </c>
      <c r="N32" s="4">
        <f>IFERROR(RawWorking[[#This Row],[LineAmount]]/RawWorking[[#This Row],[Quantity]],"")</f>
        <v>224.37</v>
      </c>
    </row>
    <row r="33" spans="1:14">
      <c r="A33">
        <v>50032</v>
      </c>
      <c r="B33">
        <v>30022</v>
      </c>
      <c r="C33" s="2">
        <v>45790</v>
      </c>
      <c r="D33">
        <v>2503</v>
      </c>
      <c r="E33">
        <v>1011</v>
      </c>
      <c r="F33">
        <v>1</v>
      </c>
      <c r="G33">
        <v>101.44</v>
      </c>
      <c r="H33" s="2">
        <v>45793</v>
      </c>
      <c r="I33" s="2">
        <v>45796</v>
      </c>
      <c r="J33" t="s">
        <v>9</v>
      </c>
      <c r="K33" s="2" t="str">
        <f>IFERROR(INDEX(Product_lookup[Category],MATCH(RawWorking[[#This Row],[ProductID]],Product_lookup[ProductID],0)),"")</f>
        <v>Office</v>
      </c>
      <c r="L33" s="9">
        <f>IF(OR(RawWorking[[#This Row],[ShipDate]]="",RawWorking[[#This Row],[DeliveryDate]]=""),"",RawWorking[[#This Row],[DeliveryDate]]-RawWorking[[#This Row],[ShipDate]])</f>
        <v>3</v>
      </c>
      <c r="M33" s="9">
        <f>IF(COUNTIF(INDEX(RawWorking[OrderID],1):RawWorking[[#This Row],[OrderID]],RawWorking[[#This Row],[OrderID]])=1,1,0)</f>
        <v>0</v>
      </c>
      <c r="N33" s="4">
        <f>IFERROR(RawWorking[[#This Row],[LineAmount]]/RawWorking[[#This Row],[Quantity]],"")</f>
        <v>101.44</v>
      </c>
    </row>
    <row r="34" spans="1:14">
      <c r="A34">
        <v>50033</v>
      </c>
      <c r="B34">
        <v>30023</v>
      </c>
      <c r="C34" s="2">
        <v>45686</v>
      </c>
      <c r="D34">
        <v>2152</v>
      </c>
      <c r="E34">
        <v>1009</v>
      </c>
      <c r="F34">
        <v>1</v>
      </c>
      <c r="G34">
        <v>40.28</v>
      </c>
      <c r="H34" s="2">
        <v>45687</v>
      </c>
      <c r="I34" s="2">
        <v>45695</v>
      </c>
      <c r="J34" t="s">
        <v>9</v>
      </c>
      <c r="K34" s="2" t="str">
        <f>IFERROR(INDEX(Product_lookup[Category],MATCH(RawWorking[[#This Row],[ProductID]],Product_lookup[ProductID],0)),"")</f>
        <v>Home</v>
      </c>
      <c r="L34" s="9">
        <f>IF(OR(RawWorking[[#This Row],[ShipDate]]="",RawWorking[[#This Row],[DeliveryDate]]=""),"",RawWorking[[#This Row],[DeliveryDate]]-RawWorking[[#This Row],[ShipDate]])</f>
        <v>8</v>
      </c>
      <c r="M34" s="9">
        <f>IF(COUNTIF(INDEX(RawWorking[OrderID],1):RawWorking[[#This Row],[OrderID]],RawWorking[[#This Row],[OrderID]])=1,1,0)</f>
        <v>1</v>
      </c>
      <c r="N34" s="4">
        <f>IFERROR(RawWorking[[#This Row],[LineAmount]]/RawWorking[[#This Row],[Quantity]],"")</f>
        <v>40.28</v>
      </c>
    </row>
    <row r="35" spans="1:14">
      <c r="A35">
        <v>50034</v>
      </c>
      <c r="B35">
        <v>30023</v>
      </c>
      <c r="C35" s="2">
        <v>45686</v>
      </c>
      <c r="D35">
        <v>2152</v>
      </c>
      <c r="E35">
        <v>1011</v>
      </c>
      <c r="F35">
        <v>1</v>
      </c>
      <c r="G35">
        <v>101.44</v>
      </c>
      <c r="H35" s="2">
        <v>45687</v>
      </c>
      <c r="I35" s="2">
        <v>45696</v>
      </c>
      <c r="J35" t="s">
        <v>9</v>
      </c>
      <c r="K35" s="2" t="str">
        <f>IFERROR(INDEX(Product_lookup[Category],MATCH(RawWorking[[#This Row],[ProductID]],Product_lookup[ProductID],0)),"")</f>
        <v>Office</v>
      </c>
      <c r="L35" s="9">
        <f>IF(OR(RawWorking[[#This Row],[ShipDate]]="",RawWorking[[#This Row],[DeliveryDate]]=""),"",RawWorking[[#This Row],[DeliveryDate]]-RawWorking[[#This Row],[ShipDate]])</f>
        <v>9</v>
      </c>
      <c r="M35" s="9">
        <f>IF(COUNTIF(INDEX(RawWorking[OrderID],1):RawWorking[[#This Row],[OrderID]],RawWorking[[#This Row],[OrderID]])=1,1,0)</f>
        <v>0</v>
      </c>
      <c r="N35" s="4">
        <f>IFERROR(RawWorking[[#This Row],[LineAmount]]/RawWorking[[#This Row],[Quantity]],"")</f>
        <v>101.44</v>
      </c>
    </row>
    <row r="36" spans="1:14">
      <c r="A36">
        <v>50035</v>
      </c>
      <c r="B36">
        <v>30023</v>
      </c>
      <c r="C36" s="2">
        <v>45686</v>
      </c>
      <c r="D36">
        <v>2152</v>
      </c>
      <c r="E36">
        <v>1013</v>
      </c>
      <c r="F36">
        <v>1</v>
      </c>
      <c r="G36">
        <v>170.25</v>
      </c>
      <c r="H36" s="2">
        <v>45688</v>
      </c>
      <c r="I36" s="2">
        <v>45693</v>
      </c>
      <c r="J36" t="s">
        <v>9</v>
      </c>
      <c r="K36" s="2" t="str">
        <f>IFERROR(INDEX(Product_lookup[Category],MATCH(RawWorking[[#This Row],[ProductID]],Product_lookup[ProductID],0)),"")</f>
        <v>Office</v>
      </c>
      <c r="L36" s="9">
        <f>IF(OR(RawWorking[[#This Row],[ShipDate]]="",RawWorking[[#This Row],[DeliveryDate]]=""),"",RawWorking[[#This Row],[DeliveryDate]]-RawWorking[[#This Row],[ShipDate]])</f>
        <v>5</v>
      </c>
      <c r="M36" s="9">
        <f>IF(COUNTIF(INDEX(RawWorking[OrderID],1):RawWorking[[#This Row],[OrderID]],RawWorking[[#This Row],[OrderID]])=1,1,0)</f>
        <v>0</v>
      </c>
      <c r="N36" s="4">
        <f>IFERROR(RawWorking[[#This Row],[LineAmount]]/RawWorking[[#This Row],[Quantity]],"")</f>
        <v>170.25</v>
      </c>
    </row>
    <row r="37" spans="1:14">
      <c r="A37">
        <v>50036</v>
      </c>
      <c r="B37">
        <v>30024</v>
      </c>
      <c r="C37" s="2">
        <v>45970</v>
      </c>
      <c r="D37">
        <v>2544</v>
      </c>
      <c r="E37">
        <v>1014</v>
      </c>
      <c r="F37">
        <v>2</v>
      </c>
      <c r="G37">
        <v>430.68</v>
      </c>
      <c r="H37" s="2">
        <v>45972</v>
      </c>
      <c r="I37" s="2">
        <v>45977</v>
      </c>
      <c r="J37" t="s">
        <v>9</v>
      </c>
      <c r="K37" s="2" t="str">
        <f>IFERROR(INDEX(Product_lookup[Category],MATCH(RawWorking[[#This Row],[ProductID]],Product_lookup[ProductID],0)),"")</f>
        <v>Sports</v>
      </c>
      <c r="L37" s="9">
        <f>IF(OR(RawWorking[[#This Row],[ShipDate]]="",RawWorking[[#This Row],[DeliveryDate]]=""),"",RawWorking[[#This Row],[DeliveryDate]]-RawWorking[[#This Row],[ShipDate]])</f>
        <v>5</v>
      </c>
      <c r="M37" s="9">
        <f>IF(COUNTIF(INDEX(RawWorking[OrderID],1):RawWorking[[#This Row],[OrderID]],RawWorking[[#This Row],[OrderID]])=1,1,0)</f>
        <v>1</v>
      </c>
      <c r="N37" s="4">
        <f>IFERROR(RawWorking[[#This Row],[LineAmount]]/RawWorking[[#This Row],[Quantity]],"")</f>
        <v>215.34</v>
      </c>
    </row>
    <row r="38" spans="1:14">
      <c r="A38">
        <v>50037</v>
      </c>
      <c r="B38">
        <v>30024</v>
      </c>
      <c r="C38" s="2">
        <v>45970</v>
      </c>
      <c r="D38">
        <v>2544</v>
      </c>
      <c r="E38">
        <v>1004</v>
      </c>
      <c r="F38">
        <v>2</v>
      </c>
      <c r="G38">
        <v>367.48</v>
      </c>
      <c r="H38" s="2">
        <v>45971</v>
      </c>
      <c r="I38" s="2">
        <v>45977</v>
      </c>
      <c r="J38" t="s">
        <v>9</v>
      </c>
      <c r="K38" s="2" t="str">
        <f>IFERROR(INDEX(Product_lookup[Category],MATCH(RawWorking[[#This Row],[ProductID]],Product_lookup[ProductID],0)),"")</f>
        <v>Electronics</v>
      </c>
      <c r="L38" s="9">
        <f>IF(OR(RawWorking[[#This Row],[ShipDate]]="",RawWorking[[#This Row],[DeliveryDate]]=""),"",RawWorking[[#This Row],[DeliveryDate]]-RawWorking[[#This Row],[ShipDate]])</f>
        <v>6</v>
      </c>
      <c r="M38" s="9">
        <f>IF(COUNTIF(INDEX(RawWorking[OrderID],1):RawWorking[[#This Row],[OrderID]],RawWorking[[#This Row],[OrderID]])=1,1,0)</f>
        <v>0</v>
      </c>
      <c r="N38" s="4">
        <f>IFERROR(RawWorking[[#This Row],[LineAmount]]/RawWorking[[#This Row],[Quantity]],"")</f>
        <v>183.74</v>
      </c>
    </row>
    <row r="39" spans="1:14">
      <c r="A39">
        <v>50038</v>
      </c>
      <c r="B39">
        <v>30025</v>
      </c>
      <c r="C39" s="2">
        <v>45749</v>
      </c>
      <c r="D39">
        <v>2118</v>
      </c>
      <c r="E39">
        <v>1007</v>
      </c>
      <c r="F39">
        <v>1</v>
      </c>
      <c r="G39">
        <v>199.81</v>
      </c>
      <c r="H39" s="2" t="s">
        <v>1421</v>
      </c>
      <c r="I39" s="2" t="s">
        <v>1421</v>
      </c>
      <c r="J39" t="s">
        <v>16</v>
      </c>
      <c r="K39" s="2" t="str">
        <f>IFERROR(INDEX(Product_lookup[Category],MATCH(RawWorking[[#This Row],[ProductID]],Product_lookup[ProductID],0)),"")</f>
        <v>Home</v>
      </c>
      <c r="L39" s="9" t="str">
        <f>IF(OR(RawWorking[[#This Row],[ShipDate]]="",RawWorking[[#This Row],[DeliveryDate]]=""),"",RawWorking[[#This Row],[DeliveryDate]]-RawWorking[[#This Row],[ShipDate]])</f>
        <v/>
      </c>
      <c r="M39" s="9">
        <f>IF(COUNTIF(INDEX(RawWorking[OrderID],1):RawWorking[[#This Row],[OrderID]],RawWorking[[#This Row],[OrderID]])=1,1,0)</f>
        <v>1</v>
      </c>
      <c r="N39" s="4">
        <f>IFERROR(RawWorking[[#This Row],[LineAmount]]/RawWorking[[#This Row],[Quantity]],"")</f>
        <v>199.81</v>
      </c>
    </row>
    <row r="40" spans="1:14">
      <c r="A40">
        <v>50039</v>
      </c>
      <c r="B40">
        <v>30026</v>
      </c>
      <c r="C40" s="2">
        <v>45895</v>
      </c>
      <c r="D40">
        <v>2234</v>
      </c>
      <c r="E40">
        <v>1015</v>
      </c>
      <c r="F40">
        <v>1</v>
      </c>
      <c r="G40">
        <v>119.74</v>
      </c>
      <c r="H40" s="2">
        <v>45896</v>
      </c>
      <c r="I40" s="2">
        <v>45900</v>
      </c>
      <c r="J40" t="s">
        <v>9</v>
      </c>
      <c r="K40" s="2" t="str">
        <f>IFERROR(INDEX(Product_lookup[Category],MATCH(RawWorking[[#This Row],[ProductID]],Product_lookup[ProductID],0)),"")</f>
        <v>Sports</v>
      </c>
      <c r="L40" s="9">
        <f>IF(OR(RawWorking[[#This Row],[ShipDate]]="",RawWorking[[#This Row],[DeliveryDate]]=""),"",RawWorking[[#This Row],[DeliveryDate]]-RawWorking[[#This Row],[ShipDate]])</f>
        <v>4</v>
      </c>
      <c r="M40" s="9">
        <f>IF(COUNTIF(INDEX(RawWorking[OrderID],1):RawWorking[[#This Row],[OrderID]],RawWorking[[#This Row],[OrderID]])=1,1,0)</f>
        <v>1</v>
      </c>
      <c r="N40" s="4">
        <f>IFERROR(RawWorking[[#This Row],[LineAmount]]/RawWorking[[#This Row],[Quantity]],"")</f>
        <v>119.74</v>
      </c>
    </row>
    <row r="41" spans="1:14">
      <c r="A41">
        <v>50040</v>
      </c>
      <c r="B41">
        <v>30027</v>
      </c>
      <c r="C41" s="2">
        <v>45899</v>
      </c>
      <c r="D41">
        <v>2409</v>
      </c>
      <c r="E41">
        <v>1004</v>
      </c>
      <c r="F41">
        <v>2</v>
      </c>
      <c r="G41">
        <v>367.48</v>
      </c>
      <c r="H41" s="2">
        <v>45900</v>
      </c>
      <c r="I41" s="2">
        <v>45908</v>
      </c>
      <c r="J41" t="s">
        <v>9</v>
      </c>
      <c r="K41" s="2" t="str">
        <f>IFERROR(INDEX(Product_lookup[Category],MATCH(RawWorking[[#This Row],[ProductID]],Product_lookup[ProductID],0)),"")</f>
        <v>Electronics</v>
      </c>
      <c r="L41" s="9">
        <f>IF(OR(RawWorking[[#This Row],[ShipDate]]="",RawWorking[[#This Row],[DeliveryDate]]=""),"",RawWorking[[#This Row],[DeliveryDate]]-RawWorking[[#This Row],[ShipDate]])</f>
        <v>8</v>
      </c>
      <c r="M41" s="9">
        <f>IF(COUNTIF(INDEX(RawWorking[OrderID],1):RawWorking[[#This Row],[OrderID]],RawWorking[[#This Row],[OrderID]])=1,1,0)</f>
        <v>1</v>
      </c>
      <c r="N41" s="4">
        <f>IFERROR(RawWorking[[#This Row],[LineAmount]]/RawWorking[[#This Row],[Quantity]],"")</f>
        <v>183.74</v>
      </c>
    </row>
    <row r="42" spans="1:14">
      <c r="A42">
        <v>50041</v>
      </c>
      <c r="B42">
        <v>30028</v>
      </c>
      <c r="C42" s="2">
        <v>45720</v>
      </c>
      <c r="D42">
        <v>2321</v>
      </c>
      <c r="E42">
        <v>1009</v>
      </c>
      <c r="F42">
        <v>2</v>
      </c>
      <c r="G42">
        <v>80.56</v>
      </c>
      <c r="H42" s="2">
        <v>45722</v>
      </c>
      <c r="I42" s="2">
        <v>45726</v>
      </c>
      <c r="J42" t="s">
        <v>9</v>
      </c>
      <c r="K42" s="2" t="str">
        <f>IFERROR(INDEX(Product_lookup[Category],MATCH(RawWorking[[#This Row],[ProductID]],Product_lookup[ProductID],0)),"")</f>
        <v>Home</v>
      </c>
      <c r="L42" s="9">
        <f>IF(OR(RawWorking[[#This Row],[ShipDate]]="",RawWorking[[#This Row],[DeliveryDate]]=""),"",RawWorking[[#This Row],[DeliveryDate]]-RawWorking[[#This Row],[ShipDate]])</f>
        <v>4</v>
      </c>
      <c r="M42" s="9">
        <f>IF(COUNTIF(INDEX(RawWorking[OrderID],1):RawWorking[[#This Row],[OrderID]],RawWorking[[#This Row],[OrderID]])=1,1,0)</f>
        <v>1</v>
      </c>
      <c r="N42" s="4">
        <f>IFERROR(RawWorking[[#This Row],[LineAmount]]/RawWorking[[#This Row],[Quantity]],"")</f>
        <v>40.28</v>
      </c>
    </row>
    <row r="43" spans="1:14">
      <c r="A43">
        <v>50042</v>
      </c>
      <c r="B43">
        <v>30028</v>
      </c>
      <c r="C43" s="2">
        <v>45720</v>
      </c>
      <c r="D43">
        <v>2321</v>
      </c>
      <c r="E43">
        <v>1012</v>
      </c>
      <c r="F43">
        <v>2</v>
      </c>
      <c r="G43">
        <v>483.08</v>
      </c>
      <c r="H43" s="2">
        <v>45721</v>
      </c>
      <c r="I43" s="2">
        <v>45722</v>
      </c>
      <c r="J43" t="s">
        <v>9</v>
      </c>
      <c r="K43" s="2" t="str">
        <f>IFERROR(INDEX(Product_lookup[Category],MATCH(RawWorking[[#This Row],[ProductID]],Product_lookup[ProductID],0)),"")</f>
        <v>Office</v>
      </c>
      <c r="L43" s="9">
        <f>IF(OR(RawWorking[[#This Row],[ShipDate]]="",RawWorking[[#This Row],[DeliveryDate]]=""),"",RawWorking[[#This Row],[DeliveryDate]]-RawWorking[[#This Row],[ShipDate]])</f>
        <v>1</v>
      </c>
      <c r="M43" s="9">
        <f>IF(COUNTIF(INDEX(RawWorking[OrderID],1):RawWorking[[#This Row],[OrderID]],RawWorking[[#This Row],[OrderID]])=1,1,0)</f>
        <v>0</v>
      </c>
      <c r="N43" s="4">
        <f>IFERROR(RawWorking[[#This Row],[LineAmount]]/RawWorking[[#This Row],[Quantity]],"")</f>
        <v>241.54</v>
      </c>
    </row>
    <row r="44" spans="1:14">
      <c r="A44">
        <v>50043</v>
      </c>
      <c r="B44">
        <v>30028</v>
      </c>
      <c r="C44" s="2">
        <v>45720</v>
      </c>
      <c r="D44">
        <v>2321</v>
      </c>
      <c r="E44">
        <v>1005</v>
      </c>
      <c r="F44">
        <v>4</v>
      </c>
      <c r="G44">
        <v>126.92</v>
      </c>
      <c r="H44" s="2">
        <v>45722</v>
      </c>
      <c r="I44" s="2">
        <v>45727</v>
      </c>
      <c r="J44" t="s">
        <v>9</v>
      </c>
      <c r="K44" s="2" t="str">
        <f>IFERROR(INDEX(Product_lookup[Category],MATCH(RawWorking[[#This Row],[ProductID]],Product_lookup[ProductID],0)),"")</f>
        <v>Electronics</v>
      </c>
      <c r="L44" s="9">
        <f>IF(OR(RawWorking[[#This Row],[ShipDate]]="",RawWorking[[#This Row],[DeliveryDate]]=""),"",RawWorking[[#This Row],[DeliveryDate]]-RawWorking[[#This Row],[ShipDate]])</f>
        <v>5</v>
      </c>
      <c r="M44" s="9">
        <f>IF(COUNTIF(INDEX(RawWorking[OrderID],1):RawWorking[[#This Row],[OrderID]],RawWorking[[#This Row],[OrderID]])=1,1,0)</f>
        <v>0</v>
      </c>
      <c r="N44" s="4">
        <f>IFERROR(RawWorking[[#This Row],[LineAmount]]/RawWorking[[#This Row],[Quantity]],"")</f>
        <v>31.73</v>
      </c>
    </row>
    <row r="45" spans="1:14">
      <c r="A45">
        <v>50044</v>
      </c>
      <c r="B45">
        <v>30029</v>
      </c>
      <c r="C45" s="2">
        <v>45828</v>
      </c>
      <c r="D45">
        <v>2486</v>
      </c>
      <c r="E45">
        <v>1003</v>
      </c>
      <c r="F45">
        <v>1</v>
      </c>
      <c r="G45">
        <v>224.37</v>
      </c>
      <c r="H45" s="2">
        <v>45831</v>
      </c>
      <c r="I45" s="2">
        <v>45838</v>
      </c>
      <c r="J45" t="s">
        <v>9</v>
      </c>
      <c r="K45" s="2" t="str">
        <f>IFERROR(INDEX(Product_lookup[Category],MATCH(RawWorking[[#This Row],[ProductID]],Product_lookup[ProductID],0)),"")</f>
        <v>Electronics</v>
      </c>
      <c r="L45" s="9">
        <f>IF(OR(RawWorking[[#This Row],[ShipDate]]="",RawWorking[[#This Row],[DeliveryDate]]=""),"",RawWorking[[#This Row],[DeliveryDate]]-RawWorking[[#This Row],[ShipDate]])</f>
        <v>7</v>
      </c>
      <c r="M45" s="9">
        <f>IF(COUNTIF(INDEX(RawWorking[OrderID],1):RawWorking[[#This Row],[OrderID]],RawWorking[[#This Row],[OrderID]])=1,1,0)</f>
        <v>1</v>
      </c>
      <c r="N45" s="4">
        <f>IFERROR(RawWorking[[#This Row],[LineAmount]]/RawWorking[[#This Row],[Quantity]],"")</f>
        <v>224.37</v>
      </c>
    </row>
    <row r="46" spans="1:14">
      <c r="A46">
        <v>50045</v>
      </c>
      <c r="B46">
        <v>30030</v>
      </c>
      <c r="C46" s="2">
        <v>45837</v>
      </c>
      <c r="D46">
        <v>2096</v>
      </c>
      <c r="E46">
        <v>1012</v>
      </c>
      <c r="F46">
        <v>1</v>
      </c>
      <c r="G46">
        <v>241.54</v>
      </c>
      <c r="H46" s="2">
        <v>45839</v>
      </c>
      <c r="I46" s="2">
        <v>45844</v>
      </c>
      <c r="J46" t="s">
        <v>9</v>
      </c>
      <c r="K46" s="2" t="str">
        <f>IFERROR(INDEX(Product_lookup[Category],MATCH(RawWorking[[#This Row],[ProductID]],Product_lookup[ProductID],0)),"")</f>
        <v>Office</v>
      </c>
      <c r="L46" s="9">
        <f>IF(OR(RawWorking[[#This Row],[ShipDate]]="",RawWorking[[#This Row],[DeliveryDate]]=""),"",RawWorking[[#This Row],[DeliveryDate]]-RawWorking[[#This Row],[ShipDate]])</f>
        <v>5</v>
      </c>
      <c r="M46" s="9">
        <f>IF(COUNTIF(INDEX(RawWorking[OrderID],1):RawWorking[[#This Row],[OrderID]],RawWorking[[#This Row],[OrderID]])=1,1,0)</f>
        <v>1</v>
      </c>
      <c r="N46" s="4">
        <f>IFERROR(RawWorking[[#This Row],[LineAmount]]/RawWorking[[#This Row],[Quantity]],"")</f>
        <v>241.54</v>
      </c>
    </row>
    <row r="47" spans="1:14">
      <c r="A47">
        <v>50046</v>
      </c>
      <c r="B47">
        <v>30030</v>
      </c>
      <c r="C47" s="2">
        <v>45837</v>
      </c>
      <c r="D47">
        <v>2096</v>
      </c>
      <c r="E47">
        <v>1005</v>
      </c>
      <c r="F47">
        <v>1</v>
      </c>
      <c r="G47">
        <v>31.73</v>
      </c>
      <c r="H47" s="2">
        <v>45840</v>
      </c>
      <c r="I47" s="2">
        <v>45844</v>
      </c>
      <c r="J47" t="s">
        <v>9</v>
      </c>
      <c r="K47" s="2" t="str">
        <f>IFERROR(INDEX(Product_lookup[Category],MATCH(RawWorking[[#This Row],[ProductID]],Product_lookup[ProductID],0)),"")</f>
        <v>Electronics</v>
      </c>
      <c r="L47" s="9">
        <f>IF(OR(RawWorking[[#This Row],[ShipDate]]="",RawWorking[[#This Row],[DeliveryDate]]=""),"",RawWorking[[#This Row],[DeliveryDate]]-RawWorking[[#This Row],[ShipDate]])</f>
        <v>4</v>
      </c>
      <c r="M47" s="9">
        <f>IF(COUNTIF(INDEX(RawWorking[OrderID],1):RawWorking[[#This Row],[OrderID]],RawWorking[[#This Row],[OrderID]])=1,1,0)</f>
        <v>0</v>
      </c>
      <c r="N47" s="4">
        <f>IFERROR(RawWorking[[#This Row],[LineAmount]]/RawWorking[[#This Row],[Quantity]],"")</f>
        <v>31.73</v>
      </c>
    </row>
    <row r="48" spans="1:14">
      <c r="A48">
        <v>50047</v>
      </c>
      <c r="B48">
        <v>30030</v>
      </c>
      <c r="C48" s="2">
        <v>45837</v>
      </c>
      <c r="D48">
        <v>2096</v>
      </c>
      <c r="E48">
        <v>1002</v>
      </c>
      <c r="F48">
        <v>1</v>
      </c>
      <c r="G48">
        <v>118.6</v>
      </c>
      <c r="H48" s="2">
        <v>45840</v>
      </c>
      <c r="I48" s="2">
        <v>45845</v>
      </c>
      <c r="J48" t="s">
        <v>9</v>
      </c>
      <c r="K48" s="2" t="str">
        <f>IFERROR(INDEX(Product_lookup[Category],MATCH(RawWorking[[#This Row],[ProductID]],Product_lookup[ProductID],0)),"")</f>
        <v>Electronics</v>
      </c>
      <c r="L48" s="9">
        <f>IF(OR(RawWorking[[#This Row],[ShipDate]]="",RawWorking[[#This Row],[DeliveryDate]]=""),"",RawWorking[[#This Row],[DeliveryDate]]-RawWorking[[#This Row],[ShipDate]])</f>
        <v>5</v>
      </c>
      <c r="M48" s="9">
        <f>IF(COUNTIF(INDEX(RawWorking[OrderID],1):RawWorking[[#This Row],[OrderID]],RawWorking[[#This Row],[OrderID]])=1,1,0)</f>
        <v>0</v>
      </c>
      <c r="N48" s="4">
        <f>IFERROR(RawWorking[[#This Row],[LineAmount]]/RawWorking[[#This Row],[Quantity]],"")</f>
        <v>118.6</v>
      </c>
    </row>
    <row r="49" spans="1:14">
      <c r="A49">
        <v>50048</v>
      </c>
      <c r="B49">
        <v>30031</v>
      </c>
      <c r="C49" s="2">
        <v>45761</v>
      </c>
      <c r="D49">
        <v>2576</v>
      </c>
      <c r="E49">
        <v>1004</v>
      </c>
      <c r="F49">
        <v>3</v>
      </c>
      <c r="G49">
        <v>551.22</v>
      </c>
      <c r="H49" s="2">
        <v>45762</v>
      </c>
      <c r="I49" s="2">
        <v>45768</v>
      </c>
      <c r="J49" t="s">
        <v>9</v>
      </c>
      <c r="K49" s="2" t="str">
        <f>IFERROR(INDEX(Product_lookup[Category],MATCH(RawWorking[[#This Row],[ProductID]],Product_lookup[ProductID],0)),"")</f>
        <v>Electronics</v>
      </c>
      <c r="L49" s="9">
        <f>IF(OR(RawWorking[[#This Row],[ShipDate]]="",RawWorking[[#This Row],[DeliveryDate]]=""),"",RawWorking[[#This Row],[DeliveryDate]]-RawWorking[[#This Row],[ShipDate]])</f>
        <v>6</v>
      </c>
      <c r="M49" s="9">
        <f>IF(COUNTIF(INDEX(RawWorking[OrderID],1):RawWorking[[#This Row],[OrderID]],RawWorking[[#This Row],[OrderID]])=1,1,0)</f>
        <v>1</v>
      </c>
      <c r="N49" s="4">
        <f>IFERROR(RawWorking[[#This Row],[LineAmount]]/RawWorking[[#This Row],[Quantity]],"")</f>
        <v>183.74</v>
      </c>
    </row>
    <row r="50" spans="1:14">
      <c r="A50">
        <v>50049</v>
      </c>
      <c r="B50">
        <v>30031</v>
      </c>
      <c r="C50" s="2">
        <v>45761</v>
      </c>
      <c r="D50">
        <v>2576</v>
      </c>
      <c r="E50">
        <v>1014</v>
      </c>
      <c r="F50">
        <v>1</v>
      </c>
      <c r="G50">
        <v>215.34</v>
      </c>
      <c r="H50" s="2">
        <v>45762</v>
      </c>
      <c r="I50" s="2">
        <v>45766</v>
      </c>
      <c r="J50" t="s">
        <v>9</v>
      </c>
      <c r="K50" s="2" t="str">
        <f>IFERROR(INDEX(Product_lookup[Category],MATCH(RawWorking[[#This Row],[ProductID]],Product_lookup[ProductID],0)),"")</f>
        <v>Sports</v>
      </c>
      <c r="L50" s="9">
        <f>IF(OR(RawWorking[[#This Row],[ShipDate]]="",RawWorking[[#This Row],[DeliveryDate]]=""),"",RawWorking[[#This Row],[DeliveryDate]]-RawWorking[[#This Row],[ShipDate]])</f>
        <v>4</v>
      </c>
      <c r="M50" s="9">
        <f>IF(COUNTIF(INDEX(RawWorking[OrderID],1):RawWorking[[#This Row],[OrderID]],RawWorking[[#This Row],[OrderID]])=1,1,0)</f>
        <v>0</v>
      </c>
      <c r="N50" s="4">
        <f>IFERROR(RawWorking[[#This Row],[LineAmount]]/RawWorking[[#This Row],[Quantity]],"")</f>
        <v>215.34</v>
      </c>
    </row>
    <row r="51" spans="1:14">
      <c r="A51">
        <v>50050</v>
      </c>
      <c r="B51">
        <v>30031</v>
      </c>
      <c r="C51" s="2">
        <v>45761</v>
      </c>
      <c r="D51">
        <v>2576</v>
      </c>
      <c r="E51">
        <v>1012</v>
      </c>
      <c r="F51">
        <v>2</v>
      </c>
      <c r="G51">
        <v>483.08</v>
      </c>
      <c r="H51" s="2">
        <v>45762</v>
      </c>
      <c r="I51" s="2">
        <v>45764</v>
      </c>
      <c r="J51" t="s">
        <v>9</v>
      </c>
      <c r="K51" s="2" t="str">
        <f>IFERROR(INDEX(Product_lookup[Category],MATCH(RawWorking[[#This Row],[ProductID]],Product_lookup[ProductID],0)),"")</f>
        <v>Office</v>
      </c>
      <c r="L51" s="9">
        <f>IF(OR(RawWorking[[#This Row],[ShipDate]]="",RawWorking[[#This Row],[DeliveryDate]]=""),"",RawWorking[[#This Row],[DeliveryDate]]-RawWorking[[#This Row],[ShipDate]])</f>
        <v>2</v>
      </c>
      <c r="M51" s="9">
        <f>IF(COUNTIF(INDEX(RawWorking[OrderID],1):RawWorking[[#This Row],[OrderID]],RawWorking[[#This Row],[OrderID]])=1,1,0)</f>
        <v>0</v>
      </c>
      <c r="N51" s="4">
        <f>IFERROR(RawWorking[[#This Row],[LineAmount]]/RawWorking[[#This Row],[Quantity]],"")</f>
        <v>241.54</v>
      </c>
    </row>
    <row r="52" spans="1:14">
      <c r="A52">
        <v>50051</v>
      </c>
      <c r="B52">
        <v>30032</v>
      </c>
      <c r="C52" s="2">
        <v>45760</v>
      </c>
      <c r="D52">
        <v>2434</v>
      </c>
      <c r="E52">
        <v>1002</v>
      </c>
      <c r="F52">
        <v>2</v>
      </c>
      <c r="G52">
        <v>237.2</v>
      </c>
      <c r="H52" s="2" t="s">
        <v>1421</v>
      </c>
      <c r="I52" s="2" t="s">
        <v>1421</v>
      </c>
      <c r="J52" t="s">
        <v>12</v>
      </c>
      <c r="K52" s="2" t="str">
        <f>IFERROR(INDEX(Product_lookup[Category],MATCH(RawWorking[[#This Row],[ProductID]],Product_lookup[ProductID],0)),"")</f>
        <v>Electronics</v>
      </c>
      <c r="L52" s="9" t="str">
        <f>IF(OR(RawWorking[[#This Row],[ShipDate]]="",RawWorking[[#This Row],[DeliveryDate]]=""),"",RawWorking[[#This Row],[DeliveryDate]]-RawWorking[[#This Row],[ShipDate]])</f>
        <v/>
      </c>
      <c r="M52" s="9">
        <f>IF(COUNTIF(INDEX(RawWorking[OrderID],1):RawWorking[[#This Row],[OrderID]],RawWorking[[#This Row],[OrderID]])=1,1,0)</f>
        <v>1</v>
      </c>
      <c r="N52" s="4">
        <f>IFERROR(RawWorking[[#This Row],[LineAmount]]/RawWorking[[#This Row],[Quantity]],"")</f>
        <v>118.6</v>
      </c>
    </row>
    <row r="53" spans="1:14">
      <c r="A53">
        <v>50052</v>
      </c>
      <c r="B53">
        <v>30032</v>
      </c>
      <c r="C53" s="2">
        <v>45760</v>
      </c>
      <c r="D53">
        <v>2434</v>
      </c>
      <c r="E53">
        <v>1010</v>
      </c>
      <c r="F53">
        <v>2</v>
      </c>
      <c r="G53">
        <v>243</v>
      </c>
      <c r="H53" s="2" t="s">
        <v>1421</v>
      </c>
      <c r="I53" s="2" t="s">
        <v>1421</v>
      </c>
      <c r="J53" t="s">
        <v>12</v>
      </c>
      <c r="K53" s="2" t="str">
        <f>IFERROR(INDEX(Product_lookup[Category],MATCH(RawWorking[[#This Row],[ProductID]],Product_lookup[ProductID],0)),"")</f>
        <v>Office</v>
      </c>
      <c r="L53" s="9" t="str">
        <f>IF(OR(RawWorking[[#This Row],[ShipDate]]="",RawWorking[[#This Row],[DeliveryDate]]=""),"",RawWorking[[#This Row],[DeliveryDate]]-RawWorking[[#This Row],[ShipDate]])</f>
        <v/>
      </c>
      <c r="M53" s="9">
        <f>IF(COUNTIF(INDEX(RawWorking[OrderID],1):RawWorking[[#This Row],[OrderID]],RawWorking[[#This Row],[OrderID]])=1,1,0)</f>
        <v>0</v>
      </c>
      <c r="N53" s="4">
        <f>IFERROR(RawWorking[[#This Row],[LineAmount]]/RawWorking[[#This Row],[Quantity]],"")</f>
        <v>121.5</v>
      </c>
    </row>
    <row r="54" spans="1:14">
      <c r="A54">
        <v>50053</v>
      </c>
      <c r="B54">
        <v>30033</v>
      </c>
      <c r="C54" s="2">
        <v>45775</v>
      </c>
      <c r="D54">
        <v>2320</v>
      </c>
      <c r="E54">
        <v>1007</v>
      </c>
      <c r="F54">
        <v>1</v>
      </c>
      <c r="G54">
        <v>199.81</v>
      </c>
      <c r="H54" s="2">
        <v>45776</v>
      </c>
      <c r="I54" s="2">
        <v>45779</v>
      </c>
      <c r="J54" t="s">
        <v>9</v>
      </c>
      <c r="K54" s="2" t="str">
        <f>IFERROR(INDEX(Product_lookup[Category],MATCH(RawWorking[[#This Row],[ProductID]],Product_lookup[ProductID],0)),"")</f>
        <v>Home</v>
      </c>
      <c r="L54" s="9">
        <f>IF(OR(RawWorking[[#This Row],[ShipDate]]="",RawWorking[[#This Row],[DeliveryDate]]=""),"",RawWorking[[#This Row],[DeliveryDate]]-RawWorking[[#This Row],[ShipDate]])</f>
        <v>3</v>
      </c>
      <c r="M54" s="9">
        <f>IF(COUNTIF(INDEX(RawWorking[OrderID],1):RawWorking[[#This Row],[OrderID]],RawWorking[[#This Row],[OrderID]])=1,1,0)</f>
        <v>1</v>
      </c>
      <c r="N54" s="4">
        <f>IFERROR(RawWorking[[#This Row],[LineAmount]]/RawWorking[[#This Row],[Quantity]],"")</f>
        <v>199.81</v>
      </c>
    </row>
    <row r="55" spans="1:14">
      <c r="A55">
        <v>50054</v>
      </c>
      <c r="B55">
        <v>30033</v>
      </c>
      <c r="C55" s="2">
        <v>45775</v>
      </c>
      <c r="D55">
        <v>2320</v>
      </c>
      <c r="E55">
        <v>1005</v>
      </c>
      <c r="F55">
        <v>1</v>
      </c>
      <c r="G55">
        <v>31.73</v>
      </c>
      <c r="H55" s="2">
        <v>45776</v>
      </c>
      <c r="I55" s="2">
        <v>45782</v>
      </c>
      <c r="J55" t="s">
        <v>9</v>
      </c>
      <c r="K55" s="2" t="str">
        <f>IFERROR(INDEX(Product_lookup[Category],MATCH(RawWorking[[#This Row],[ProductID]],Product_lookup[ProductID],0)),"")</f>
        <v>Electronics</v>
      </c>
      <c r="L55" s="9">
        <f>IF(OR(RawWorking[[#This Row],[ShipDate]]="",RawWorking[[#This Row],[DeliveryDate]]=""),"",RawWorking[[#This Row],[DeliveryDate]]-RawWorking[[#This Row],[ShipDate]])</f>
        <v>6</v>
      </c>
      <c r="M55" s="9">
        <f>IF(COUNTIF(INDEX(RawWorking[OrderID],1):RawWorking[[#This Row],[OrderID]],RawWorking[[#This Row],[OrderID]])=1,1,0)</f>
        <v>0</v>
      </c>
      <c r="N55" s="4">
        <f>IFERROR(RawWorking[[#This Row],[LineAmount]]/RawWorking[[#This Row],[Quantity]],"")</f>
        <v>31.73</v>
      </c>
    </row>
    <row r="56" spans="1:14">
      <c r="A56">
        <v>50055</v>
      </c>
      <c r="B56">
        <v>30033</v>
      </c>
      <c r="C56" s="2">
        <v>45775</v>
      </c>
      <c r="D56">
        <v>2320</v>
      </c>
      <c r="E56">
        <v>1016</v>
      </c>
      <c r="F56">
        <v>3</v>
      </c>
      <c r="G56">
        <v>195.78</v>
      </c>
      <c r="H56" s="2">
        <v>45777</v>
      </c>
      <c r="I56" s="2">
        <v>45782</v>
      </c>
      <c r="J56" t="s">
        <v>9</v>
      </c>
      <c r="K56" s="2" t="str">
        <f>IFERROR(INDEX(Product_lookup[Category],MATCH(RawWorking[[#This Row],[ProductID]],Product_lookup[ProductID],0)),"")</f>
        <v>Sports</v>
      </c>
      <c r="L56" s="9">
        <f>IF(OR(RawWorking[[#This Row],[ShipDate]]="",RawWorking[[#This Row],[DeliveryDate]]=""),"",RawWorking[[#This Row],[DeliveryDate]]-RawWorking[[#This Row],[ShipDate]])</f>
        <v>5</v>
      </c>
      <c r="M56" s="9">
        <f>IF(COUNTIF(INDEX(RawWorking[OrderID],1):RawWorking[[#This Row],[OrderID]],RawWorking[[#This Row],[OrderID]])=1,1,0)</f>
        <v>0</v>
      </c>
      <c r="N56" s="4">
        <f>IFERROR(RawWorking[[#This Row],[LineAmount]]/RawWorking[[#This Row],[Quantity]],"")</f>
        <v>65.260000000000005</v>
      </c>
    </row>
    <row r="57" spans="1:14">
      <c r="A57">
        <v>50056</v>
      </c>
      <c r="B57">
        <v>30034</v>
      </c>
      <c r="C57" s="2">
        <v>45953</v>
      </c>
      <c r="D57">
        <v>2230</v>
      </c>
      <c r="E57">
        <v>1012</v>
      </c>
      <c r="F57">
        <v>4</v>
      </c>
      <c r="G57">
        <v>966.16</v>
      </c>
      <c r="H57" s="2" t="s">
        <v>1421</v>
      </c>
      <c r="I57" s="2" t="s">
        <v>1421</v>
      </c>
      <c r="J57" t="s">
        <v>16</v>
      </c>
      <c r="K57" s="2" t="str">
        <f>IFERROR(INDEX(Product_lookup[Category],MATCH(RawWorking[[#This Row],[ProductID]],Product_lookup[ProductID],0)),"")</f>
        <v>Office</v>
      </c>
      <c r="L57" s="9" t="str">
        <f>IF(OR(RawWorking[[#This Row],[ShipDate]]="",RawWorking[[#This Row],[DeliveryDate]]=""),"",RawWorking[[#This Row],[DeliveryDate]]-RawWorking[[#This Row],[ShipDate]])</f>
        <v/>
      </c>
      <c r="M57" s="9">
        <f>IF(COUNTIF(INDEX(RawWorking[OrderID],1):RawWorking[[#This Row],[OrderID]],RawWorking[[#This Row],[OrderID]])=1,1,0)</f>
        <v>1</v>
      </c>
      <c r="N57" s="4">
        <f>IFERROR(RawWorking[[#This Row],[LineAmount]]/RawWorking[[#This Row],[Quantity]],"")</f>
        <v>241.54</v>
      </c>
    </row>
    <row r="58" spans="1:14">
      <c r="A58">
        <v>50057</v>
      </c>
      <c r="B58">
        <v>30035</v>
      </c>
      <c r="C58" s="2">
        <v>45889</v>
      </c>
      <c r="D58">
        <v>2377</v>
      </c>
      <c r="E58">
        <v>1009</v>
      </c>
      <c r="F58">
        <v>1</v>
      </c>
      <c r="G58">
        <v>40.28</v>
      </c>
      <c r="H58" s="2">
        <v>45890</v>
      </c>
      <c r="I58" s="2">
        <v>45900</v>
      </c>
      <c r="J58" t="s">
        <v>9</v>
      </c>
      <c r="K58" s="2" t="str">
        <f>IFERROR(INDEX(Product_lookup[Category],MATCH(RawWorking[[#This Row],[ProductID]],Product_lookup[ProductID],0)),"")</f>
        <v>Home</v>
      </c>
      <c r="L58" s="9">
        <f>IF(OR(RawWorking[[#This Row],[ShipDate]]="",RawWorking[[#This Row],[DeliveryDate]]=""),"",RawWorking[[#This Row],[DeliveryDate]]-RawWorking[[#This Row],[ShipDate]])</f>
        <v>10</v>
      </c>
      <c r="M58" s="9">
        <f>IF(COUNTIF(INDEX(RawWorking[OrderID],1):RawWorking[[#This Row],[OrderID]],RawWorking[[#This Row],[OrderID]])=1,1,0)</f>
        <v>1</v>
      </c>
      <c r="N58" s="4">
        <f>IFERROR(RawWorking[[#This Row],[LineAmount]]/RawWorking[[#This Row],[Quantity]],"")</f>
        <v>40.28</v>
      </c>
    </row>
    <row r="59" spans="1:14">
      <c r="A59">
        <v>50058</v>
      </c>
      <c r="B59">
        <v>30036</v>
      </c>
      <c r="C59" s="2">
        <v>45999</v>
      </c>
      <c r="D59">
        <v>2588</v>
      </c>
      <c r="E59">
        <v>1014</v>
      </c>
      <c r="F59">
        <v>1</v>
      </c>
      <c r="G59">
        <v>215.34</v>
      </c>
      <c r="H59" s="2">
        <v>46000</v>
      </c>
      <c r="I59" s="2">
        <v>46005</v>
      </c>
      <c r="J59" t="s">
        <v>9</v>
      </c>
      <c r="K59" s="2" t="str">
        <f>IFERROR(INDEX(Product_lookup[Category],MATCH(RawWorking[[#This Row],[ProductID]],Product_lookup[ProductID],0)),"")</f>
        <v>Sports</v>
      </c>
      <c r="L59" s="9">
        <f>IF(OR(RawWorking[[#This Row],[ShipDate]]="",RawWorking[[#This Row],[DeliveryDate]]=""),"",RawWorking[[#This Row],[DeliveryDate]]-RawWorking[[#This Row],[ShipDate]])</f>
        <v>5</v>
      </c>
      <c r="M59" s="9">
        <f>IF(COUNTIF(INDEX(RawWorking[OrderID],1):RawWorking[[#This Row],[OrderID]],RawWorking[[#This Row],[OrderID]])=1,1,0)</f>
        <v>1</v>
      </c>
      <c r="N59" s="4">
        <f>IFERROR(RawWorking[[#This Row],[LineAmount]]/RawWorking[[#This Row],[Quantity]],"")</f>
        <v>215.34</v>
      </c>
    </row>
    <row r="60" spans="1:14">
      <c r="A60">
        <v>50059</v>
      </c>
      <c r="B60">
        <v>30037</v>
      </c>
      <c r="C60" s="2">
        <v>46011</v>
      </c>
      <c r="D60">
        <v>2575</v>
      </c>
      <c r="E60">
        <v>1001</v>
      </c>
      <c r="F60">
        <v>2</v>
      </c>
      <c r="G60">
        <v>406.08</v>
      </c>
      <c r="H60" s="2">
        <v>46014</v>
      </c>
      <c r="I60" s="2">
        <v>46023</v>
      </c>
      <c r="J60" t="s">
        <v>11</v>
      </c>
      <c r="K60" s="2" t="str">
        <f>IFERROR(INDEX(Product_lookup[Category],MATCH(RawWorking[[#This Row],[ProductID]],Product_lookup[ProductID],0)),"")</f>
        <v>Electronics</v>
      </c>
      <c r="L60" s="9">
        <f>IF(OR(RawWorking[[#This Row],[ShipDate]]="",RawWorking[[#This Row],[DeliveryDate]]=""),"",RawWorking[[#This Row],[DeliveryDate]]-RawWorking[[#This Row],[ShipDate]])</f>
        <v>9</v>
      </c>
      <c r="M60" s="9">
        <f>IF(COUNTIF(INDEX(RawWorking[OrderID],1):RawWorking[[#This Row],[OrderID]],RawWorking[[#This Row],[OrderID]])=1,1,0)</f>
        <v>1</v>
      </c>
      <c r="N60" s="4">
        <f>IFERROR(RawWorking[[#This Row],[LineAmount]]/RawWorking[[#This Row],[Quantity]],"")</f>
        <v>203.04</v>
      </c>
    </row>
    <row r="61" spans="1:14">
      <c r="A61">
        <v>50060</v>
      </c>
      <c r="B61">
        <v>30037</v>
      </c>
      <c r="C61" s="2">
        <v>46011</v>
      </c>
      <c r="D61">
        <v>2575</v>
      </c>
      <c r="E61">
        <v>1009</v>
      </c>
      <c r="F61">
        <v>3</v>
      </c>
      <c r="G61">
        <v>120.84</v>
      </c>
      <c r="H61" s="2">
        <v>46014</v>
      </c>
      <c r="I61" s="2">
        <v>46016</v>
      </c>
      <c r="J61" t="s">
        <v>11</v>
      </c>
      <c r="K61" s="2" t="str">
        <f>IFERROR(INDEX(Product_lookup[Category],MATCH(RawWorking[[#This Row],[ProductID]],Product_lookup[ProductID],0)),"")</f>
        <v>Home</v>
      </c>
      <c r="L61" s="9">
        <f>IF(OR(RawWorking[[#This Row],[ShipDate]]="",RawWorking[[#This Row],[DeliveryDate]]=""),"",RawWorking[[#This Row],[DeliveryDate]]-RawWorking[[#This Row],[ShipDate]])</f>
        <v>2</v>
      </c>
      <c r="M61" s="9">
        <f>IF(COUNTIF(INDEX(RawWorking[OrderID],1):RawWorking[[#This Row],[OrderID]],RawWorking[[#This Row],[OrderID]])=1,1,0)</f>
        <v>0</v>
      </c>
      <c r="N61" s="4">
        <f>IFERROR(RawWorking[[#This Row],[LineAmount]]/RawWorking[[#This Row],[Quantity]],"")</f>
        <v>40.28</v>
      </c>
    </row>
    <row r="62" spans="1:14">
      <c r="A62">
        <v>50061</v>
      </c>
      <c r="B62">
        <v>30037</v>
      </c>
      <c r="C62" s="2">
        <v>46011</v>
      </c>
      <c r="D62">
        <v>2575</v>
      </c>
      <c r="E62">
        <v>1001</v>
      </c>
      <c r="F62">
        <v>1</v>
      </c>
      <c r="G62">
        <v>203.04</v>
      </c>
      <c r="H62" s="2">
        <v>46013</v>
      </c>
      <c r="I62" s="2">
        <v>46014</v>
      </c>
      <c r="J62" t="s">
        <v>11</v>
      </c>
      <c r="K62" s="2" t="str">
        <f>IFERROR(INDEX(Product_lookup[Category],MATCH(RawWorking[[#This Row],[ProductID]],Product_lookup[ProductID],0)),"")</f>
        <v>Electronics</v>
      </c>
      <c r="L62" s="9">
        <f>IF(OR(RawWorking[[#This Row],[ShipDate]]="",RawWorking[[#This Row],[DeliveryDate]]=""),"",RawWorking[[#This Row],[DeliveryDate]]-RawWorking[[#This Row],[ShipDate]])</f>
        <v>1</v>
      </c>
      <c r="M62" s="9">
        <f>IF(COUNTIF(INDEX(RawWorking[OrderID],1):RawWorking[[#This Row],[OrderID]],RawWorking[[#This Row],[OrderID]])=1,1,0)</f>
        <v>0</v>
      </c>
      <c r="N62" s="4">
        <f>IFERROR(RawWorking[[#This Row],[LineAmount]]/RawWorking[[#This Row],[Quantity]],"")</f>
        <v>203.04</v>
      </c>
    </row>
    <row r="63" spans="1:14">
      <c r="A63">
        <v>50062</v>
      </c>
      <c r="B63">
        <v>30038</v>
      </c>
      <c r="C63" s="2">
        <v>45939</v>
      </c>
      <c r="D63">
        <v>2185</v>
      </c>
      <c r="E63">
        <v>1010</v>
      </c>
      <c r="F63">
        <v>1</v>
      </c>
      <c r="G63">
        <v>121.5</v>
      </c>
      <c r="H63" s="2">
        <v>45942</v>
      </c>
      <c r="I63" s="2">
        <v>45943</v>
      </c>
      <c r="J63" t="s">
        <v>9</v>
      </c>
      <c r="K63" s="2" t="str">
        <f>IFERROR(INDEX(Product_lookup[Category],MATCH(RawWorking[[#This Row],[ProductID]],Product_lookup[ProductID],0)),"")</f>
        <v>Office</v>
      </c>
      <c r="L63" s="9">
        <f>IF(OR(RawWorking[[#This Row],[ShipDate]]="",RawWorking[[#This Row],[DeliveryDate]]=""),"",RawWorking[[#This Row],[DeliveryDate]]-RawWorking[[#This Row],[ShipDate]])</f>
        <v>1</v>
      </c>
      <c r="M63" s="9">
        <f>IF(COUNTIF(INDEX(RawWorking[OrderID],1):RawWorking[[#This Row],[OrderID]],RawWorking[[#This Row],[OrderID]])=1,1,0)</f>
        <v>1</v>
      </c>
      <c r="N63" s="4">
        <f>IFERROR(RawWorking[[#This Row],[LineAmount]]/RawWorking[[#This Row],[Quantity]],"")</f>
        <v>121.5</v>
      </c>
    </row>
    <row r="64" spans="1:14">
      <c r="A64">
        <v>50063</v>
      </c>
      <c r="B64">
        <v>30038</v>
      </c>
      <c r="C64" s="2">
        <v>45910</v>
      </c>
      <c r="D64">
        <v>2185</v>
      </c>
      <c r="E64">
        <v>1011</v>
      </c>
      <c r="F64">
        <v>2</v>
      </c>
      <c r="G64">
        <v>202.88</v>
      </c>
      <c r="H64" s="2">
        <v>45941</v>
      </c>
      <c r="I64" s="2">
        <v>45944</v>
      </c>
      <c r="J64" t="s">
        <v>9</v>
      </c>
      <c r="K64" s="2" t="str">
        <f>IFERROR(INDEX(Product_lookup[Category],MATCH(RawWorking[[#This Row],[ProductID]],Product_lookup[ProductID],0)),"")</f>
        <v>Office</v>
      </c>
      <c r="L64" s="9">
        <f>IF(OR(RawWorking[[#This Row],[ShipDate]]="",RawWorking[[#This Row],[DeliveryDate]]=""),"",RawWorking[[#This Row],[DeliveryDate]]-RawWorking[[#This Row],[ShipDate]])</f>
        <v>3</v>
      </c>
      <c r="M64" s="9">
        <f>IF(COUNTIF(INDEX(RawWorking[OrderID],1):RawWorking[[#This Row],[OrderID]],RawWorking[[#This Row],[OrderID]])=1,1,0)</f>
        <v>0</v>
      </c>
      <c r="N64" s="4">
        <f>IFERROR(RawWorking[[#This Row],[LineAmount]]/RawWorking[[#This Row],[Quantity]],"")</f>
        <v>101.44</v>
      </c>
    </row>
    <row r="65" spans="1:14">
      <c r="A65">
        <v>50064</v>
      </c>
      <c r="B65">
        <v>30039</v>
      </c>
      <c r="C65" s="2">
        <v>45659</v>
      </c>
      <c r="D65">
        <v>2360</v>
      </c>
      <c r="E65">
        <v>1005</v>
      </c>
      <c r="F65">
        <v>1</v>
      </c>
      <c r="G65">
        <v>31.73</v>
      </c>
      <c r="H65" s="2">
        <v>45662</v>
      </c>
      <c r="I65" s="2">
        <v>45809</v>
      </c>
      <c r="J65" t="s">
        <v>9</v>
      </c>
      <c r="K65" s="2" t="str">
        <f>IFERROR(INDEX(Product_lookup[Category],MATCH(RawWorking[[#This Row],[ProductID]],Product_lookup[ProductID],0)),"")</f>
        <v>Electronics</v>
      </c>
      <c r="L65" s="9">
        <f>IF(OR(RawWorking[[#This Row],[ShipDate]]="",RawWorking[[#This Row],[DeliveryDate]]=""),"",RawWorking[[#This Row],[DeliveryDate]]-RawWorking[[#This Row],[ShipDate]])</f>
        <v>147</v>
      </c>
      <c r="M65" s="9">
        <f>IF(COUNTIF(INDEX(RawWorking[OrderID],1):RawWorking[[#This Row],[OrderID]],RawWorking[[#This Row],[OrderID]])=1,1,0)</f>
        <v>1</v>
      </c>
      <c r="N65" s="4">
        <f>IFERROR(RawWorking[[#This Row],[LineAmount]]/RawWorking[[#This Row],[Quantity]],"")</f>
        <v>31.73</v>
      </c>
    </row>
    <row r="66" spans="1:14">
      <c r="A66">
        <v>50065</v>
      </c>
      <c r="B66">
        <v>30040</v>
      </c>
      <c r="C66" s="2">
        <v>45961</v>
      </c>
      <c r="D66">
        <v>2580</v>
      </c>
      <c r="E66">
        <v>1003</v>
      </c>
      <c r="F66">
        <v>1</v>
      </c>
      <c r="G66">
        <v>224.37</v>
      </c>
      <c r="H66" s="2">
        <v>45963</v>
      </c>
      <c r="I66" s="2">
        <v>45969</v>
      </c>
      <c r="J66" t="s">
        <v>9</v>
      </c>
      <c r="K66" s="2" t="str">
        <f>IFERROR(INDEX(Product_lookup[Category],MATCH(RawWorking[[#This Row],[ProductID]],Product_lookup[ProductID],0)),"")</f>
        <v>Electronics</v>
      </c>
      <c r="L66" s="9">
        <f>IF(OR(RawWorking[[#This Row],[ShipDate]]="",RawWorking[[#This Row],[DeliveryDate]]=""),"",RawWorking[[#This Row],[DeliveryDate]]-RawWorking[[#This Row],[ShipDate]])</f>
        <v>6</v>
      </c>
      <c r="M66" s="9">
        <f>IF(COUNTIF(INDEX(RawWorking[OrderID],1):RawWorking[[#This Row],[OrderID]],RawWorking[[#This Row],[OrderID]])=1,1,0)</f>
        <v>1</v>
      </c>
      <c r="N66" s="4">
        <f>IFERROR(RawWorking[[#This Row],[LineAmount]]/RawWorking[[#This Row],[Quantity]],"")</f>
        <v>224.37</v>
      </c>
    </row>
    <row r="67" spans="1:14">
      <c r="A67">
        <v>50066</v>
      </c>
      <c r="B67">
        <v>30041</v>
      </c>
      <c r="C67" s="2">
        <v>45920</v>
      </c>
      <c r="D67">
        <v>2146</v>
      </c>
      <c r="E67">
        <v>1001</v>
      </c>
      <c r="F67">
        <v>1</v>
      </c>
      <c r="G67">
        <v>203.04</v>
      </c>
      <c r="H67" s="2">
        <v>45923</v>
      </c>
      <c r="I67" s="2">
        <v>45933</v>
      </c>
      <c r="J67" t="s">
        <v>9</v>
      </c>
      <c r="K67" s="2" t="str">
        <f>IFERROR(INDEX(Product_lookup[Category],MATCH(RawWorking[[#This Row],[ProductID]],Product_lookup[ProductID],0)),"")</f>
        <v>Electronics</v>
      </c>
      <c r="L67" s="9">
        <f>IF(OR(RawWorking[[#This Row],[ShipDate]]="",RawWorking[[#This Row],[DeliveryDate]]=""),"",RawWorking[[#This Row],[DeliveryDate]]-RawWorking[[#This Row],[ShipDate]])</f>
        <v>10</v>
      </c>
      <c r="M67" s="9">
        <f>IF(COUNTIF(INDEX(RawWorking[OrderID],1):RawWorking[[#This Row],[OrderID]],RawWorking[[#This Row],[OrderID]])=1,1,0)</f>
        <v>1</v>
      </c>
      <c r="N67" s="4">
        <f>IFERROR(RawWorking[[#This Row],[LineAmount]]/RawWorking[[#This Row],[Quantity]],"")</f>
        <v>203.04</v>
      </c>
    </row>
    <row r="68" spans="1:14">
      <c r="A68">
        <v>50067</v>
      </c>
      <c r="B68">
        <v>30042</v>
      </c>
      <c r="C68" s="2">
        <v>45941</v>
      </c>
      <c r="D68">
        <v>2094</v>
      </c>
      <c r="E68">
        <v>1007</v>
      </c>
      <c r="F68">
        <v>1</v>
      </c>
      <c r="G68">
        <v>199.81</v>
      </c>
      <c r="H68" s="2">
        <v>45943</v>
      </c>
      <c r="I68" s="2">
        <v>45945</v>
      </c>
      <c r="J68" t="s">
        <v>9</v>
      </c>
      <c r="K68" s="2" t="str">
        <f>IFERROR(INDEX(Product_lookup[Category],MATCH(RawWorking[[#This Row],[ProductID]],Product_lookup[ProductID],0)),"")</f>
        <v>Home</v>
      </c>
      <c r="L68" s="9">
        <f>IF(OR(RawWorking[[#This Row],[ShipDate]]="",RawWorking[[#This Row],[DeliveryDate]]=""),"",RawWorking[[#This Row],[DeliveryDate]]-RawWorking[[#This Row],[ShipDate]])</f>
        <v>2</v>
      </c>
      <c r="M68" s="9">
        <f>IF(COUNTIF(INDEX(RawWorking[OrderID],1):RawWorking[[#This Row],[OrderID]],RawWorking[[#This Row],[OrderID]])=1,1,0)</f>
        <v>1</v>
      </c>
      <c r="N68" s="4">
        <f>IFERROR(RawWorking[[#This Row],[LineAmount]]/RawWorking[[#This Row],[Quantity]],"")</f>
        <v>199.81</v>
      </c>
    </row>
    <row r="69" spans="1:14">
      <c r="A69">
        <v>50068</v>
      </c>
      <c r="B69">
        <v>30042</v>
      </c>
      <c r="C69" s="2">
        <v>45941</v>
      </c>
      <c r="D69">
        <v>2094</v>
      </c>
      <c r="E69">
        <v>1013</v>
      </c>
      <c r="F69">
        <v>1</v>
      </c>
      <c r="G69">
        <v>170.25</v>
      </c>
      <c r="H69" s="2">
        <v>45942</v>
      </c>
      <c r="I69" s="2">
        <v>45945</v>
      </c>
      <c r="J69" t="s">
        <v>9</v>
      </c>
      <c r="K69" s="2" t="str">
        <f>IFERROR(INDEX(Product_lookup[Category],MATCH(RawWorking[[#This Row],[ProductID]],Product_lookup[ProductID],0)),"")</f>
        <v>Office</v>
      </c>
      <c r="L69" s="9">
        <f>IF(OR(RawWorking[[#This Row],[ShipDate]]="",RawWorking[[#This Row],[DeliveryDate]]=""),"",RawWorking[[#This Row],[DeliveryDate]]-RawWorking[[#This Row],[ShipDate]])</f>
        <v>3</v>
      </c>
      <c r="M69" s="9">
        <f>IF(COUNTIF(INDEX(RawWorking[OrderID],1):RawWorking[[#This Row],[OrderID]],RawWorking[[#This Row],[OrderID]])=1,1,0)</f>
        <v>0</v>
      </c>
      <c r="N69" s="4">
        <f>IFERROR(RawWorking[[#This Row],[LineAmount]]/RawWorking[[#This Row],[Quantity]],"")</f>
        <v>170.25</v>
      </c>
    </row>
    <row r="70" spans="1:14">
      <c r="A70">
        <v>50069</v>
      </c>
      <c r="B70">
        <v>30042</v>
      </c>
      <c r="C70" s="2">
        <v>45941</v>
      </c>
      <c r="D70">
        <v>2094</v>
      </c>
      <c r="E70">
        <v>1014</v>
      </c>
      <c r="F70">
        <v>1</v>
      </c>
      <c r="G70">
        <v>215.34</v>
      </c>
      <c r="H70" s="2">
        <v>45942</v>
      </c>
      <c r="I70" s="2">
        <v>45949</v>
      </c>
      <c r="J70" t="s">
        <v>9</v>
      </c>
      <c r="K70" s="2" t="str">
        <f>IFERROR(INDEX(Product_lookup[Category],MATCH(RawWorking[[#This Row],[ProductID]],Product_lookup[ProductID],0)),"")</f>
        <v>Sports</v>
      </c>
      <c r="L70" s="9">
        <f>IF(OR(RawWorking[[#This Row],[ShipDate]]="",RawWorking[[#This Row],[DeliveryDate]]=""),"",RawWorking[[#This Row],[DeliveryDate]]-RawWorking[[#This Row],[ShipDate]])</f>
        <v>7</v>
      </c>
      <c r="M70" s="9">
        <f>IF(COUNTIF(INDEX(RawWorking[OrderID],1):RawWorking[[#This Row],[OrderID]],RawWorking[[#This Row],[OrderID]])=1,1,0)</f>
        <v>0</v>
      </c>
      <c r="N70" s="4">
        <f>IFERROR(RawWorking[[#This Row],[LineAmount]]/RawWorking[[#This Row],[Quantity]],"")</f>
        <v>215.34</v>
      </c>
    </row>
    <row r="71" spans="1:14">
      <c r="A71">
        <v>50070</v>
      </c>
      <c r="B71">
        <v>30042</v>
      </c>
      <c r="C71" s="2">
        <v>45941</v>
      </c>
      <c r="D71">
        <v>2094</v>
      </c>
      <c r="E71">
        <v>1015</v>
      </c>
      <c r="F71">
        <v>1</v>
      </c>
      <c r="G71">
        <v>119.74</v>
      </c>
      <c r="H71" s="2">
        <v>45942</v>
      </c>
      <c r="I71" s="2">
        <v>45948</v>
      </c>
      <c r="J71" t="s">
        <v>9</v>
      </c>
      <c r="K71" s="2" t="str">
        <f>IFERROR(INDEX(Product_lookup[Category],MATCH(RawWorking[[#This Row],[ProductID]],Product_lookup[ProductID],0)),"")</f>
        <v>Sports</v>
      </c>
      <c r="L71" s="9">
        <f>IF(OR(RawWorking[[#This Row],[ShipDate]]="",RawWorking[[#This Row],[DeliveryDate]]=""),"",RawWorking[[#This Row],[DeliveryDate]]-RawWorking[[#This Row],[ShipDate]])</f>
        <v>6</v>
      </c>
      <c r="M71" s="9">
        <f>IF(COUNTIF(INDEX(RawWorking[OrderID],1):RawWorking[[#This Row],[OrderID]],RawWorking[[#This Row],[OrderID]])=1,1,0)</f>
        <v>0</v>
      </c>
      <c r="N71" s="4">
        <f>IFERROR(RawWorking[[#This Row],[LineAmount]]/RawWorking[[#This Row],[Quantity]],"")</f>
        <v>119.74</v>
      </c>
    </row>
    <row r="72" spans="1:14">
      <c r="A72">
        <v>50071</v>
      </c>
      <c r="B72">
        <v>30043</v>
      </c>
      <c r="C72" s="2">
        <v>45996</v>
      </c>
      <c r="D72">
        <v>2350</v>
      </c>
      <c r="E72">
        <v>1010</v>
      </c>
      <c r="F72">
        <v>1</v>
      </c>
      <c r="G72">
        <v>121.5</v>
      </c>
      <c r="H72" s="2">
        <v>45999</v>
      </c>
      <c r="I72" s="2">
        <v>46008</v>
      </c>
      <c r="J72" t="s">
        <v>9</v>
      </c>
      <c r="K72" s="2" t="str">
        <f>IFERROR(INDEX(Product_lookup[Category],MATCH(RawWorking[[#This Row],[ProductID]],Product_lookup[ProductID],0)),"")</f>
        <v>Office</v>
      </c>
      <c r="L72" s="9">
        <f>IF(OR(RawWorking[[#This Row],[ShipDate]]="",RawWorking[[#This Row],[DeliveryDate]]=""),"",RawWorking[[#This Row],[DeliveryDate]]-RawWorking[[#This Row],[ShipDate]])</f>
        <v>9</v>
      </c>
      <c r="M72" s="9">
        <f>IF(COUNTIF(INDEX(RawWorking[OrderID],1):RawWorking[[#This Row],[OrderID]],RawWorking[[#This Row],[OrderID]])=1,1,0)</f>
        <v>1</v>
      </c>
      <c r="N72" s="4">
        <f>IFERROR(RawWorking[[#This Row],[LineAmount]]/RawWorking[[#This Row],[Quantity]],"")</f>
        <v>121.5</v>
      </c>
    </row>
    <row r="73" spans="1:14">
      <c r="A73">
        <v>50072</v>
      </c>
      <c r="B73">
        <v>30043</v>
      </c>
      <c r="C73" s="2">
        <v>45996</v>
      </c>
      <c r="D73">
        <v>2350</v>
      </c>
      <c r="E73">
        <v>1011</v>
      </c>
      <c r="F73">
        <v>2</v>
      </c>
      <c r="G73">
        <v>202.88</v>
      </c>
      <c r="H73" s="2">
        <v>45999</v>
      </c>
      <c r="I73" s="2">
        <v>46000</v>
      </c>
      <c r="J73" t="s">
        <v>9</v>
      </c>
      <c r="K73" s="2" t="str">
        <f>IFERROR(INDEX(Product_lookup[Category],MATCH(RawWorking[[#This Row],[ProductID]],Product_lookup[ProductID],0)),"")</f>
        <v>Office</v>
      </c>
      <c r="L73" s="9">
        <f>IF(OR(RawWorking[[#This Row],[ShipDate]]="",RawWorking[[#This Row],[DeliveryDate]]=""),"",RawWorking[[#This Row],[DeliveryDate]]-RawWorking[[#This Row],[ShipDate]])</f>
        <v>1</v>
      </c>
      <c r="M73" s="9">
        <f>IF(COUNTIF(INDEX(RawWorking[OrderID],1):RawWorking[[#This Row],[OrderID]],RawWorking[[#This Row],[OrderID]])=1,1,0)</f>
        <v>0</v>
      </c>
      <c r="N73" s="4">
        <f>IFERROR(RawWorking[[#This Row],[LineAmount]]/RawWorking[[#This Row],[Quantity]],"")</f>
        <v>101.44</v>
      </c>
    </row>
    <row r="74" spans="1:14">
      <c r="A74">
        <v>50073</v>
      </c>
      <c r="B74">
        <v>30044</v>
      </c>
      <c r="C74" s="2">
        <v>45927</v>
      </c>
      <c r="D74">
        <v>2582</v>
      </c>
      <c r="E74">
        <v>1002</v>
      </c>
      <c r="F74">
        <v>1</v>
      </c>
      <c r="G74">
        <v>118.6</v>
      </c>
      <c r="H74" s="2">
        <v>45929</v>
      </c>
      <c r="I74" s="2">
        <v>45939</v>
      </c>
      <c r="J74" t="s">
        <v>9</v>
      </c>
      <c r="K74" s="2" t="str">
        <f>IFERROR(INDEX(Product_lookup[Category],MATCH(RawWorking[[#This Row],[ProductID]],Product_lookup[ProductID],0)),"")</f>
        <v>Electronics</v>
      </c>
      <c r="L74" s="9">
        <f>IF(OR(RawWorking[[#This Row],[ShipDate]]="",RawWorking[[#This Row],[DeliveryDate]]=""),"",RawWorking[[#This Row],[DeliveryDate]]-RawWorking[[#This Row],[ShipDate]])</f>
        <v>10</v>
      </c>
      <c r="M74" s="9">
        <f>IF(COUNTIF(INDEX(RawWorking[OrderID],1):RawWorking[[#This Row],[OrderID]],RawWorking[[#This Row],[OrderID]])=1,1,0)</f>
        <v>1</v>
      </c>
      <c r="N74" s="4">
        <f>IFERROR(RawWorking[[#This Row],[LineAmount]]/RawWorking[[#This Row],[Quantity]],"")</f>
        <v>118.6</v>
      </c>
    </row>
    <row r="75" spans="1:14">
      <c r="A75">
        <v>50074</v>
      </c>
      <c r="B75">
        <v>30045</v>
      </c>
      <c r="C75" s="2">
        <v>45687</v>
      </c>
      <c r="D75">
        <v>2160</v>
      </c>
      <c r="E75">
        <v>1002</v>
      </c>
      <c r="F75">
        <v>1</v>
      </c>
      <c r="G75">
        <v>118.6</v>
      </c>
      <c r="H75" s="2">
        <v>45689</v>
      </c>
      <c r="I75" s="2">
        <v>45695</v>
      </c>
      <c r="J75" t="s">
        <v>9</v>
      </c>
      <c r="K75" s="2" t="str">
        <f>IFERROR(INDEX(Product_lookup[Category],MATCH(RawWorking[[#This Row],[ProductID]],Product_lookup[ProductID],0)),"")</f>
        <v>Electronics</v>
      </c>
      <c r="L75" s="9">
        <f>IF(OR(RawWorking[[#This Row],[ShipDate]]="",RawWorking[[#This Row],[DeliveryDate]]=""),"",RawWorking[[#This Row],[DeliveryDate]]-RawWorking[[#This Row],[ShipDate]])</f>
        <v>6</v>
      </c>
      <c r="M75" s="9">
        <f>IF(COUNTIF(INDEX(RawWorking[OrderID],1):RawWorking[[#This Row],[OrderID]],RawWorking[[#This Row],[OrderID]])=1,1,0)</f>
        <v>1</v>
      </c>
      <c r="N75" s="4">
        <f>IFERROR(RawWorking[[#This Row],[LineAmount]]/RawWorking[[#This Row],[Quantity]],"")</f>
        <v>118.6</v>
      </c>
    </row>
    <row r="76" spans="1:14">
      <c r="A76">
        <v>50075</v>
      </c>
      <c r="B76">
        <v>30046</v>
      </c>
      <c r="C76" s="2">
        <v>45899</v>
      </c>
      <c r="D76">
        <v>2084</v>
      </c>
      <c r="E76">
        <v>1014</v>
      </c>
      <c r="F76">
        <v>1</v>
      </c>
      <c r="G76">
        <v>215.34</v>
      </c>
      <c r="H76" s="2">
        <v>45902</v>
      </c>
      <c r="I76" s="2">
        <v>46000</v>
      </c>
      <c r="J76" t="s">
        <v>9</v>
      </c>
      <c r="K76" s="2" t="str">
        <f>IFERROR(INDEX(Product_lookup[Category],MATCH(RawWorking[[#This Row],[ProductID]],Product_lookup[ProductID],0)),"")</f>
        <v>Sports</v>
      </c>
      <c r="L76" s="9">
        <f>IF(OR(RawWorking[[#This Row],[ShipDate]]="",RawWorking[[#This Row],[DeliveryDate]]=""),"",RawWorking[[#This Row],[DeliveryDate]]-RawWorking[[#This Row],[ShipDate]])</f>
        <v>98</v>
      </c>
      <c r="M76" s="9">
        <f>IF(COUNTIF(INDEX(RawWorking[OrderID],1):RawWorking[[#This Row],[OrderID]],RawWorking[[#This Row],[OrderID]])=1,1,0)</f>
        <v>1</v>
      </c>
      <c r="N76" s="4">
        <f>IFERROR(RawWorking[[#This Row],[LineAmount]]/RawWorking[[#This Row],[Quantity]],"")</f>
        <v>215.34</v>
      </c>
    </row>
    <row r="77" spans="1:14">
      <c r="A77">
        <v>50076</v>
      </c>
      <c r="B77">
        <v>30046</v>
      </c>
      <c r="C77" s="2">
        <v>45899</v>
      </c>
      <c r="D77">
        <v>2084</v>
      </c>
      <c r="E77">
        <v>1016</v>
      </c>
      <c r="F77">
        <v>1</v>
      </c>
      <c r="G77">
        <v>65.260000000000005</v>
      </c>
      <c r="H77" s="2">
        <v>45901</v>
      </c>
      <c r="I77" s="2">
        <v>45907</v>
      </c>
      <c r="J77" t="s">
        <v>9</v>
      </c>
      <c r="K77" s="2" t="str">
        <f>IFERROR(INDEX(Product_lookup[Category],MATCH(RawWorking[[#This Row],[ProductID]],Product_lookup[ProductID],0)),"")</f>
        <v>Sports</v>
      </c>
      <c r="L77" s="9">
        <f>IF(OR(RawWorking[[#This Row],[ShipDate]]="",RawWorking[[#This Row],[DeliveryDate]]=""),"",RawWorking[[#This Row],[DeliveryDate]]-RawWorking[[#This Row],[ShipDate]])</f>
        <v>6</v>
      </c>
      <c r="M77" s="9">
        <f>IF(COUNTIF(INDEX(RawWorking[OrderID],1):RawWorking[[#This Row],[OrderID]],RawWorking[[#This Row],[OrderID]])=1,1,0)</f>
        <v>0</v>
      </c>
      <c r="N77" s="4">
        <f>IFERROR(RawWorking[[#This Row],[LineAmount]]/RawWorking[[#This Row],[Quantity]],"")</f>
        <v>65.260000000000005</v>
      </c>
    </row>
    <row r="78" spans="1:14">
      <c r="A78">
        <v>50077</v>
      </c>
      <c r="B78">
        <v>30046</v>
      </c>
      <c r="C78" s="2">
        <v>45899</v>
      </c>
      <c r="D78">
        <v>2084</v>
      </c>
      <c r="E78">
        <v>1015</v>
      </c>
      <c r="F78">
        <v>2</v>
      </c>
      <c r="G78">
        <v>239.48</v>
      </c>
      <c r="H78" s="2">
        <v>45902</v>
      </c>
      <c r="I78" s="2">
        <v>45904</v>
      </c>
      <c r="J78" t="s">
        <v>9</v>
      </c>
      <c r="K78" s="2" t="str">
        <f>IFERROR(INDEX(Product_lookup[Category],MATCH(RawWorking[[#This Row],[ProductID]],Product_lookup[ProductID],0)),"")</f>
        <v>Sports</v>
      </c>
      <c r="L78" s="9">
        <f>IF(OR(RawWorking[[#This Row],[ShipDate]]="",RawWorking[[#This Row],[DeliveryDate]]=""),"",RawWorking[[#This Row],[DeliveryDate]]-RawWorking[[#This Row],[ShipDate]])</f>
        <v>2</v>
      </c>
      <c r="M78" s="9">
        <f>IF(COUNTIF(INDEX(RawWorking[OrderID],1):RawWorking[[#This Row],[OrderID]],RawWorking[[#This Row],[OrderID]])=1,1,0)</f>
        <v>0</v>
      </c>
      <c r="N78" s="4">
        <f>IFERROR(RawWorking[[#This Row],[LineAmount]]/RawWorking[[#This Row],[Quantity]],"")</f>
        <v>119.74</v>
      </c>
    </row>
    <row r="79" spans="1:14">
      <c r="A79">
        <v>50078</v>
      </c>
      <c r="B79">
        <v>30046</v>
      </c>
      <c r="C79" s="2">
        <v>45899</v>
      </c>
      <c r="D79">
        <v>2084</v>
      </c>
      <c r="E79">
        <v>1014</v>
      </c>
      <c r="F79">
        <v>1</v>
      </c>
      <c r="G79">
        <v>215.34</v>
      </c>
      <c r="H79" s="2">
        <v>45902</v>
      </c>
      <c r="I79" s="2">
        <v>45907</v>
      </c>
      <c r="J79" t="s">
        <v>9</v>
      </c>
      <c r="K79" s="2" t="str">
        <f>IFERROR(INDEX(Product_lookup[Category],MATCH(RawWorking[[#This Row],[ProductID]],Product_lookup[ProductID],0)),"")</f>
        <v>Sports</v>
      </c>
      <c r="L79" s="9">
        <f>IF(OR(RawWorking[[#This Row],[ShipDate]]="",RawWorking[[#This Row],[DeliveryDate]]=""),"",RawWorking[[#This Row],[DeliveryDate]]-RawWorking[[#This Row],[ShipDate]])</f>
        <v>5</v>
      </c>
      <c r="M79" s="9">
        <f>IF(COUNTIF(INDEX(RawWorking[OrderID],1):RawWorking[[#This Row],[OrderID]],RawWorking[[#This Row],[OrderID]])=1,1,0)</f>
        <v>0</v>
      </c>
      <c r="N79" s="4">
        <f>IFERROR(RawWorking[[#This Row],[LineAmount]]/RawWorking[[#This Row],[Quantity]],"")</f>
        <v>215.34</v>
      </c>
    </row>
    <row r="80" spans="1:14">
      <c r="A80">
        <v>50079</v>
      </c>
      <c r="B80">
        <v>30047</v>
      </c>
      <c r="C80" s="2">
        <v>45660</v>
      </c>
      <c r="D80">
        <v>2280</v>
      </c>
      <c r="E80">
        <v>1004</v>
      </c>
      <c r="F80">
        <v>4</v>
      </c>
      <c r="G80">
        <v>734.96</v>
      </c>
      <c r="H80" s="2">
        <v>45663</v>
      </c>
      <c r="I80" s="2">
        <v>45671</v>
      </c>
      <c r="J80" t="s">
        <v>9</v>
      </c>
      <c r="K80" s="2" t="str">
        <f>IFERROR(INDEX(Product_lookup[Category],MATCH(RawWorking[[#This Row],[ProductID]],Product_lookup[ProductID],0)),"")</f>
        <v>Electronics</v>
      </c>
      <c r="L80" s="9">
        <f>IF(OR(RawWorking[[#This Row],[ShipDate]]="",RawWorking[[#This Row],[DeliveryDate]]=""),"",RawWorking[[#This Row],[DeliveryDate]]-RawWorking[[#This Row],[ShipDate]])</f>
        <v>8</v>
      </c>
      <c r="M80" s="9">
        <f>IF(COUNTIF(INDEX(RawWorking[OrderID],1):RawWorking[[#This Row],[OrderID]],RawWorking[[#This Row],[OrderID]])=1,1,0)</f>
        <v>1</v>
      </c>
      <c r="N80" s="4">
        <f>IFERROR(RawWorking[[#This Row],[LineAmount]]/RawWorking[[#This Row],[Quantity]],"")</f>
        <v>183.74</v>
      </c>
    </row>
    <row r="81" spans="1:14">
      <c r="A81">
        <v>50080</v>
      </c>
      <c r="B81">
        <v>30047</v>
      </c>
      <c r="C81" s="2">
        <v>45660</v>
      </c>
      <c r="D81">
        <v>2280</v>
      </c>
      <c r="E81">
        <v>1012</v>
      </c>
      <c r="F81">
        <v>1</v>
      </c>
      <c r="G81">
        <v>241.54</v>
      </c>
      <c r="H81" s="2">
        <v>45663</v>
      </c>
      <c r="I81" s="2">
        <v>45670</v>
      </c>
      <c r="J81" t="s">
        <v>9</v>
      </c>
      <c r="K81" s="2" t="str">
        <f>IFERROR(INDEX(Product_lookup[Category],MATCH(RawWorking[[#This Row],[ProductID]],Product_lookup[ProductID],0)),"")</f>
        <v>Office</v>
      </c>
      <c r="L81" s="9">
        <f>IF(OR(RawWorking[[#This Row],[ShipDate]]="",RawWorking[[#This Row],[DeliveryDate]]=""),"",RawWorking[[#This Row],[DeliveryDate]]-RawWorking[[#This Row],[ShipDate]])</f>
        <v>7</v>
      </c>
      <c r="M81" s="9">
        <f>IF(COUNTIF(INDEX(RawWorking[OrderID],1):RawWorking[[#This Row],[OrderID]],RawWorking[[#This Row],[OrderID]])=1,1,0)</f>
        <v>0</v>
      </c>
      <c r="N81" s="4">
        <f>IFERROR(RawWorking[[#This Row],[LineAmount]]/RawWorking[[#This Row],[Quantity]],"")</f>
        <v>241.54</v>
      </c>
    </row>
    <row r="82" spans="1:14">
      <c r="A82">
        <v>50081</v>
      </c>
      <c r="B82">
        <v>30048</v>
      </c>
      <c r="C82" s="2">
        <v>45944</v>
      </c>
      <c r="D82">
        <v>2441</v>
      </c>
      <c r="E82">
        <v>1016</v>
      </c>
      <c r="F82">
        <v>1</v>
      </c>
      <c r="G82">
        <v>65.260000000000005</v>
      </c>
      <c r="H82" s="2">
        <v>45945</v>
      </c>
      <c r="I82" s="2">
        <v>45954</v>
      </c>
      <c r="J82" t="s">
        <v>9</v>
      </c>
      <c r="K82" s="2" t="str">
        <f>IFERROR(INDEX(Product_lookup[Category],MATCH(RawWorking[[#This Row],[ProductID]],Product_lookup[ProductID],0)),"")</f>
        <v>Sports</v>
      </c>
      <c r="L82" s="9">
        <f>IF(OR(RawWorking[[#This Row],[ShipDate]]="",RawWorking[[#This Row],[DeliveryDate]]=""),"",RawWorking[[#This Row],[DeliveryDate]]-RawWorking[[#This Row],[ShipDate]])</f>
        <v>9</v>
      </c>
      <c r="M82" s="9">
        <f>IF(COUNTIF(INDEX(RawWorking[OrderID],1):RawWorking[[#This Row],[OrderID]],RawWorking[[#This Row],[OrderID]])=1,1,0)</f>
        <v>1</v>
      </c>
      <c r="N82" s="4">
        <f>IFERROR(RawWorking[[#This Row],[LineAmount]]/RawWorking[[#This Row],[Quantity]],"")</f>
        <v>65.260000000000005</v>
      </c>
    </row>
    <row r="83" spans="1:14">
      <c r="A83">
        <v>50082</v>
      </c>
      <c r="B83">
        <v>30049</v>
      </c>
      <c r="C83" s="2">
        <v>45749</v>
      </c>
      <c r="D83">
        <v>2540</v>
      </c>
      <c r="E83">
        <v>1002</v>
      </c>
      <c r="F83">
        <v>1</v>
      </c>
      <c r="G83">
        <v>118.6</v>
      </c>
      <c r="H83" s="2">
        <v>45752</v>
      </c>
      <c r="I83" s="2">
        <v>45760</v>
      </c>
      <c r="J83" t="s">
        <v>9</v>
      </c>
      <c r="K83" s="2" t="str">
        <f>IFERROR(INDEX(Product_lookup[Category],MATCH(RawWorking[[#This Row],[ProductID]],Product_lookup[ProductID],0)),"")</f>
        <v>Electronics</v>
      </c>
      <c r="L83" s="9">
        <f>IF(OR(RawWorking[[#This Row],[ShipDate]]="",RawWorking[[#This Row],[DeliveryDate]]=""),"",RawWorking[[#This Row],[DeliveryDate]]-RawWorking[[#This Row],[ShipDate]])</f>
        <v>8</v>
      </c>
      <c r="M83" s="9">
        <f>IF(COUNTIF(INDEX(RawWorking[OrderID],1):RawWorking[[#This Row],[OrderID]],RawWorking[[#This Row],[OrderID]])=1,1,0)</f>
        <v>1</v>
      </c>
      <c r="N83" s="4">
        <f>IFERROR(RawWorking[[#This Row],[LineAmount]]/RawWorking[[#This Row],[Quantity]],"")</f>
        <v>118.6</v>
      </c>
    </row>
    <row r="84" spans="1:14">
      <c r="A84">
        <v>50083</v>
      </c>
      <c r="B84">
        <v>30050</v>
      </c>
      <c r="C84" s="2">
        <v>45879</v>
      </c>
      <c r="D84">
        <v>2226</v>
      </c>
      <c r="E84">
        <v>1002</v>
      </c>
      <c r="F84">
        <v>2</v>
      </c>
      <c r="G84">
        <v>237.2</v>
      </c>
      <c r="H84" s="2">
        <v>45880</v>
      </c>
      <c r="I84" s="2">
        <v>45885</v>
      </c>
      <c r="J84" t="s">
        <v>9</v>
      </c>
      <c r="K84" s="2" t="str">
        <f>IFERROR(INDEX(Product_lookup[Category],MATCH(RawWorking[[#This Row],[ProductID]],Product_lookup[ProductID],0)),"")</f>
        <v>Electronics</v>
      </c>
      <c r="L84" s="9">
        <f>IF(OR(RawWorking[[#This Row],[ShipDate]]="",RawWorking[[#This Row],[DeliveryDate]]=""),"",RawWorking[[#This Row],[DeliveryDate]]-RawWorking[[#This Row],[ShipDate]])</f>
        <v>5</v>
      </c>
      <c r="M84" s="9">
        <f>IF(COUNTIF(INDEX(RawWorking[OrderID],1):RawWorking[[#This Row],[OrderID]],RawWorking[[#This Row],[OrderID]])=1,1,0)</f>
        <v>1</v>
      </c>
      <c r="N84" s="4">
        <f>IFERROR(RawWorking[[#This Row],[LineAmount]]/RawWorking[[#This Row],[Quantity]],"")</f>
        <v>118.6</v>
      </c>
    </row>
    <row r="85" spans="1:14">
      <c r="A85">
        <v>50084</v>
      </c>
      <c r="B85">
        <v>30050</v>
      </c>
      <c r="C85" s="2">
        <v>45879</v>
      </c>
      <c r="D85">
        <v>2226</v>
      </c>
      <c r="E85">
        <v>1001</v>
      </c>
      <c r="F85">
        <v>1</v>
      </c>
      <c r="G85">
        <v>203.04</v>
      </c>
      <c r="H85" s="2">
        <v>45882</v>
      </c>
      <c r="I85" s="2">
        <v>45887</v>
      </c>
      <c r="J85" t="s">
        <v>9</v>
      </c>
      <c r="K85" s="2" t="str">
        <f>IFERROR(INDEX(Product_lookup[Category],MATCH(RawWorking[[#This Row],[ProductID]],Product_lookup[ProductID],0)),"")</f>
        <v>Electronics</v>
      </c>
      <c r="L85" s="9">
        <f>IF(OR(RawWorking[[#This Row],[ShipDate]]="",RawWorking[[#This Row],[DeliveryDate]]=""),"",RawWorking[[#This Row],[DeliveryDate]]-RawWorking[[#This Row],[ShipDate]])</f>
        <v>5</v>
      </c>
      <c r="M85" s="9">
        <f>IF(COUNTIF(INDEX(RawWorking[OrderID],1):RawWorking[[#This Row],[OrderID]],RawWorking[[#This Row],[OrderID]])=1,1,0)</f>
        <v>0</v>
      </c>
      <c r="N85" s="4">
        <f>IFERROR(RawWorking[[#This Row],[LineAmount]]/RawWorking[[#This Row],[Quantity]],"")</f>
        <v>203.04</v>
      </c>
    </row>
    <row r="86" spans="1:14">
      <c r="A86">
        <v>50085</v>
      </c>
      <c r="B86">
        <v>30050</v>
      </c>
      <c r="C86" s="2">
        <v>45879</v>
      </c>
      <c r="D86">
        <v>2226</v>
      </c>
      <c r="E86">
        <v>1007</v>
      </c>
      <c r="F86">
        <v>2</v>
      </c>
      <c r="G86">
        <v>399.62</v>
      </c>
      <c r="H86" s="2">
        <v>45882</v>
      </c>
      <c r="I86" s="2">
        <v>45891</v>
      </c>
      <c r="J86" t="s">
        <v>9</v>
      </c>
      <c r="K86" s="2" t="str">
        <f>IFERROR(INDEX(Product_lookup[Category],MATCH(RawWorking[[#This Row],[ProductID]],Product_lookup[ProductID],0)),"")</f>
        <v>Home</v>
      </c>
      <c r="L86" s="9">
        <f>IF(OR(RawWorking[[#This Row],[ShipDate]]="",RawWorking[[#This Row],[DeliveryDate]]=""),"",RawWorking[[#This Row],[DeliveryDate]]-RawWorking[[#This Row],[ShipDate]])</f>
        <v>9</v>
      </c>
      <c r="M86" s="9">
        <f>IF(COUNTIF(INDEX(RawWorking[OrderID],1):RawWorking[[#This Row],[OrderID]],RawWorking[[#This Row],[OrderID]])=1,1,0)</f>
        <v>0</v>
      </c>
      <c r="N86" s="4">
        <f>IFERROR(RawWorking[[#This Row],[LineAmount]]/RawWorking[[#This Row],[Quantity]],"")</f>
        <v>199.81</v>
      </c>
    </row>
    <row r="87" spans="1:14">
      <c r="A87">
        <v>50086</v>
      </c>
      <c r="B87">
        <v>30051</v>
      </c>
      <c r="C87" s="2">
        <v>45758</v>
      </c>
      <c r="D87">
        <v>2309</v>
      </c>
      <c r="E87">
        <v>1005</v>
      </c>
      <c r="F87">
        <v>1</v>
      </c>
      <c r="G87">
        <v>31.73</v>
      </c>
      <c r="H87" s="2">
        <v>45760</v>
      </c>
      <c r="I87" s="2">
        <v>45770</v>
      </c>
      <c r="J87" t="s">
        <v>11</v>
      </c>
      <c r="K87" s="2" t="str">
        <f>IFERROR(INDEX(Product_lookup[Category],MATCH(RawWorking[[#This Row],[ProductID]],Product_lookup[ProductID],0)),"")</f>
        <v>Electronics</v>
      </c>
      <c r="L87" s="9">
        <f>IF(OR(RawWorking[[#This Row],[ShipDate]]="",RawWorking[[#This Row],[DeliveryDate]]=""),"",RawWorking[[#This Row],[DeliveryDate]]-RawWorking[[#This Row],[ShipDate]])</f>
        <v>10</v>
      </c>
      <c r="M87" s="9">
        <f>IF(COUNTIF(INDEX(RawWorking[OrderID],1):RawWorking[[#This Row],[OrderID]],RawWorking[[#This Row],[OrderID]])=1,1,0)</f>
        <v>1</v>
      </c>
      <c r="N87" s="4">
        <f>IFERROR(RawWorking[[#This Row],[LineAmount]]/RawWorking[[#This Row],[Quantity]],"")</f>
        <v>31.73</v>
      </c>
    </row>
    <row r="88" spans="1:14">
      <c r="A88">
        <v>50087</v>
      </c>
      <c r="B88">
        <v>30052</v>
      </c>
      <c r="C88" s="2">
        <v>45930</v>
      </c>
      <c r="D88">
        <v>2262</v>
      </c>
      <c r="E88">
        <v>1004</v>
      </c>
      <c r="F88">
        <v>1</v>
      </c>
      <c r="G88">
        <v>183.74</v>
      </c>
      <c r="H88" s="2">
        <v>45933</v>
      </c>
      <c r="I88" s="2">
        <v>45934</v>
      </c>
      <c r="J88" t="s">
        <v>9</v>
      </c>
      <c r="K88" s="2" t="str">
        <f>IFERROR(INDEX(Product_lookup[Category],MATCH(RawWorking[[#This Row],[ProductID]],Product_lookup[ProductID],0)),"")</f>
        <v>Electronics</v>
      </c>
      <c r="L88" s="9">
        <f>IF(OR(RawWorking[[#This Row],[ShipDate]]="",RawWorking[[#This Row],[DeliveryDate]]=""),"",RawWorking[[#This Row],[DeliveryDate]]-RawWorking[[#This Row],[ShipDate]])</f>
        <v>1</v>
      </c>
      <c r="M88" s="9">
        <f>IF(COUNTIF(INDEX(RawWorking[OrderID],1):RawWorking[[#This Row],[OrderID]],RawWorking[[#This Row],[OrderID]])=1,1,0)</f>
        <v>1</v>
      </c>
      <c r="N88" s="4">
        <f>IFERROR(RawWorking[[#This Row],[LineAmount]]/RawWorking[[#This Row],[Quantity]],"")</f>
        <v>183.74</v>
      </c>
    </row>
    <row r="89" spans="1:14">
      <c r="A89">
        <v>50088</v>
      </c>
      <c r="B89">
        <v>30052</v>
      </c>
      <c r="C89" s="2">
        <v>45930</v>
      </c>
      <c r="D89">
        <v>2262</v>
      </c>
      <c r="E89">
        <v>1001</v>
      </c>
      <c r="F89">
        <v>2</v>
      </c>
      <c r="G89">
        <v>406.08</v>
      </c>
      <c r="H89" s="2">
        <v>45932</v>
      </c>
      <c r="I89" s="2">
        <v>45934</v>
      </c>
      <c r="J89" t="s">
        <v>9</v>
      </c>
      <c r="K89" s="2" t="str">
        <f>IFERROR(INDEX(Product_lookup[Category],MATCH(RawWorking[[#This Row],[ProductID]],Product_lookup[ProductID],0)),"")</f>
        <v>Electronics</v>
      </c>
      <c r="L89" s="9">
        <f>IF(OR(RawWorking[[#This Row],[ShipDate]]="",RawWorking[[#This Row],[DeliveryDate]]=""),"",RawWorking[[#This Row],[DeliveryDate]]-RawWorking[[#This Row],[ShipDate]])</f>
        <v>2</v>
      </c>
      <c r="M89" s="9">
        <f>IF(COUNTIF(INDEX(RawWorking[OrderID],1):RawWorking[[#This Row],[OrderID]],RawWorking[[#This Row],[OrderID]])=1,1,0)</f>
        <v>0</v>
      </c>
      <c r="N89" s="4">
        <f>IFERROR(RawWorking[[#This Row],[LineAmount]]/RawWorking[[#This Row],[Quantity]],"")</f>
        <v>203.04</v>
      </c>
    </row>
    <row r="90" spans="1:14">
      <c r="A90">
        <v>50089</v>
      </c>
      <c r="B90">
        <v>30052</v>
      </c>
      <c r="C90" s="2">
        <v>45930</v>
      </c>
      <c r="D90">
        <v>2262</v>
      </c>
      <c r="E90">
        <v>1016</v>
      </c>
      <c r="F90">
        <v>3</v>
      </c>
      <c r="G90">
        <v>195.78</v>
      </c>
      <c r="H90" s="2">
        <v>45931</v>
      </c>
      <c r="I90" s="2">
        <v>45935</v>
      </c>
      <c r="J90" t="s">
        <v>9</v>
      </c>
      <c r="K90" s="2" t="str">
        <f>IFERROR(INDEX(Product_lookup[Category],MATCH(RawWorking[[#This Row],[ProductID]],Product_lookup[ProductID],0)),"")</f>
        <v>Sports</v>
      </c>
      <c r="L90" s="9">
        <f>IF(OR(RawWorking[[#This Row],[ShipDate]]="",RawWorking[[#This Row],[DeliveryDate]]=""),"",RawWorking[[#This Row],[DeliveryDate]]-RawWorking[[#This Row],[ShipDate]])</f>
        <v>4</v>
      </c>
      <c r="M90" s="9">
        <f>IF(COUNTIF(INDEX(RawWorking[OrderID],1):RawWorking[[#This Row],[OrderID]],RawWorking[[#This Row],[OrderID]])=1,1,0)</f>
        <v>0</v>
      </c>
      <c r="N90" s="4">
        <f>IFERROR(RawWorking[[#This Row],[LineAmount]]/RawWorking[[#This Row],[Quantity]],"")</f>
        <v>65.260000000000005</v>
      </c>
    </row>
    <row r="91" spans="1:14">
      <c r="A91">
        <v>50090</v>
      </c>
      <c r="B91">
        <v>30053</v>
      </c>
      <c r="C91" s="2">
        <v>45759</v>
      </c>
      <c r="D91">
        <v>2441</v>
      </c>
      <c r="E91">
        <v>1013</v>
      </c>
      <c r="F91">
        <v>1</v>
      </c>
      <c r="G91">
        <v>170.25</v>
      </c>
      <c r="H91" s="2">
        <v>45996</v>
      </c>
      <c r="I91" s="2">
        <v>45998</v>
      </c>
      <c r="J91" t="s">
        <v>9</v>
      </c>
      <c r="K91" s="2" t="str">
        <f>IFERROR(INDEX(Product_lookup[Category],MATCH(RawWorking[[#This Row],[ProductID]],Product_lookup[ProductID],0)),"")</f>
        <v>Office</v>
      </c>
      <c r="L91" s="9">
        <f>IF(OR(RawWorking[[#This Row],[ShipDate]]="",RawWorking[[#This Row],[DeliveryDate]]=""),"",RawWorking[[#This Row],[DeliveryDate]]-RawWorking[[#This Row],[ShipDate]])</f>
        <v>2</v>
      </c>
      <c r="M91" s="9">
        <f>IF(COUNTIF(INDEX(RawWorking[OrderID],1):RawWorking[[#This Row],[OrderID]],RawWorking[[#This Row],[OrderID]])=1,1,0)</f>
        <v>1</v>
      </c>
      <c r="N91" s="4">
        <f>IFERROR(RawWorking[[#This Row],[LineAmount]]/RawWorking[[#This Row],[Quantity]],"")</f>
        <v>170.25</v>
      </c>
    </row>
    <row r="92" spans="1:14">
      <c r="A92">
        <v>50091</v>
      </c>
      <c r="B92">
        <v>30053</v>
      </c>
      <c r="C92" s="2">
        <v>45759</v>
      </c>
      <c r="D92">
        <v>2441</v>
      </c>
      <c r="E92">
        <v>1008</v>
      </c>
      <c r="F92">
        <v>1</v>
      </c>
      <c r="G92">
        <v>206.09</v>
      </c>
      <c r="H92" s="2">
        <v>45996</v>
      </c>
      <c r="I92" s="2">
        <v>46001</v>
      </c>
      <c r="J92" t="s">
        <v>9</v>
      </c>
      <c r="K92" s="2" t="str">
        <f>IFERROR(INDEX(Product_lookup[Category],MATCH(RawWorking[[#This Row],[ProductID]],Product_lookup[ProductID],0)),"")</f>
        <v>Home</v>
      </c>
      <c r="L92" s="9">
        <f>IF(OR(RawWorking[[#This Row],[ShipDate]]="",RawWorking[[#This Row],[DeliveryDate]]=""),"",RawWorking[[#This Row],[DeliveryDate]]-RawWorking[[#This Row],[ShipDate]])</f>
        <v>5</v>
      </c>
      <c r="M92" s="9">
        <f>IF(COUNTIF(INDEX(RawWorking[OrderID],1):RawWorking[[#This Row],[OrderID]],RawWorking[[#This Row],[OrderID]])=1,1,0)</f>
        <v>0</v>
      </c>
      <c r="N92" s="4">
        <f>IFERROR(RawWorking[[#This Row],[LineAmount]]/RawWorking[[#This Row],[Quantity]],"")</f>
        <v>206.09</v>
      </c>
    </row>
    <row r="93" spans="1:14">
      <c r="A93">
        <v>50092</v>
      </c>
      <c r="B93">
        <v>30053</v>
      </c>
      <c r="C93" s="2">
        <v>45995</v>
      </c>
      <c r="D93">
        <v>2441</v>
      </c>
      <c r="E93">
        <v>1012</v>
      </c>
      <c r="F93">
        <v>1</v>
      </c>
      <c r="G93">
        <v>241.54</v>
      </c>
      <c r="H93" s="2">
        <v>45996</v>
      </c>
      <c r="I93" s="2">
        <v>46004</v>
      </c>
      <c r="J93" t="s">
        <v>9</v>
      </c>
      <c r="K93" s="2" t="str">
        <f>IFERROR(INDEX(Product_lookup[Category],MATCH(RawWorking[[#This Row],[ProductID]],Product_lookup[ProductID],0)),"")</f>
        <v>Office</v>
      </c>
      <c r="L93" s="9">
        <f>IF(OR(RawWorking[[#This Row],[ShipDate]]="",RawWorking[[#This Row],[DeliveryDate]]=""),"",RawWorking[[#This Row],[DeliveryDate]]-RawWorking[[#This Row],[ShipDate]])</f>
        <v>8</v>
      </c>
      <c r="M93" s="9">
        <f>IF(COUNTIF(INDEX(RawWorking[OrderID],1):RawWorking[[#This Row],[OrderID]],RawWorking[[#This Row],[OrderID]])=1,1,0)</f>
        <v>0</v>
      </c>
      <c r="N93" s="4">
        <f>IFERROR(RawWorking[[#This Row],[LineAmount]]/RawWorking[[#This Row],[Quantity]],"")</f>
        <v>241.54</v>
      </c>
    </row>
    <row r="94" spans="1:14">
      <c r="A94">
        <v>50093</v>
      </c>
      <c r="B94">
        <v>30054</v>
      </c>
      <c r="C94" s="2">
        <v>45678</v>
      </c>
      <c r="D94">
        <v>2074</v>
      </c>
      <c r="E94">
        <v>1002</v>
      </c>
      <c r="F94">
        <v>1</v>
      </c>
      <c r="G94">
        <v>118.6</v>
      </c>
      <c r="H94" s="2">
        <v>45680</v>
      </c>
      <c r="I94" s="2">
        <v>45686</v>
      </c>
      <c r="J94" t="s">
        <v>9</v>
      </c>
      <c r="K94" s="2" t="str">
        <f>IFERROR(INDEX(Product_lookup[Category],MATCH(RawWorking[[#This Row],[ProductID]],Product_lookup[ProductID],0)),"")</f>
        <v>Electronics</v>
      </c>
      <c r="L94" s="9">
        <f>IF(OR(RawWorking[[#This Row],[ShipDate]]="",RawWorking[[#This Row],[DeliveryDate]]=""),"",RawWorking[[#This Row],[DeliveryDate]]-RawWorking[[#This Row],[ShipDate]])</f>
        <v>6</v>
      </c>
      <c r="M94" s="9">
        <f>IF(COUNTIF(INDEX(RawWorking[OrderID],1):RawWorking[[#This Row],[OrderID]],RawWorking[[#This Row],[OrderID]])=1,1,0)</f>
        <v>1</v>
      </c>
      <c r="N94" s="4">
        <f>IFERROR(RawWorking[[#This Row],[LineAmount]]/RawWorking[[#This Row],[Quantity]],"")</f>
        <v>118.6</v>
      </c>
    </row>
    <row r="95" spans="1:14">
      <c r="A95">
        <v>50094</v>
      </c>
      <c r="B95">
        <v>30055</v>
      </c>
      <c r="C95" s="2">
        <v>45846</v>
      </c>
      <c r="D95">
        <v>2447</v>
      </c>
      <c r="E95">
        <v>1003</v>
      </c>
      <c r="F95">
        <v>1</v>
      </c>
      <c r="G95">
        <v>224.37</v>
      </c>
      <c r="H95" s="2">
        <v>45849</v>
      </c>
      <c r="I95" s="2">
        <v>45859</v>
      </c>
      <c r="J95" t="s">
        <v>9</v>
      </c>
      <c r="K95" s="2" t="str">
        <f>IFERROR(INDEX(Product_lookup[Category],MATCH(RawWorking[[#This Row],[ProductID]],Product_lookup[ProductID],0)),"")</f>
        <v>Electronics</v>
      </c>
      <c r="L95" s="9">
        <f>IF(OR(RawWorking[[#This Row],[ShipDate]]="",RawWorking[[#This Row],[DeliveryDate]]=""),"",RawWorking[[#This Row],[DeliveryDate]]-RawWorking[[#This Row],[ShipDate]])</f>
        <v>10</v>
      </c>
      <c r="M95" s="9">
        <f>IF(COUNTIF(INDEX(RawWorking[OrderID],1):RawWorking[[#This Row],[OrderID]],RawWorking[[#This Row],[OrderID]])=1,1,0)</f>
        <v>1</v>
      </c>
      <c r="N95" s="4">
        <f>IFERROR(RawWorking[[#This Row],[LineAmount]]/RawWorking[[#This Row],[Quantity]],"")</f>
        <v>224.37</v>
      </c>
    </row>
    <row r="96" spans="1:14">
      <c r="A96">
        <v>50095</v>
      </c>
      <c r="B96">
        <v>30056</v>
      </c>
      <c r="C96" s="2">
        <v>45754</v>
      </c>
      <c r="D96">
        <v>2321</v>
      </c>
      <c r="E96">
        <v>1013</v>
      </c>
      <c r="F96">
        <v>3</v>
      </c>
      <c r="G96">
        <v>510.75</v>
      </c>
      <c r="H96" s="2">
        <v>45844</v>
      </c>
      <c r="I96" s="2">
        <v>45845</v>
      </c>
      <c r="J96" t="s">
        <v>9</v>
      </c>
      <c r="K96" s="2" t="str">
        <f>IFERROR(INDEX(Product_lookup[Category],MATCH(RawWorking[[#This Row],[ProductID]],Product_lookup[ProductID],0)),"")</f>
        <v>Office</v>
      </c>
      <c r="L96" s="9">
        <f>IF(OR(RawWorking[[#This Row],[ShipDate]]="",RawWorking[[#This Row],[DeliveryDate]]=""),"",RawWorking[[#This Row],[DeliveryDate]]-RawWorking[[#This Row],[ShipDate]])</f>
        <v>1</v>
      </c>
      <c r="M96" s="9">
        <f>IF(COUNTIF(INDEX(RawWorking[OrderID],1):RawWorking[[#This Row],[OrderID]],RawWorking[[#This Row],[OrderID]])=1,1,0)</f>
        <v>1</v>
      </c>
      <c r="N96" s="4">
        <f>IFERROR(RawWorking[[#This Row],[LineAmount]]/RawWorking[[#This Row],[Quantity]],"")</f>
        <v>170.25</v>
      </c>
    </row>
    <row r="97" spans="1:14">
      <c r="A97">
        <v>50096</v>
      </c>
      <c r="B97">
        <v>30056</v>
      </c>
      <c r="C97" s="2">
        <v>45842</v>
      </c>
      <c r="D97">
        <v>2321</v>
      </c>
      <c r="E97">
        <v>1014</v>
      </c>
      <c r="F97">
        <v>1</v>
      </c>
      <c r="G97">
        <v>215.34</v>
      </c>
      <c r="H97" s="2">
        <v>45845</v>
      </c>
      <c r="I97" s="2">
        <v>45848</v>
      </c>
      <c r="J97" t="s">
        <v>9</v>
      </c>
      <c r="K97" s="2" t="str">
        <f>IFERROR(INDEX(Product_lookup[Category],MATCH(RawWorking[[#This Row],[ProductID]],Product_lookup[ProductID],0)),"")</f>
        <v>Sports</v>
      </c>
      <c r="L97" s="9">
        <f>IF(OR(RawWorking[[#This Row],[ShipDate]]="",RawWorking[[#This Row],[DeliveryDate]]=""),"",RawWorking[[#This Row],[DeliveryDate]]-RawWorking[[#This Row],[ShipDate]])</f>
        <v>3</v>
      </c>
      <c r="M97" s="9">
        <f>IF(COUNTIF(INDEX(RawWorking[OrderID],1):RawWorking[[#This Row],[OrderID]],RawWorking[[#This Row],[OrderID]])=1,1,0)</f>
        <v>0</v>
      </c>
      <c r="N97" s="4">
        <f>IFERROR(RawWorking[[#This Row],[LineAmount]]/RawWorking[[#This Row],[Quantity]],"")</f>
        <v>215.34</v>
      </c>
    </row>
    <row r="98" spans="1:14">
      <c r="A98">
        <v>50097</v>
      </c>
      <c r="B98">
        <v>30056</v>
      </c>
      <c r="C98" s="2">
        <v>45842</v>
      </c>
      <c r="D98">
        <v>2321</v>
      </c>
      <c r="E98">
        <v>1010</v>
      </c>
      <c r="F98">
        <v>1</v>
      </c>
      <c r="G98">
        <v>121.5</v>
      </c>
      <c r="H98" s="2">
        <v>45844</v>
      </c>
      <c r="I98" s="2">
        <v>45998</v>
      </c>
      <c r="J98" t="s">
        <v>9</v>
      </c>
      <c r="K98" s="2" t="str">
        <f>IFERROR(INDEX(Product_lookup[Category],MATCH(RawWorking[[#This Row],[ProductID]],Product_lookup[ProductID],0)),"")</f>
        <v>Office</v>
      </c>
      <c r="L98" s="9">
        <f>IF(OR(RawWorking[[#This Row],[ShipDate]]="",RawWorking[[#This Row],[DeliveryDate]]=""),"",RawWorking[[#This Row],[DeliveryDate]]-RawWorking[[#This Row],[ShipDate]])</f>
        <v>154</v>
      </c>
      <c r="M98" s="9">
        <f>IF(COUNTIF(INDEX(RawWorking[OrderID],1):RawWorking[[#This Row],[OrderID]],RawWorking[[#This Row],[OrderID]])=1,1,0)</f>
        <v>0</v>
      </c>
      <c r="N98" s="4">
        <f>IFERROR(RawWorking[[#This Row],[LineAmount]]/RawWorking[[#This Row],[Quantity]],"")</f>
        <v>121.5</v>
      </c>
    </row>
    <row r="99" spans="1:14">
      <c r="A99">
        <v>50098</v>
      </c>
      <c r="B99">
        <v>30057</v>
      </c>
      <c r="C99" s="2">
        <v>46004</v>
      </c>
      <c r="D99">
        <v>2118</v>
      </c>
      <c r="E99">
        <v>1011</v>
      </c>
      <c r="F99">
        <v>1</v>
      </c>
      <c r="G99">
        <v>101.44</v>
      </c>
      <c r="H99" s="2">
        <v>46006</v>
      </c>
      <c r="I99" s="2">
        <v>46016</v>
      </c>
      <c r="J99" t="s">
        <v>9</v>
      </c>
      <c r="K99" s="2" t="str">
        <f>IFERROR(INDEX(Product_lookup[Category],MATCH(RawWorking[[#This Row],[ProductID]],Product_lookup[ProductID],0)),"")</f>
        <v>Office</v>
      </c>
      <c r="L99" s="9">
        <f>IF(OR(RawWorking[[#This Row],[ShipDate]]="",RawWorking[[#This Row],[DeliveryDate]]=""),"",RawWorking[[#This Row],[DeliveryDate]]-RawWorking[[#This Row],[ShipDate]])</f>
        <v>10</v>
      </c>
      <c r="M99" s="9">
        <f>IF(COUNTIF(INDEX(RawWorking[OrderID],1):RawWorking[[#This Row],[OrderID]],RawWorking[[#This Row],[OrderID]])=1,1,0)</f>
        <v>1</v>
      </c>
      <c r="N99" s="4">
        <f>IFERROR(RawWorking[[#This Row],[LineAmount]]/RawWorking[[#This Row],[Quantity]],"")</f>
        <v>101.44</v>
      </c>
    </row>
    <row r="100" spans="1:14">
      <c r="A100">
        <v>50099</v>
      </c>
      <c r="B100">
        <v>30058</v>
      </c>
      <c r="C100" s="2">
        <v>45849</v>
      </c>
      <c r="D100">
        <v>2176</v>
      </c>
      <c r="E100">
        <v>1015</v>
      </c>
      <c r="F100">
        <v>3</v>
      </c>
      <c r="G100">
        <v>359.22</v>
      </c>
      <c r="H100" s="2" t="s">
        <v>1421</v>
      </c>
      <c r="I100" s="2" t="s">
        <v>1421</v>
      </c>
      <c r="J100" t="s">
        <v>16</v>
      </c>
      <c r="K100" s="2" t="str">
        <f>IFERROR(INDEX(Product_lookup[Category],MATCH(RawWorking[[#This Row],[ProductID]],Product_lookup[ProductID],0)),"")</f>
        <v>Sports</v>
      </c>
      <c r="L100" s="9" t="str">
        <f>IF(OR(RawWorking[[#This Row],[ShipDate]]="",RawWorking[[#This Row],[DeliveryDate]]=""),"",RawWorking[[#This Row],[DeliveryDate]]-RawWorking[[#This Row],[ShipDate]])</f>
        <v/>
      </c>
      <c r="M100" s="9">
        <f>IF(COUNTIF(INDEX(RawWorking[OrderID],1):RawWorking[[#This Row],[OrderID]],RawWorking[[#This Row],[OrderID]])=1,1,0)</f>
        <v>1</v>
      </c>
      <c r="N100" s="4">
        <f>IFERROR(RawWorking[[#This Row],[LineAmount]]/RawWorking[[#This Row],[Quantity]],"")</f>
        <v>119.74000000000001</v>
      </c>
    </row>
    <row r="101" spans="1:14">
      <c r="A101">
        <v>50100</v>
      </c>
      <c r="B101">
        <v>30059</v>
      </c>
      <c r="C101" s="2">
        <v>45696</v>
      </c>
      <c r="D101">
        <v>2371</v>
      </c>
      <c r="E101">
        <v>1004</v>
      </c>
      <c r="F101">
        <v>1</v>
      </c>
      <c r="G101">
        <v>183.74</v>
      </c>
      <c r="H101" s="2">
        <v>45697</v>
      </c>
      <c r="I101" s="2">
        <v>45706</v>
      </c>
      <c r="J101" t="s">
        <v>9</v>
      </c>
      <c r="K101" s="2" t="str">
        <f>IFERROR(INDEX(Product_lookup[Category],MATCH(RawWorking[[#This Row],[ProductID]],Product_lookup[ProductID],0)),"")</f>
        <v>Electronics</v>
      </c>
      <c r="L101" s="9">
        <f>IF(OR(RawWorking[[#This Row],[ShipDate]]="",RawWorking[[#This Row],[DeliveryDate]]=""),"",RawWorking[[#This Row],[DeliveryDate]]-RawWorking[[#This Row],[ShipDate]])</f>
        <v>9</v>
      </c>
      <c r="M101" s="9">
        <f>IF(COUNTIF(INDEX(RawWorking[OrderID],1):RawWorking[[#This Row],[OrderID]],RawWorking[[#This Row],[OrderID]])=1,1,0)</f>
        <v>1</v>
      </c>
      <c r="N101" s="4">
        <f>IFERROR(RawWorking[[#This Row],[LineAmount]]/RawWorking[[#This Row],[Quantity]],"")</f>
        <v>183.74</v>
      </c>
    </row>
    <row r="102" spans="1:14">
      <c r="A102">
        <v>50101</v>
      </c>
      <c r="B102">
        <v>30059</v>
      </c>
      <c r="C102" s="2">
        <v>45696</v>
      </c>
      <c r="D102">
        <v>2371</v>
      </c>
      <c r="E102">
        <v>1008</v>
      </c>
      <c r="F102">
        <v>3</v>
      </c>
      <c r="G102">
        <v>618.27</v>
      </c>
      <c r="H102" s="2">
        <v>45699</v>
      </c>
      <c r="I102" s="2">
        <v>45702</v>
      </c>
      <c r="J102" t="s">
        <v>9</v>
      </c>
      <c r="K102" s="2" t="str">
        <f>IFERROR(INDEX(Product_lookup[Category],MATCH(RawWorking[[#This Row],[ProductID]],Product_lookup[ProductID],0)),"")</f>
        <v>Home</v>
      </c>
      <c r="L102" s="9">
        <f>IF(OR(RawWorking[[#This Row],[ShipDate]]="",RawWorking[[#This Row],[DeliveryDate]]=""),"",RawWorking[[#This Row],[DeliveryDate]]-RawWorking[[#This Row],[ShipDate]])</f>
        <v>3</v>
      </c>
      <c r="M102" s="9">
        <f>IF(COUNTIF(INDEX(RawWorking[OrderID],1):RawWorking[[#This Row],[OrderID]],RawWorking[[#This Row],[OrderID]])=1,1,0)</f>
        <v>0</v>
      </c>
      <c r="N102" s="4">
        <f>IFERROR(RawWorking[[#This Row],[LineAmount]]/RawWorking[[#This Row],[Quantity]],"")</f>
        <v>206.09</v>
      </c>
    </row>
    <row r="103" spans="1:14">
      <c r="A103">
        <v>50102</v>
      </c>
      <c r="B103">
        <v>30059</v>
      </c>
      <c r="C103" s="2">
        <v>45696</v>
      </c>
      <c r="D103">
        <v>2371</v>
      </c>
      <c r="E103">
        <v>1014</v>
      </c>
      <c r="F103">
        <v>2</v>
      </c>
      <c r="G103">
        <v>430.68</v>
      </c>
      <c r="H103" s="2">
        <v>45699</v>
      </c>
      <c r="I103" s="2">
        <v>45705</v>
      </c>
      <c r="J103" t="s">
        <v>9</v>
      </c>
      <c r="K103" s="2" t="str">
        <f>IFERROR(INDEX(Product_lookup[Category],MATCH(RawWorking[[#This Row],[ProductID]],Product_lookup[ProductID],0)),"")</f>
        <v>Sports</v>
      </c>
      <c r="L103" s="9">
        <f>IF(OR(RawWorking[[#This Row],[ShipDate]]="",RawWorking[[#This Row],[DeliveryDate]]=""),"",RawWorking[[#This Row],[DeliveryDate]]-RawWorking[[#This Row],[ShipDate]])</f>
        <v>6</v>
      </c>
      <c r="M103" s="9">
        <f>IF(COUNTIF(INDEX(RawWorking[OrderID],1):RawWorking[[#This Row],[OrderID]],RawWorking[[#This Row],[OrderID]])=1,1,0)</f>
        <v>0</v>
      </c>
      <c r="N103" s="4">
        <f>IFERROR(RawWorking[[#This Row],[LineAmount]]/RawWorking[[#This Row],[Quantity]],"")</f>
        <v>215.34</v>
      </c>
    </row>
    <row r="104" spans="1:14">
      <c r="A104">
        <v>50103</v>
      </c>
      <c r="B104">
        <v>30060</v>
      </c>
      <c r="C104" s="2">
        <v>45942</v>
      </c>
      <c r="D104">
        <v>2411</v>
      </c>
      <c r="E104">
        <v>1013</v>
      </c>
      <c r="F104">
        <v>2</v>
      </c>
      <c r="G104">
        <v>340.5</v>
      </c>
      <c r="H104" s="2">
        <v>45945</v>
      </c>
      <c r="I104" s="2">
        <v>45947</v>
      </c>
      <c r="J104" t="s">
        <v>9</v>
      </c>
      <c r="K104" s="2" t="str">
        <f>IFERROR(INDEX(Product_lookup[Category],MATCH(RawWorking[[#This Row],[ProductID]],Product_lookup[ProductID],0)),"")</f>
        <v>Office</v>
      </c>
      <c r="L104" s="9">
        <f>IF(OR(RawWorking[[#This Row],[ShipDate]]="",RawWorking[[#This Row],[DeliveryDate]]=""),"",RawWorking[[#This Row],[DeliveryDate]]-RawWorking[[#This Row],[ShipDate]])</f>
        <v>2</v>
      </c>
      <c r="M104" s="9">
        <f>IF(COUNTIF(INDEX(RawWorking[OrderID],1):RawWorking[[#This Row],[OrderID]],RawWorking[[#This Row],[OrderID]])=1,1,0)</f>
        <v>1</v>
      </c>
      <c r="N104" s="4">
        <f>IFERROR(RawWorking[[#This Row],[LineAmount]]/RawWorking[[#This Row],[Quantity]],"")</f>
        <v>170.25</v>
      </c>
    </row>
    <row r="105" spans="1:14">
      <c r="A105">
        <v>50104</v>
      </c>
      <c r="B105">
        <v>30060</v>
      </c>
      <c r="C105" s="2">
        <v>45942</v>
      </c>
      <c r="D105">
        <v>2411</v>
      </c>
      <c r="E105">
        <v>1010</v>
      </c>
      <c r="F105">
        <v>1</v>
      </c>
      <c r="G105">
        <v>121.5</v>
      </c>
      <c r="H105" s="2">
        <v>45943</v>
      </c>
      <c r="I105" s="2">
        <v>45949</v>
      </c>
      <c r="J105" t="s">
        <v>9</v>
      </c>
      <c r="K105" s="2" t="str">
        <f>IFERROR(INDEX(Product_lookup[Category],MATCH(RawWorking[[#This Row],[ProductID]],Product_lookup[ProductID],0)),"")</f>
        <v>Office</v>
      </c>
      <c r="L105" s="9">
        <f>IF(OR(RawWorking[[#This Row],[ShipDate]]="",RawWorking[[#This Row],[DeliveryDate]]=""),"",RawWorking[[#This Row],[DeliveryDate]]-RawWorking[[#This Row],[ShipDate]])</f>
        <v>6</v>
      </c>
      <c r="M105" s="9">
        <f>IF(COUNTIF(INDEX(RawWorking[OrderID],1):RawWorking[[#This Row],[OrderID]],RawWorking[[#This Row],[OrderID]])=1,1,0)</f>
        <v>0</v>
      </c>
      <c r="N105" s="4">
        <f>IFERROR(RawWorking[[#This Row],[LineAmount]]/RawWorking[[#This Row],[Quantity]],"")</f>
        <v>121.5</v>
      </c>
    </row>
    <row r="106" spans="1:14">
      <c r="A106">
        <v>50105</v>
      </c>
      <c r="B106">
        <v>30061</v>
      </c>
      <c r="C106" s="2">
        <v>46010</v>
      </c>
      <c r="D106">
        <v>2348</v>
      </c>
      <c r="E106">
        <v>1006</v>
      </c>
      <c r="F106">
        <v>1</v>
      </c>
      <c r="G106">
        <v>253.86</v>
      </c>
      <c r="H106" s="2">
        <v>46013</v>
      </c>
      <c r="I106" s="2">
        <v>46020</v>
      </c>
      <c r="J106" t="s">
        <v>9</v>
      </c>
      <c r="K106" s="2" t="str">
        <f>IFERROR(INDEX(Product_lookup[Category],MATCH(RawWorking[[#This Row],[ProductID]],Product_lookup[ProductID],0)),"")</f>
        <v>Home</v>
      </c>
      <c r="L106" s="9">
        <f>IF(OR(RawWorking[[#This Row],[ShipDate]]="",RawWorking[[#This Row],[DeliveryDate]]=""),"",RawWorking[[#This Row],[DeliveryDate]]-RawWorking[[#This Row],[ShipDate]])</f>
        <v>7</v>
      </c>
      <c r="M106" s="9">
        <f>IF(COUNTIF(INDEX(RawWorking[OrderID],1):RawWorking[[#This Row],[OrderID]],RawWorking[[#This Row],[OrderID]])=1,1,0)</f>
        <v>1</v>
      </c>
      <c r="N106" s="4">
        <f>IFERROR(RawWorking[[#This Row],[LineAmount]]/RawWorking[[#This Row],[Quantity]],"")</f>
        <v>253.86</v>
      </c>
    </row>
    <row r="107" spans="1:14">
      <c r="A107">
        <v>50106</v>
      </c>
      <c r="B107">
        <v>30062</v>
      </c>
      <c r="C107" s="2">
        <v>45891</v>
      </c>
      <c r="D107">
        <v>2079</v>
      </c>
      <c r="E107">
        <v>1004</v>
      </c>
      <c r="F107">
        <v>1</v>
      </c>
      <c r="G107">
        <v>183.74</v>
      </c>
      <c r="H107" s="2">
        <v>45893</v>
      </c>
      <c r="I107" s="2">
        <v>45898</v>
      </c>
      <c r="J107" t="s">
        <v>9</v>
      </c>
      <c r="K107" s="2" t="str">
        <f>IFERROR(INDEX(Product_lookup[Category],MATCH(RawWorking[[#This Row],[ProductID]],Product_lookup[ProductID],0)),"")</f>
        <v>Electronics</v>
      </c>
      <c r="L107" s="9">
        <f>IF(OR(RawWorking[[#This Row],[ShipDate]]="",RawWorking[[#This Row],[DeliveryDate]]=""),"",RawWorking[[#This Row],[DeliveryDate]]-RawWorking[[#This Row],[ShipDate]])</f>
        <v>5</v>
      </c>
      <c r="M107" s="9">
        <f>IF(COUNTIF(INDEX(RawWorking[OrderID],1):RawWorking[[#This Row],[OrderID]],RawWorking[[#This Row],[OrderID]])=1,1,0)</f>
        <v>1</v>
      </c>
      <c r="N107" s="4">
        <f>IFERROR(RawWorking[[#This Row],[LineAmount]]/RawWorking[[#This Row],[Quantity]],"")</f>
        <v>183.74</v>
      </c>
    </row>
    <row r="108" spans="1:14">
      <c r="A108">
        <v>50107</v>
      </c>
      <c r="B108">
        <v>30063</v>
      </c>
      <c r="C108" s="2">
        <v>45691</v>
      </c>
      <c r="D108">
        <v>2544</v>
      </c>
      <c r="E108">
        <v>1012</v>
      </c>
      <c r="F108">
        <v>1</v>
      </c>
      <c r="G108">
        <v>241.54</v>
      </c>
      <c r="H108" s="2">
        <v>45720</v>
      </c>
      <c r="I108" s="2">
        <v>45726</v>
      </c>
      <c r="J108" t="s">
        <v>9</v>
      </c>
      <c r="K108" s="2" t="str">
        <f>IFERROR(INDEX(Product_lookup[Category],MATCH(RawWorking[[#This Row],[ProductID]],Product_lookup[ProductID],0)),"")</f>
        <v>Office</v>
      </c>
      <c r="L108" s="9">
        <f>IF(OR(RawWorking[[#This Row],[ShipDate]]="",RawWorking[[#This Row],[DeliveryDate]]=""),"",RawWorking[[#This Row],[DeliveryDate]]-RawWorking[[#This Row],[ShipDate]])</f>
        <v>6</v>
      </c>
      <c r="M108" s="9">
        <f>IF(COUNTIF(INDEX(RawWorking[OrderID],1):RawWorking[[#This Row],[OrderID]],RawWorking[[#This Row],[OrderID]])=1,1,0)</f>
        <v>1</v>
      </c>
      <c r="N108" s="4">
        <f>IFERROR(RawWorking[[#This Row],[LineAmount]]/RawWorking[[#This Row],[Quantity]],"")</f>
        <v>241.54</v>
      </c>
    </row>
    <row r="109" spans="1:14">
      <c r="A109">
        <v>50108</v>
      </c>
      <c r="B109">
        <v>30064</v>
      </c>
      <c r="C109" s="2">
        <v>45791</v>
      </c>
      <c r="D109">
        <v>2360</v>
      </c>
      <c r="E109">
        <v>1005</v>
      </c>
      <c r="F109">
        <v>1</v>
      </c>
      <c r="G109">
        <v>31.73</v>
      </c>
      <c r="H109" s="2">
        <v>45792</v>
      </c>
      <c r="I109" s="2">
        <v>45799</v>
      </c>
      <c r="J109" t="s">
        <v>9</v>
      </c>
      <c r="K109" s="2" t="str">
        <f>IFERROR(INDEX(Product_lookup[Category],MATCH(RawWorking[[#This Row],[ProductID]],Product_lookup[ProductID],0)),"")</f>
        <v>Electronics</v>
      </c>
      <c r="L109" s="9">
        <f>IF(OR(RawWorking[[#This Row],[ShipDate]]="",RawWorking[[#This Row],[DeliveryDate]]=""),"",RawWorking[[#This Row],[DeliveryDate]]-RawWorking[[#This Row],[ShipDate]])</f>
        <v>7</v>
      </c>
      <c r="M109" s="9">
        <f>IF(COUNTIF(INDEX(RawWorking[OrderID],1):RawWorking[[#This Row],[OrderID]],RawWorking[[#This Row],[OrderID]])=1,1,0)</f>
        <v>1</v>
      </c>
      <c r="N109" s="4">
        <f>IFERROR(RawWorking[[#This Row],[LineAmount]]/RawWorking[[#This Row],[Quantity]],"")</f>
        <v>31.73</v>
      </c>
    </row>
    <row r="110" spans="1:14">
      <c r="A110">
        <v>50109</v>
      </c>
      <c r="B110">
        <v>30065</v>
      </c>
      <c r="C110" s="2">
        <v>45743</v>
      </c>
      <c r="D110">
        <v>2242</v>
      </c>
      <c r="E110">
        <v>1009</v>
      </c>
      <c r="F110">
        <v>3</v>
      </c>
      <c r="G110">
        <v>120.84</v>
      </c>
      <c r="H110" s="2">
        <v>45744</v>
      </c>
      <c r="I110" s="2">
        <v>45753</v>
      </c>
      <c r="J110" t="s">
        <v>9</v>
      </c>
      <c r="K110" s="2" t="str">
        <f>IFERROR(INDEX(Product_lookup[Category],MATCH(RawWorking[[#This Row],[ProductID]],Product_lookup[ProductID],0)),"")</f>
        <v>Home</v>
      </c>
      <c r="L110" s="9">
        <f>IF(OR(RawWorking[[#This Row],[ShipDate]]="",RawWorking[[#This Row],[DeliveryDate]]=""),"",RawWorking[[#This Row],[DeliveryDate]]-RawWorking[[#This Row],[ShipDate]])</f>
        <v>9</v>
      </c>
      <c r="M110" s="9">
        <f>IF(COUNTIF(INDEX(RawWorking[OrderID],1):RawWorking[[#This Row],[OrderID]],RawWorking[[#This Row],[OrderID]])=1,1,0)</f>
        <v>1</v>
      </c>
      <c r="N110" s="4">
        <f>IFERROR(RawWorking[[#This Row],[LineAmount]]/RawWorking[[#This Row],[Quantity]],"")</f>
        <v>40.28</v>
      </c>
    </row>
    <row r="111" spans="1:14">
      <c r="A111">
        <v>50110</v>
      </c>
      <c r="B111">
        <v>30065</v>
      </c>
      <c r="C111" s="2">
        <v>45743</v>
      </c>
      <c r="D111">
        <v>2242</v>
      </c>
      <c r="E111">
        <v>1007</v>
      </c>
      <c r="F111">
        <v>1</v>
      </c>
      <c r="G111">
        <v>199.81</v>
      </c>
      <c r="H111" s="2">
        <v>45745</v>
      </c>
      <c r="I111" s="2">
        <v>45750</v>
      </c>
      <c r="J111" t="s">
        <v>9</v>
      </c>
      <c r="K111" s="2" t="str">
        <f>IFERROR(INDEX(Product_lookup[Category],MATCH(RawWorking[[#This Row],[ProductID]],Product_lookup[ProductID],0)),"")</f>
        <v>Home</v>
      </c>
      <c r="L111" s="9">
        <f>IF(OR(RawWorking[[#This Row],[ShipDate]]="",RawWorking[[#This Row],[DeliveryDate]]=""),"",RawWorking[[#This Row],[DeliveryDate]]-RawWorking[[#This Row],[ShipDate]])</f>
        <v>5</v>
      </c>
      <c r="M111" s="9">
        <f>IF(COUNTIF(INDEX(RawWorking[OrderID],1):RawWorking[[#This Row],[OrderID]],RawWorking[[#This Row],[OrderID]])=1,1,0)</f>
        <v>0</v>
      </c>
      <c r="N111" s="4">
        <f>IFERROR(RawWorking[[#This Row],[LineAmount]]/RawWorking[[#This Row],[Quantity]],"")</f>
        <v>199.81</v>
      </c>
    </row>
    <row r="112" spans="1:14">
      <c r="A112">
        <v>50111</v>
      </c>
      <c r="B112">
        <v>30065</v>
      </c>
      <c r="C112" s="2">
        <v>45743</v>
      </c>
      <c r="D112">
        <v>2242</v>
      </c>
      <c r="E112">
        <v>1006</v>
      </c>
      <c r="F112">
        <v>3</v>
      </c>
      <c r="G112">
        <v>761.58</v>
      </c>
      <c r="H112" s="2">
        <v>45745</v>
      </c>
      <c r="I112" s="2">
        <v>45750</v>
      </c>
      <c r="J112" t="s">
        <v>9</v>
      </c>
      <c r="K112" s="2" t="str">
        <f>IFERROR(INDEX(Product_lookup[Category],MATCH(RawWorking[[#This Row],[ProductID]],Product_lookup[ProductID],0)),"")</f>
        <v>Home</v>
      </c>
      <c r="L112" s="9">
        <f>IF(OR(RawWorking[[#This Row],[ShipDate]]="",RawWorking[[#This Row],[DeliveryDate]]=""),"",RawWorking[[#This Row],[DeliveryDate]]-RawWorking[[#This Row],[ShipDate]])</f>
        <v>5</v>
      </c>
      <c r="M112" s="9">
        <f>IF(COUNTIF(INDEX(RawWorking[OrderID],1):RawWorking[[#This Row],[OrderID]],RawWorking[[#This Row],[OrderID]])=1,1,0)</f>
        <v>0</v>
      </c>
      <c r="N112" s="4">
        <f>IFERROR(RawWorking[[#This Row],[LineAmount]]/RawWorking[[#This Row],[Quantity]],"")</f>
        <v>253.86</v>
      </c>
    </row>
    <row r="113" spans="1:14">
      <c r="A113">
        <v>50112</v>
      </c>
      <c r="B113">
        <v>30066</v>
      </c>
      <c r="C113" s="2">
        <v>45896</v>
      </c>
      <c r="D113">
        <v>2157</v>
      </c>
      <c r="E113">
        <v>1003</v>
      </c>
      <c r="F113">
        <v>1</v>
      </c>
      <c r="G113">
        <v>224.37</v>
      </c>
      <c r="H113" s="2">
        <v>45900</v>
      </c>
      <c r="I113" s="2" t="s">
        <v>1421</v>
      </c>
      <c r="J113" t="s">
        <v>16</v>
      </c>
      <c r="K113" s="2" t="str">
        <f>IFERROR(INDEX(Product_lookup[Category],MATCH(RawWorking[[#This Row],[ProductID]],Product_lookup[ProductID],0)),"")</f>
        <v>Electronics</v>
      </c>
      <c r="L113" s="9" t="str">
        <f>IF(OR(RawWorking[[#This Row],[ShipDate]]="",RawWorking[[#This Row],[DeliveryDate]]=""),"",RawWorking[[#This Row],[DeliveryDate]]-RawWorking[[#This Row],[ShipDate]])</f>
        <v/>
      </c>
      <c r="M113" s="9">
        <f>IF(COUNTIF(INDEX(RawWorking[OrderID],1):RawWorking[[#This Row],[OrderID]],RawWorking[[#This Row],[OrderID]])=1,1,0)</f>
        <v>1</v>
      </c>
      <c r="N113" s="4">
        <f>IFERROR(RawWorking[[#This Row],[LineAmount]]/RawWorking[[#This Row],[Quantity]],"")</f>
        <v>224.37</v>
      </c>
    </row>
    <row r="114" spans="1:14">
      <c r="A114">
        <v>50113</v>
      </c>
      <c r="B114">
        <v>30066</v>
      </c>
      <c r="C114" s="2">
        <v>45896</v>
      </c>
      <c r="D114">
        <v>2157</v>
      </c>
      <c r="E114">
        <v>1016</v>
      </c>
      <c r="F114">
        <v>1</v>
      </c>
      <c r="G114">
        <v>65.260000000000005</v>
      </c>
      <c r="H114" s="2" t="s">
        <v>1421</v>
      </c>
      <c r="I114" s="2" t="s">
        <v>1421</v>
      </c>
      <c r="J114" t="s">
        <v>16</v>
      </c>
      <c r="K114" s="2" t="str">
        <f>IFERROR(INDEX(Product_lookup[Category],MATCH(RawWorking[[#This Row],[ProductID]],Product_lookup[ProductID],0)),"")</f>
        <v>Sports</v>
      </c>
      <c r="L114" s="9" t="str">
        <f>IF(OR(RawWorking[[#This Row],[ShipDate]]="",RawWorking[[#This Row],[DeliveryDate]]=""),"",RawWorking[[#This Row],[DeliveryDate]]-RawWorking[[#This Row],[ShipDate]])</f>
        <v/>
      </c>
      <c r="M114" s="9">
        <f>IF(COUNTIF(INDEX(RawWorking[OrderID],1):RawWorking[[#This Row],[OrderID]],RawWorking[[#This Row],[OrderID]])=1,1,0)</f>
        <v>0</v>
      </c>
      <c r="N114" s="4">
        <f>IFERROR(RawWorking[[#This Row],[LineAmount]]/RawWorking[[#This Row],[Quantity]],"")</f>
        <v>65.260000000000005</v>
      </c>
    </row>
    <row r="115" spans="1:14">
      <c r="A115">
        <v>50114</v>
      </c>
      <c r="B115">
        <v>30066</v>
      </c>
      <c r="C115" s="2">
        <v>45896</v>
      </c>
      <c r="D115">
        <v>2157</v>
      </c>
      <c r="E115">
        <v>1015</v>
      </c>
      <c r="F115">
        <v>2</v>
      </c>
      <c r="G115">
        <v>239.48</v>
      </c>
      <c r="H115" s="2" t="s">
        <v>1421</v>
      </c>
      <c r="I115" s="2" t="s">
        <v>1421</v>
      </c>
      <c r="J115" t="s">
        <v>16</v>
      </c>
      <c r="K115" s="2" t="str">
        <f>IFERROR(INDEX(Product_lookup[Category],MATCH(RawWorking[[#This Row],[ProductID]],Product_lookup[ProductID],0)),"")</f>
        <v>Sports</v>
      </c>
      <c r="L115" s="9" t="str">
        <f>IF(OR(RawWorking[[#This Row],[ShipDate]]="",RawWorking[[#This Row],[DeliveryDate]]=""),"",RawWorking[[#This Row],[DeliveryDate]]-RawWorking[[#This Row],[ShipDate]])</f>
        <v/>
      </c>
      <c r="M115" s="9">
        <f>IF(COUNTIF(INDEX(RawWorking[OrderID],1):RawWorking[[#This Row],[OrderID]],RawWorking[[#This Row],[OrderID]])=1,1,0)</f>
        <v>0</v>
      </c>
      <c r="N115" s="4">
        <f>IFERROR(RawWorking[[#This Row],[LineAmount]]/RawWorking[[#This Row],[Quantity]],"")</f>
        <v>119.74</v>
      </c>
    </row>
    <row r="116" spans="1:14">
      <c r="A116">
        <v>50115</v>
      </c>
      <c r="B116">
        <v>30067</v>
      </c>
      <c r="C116" s="2">
        <v>45889</v>
      </c>
      <c r="D116">
        <v>2579</v>
      </c>
      <c r="E116">
        <v>1011</v>
      </c>
      <c r="F116">
        <v>2</v>
      </c>
      <c r="G116">
        <v>202.88</v>
      </c>
      <c r="H116" s="2">
        <v>45891</v>
      </c>
      <c r="I116" s="2">
        <v>45900</v>
      </c>
      <c r="J116" t="s">
        <v>9</v>
      </c>
      <c r="K116" s="2" t="str">
        <f>IFERROR(INDEX(Product_lookup[Category],MATCH(RawWorking[[#This Row],[ProductID]],Product_lookup[ProductID],0)),"")</f>
        <v>Office</v>
      </c>
      <c r="L116" s="9">
        <f>IF(OR(RawWorking[[#This Row],[ShipDate]]="",RawWorking[[#This Row],[DeliveryDate]]=""),"",RawWorking[[#This Row],[DeliveryDate]]-RawWorking[[#This Row],[ShipDate]])</f>
        <v>9</v>
      </c>
      <c r="M116" s="9">
        <f>IF(COUNTIF(INDEX(RawWorking[OrderID],1):RawWorking[[#This Row],[OrderID]],RawWorking[[#This Row],[OrderID]])=1,1,0)</f>
        <v>1</v>
      </c>
      <c r="N116" s="4">
        <f>IFERROR(RawWorking[[#This Row],[LineAmount]]/RawWorking[[#This Row],[Quantity]],"")</f>
        <v>101.44</v>
      </c>
    </row>
    <row r="117" spans="1:14">
      <c r="A117">
        <v>50116</v>
      </c>
      <c r="B117">
        <v>30068</v>
      </c>
      <c r="C117" s="2">
        <v>45700</v>
      </c>
      <c r="D117">
        <v>2324</v>
      </c>
      <c r="E117">
        <v>1003</v>
      </c>
      <c r="F117">
        <v>1</v>
      </c>
      <c r="G117">
        <v>224.37</v>
      </c>
      <c r="H117" s="2">
        <v>45728</v>
      </c>
      <c r="I117" s="2">
        <v>46001</v>
      </c>
      <c r="J117" t="s">
        <v>9</v>
      </c>
      <c r="K117" s="2" t="str">
        <f>IFERROR(INDEX(Product_lookup[Category],MATCH(RawWorking[[#This Row],[ProductID]],Product_lookup[ProductID],0)),"")</f>
        <v>Electronics</v>
      </c>
      <c r="L117" s="9">
        <f>IF(OR(RawWorking[[#This Row],[ShipDate]]="",RawWorking[[#This Row],[DeliveryDate]]=""),"",RawWorking[[#This Row],[DeliveryDate]]-RawWorking[[#This Row],[ShipDate]])</f>
        <v>273</v>
      </c>
      <c r="M117" s="9">
        <f>IF(COUNTIF(INDEX(RawWorking[OrderID],1):RawWorking[[#This Row],[OrderID]],RawWorking[[#This Row],[OrderID]])=1,1,0)</f>
        <v>1</v>
      </c>
      <c r="N117" s="4">
        <f>IFERROR(RawWorking[[#This Row],[LineAmount]]/RawWorking[[#This Row],[Quantity]],"")</f>
        <v>224.37</v>
      </c>
    </row>
    <row r="118" spans="1:14">
      <c r="A118">
        <v>50117</v>
      </c>
      <c r="B118">
        <v>30068</v>
      </c>
      <c r="C118" s="2">
        <v>45993</v>
      </c>
      <c r="D118">
        <v>2324</v>
      </c>
      <c r="E118">
        <v>1016</v>
      </c>
      <c r="F118">
        <v>1</v>
      </c>
      <c r="G118">
        <v>65.260000000000005</v>
      </c>
      <c r="H118" s="2">
        <v>45996</v>
      </c>
      <c r="I118" s="2">
        <v>46002</v>
      </c>
      <c r="J118" t="s">
        <v>9</v>
      </c>
      <c r="K118" s="2" t="str">
        <f>IFERROR(INDEX(Product_lookup[Category],MATCH(RawWorking[[#This Row],[ProductID]],Product_lookup[ProductID],0)),"")</f>
        <v>Sports</v>
      </c>
      <c r="L118" s="9">
        <f>IF(OR(RawWorking[[#This Row],[ShipDate]]="",RawWorking[[#This Row],[DeliveryDate]]=""),"",RawWorking[[#This Row],[DeliveryDate]]-RawWorking[[#This Row],[ShipDate]])</f>
        <v>6</v>
      </c>
      <c r="M118" s="9">
        <f>IF(COUNTIF(INDEX(RawWorking[OrderID],1):RawWorking[[#This Row],[OrderID]],RawWorking[[#This Row],[OrderID]])=1,1,0)</f>
        <v>0</v>
      </c>
      <c r="N118" s="4">
        <f>IFERROR(RawWorking[[#This Row],[LineAmount]]/RawWorking[[#This Row],[Quantity]],"")</f>
        <v>65.260000000000005</v>
      </c>
    </row>
    <row r="119" spans="1:14">
      <c r="A119">
        <v>50118</v>
      </c>
      <c r="B119">
        <v>30069</v>
      </c>
      <c r="C119" s="2">
        <v>45999</v>
      </c>
      <c r="D119">
        <v>2453</v>
      </c>
      <c r="E119">
        <v>1009</v>
      </c>
      <c r="F119">
        <v>4</v>
      </c>
      <c r="G119">
        <v>161.12</v>
      </c>
      <c r="H119" s="2">
        <v>46000</v>
      </c>
      <c r="I119" s="2">
        <v>46009</v>
      </c>
      <c r="J119" t="s">
        <v>9</v>
      </c>
      <c r="K119" s="2" t="str">
        <f>IFERROR(INDEX(Product_lookup[Category],MATCH(RawWorking[[#This Row],[ProductID]],Product_lookup[ProductID],0)),"")</f>
        <v>Home</v>
      </c>
      <c r="L119" s="9">
        <f>IF(OR(RawWorking[[#This Row],[ShipDate]]="",RawWorking[[#This Row],[DeliveryDate]]=""),"",RawWorking[[#This Row],[DeliveryDate]]-RawWorking[[#This Row],[ShipDate]])</f>
        <v>9</v>
      </c>
      <c r="M119" s="9">
        <f>IF(COUNTIF(INDEX(RawWorking[OrderID],1):RawWorking[[#This Row],[OrderID]],RawWorking[[#This Row],[OrderID]])=1,1,0)</f>
        <v>1</v>
      </c>
      <c r="N119" s="4">
        <f>IFERROR(RawWorking[[#This Row],[LineAmount]]/RawWorking[[#This Row],[Quantity]],"")</f>
        <v>40.28</v>
      </c>
    </row>
    <row r="120" spans="1:14">
      <c r="A120">
        <v>50119</v>
      </c>
      <c r="B120">
        <v>30070</v>
      </c>
      <c r="C120" s="2">
        <v>45806</v>
      </c>
      <c r="D120">
        <v>2058</v>
      </c>
      <c r="E120">
        <v>1003</v>
      </c>
      <c r="F120">
        <v>2</v>
      </c>
      <c r="G120">
        <v>448.74</v>
      </c>
      <c r="H120" s="2">
        <v>45808</v>
      </c>
      <c r="I120" s="2">
        <v>45818</v>
      </c>
      <c r="J120" t="s">
        <v>9</v>
      </c>
      <c r="K120" s="2" t="str">
        <f>IFERROR(INDEX(Product_lookup[Category],MATCH(RawWorking[[#This Row],[ProductID]],Product_lookup[ProductID],0)),"")</f>
        <v>Electronics</v>
      </c>
      <c r="L120" s="9">
        <f>IF(OR(RawWorking[[#This Row],[ShipDate]]="",RawWorking[[#This Row],[DeliveryDate]]=""),"",RawWorking[[#This Row],[DeliveryDate]]-RawWorking[[#This Row],[ShipDate]])</f>
        <v>10</v>
      </c>
      <c r="M120" s="9">
        <f>IF(COUNTIF(INDEX(RawWorking[OrderID],1):RawWorking[[#This Row],[OrderID]],RawWorking[[#This Row],[OrderID]])=1,1,0)</f>
        <v>1</v>
      </c>
      <c r="N120" s="4">
        <f>IFERROR(RawWorking[[#This Row],[LineAmount]]/RawWorking[[#This Row],[Quantity]],"")</f>
        <v>224.37</v>
      </c>
    </row>
    <row r="121" spans="1:14">
      <c r="A121">
        <v>50120</v>
      </c>
      <c r="B121">
        <v>30070</v>
      </c>
      <c r="C121" s="2">
        <v>45806</v>
      </c>
      <c r="D121">
        <v>2058</v>
      </c>
      <c r="E121">
        <v>1010</v>
      </c>
      <c r="F121">
        <v>1</v>
      </c>
      <c r="G121">
        <v>121.5</v>
      </c>
      <c r="H121" s="2">
        <v>45809</v>
      </c>
      <c r="I121" s="2">
        <v>45906</v>
      </c>
      <c r="J121" t="s">
        <v>9</v>
      </c>
      <c r="K121" s="2" t="str">
        <f>IFERROR(INDEX(Product_lookup[Category],MATCH(RawWorking[[#This Row],[ProductID]],Product_lookup[ProductID],0)),"")</f>
        <v>Office</v>
      </c>
      <c r="L121" s="9">
        <f>IF(OR(RawWorking[[#This Row],[ShipDate]]="",RawWorking[[#This Row],[DeliveryDate]]=""),"",RawWorking[[#This Row],[DeliveryDate]]-RawWorking[[#This Row],[ShipDate]])</f>
        <v>97</v>
      </c>
      <c r="M121" s="9">
        <f>IF(COUNTIF(INDEX(RawWorking[OrderID],1):RawWorking[[#This Row],[OrderID]],RawWorking[[#This Row],[OrderID]])=1,1,0)</f>
        <v>0</v>
      </c>
      <c r="N121" s="4">
        <f>IFERROR(RawWorking[[#This Row],[LineAmount]]/RawWorking[[#This Row],[Quantity]],"")</f>
        <v>121.5</v>
      </c>
    </row>
    <row r="122" spans="1:14">
      <c r="A122">
        <v>50121</v>
      </c>
      <c r="B122">
        <v>30071</v>
      </c>
      <c r="C122" s="2">
        <v>45755</v>
      </c>
      <c r="D122">
        <v>2473</v>
      </c>
      <c r="E122">
        <v>1002</v>
      </c>
      <c r="F122">
        <v>2</v>
      </c>
      <c r="G122">
        <v>237.2</v>
      </c>
      <c r="H122" s="2">
        <v>45785</v>
      </c>
      <c r="I122" s="2">
        <v>45876</v>
      </c>
      <c r="J122" t="s">
        <v>9</v>
      </c>
      <c r="K122" s="2" t="str">
        <f>IFERROR(INDEX(Product_lookup[Category],MATCH(RawWorking[[#This Row],[ProductID]],Product_lookup[ProductID],0)),"")</f>
        <v>Electronics</v>
      </c>
      <c r="L122" s="9">
        <f>IF(OR(RawWorking[[#This Row],[ShipDate]]="",RawWorking[[#This Row],[DeliveryDate]]=""),"",RawWorking[[#This Row],[DeliveryDate]]-RawWorking[[#This Row],[ShipDate]])</f>
        <v>91</v>
      </c>
      <c r="M122" s="9">
        <f>IF(COUNTIF(INDEX(RawWorking[OrderID],1):RawWorking[[#This Row],[OrderID]],RawWorking[[#This Row],[OrderID]])=1,1,0)</f>
        <v>1</v>
      </c>
      <c r="N122" s="4">
        <f>IFERROR(RawWorking[[#This Row],[LineAmount]]/RawWorking[[#This Row],[Quantity]],"")</f>
        <v>118.6</v>
      </c>
    </row>
    <row r="123" spans="1:14">
      <c r="A123">
        <v>50122</v>
      </c>
      <c r="B123">
        <v>30072</v>
      </c>
      <c r="C123" s="2">
        <v>45705</v>
      </c>
      <c r="D123">
        <v>2378</v>
      </c>
      <c r="E123">
        <v>1003</v>
      </c>
      <c r="F123">
        <v>1</v>
      </c>
      <c r="G123">
        <v>224.37</v>
      </c>
      <c r="H123" s="2" t="s">
        <v>1421</v>
      </c>
      <c r="I123" s="2" t="s">
        <v>1421</v>
      </c>
      <c r="J123" t="s">
        <v>16</v>
      </c>
      <c r="K123" s="2" t="str">
        <f>IFERROR(INDEX(Product_lookup[Category],MATCH(RawWorking[[#This Row],[ProductID]],Product_lookup[ProductID],0)),"")</f>
        <v>Electronics</v>
      </c>
      <c r="L123" s="9" t="str">
        <f>IF(OR(RawWorking[[#This Row],[ShipDate]]="",RawWorking[[#This Row],[DeliveryDate]]=""),"",RawWorking[[#This Row],[DeliveryDate]]-RawWorking[[#This Row],[ShipDate]])</f>
        <v/>
      </c>
      <c r="M123" s="9">
        <f>IF(COUNTIF(INDEX(RawWorking[OrderID],1):RawWorking[[#This Row],[OrderID]],RawWorking[[#This Row],[OrderID]])=1,1,0)</f>
        <v>1</v>
      </c>
      <c r="N123" s="4">
        <f>IFERROR(RawWorking[[#This Row],[LineAmount]]/RawWorking[[#This Row],[Quantity]],"")</f>
        <v>224.37</v>
      </c>
    </row>
    <row r="124" spans="1:14">
      <c r="A124">
        <v>50123</v>
      </c>
      <c r="B124">
        <v>30072</v>
      </c>
      <c r="C124" s="2">
        <v>45705</v>
      </c>
      <c r="D124">
        <v>2378</v>
      </c>
      <c r="E124">
        <v>1003</v>
      </c>
      <c r="F124">
        <v>1</v>
      </c>
      <c r="G124">
        <v>224.37</v>
      </c>
      <c r="H124" s="2" t="s">
        <v>1421</v>
      </c>
      <c r="I124" s="2" t="s">
        <v>1421</v>
      </c>
      <c r="J124" t="s">
        <v>16</v>
      </c>
      <c r="K124" s="2" t="str">
        <f>IFERROR(INDEX(Product_lookup[Category],MATCH(RawWorking[[#This Row],[ProductID]],Product_lookup[ProductID],0)),"")</f>
        <v>Electronics</v>
      </c>
      <c r="L124" s="9" t="str">
        <f>IF(OR(RawWorking[[#This Row],[ShipDate]]="",RawWorking[[#This Row],[DeliveryDate]]=""),"",RawWorking[[#This Row],[DeliveryDate]]-RawWorking[[#This Row],[ShipDate]])</f>
        <v/>
      </c>
      <c r="M124" s="9">
        <f>IF(COUNTIF(INDEX(RawWorking[OrderID],1):RawWorking[[#This Row],[OrderID]],RawWorking[[#This Row],[OrderID]])=1,1,0)</f>
        <v>0</v>
      </c>
      <c r="N124" s="4">
        <f>IFERROR(RawWorking[[#This Row],[LineAmount]]/RawWorking[[#This Row],[Quantity]],"")</f>
        <v>224.37</v>
      </c>
    </row>
    <row r="125" spans="1:14">
      <c r="A125">
        <v>50124</v>
      </c>
      <c r="B125">
        <v>30073</v>
      </c>
      <c r="C125" s="2">
        <v>45864</v>
      </c>
      <c r="D125">
        <v>2520</v>
      </c>
      <c r="E125">
        <v>1002</v>
      </c>
      <c r="F125">
        <v>2</v>
      </c>
      <c r="G125">
        <v>237.2</v>
      </c>
      <c r="H125" s="2">
        <v>45866</v>
      </c>
      <c r="I125" s="2">
        <v>45871</v>
      </c>
      <c r="J125" t="s">
        <v>9</v>
      </c>
      <c r="K125" s="2" t="str">
        <f>IFERROR(INDEX(Product_lookup[Category],MATCH(RawWorking[[#This Row],[ProductID]],Product_lookup[ProductID],0)),"")</f>
        <v>Electronics</v>
      </c>
      <c r="L125" s="9">
        <f>IF(OR(RawWorking[[#This Row],[ShipDate]]="",RawWorking[[#This Row],[DeliveryDate]]=""),"",RawWorking[[#This Row],[DeliveryDate]]-RawWorking[[#This Row],[ShipDate]])</f>
        <v>5</v>
      </c>
      <c r="M125" s="9">
        <f>IF(COUNTIF(INDEX(RawWorking[OrderID],1):RawWorking[[#This Row],[OrderID]],RawWorking[[#This Row],[OrderID]])=1,1,0)</f>
        <v>1</v>
      </c>
      <c r="N125" s="4">
        <f>IFERROR(RawWorking[[#This Row],[LineAmount]]/RawWorking[[#This Row],[Quantity]],"")</f>
        <v>118.6</v>
      </c>
    </row>
    <row r="126" spans="1:14">
      <c r="A126">
        <v>50125</v>
      </c>
      <c r="B126">
        <v>30073</v>
      </c>
      <c r="C126" s="2">
        <v>45864</v>
      </c>
      <c r="D126">
        <v>2520</v>
      </c>
      <c r="E126">
        <v>1015</v>
      </c>
      <c r="F126">
        <v>2</v>
      </c>
      <c r="G126">
        <v>239.48</v>
      </c>
      <c r="H126" s="2">
        <v>45865</v>
      </c>
      <c r="I126" s="2">
        <v>45875</v>
      </c>
      <c r="J126" t="s">
        <v>9</v>
      </c>
      <c r="K126" s="2" t="str">
        <f>IFERROR(INDEX(Product_lookup[Category],MATCH(RawWorking[[#This Row],[ProductID]],Product_lookup[ProductID],0)),"")</f>
        <v>Sports</v>
      </c>
      <c r="L126" s="9">
        <f>IF(OR(RawWorking[[#This Row],[ShipDate]]="",RawWorking[[#This Row],[DeliveryDate]]=""),"",RawWorking[[#This Row],[DeliveryDate]]-RawWorking[[#This Row],[ShipDate]])</f>
        <v>10</v>
      </c>
      <c r="M126" s="9">
        <f>IF(COUNTIF(INDEX(RawWorking[OrderID],1):RawWorking[[#This Row],[OrderID]],RawWorking[[#This Row],[OrderID]])=1,1,0)</f>
        <v>0</v>
      </c>
      <c r="N126" s="4">
        <f>IFERROR(RawWorking[[#This Row],[LineAmount]]/RawWorking[[#This Row],[Quantity]],"")</f>
        <v>119.74</v>
      </c>
    </row>
    <row r="127" spans="1:14">
      <c r="A127">
        <v>50126</v>
      </c>
      <c r="B127">
        <v>30074</v>
      </c>
      <c r="C127" s="2">
        <v>45788</v>
      </c>
      <c r="D127">
        <v>2586</v>
      </c>
      <c r="E127">
        <v>1011</v>
      </c>
      <c r="F127">
        <v>1</v>
      </c>
      <c r="G127">
        <v>101.44</v>
      </c>
      <c r="H127" s="2">
        <v>45967</v>
      </c>
      <c r="I127" s="2">
        <v>45972</v>
      </c>
      <c r="J127" t="s">
        <v>9</v>
      </c>
      <c r="K127" s="2" t="str">
        <f>IFERROR(INDEX(Product_lookup[Category],MATCH(RawWorking[[#This Row],[ProductID]],Product_lookup[ProductID],0)),"")</f>
        <v>Office</v>
      </c>
      <c r="L127" s="9">
        <f>IF(OR(RawWorking[[#This Row],[ShipDate]]="",RawWorking[[#This Row],[DeliveryDate]]=""),"",RawWorking[[#This Row],[DeliveryDate]]-RawWorking[[#This Row],[ShipDate]])</f>
        <v>5</v>
      </c>
      <c r="M127" s="9">
        <f>IF(COUNTIF(INDEX(RawWorking[OrderID],1):RawWorking[[#This Row],[OrderID]],RawWorking[[#This Row],[OrderID]])=1,1,0)</f>
        <v>1</v>
      </c>
      <c r="N127" s="4">
        <f>IFERROR(RawWorking[[#This Row],[LineAmount]]/RawWorking[[#This Row],[Quantity]],"")</f>
        <v>101.44</v>
      </c>
    </row>
    <row r="128" spans="1:14">
      <c r="A128">
        <v>50127</v>
      </c>
      <c r="B128">
        <v>30075</v>
      </c>
      <c r="C128" s="2">
        <v>45898</v>
      </c>
      <c r="D128">
        <v>2488</v>
      </c>
      <c r="E128">
        <v>1002</v>
      </c>
      <c r="F128">
        <v>2</v>
      </c>
      <c r="G128">
        <v>237.2</v>
      </c>
      <c r="H128" s="2">
        <v>45899</v>
      </c>
      <c r="I128" s="2">
        <v>45906</v>
      </c>
      <c r="J128" t="s">
        <v>9</v>
      </c>
      <c r="K128" s="2" t="str">
        <f>IFERROR(INDEX(Product_lookup[Category],MATCH(RawWorking[[#This Row],[ProductID]],Product_lookup[ProductID],0)),"")</f>
        <v>Electronics</v>
      </c>
      <c r="L128" s="9">
        <f>IF(OR(RawWorking[[#This Row],[ShipDate]]="",RawWorking[[#This Row],[DeliveryDate]]=""),"",RawWorking[[#This Row],[DeliveryDate]]-RawWorking[[#This Row],[ShipDate]])</f>
        <v>7</v>
      </c>
      <c r="M128" s="9">
        <f>IF(COUNTIF(INDEX(RawWorking[OrderID],1):RawWorking[[#This Row],[OrderID]],RawWorking[[#This Row],[OrderID]])=1,1,0)</f>
        <v>1</v>
      </c>
      <c r="N128" s="4">
        <f>IFERROR(RawWorking[[#This Row],[LineAmount]]/RawWorking[[#This Row],[Quantity]],"")</f>
        <v>118.6</v>
      </c>
    </row>
    <row r="129" spans="1:14">
      <c r="A129">
        <v>50128</v>
      </c>
      <c r="B129">
        <v>30076</v>
      </c>
      <c r="C129" s="2">
        <v>45924</v>
      </c>
      <c r="D129">
        <v>2462</v>
      </c>
      <c r="E129">
        <v>1011</v>
      </c>
      <c r="F129">
        <v>2</v>
      </c>
      <c r="G129">
        <v>202.88</v>
      </c>
      <c r="H129" s="2">
        <v>45926</v>
      </c>
      <c r="I129" s="2">
        <v>45933</v>
      </c>
      <c r="J129" t="s">
        <v>9</v>
      </c>
      <c r="K129" s="2" t="str">
        <f>IFERROR(INDEX(Product_lookup[Category],MATCH(RawWorking[[#This Row],[ProductID]],Product_lookup[ProductID],0)),"")</f>
        <v>Office</v>
      </c>
      <c r="L129" s="9">
        <f>IF(OR(RawWorking[[#This Row],[ShipDate]]="",RawWorking[[#This Row],[DeliveryDate]]=""),"",RawWorking[[#This Row],[DeliveryDate]]-RawWorking[[#This Row],[ShipDate]])</f>
        <v>7</v>
      </c>
      <c r="M129" s="9">
        <f>IF(COUNTIF(INDEX(RawWorking[OrderID],1):RawWorking[[#This Row],[OrderID]],RawWorking[[#This Row],[OrderID]])=1,1,0)</f>
        <v>1</v>
      </c>
      <c r="N129" s="4">
        <f>IFERROR(RawWorking[[#This Row],[LineAmount]]/RawWorking[[#This Row],[Quantity]],"")</f>
        <v>101.44</v>
      </c>
    </row>
    <row r="130" spans="1:14">
      <c r="A130">
        <v>50129</v>
      </c>
      <c r="B130">
        <v>30076</v>
      </c>
      <c r="C130" s="2">
        <v>45924</v>
      </c>
      <c r="D130">
        <v>2462</v>
      </c>
      <c r="E130">
        <v>1003</v>
      </c>
      <c r="F130">
        <v>1</v>
      </c>
      <c r="G130">
        <v>224.37</v>
      </c>
      <c r="H130" s="2">
        <v>45925</v>
      </c>
      <c r="I130" s="2">
        <v>45931</v>
      </c>
      <c r="J130" t="s">
        <v>9</v>
      </c>
      <c r="K130" s="2" t="str">
        <f>IFERROR(INDEX(Product_lookup[Category],MATCH(RawWorking[[#This Row],[ProductID]],Product_lookup[ProductID],0)),"")</f>
        <v>Electronics</v>
      </c>
      <c r="L130" s="9">
        <f>IF(OR(RawWorking[[#This Row],[ShipDate]]="",RawWorking[[#This Row],[DeliveryDate]]=""),"",RawWorking[[#This Row],[DeliveryDate]]-RawWorking[[#This Row],[ShipDate]])</f>
        <v>6</v>
      </c>
      <c r="M130" s="9">
        <f>IF(COUNTIF(INDEX(RawWorking[OrderID],1):RawWorking[[#This Row],[OrderID]],RawWorking[[#This Row],[OrderID]])=1,1,0)</f>
        <v>0</v>
      </c>
      <c r="N130" s="4">
        <f>IFERROR(RawWorking[[#This Row],[LineAmount]]/RawWorking[[#This Row],[Quantity]],"")</f>
        <v>224.37</v>
      </c>
    </row>
    <row r="131" spans="1:14">
      <c r="A131">
        <v>50130</v>
      </c>
      <c r="B131">
        <v>30076</v>
      </c>
      <c r="C131" s="2">
        <v>45924</v>
      </c>
      <c r="D131">
        <v>2462</v>
      </c>
      <c r="E131">
        <v>1006</v>
      </c>
      <c r="F131">
        <v>1</v>
      </c>
      <c r="G131">
        <v>253.86</v>
      </c>
      <c r="H131" s="2">
        <v>45925</v>
      </c>
      <c r="I131" s="2">
        <v>45935</v>
      </c>
      <c r="J131" t="s">
        <v>9</v>
      </c>
      <c r="K131" s="2" t="str">
        <f>IFERROR(INDEX(Product_lookup[Category],MATCH(RawWorking[[#This Row],[ProductID]],Product_lookup[ProductID],0)),"")</f>
        <v>Home</v>
      </c>
      <c r="L131" s="9">
        <f>IF(OR(RawWorking[[#This Row],[ShipDate]]="",RawWorking[[#This Row],[DeliveryDate]]=""),"",RawWorking[[#This Row],[DeliveryDate]]-RawWorking[[#This Row],[ShipDate]])</f>
        <v>10</v>
      </c>
      <c r="M131" s="9">
        <f>IF(COUNTIF(INDEX(RawWorking[OrderID],1):RawWorking[[#This Row],[OrderID]],RawWorking[[#This Row],[OrderID]])=1,1,0)</f>
        <v>0</v>
      </c>
      <c r="N131" s="4">
        <f>IFERROR(RawWorking[[#This Row],[LineAmount]]/RawWorking[[#This Row],[Quantity]],"")</f>
        <v>253.86</v>
      </c>
    </row>
    <row r="132" spans="1:14">
      <c r="A132">
        <v>50131</v>
      </c>
      <c r="B132">
        <v>30077</v>
      </c>
      <c r="C132" s="2">
        <v>45711</v>
      </c>
      <c r="D132">
        <v>2041</v>
      </c>
      <c r="E132">
        <v>1015</v>
      </c>
      <c r="F132">
        <v>1</v>
      </c>
      <c r="G132">
        <v>119.74</v>
      </c>
      <c r="H132" s="2">
        <v>45714</v>
      </c>
      <c r="I132" s="2">
        <v>45718</v>
      </c>
      <c r="J132" t="s">
        <v>9</v>
      </c>
      <c r="K132" s="2" t="str">
        <f>IFERROR(INDEX(Product_lookup[Category],MATCH(RawWorking[[#This Row],[ProductID]],Product_lookup[ProductID],0)),"")</f>
        <v>Sports</v>
      </c>
      <c r="L132" s="9">
        <f>IF(OR(RawWorking[[#This Row],[ShipDate]]="",RawWorking[[#This Row],[DeliveryDate]]=""),"",RawWorking[[#This Row],[DeliveryDate]]-RawWorking[[#This Row],[ShipDate]])</f>
        <v>4</v>
      </c>
      <c r="M132" s="9">
        <f>IF(COUNTIF(INDEX(RawWorking[OrderID],1):RawWorking[[#This Row],[OrderID]],RawWorking[[#This Row],[OrderID]])=1,1,0)</f>
        <v>1</v>
      </c>
      <c r="N132" s="4">
        <f>IFERROR(RawWorking[[#This Row],[LineAmount]]/RawWorking[[#This Row],[Quantity]],"")</f>
        <v>119.74</v>
      </c>
    </row>
    <row r="133" spans="1:14">
      <c r="A133">
        <v>50132</v>
      </c>
      <c r="B133">
        <v>30077</v>
      </c>
      <c r="C133" s="2">
        <v>45711</v>
      </c>
      <c r="D133">
        <v>2041</v>
      </c>
      <c r="E133">
        <v>1015</v>
      </c>
      <c r="F133">
        <v>2</v>
      </c>
      <c r="G133">
        <v>239.48</v>
      </c>
      <c r="H133" s="2">
        <v>45712</v>
      </c>
      <c r="I133" s="2">
        <v>45718</v>
      </c>
      <c r="J133" t="s">
        <v>9</v>
      </c>
      <c r="K133" s="2" t="str">
        <f>IFERROR(INDEX(Product_lookup[Category],MATCH(RawWorking[[#This Row],[ProductID]],Product_lookup[ProductID],0)),"")</f>
        <v>Sports</v>
      </c>
      <c r="L133" s="9">
        <f>IF(OR(RawWorking[[#This Row],[ShipDate]]="",RawWorking[[#This Row],[DeliveryDate]]=""),"",RawWorking[[#This Row],[DeliveryDate]]-RawWorking[[#This Row],[ShipDate]])</f>
        <v>6</v>
      </c>
      <c r="M133" s="9">
        <f>IF(COUNTIF(INDEX(RawWorking[OrderID],1):RawWorking[[#This Row],[OrderID]],RawWorking[[#This Row],[OrderID]])=1,1,0)</f>
        <v>0</v>
      </c>
      <c r="N133" s="4">
        <f>IFERROR(RawWorking[[#This Row],[LineAmount]]/RawWorking[[#This Row],[Quantity]],"")</f>
        <v>119.74</v>
      </c>
    </row>
    <row r="134" spans="1:14">
      <c r="A134">
        <v>50133</v>
      </c>
      <c r="B134">
        <v>30077</v>
      </c>
      <c r="C134" s="2">
        <v>45711</v>
      </c>
      <c r="D134">
        <v>2041</v>
      </c>
      <c r="E134">
        <v>1006</v>
      </c>
      <c r="F134">
        <v>4</v>
      </c>
      <c r="G134">
        <v>1015.44</v>
      </c>
      <c r="H134" s="2">
        <v>45713</v>
      </c>
      <c r="I134" s="2">
        <v>45721</v>
      </c>
      <c r="J134" t="s">
        <v>9</v>
      </c>
      <c r="K134" s="2" t="str">
        <f>IFERROR(INDEX(Product_lookup[Category],MATCH(RawWorking[[#This Row],[ProductID]],Product_lookup[ProductID],0)),"")</f>
        <v>Home</v>
      </c>
      <c r="L134" s="9">
        <f>IF(OR(RawWorking[[#This Row],[ShipDate]]="",RawWorking[[#This Row],[DeliveryDate]]=""),"",RawWorking[[#This Row],[DeliveryDate]]-RawWorking[[#This Row],[ShipDate]])</f>
        <v>8</v>
      </c>
      <c r="M134" s="9">
        <f>IF(COUNTIF(INDEX(RawWorking[OrderID],1):RawWorking[[#This Row],[OrderID]],RawWorking[[#This Row],[OrderID]])=1,1,0)</f>
        <v>0</v>
      </c>
      <c r="N134" s="4">
        <f>IFERROR(RawWorking[[#This Row],[LineAmount]]/RawWorking[[#This Row],[Quantity]],"")</f>
        <v>253.86</v>
      </c>
    </row>
    <row r="135" spans="1:14">
      <c r="A135">
        <v>50134</v>
      </c>
      <c r="B135">
        <v>30078</v>
      </c>
      <c r="C135" s="2">
        <v>45881</v>
      </c>
      <c r="D135">
        <v>2373</v>
      </c>
      <c r="E135">
        <v>1010</v>
      </c>
      <c r="F135">
        <v>5</v>
      </c>
      <c r="G135">
        <v>607.5</v>
      </c>
      <c r="H135" s="2">
        <v>45883</v>
      </c>
      <c r="I135" s="2">
        <v>45884</v>
      </c>
      <c r="J135" t="s">
        <v>9</v>
      </c>
      <c r="K135" s="2" t="str">
        <f>IFERROR(INDEX(Product_lookup[Category],MATCH(RawWorking[[#This Row],[ProductID]],Product_lookup[ProductID],0)),"")</f>
        <v>Office</v>
      </c>
      <c r="L135" s="9">
        <f>IF(OR(RawWorking[[#This Row],[ShipDate]]="",RawWorking[[#This Row],[DeliveryDate]]=""),"",RawWorking[[#This Row],[DeliveryDate]]-RawWorking[[#This Row],[ShipDate]])</f>
        <v>1</v>
      </c>
      <c r="M135" s="9">
        <f>IF(COUNTIF(INDEX(RawWorking[OrderID],1):RawWorking[[#This Row],[OrderID]],RawWorking[[#This Row],[OrderID]])=1,1,0)</f>
        <v>1</v>
      </c>
      <c r="N135" s="4">
        <f>IFERROR(RawWorking[[#This Row],[LineAmount]]/RawWorking[[#This Row],[Quantity]],"")</f>
        <v>121.5</v>
      </c>
    </row>
    <row r="136" spans="1:14">
      <c r="A136">
        <v>50135</v>
      </c>
      <c r="B136">
        <v>30079</v>
      </c>
      <c r="C136" s="2">
        <v>45919</v>
      </c>
      <c r="D136">
        <v>2397</v>
      </c>
      <c r="E136">
        <v>1011</v>
      </c>
      <c r="F136">
        <v>1</v>
      </c>
      <c r="G136">
        <v>101.44</v>
      </c>
      <c r="H136" s="2">
        <v>45920</v>
      </c>
      <c r="I136" s="2">
        <v>45929</v>
      </c>
      <c r="J136" t="s">
        <v>9</v>
      </c>
      <c r="K136" s="2" t="str">
        <f>IFERROR(INDEX(Product_lookup[Category],MATCH(RawWorking[[#This Row],[ProductID]],Product_lookup[ProductID],0)),"")</f>
        <v>Office</v>
      </c>
      <c r="L136" s="9">
        <f>IF(OR(RawWorking[[#This Row],[ShipDate]]="",RawWorking[[#This Row],[DeliveryDate]]=""),"",RawWorking[[#This Row],[DeliveryDate]]-RawWorking[[#This Row],[ShipDate]])</f>
        <v>9</v>
      </c>
      <c r="M136" s="9">
        <f>IF(COUNTIF(INDEX(RawWorking[OrderID],1):RawWorking[[#This Row],[OrderID]],RawWorking[[#This Row],[OrderID]])=1,1,0)</f>
        <v>1</v>
      </c>
      <c r="N136" s="4">
        <f>IFERROR(RawWorking[[#This Row],[LineAmount]]/RawWorking[[#This Row],[Quantity]],"")</f>
        <v>101.44</v>
      </c>
    </row>
    <row r="137" spans="1:14">
      <c r="A137">
        <v>50136</v>
      </c>
      <c r="B137">
        <v>30079</v>
      </c>
      <c r="C137" s="2">
        <v>45919</v>
      </c>
      <c r="D137">
        <v>2397</v>
      </c>
      <c r="E137">
        <v>1002</v>
      </c>
      <c r="F137">
        <v>2</v>
      </c>
      <c r="G137">
        <v>237.2</v>
      </c>
      <c r="H137" s="2">
        <v>45920</v>
      </c>
      <c r="I137" s="2">
        <v>45922</v>
      </c>
      <c r="J137" t="s">
        <v>9</v>
      </c>
      <c r="K137" s="2" t="str">
        <f>IFERROR(INDEX(Product_lookup[Category],MATCH(RawWorking[[#This Row],[ProductID]],Product_lookup[ProductID],0)),"")</f>
        <v>Electronics</v>
      </c>
      <c r="L137" s="9">
        <f>IF(OR(RawWorking[[#This Row],[ShipDate]]="",RawWorking[[#This Row],[DeliveryDate]]=""),"",RawWorking[[#This Row],[DeliveryDate]]-RawWorking[[#This Row],[ShipDate]])</f>
        <v>2</v>
      </c>
      <c r="M137" s="9">
        <f>IF(COUNTIF(INDEX(RawWorking[OrderID],1):RawWorking[[#This Row],[OrderID]],RawWorking[[#This Row],[OrderID]])=1,1,0)</f>
        <v>0</v>
      </c>
      <c r="N137" s="4">
        <f>IFERROR(RawWorking[[#This Row],[LineAmount]]/RawWorking[[#This Row],[Quantity]],"")</f>
        <v>118.6</v>
      </c>
    </row>
    <row r="138" spans="1:14">
      <c r="A138">
        <v>50137</v>
      </c>
      <c r="B138">
        <v>30079</v>
      </c>
      <c r="C138" s="2">
        <v>45919</v>
      </c>
      <c r="D138">
        <v>2397</v>
      </c>
      <c r="E138">
        <v>1011</v>
      </c>
      <c r="F138">
        <v>2</v>
      </c>
      <c r="G138">
        <v>202.88</v>
      </c>
      <c r="H138" s="2">
        <v>45920</v>
      </c>
      <c r="I138" s="2">
        <v>45927</v>
      </c>
      <c r="J138" t="s">
        <v>9</v>
      </c>
      <c r="K138" s="2" t="str">
        <f>IFERROR(INDEX(Product_lookup[Category],MATCH(RawWorking[[#This Row],[ProductID]],Product_lookup[ProductID],0)),"")</f>
        <v>Office</v>
      </c>
      <c r="L138" s="9">
        <f>IF(OR(RawWorking[[#This Row],[ShipDate]]="",RawWorking[[#This Row],[DeliveryDate]]=""),"",RawWorking[[#This Row],[DeliveryDate]]-RawWorking[[#This Row],[ShipDate]])</f>
        <v>7</v>
      </c>
      <c r="M138" s="9">
        <f>IF(COUNTIF(INDEX(RawWorking[OrderID],1):RawWorking[[#This Row],[OrderID]],RawWorking[[#This Row],[OrderID]])=1,1,0)</f>
        <v>0</v>
      </c>
      <c r="N138" s="4">
        <f>IFERROR(RawWorking[[#This Row],[LineAmount]]/RawWorking[[#This Row],[Quantity]],"")</f>
        <v>101.44</v>
      </c>
    </row>
    <row r="139" spans="1:14">
      <c r="A139">
        <v>50138</v>
      </c>
      <c r="B139">
        <v>30079</v>
      </c>
      <c r="C139" s="2">
        <v>45919</v>
      </c>
      <c r="D139">
        <v>2397</v>
      </c>
      <c r="E139">
        <v>1003</v>
      </c>
      <c r="F139">
        <v>1</v>
      </c>
      <c r="G139">
        <v>224.37</v>
      </c>
      <c r="H139" s="2">
        <v>45920</v>
      </c>
      <c r="I139" s="2">
        <v>45925</v>
      </c>
      <c r="J139" t="s">
        <v>9</v>
      </c>
      <c r="K139" s="2" t="str">
        <f>IFERROR(INDEX(Product_lookup[Category],MATCH(RawWorking[[#This Row],[ProductID]],Product_lookup[ProductID],0)),"")</f>
        <v>Electronics</v>
      </c>
      <c r="L139" s="9">
        <f>IF(OR(RawWorking[[#This Row],[ShipDate]]="",RawWorking[[#This Row],[DeliveryDate]]=""),"",RawWorking[[#This Row],[DeliveryDate]]-RawWorking[[#This Row],[ShipDate]])</f>
        <v>5</v>
      </c>
      <c r="M139" s="9">
        <f>IF(COUNTIF(INDEX(RawWorking[OrderID],1):RawWorking[[#This Row],[OrderID]],RawWorking[[#This Row],[OrderID]])=1,1,0)</f>
        <v>0</v>
      </c>
      <c r="N139" s="4">
        <f>IFERROR(RawWorking[[#This Row],[LineAmount]]/RawWorking[[#This Row],[Quantity]],"")</f>
        <v>224.37</v>
      </c>
    </row>
    <row r="140" spans="1:14">
      <c r="A140">
        <v>50139</v>
      </c>
      <c r="B140">
        <v>30080</v>
      </c>
      <c r="C140" s="2">
        <v>45921</v>
      </c>
      <c r="D140">
        <v>2338</v>
      </c>
      <c r="E140">
        <v>1013</v>
      </c>
      <c r="F140">
        <v>1</v>
      </c>
      <c r="G140">
        <v>170.25</v>
      </c>
      <c r="H140" s="2">
        <v>45924</v>
      </c>
      <c r="I140" s="2">
        <v>45928</v>
      </c>
      <c r="J140" t="s">
        <v>9</v>
      </c>
      <c r="K140" s="2" t="str">
        <f>IFERROR(INDEX(Product_lookup[Category],MATCH(RawWorking[[#This Row],[ProductID]],Product_lookup[ProductID],0)),"")</f>
        <v>Office</v>
      </c>
      <c r="L140" s="9">
        <f>IF(OR(RawWorking[[#This Row],[ShipDate]]="",RawWorking[[#This Row],[DeliveryDate]]=""),"",RawWorking[[#This Row],[DeliveryDate]]-RawWorking[[#This Row],[ShipDate]])</f>
        <v>4</v>
      </c>
      <c r="M140" s="9">
        <f>IF(COUNTIF(INDEX(RawWorking[OrderID],1):RawWorking[[#This Row],[OrderID]],RawWorking[[#This Row],[OrderID]])=1,1,0)</f>
        <v>1</v>
      </c>
      <c r="N140" s="4">
        <f>IFERROR(RawWorking[[#This Row],[LineAmount]]/RawWorking[[#This Row],[Quantity]],"")</f>
        <v>170.25</v>
      </c>
    </row>
    <row r="141" spans="1:14">
      <c r="A141">
        <v>50140</v>
      </c>
      <c r="B141">
        <v>30081</v>
      </c>
      <c r="C141" s="2">
        <v>45819</v>
      </c>
      <c r="D141">
        <v>2291</v>
      </c>
      <c r="E141">
        <v>1005</v>
      </c>
      <c r="F141">
        <v>3</v>
      </c>
      <c r="G141">
        <v>95.19</v>
      </c>
      <c r="H141" s="2">
        <v>45822</v>
      </c>
      <c r="I141" s="2">
        <v>45830</v>
      </c>
      <c r="J141" t="s">
        <v>9</v>
      </c>
      <c r="K141" s="2" t="str">
        <f>IFERROR(INDEX(Product_lookup[Category],MATCH(RawWorking[[#This Row],[ProductID]],Product_lookup[ProductID],0)),"")</f>
        <v>Electronics</v>
      </c>
      <c r="L141" s="9">
        <f>IF(OR(RawWorking[[#This Row],[ShipDate]]="",RawWorking[[#This Row],[DeliveryDate]]=""),"",RawWorking[[#This Row],[DeliveryDate]]-RawWorking[[#This Row],[ShipDate]])</f>
        <v>8</v>
      </c>
      <c r="M141" s="9">
        <f>IF(COUNTIF(INDEX(RawWorking[OrderID],1):RawWorking[[#This Row],[OrderID]],RawWorking[[#This Row],[OrderID]])=1,1,0)</f>
        <v>1</v>
      </c>
      <c r="N141" s="4">
        <f>IFERROR(RawWorking[[#This Row],[LineAmount]]/RawWorking[[#This Row],[Quantity]],"")</f>
        <v>31.73</v>
      </c>
    </row>
    <row r="142" spans="1:14">
      <c r="A142">
        <v>50141</v>
      </c>
      <c r="B142">
        <v>30082</v>
      </c>
      <c r="C142" s="2">
        <v>45856</v>
      </c>
      <c r="D142">
        <v>2342</v>
      </c>
      <c r="E142">
        <v>1005</v>
      </c>
      <c r="F142">
        <v>3</v>
      </c>
      <c r="G142">
        <v>95.19</v>
      </c>
      <c r="H142" s="2">
        <v>45857</v>
      </c>
      <c r="I142" s="2">
        <v>45864</v>
      </c>
      <c r="J142" t="s">
        <v>9</v>
      </c>
      <c r="K142" s="2" t="str">
        <f>IFERROR(INDEX(Product_lookup[Category],MATCH(RawWorking[[#This Row],[ProductID]],Product_lookup[ProductID],0)),"")</f>
        <v>Electronics</v>
      </c>
      <c r="L142" s="9">
        <f>IF(OR(RawWorking[[#This Row],[ShipDate]]="",RawWorking[[#This Row],[DeliveryDate]]=""),"",RawWorking[[#This Row],[DeliveryDate]]-RawWorking[[#This Row],[ShipDate]])</f>
        <v>7</v>
      </c>
      <c r="M142" s="9">
        <f>IF(COUNTIF(INDEX(RawWorking[OrderID],1):RawWorking[[#This Row],[OrderID]],RawWorking[[#This Row],[OrderID]])=1,1,0)</f>
        <v>1</v>
      </c>
      <c r="N142" s="4">
        <f>IFERROR(RawWorking[[#This Row],[LineAmount]]/RawWorking[[#This Row],[Quantity]],"")</f>
        <v>31.73</v>
      </c>
    </row>
    <row r="143" spans="1:14">
      <c r="A143">
        <v>50142</v>
      </c>
      <c r="B143">
        <v>30082</v>
      </c>
      <c r="C143" s="2">
        <v>45856</v>
      </c>
      <c r="D143">
        <v>2342</v>
      </c>
      <c r="E143">
        <v>1012</v>
      </c>
      <c r="F143">
        <v>3</v>
      </c>
      <c r="G143">
        <v>724.62</v>
      </c>
      <c r="H143" s="2">
        <v>45857</v>
      </c>
      <c r="I143" s="2">
        <v>45858</v>
      </c>
      <c r="J143" t="s">
        <v>9</v>
      </c>
      <c r="K143" s="2" t="str">
        <f>IFERROR(INDEX(Product_lookup[Category],MATCH(RawWorking[[#This Row],[ProductID]],Product_lookup[ProductID],0)),"")</f>
        <v>Office</v>
      </c>
      <c r="L143" s="9">
        <f>IF(OR(RawWorking[[#This Row],[ShipDate]]="",RawWorking[[#This Row],[DeliveryDate]]=""),"",RawWorking[[#This Row],[DeliveryDate]]-RawWorking[[#This Row],[ShipDate]])</f>
        <v>1</v>
      </c>
      <c r="M143" s="9">
        <f>IF(COUNTIF(INDEX(RawWorking[OrderID],1):RawWorking[[#This Row],[OrderID]],RawWorking[[#This Row],[OrderID]])=1,1,0)</f>
        <v>0</v>
      </c>
      <c r="N143" s="4">
        <f>IFERROR(RawWorking[[#This Row],[LineAmount]]/RawWorking[[#This Row],[Quantity]],"")</f>
        <v>241.54</v>
      </c>
    </row>
    <row r="144" spans="1:14">
      <c r="A144">
        <v>50143</v>
      </c>
      <c r="B144">
        <v>30082</v>
      </c>
      <c r="C144" s="2">
        <v>45856</v>
      </c>
      <c r="D144">
        <v>2342</v>
      </c>
      <c r="E144">
        <v>1010</v>
      </c>
      <c r="F144">
        <v>5</v>
      </c>
      <c r="G144">
        <v>607.5</v>
      </c>
      <c r="H144" s="2">
        <v>45857</v>
      </c>
      <c r="I144" s="2">
        <v>45858</v>
      </c>
      <c r="J144" t="s">
        <v>9</v>
      </c>
      <c r="K144" s="2" t="str">
        <f>IFERROR(INDEX(Product_lookup[Category],MATCH(RawWorking[[#This Row],[ProductID]],Product_lookup[ProductID],0)),"")</f>
        <v>Office</v>
      </c>
      <c r="L144" s="9">
        <f>IF(OR(RawWorking[[#This Row],[ShipDate]]="",RawWorking[[#This Row],[DeliveryDate]]=""),"",RawWorking[[#This Row],[DeliveryDate]]-RawWorking[[#This Row],[ShipDate]])</f>
        <v>1</v>
      </c>
      <c r="M144" s="9">
        <f>IF(COUNTIF(INDEX(RawWorking[OrderID],1):RawWorking[[#This Row],[OrderID]],RawWorking[[#This Row],[OrderID]])=1,1,0)</f>
        <v>0</v>
      </c>
      <c r="N144" s="4">
        <f>IFERROR(RawWorking[[#This Row],[LineAmount]]/RawWorking[[#This Row],[Quantity]],"")</f>
        <v>121.5</v>
      </c>
    </row>
    <row r="145" spans="1:14">
      <c r="A145">
        <v>50144</v>
      </c>
      <c r="B145">
        <v>30082</v>
      </c>
      <c r="C145" s="2">
        <v>45856</v>
      </c>
      <c r="D145">
        <v>2342</v>
      </c>
      <c r="E145">
        <v>1013</v>
      </c>
      <c r="F145">
        <v>2</v>
      </c>
      <c r="G145">
        <v>340.5</v>
      </c>
      <c r="H145" s="2">
        <v>45858</v>
      </c>
      <c r="I145" s="2">
        <v>45865</v>
      </c>
      <c r="J145" t="s">
        <v>9</v>
      </c>
      <c r="K145" s="2" t="str">
        <f>IFERROR(INDEX(Product_lookup[Category],MATCH(RawWorking[[#This Row],[ProductID]],Product_lookup[ProductID],0)),"")</f>
        <v>Office</v>
      </c>
      <c r="L145" s="9">
        <f>IF(OR(RawWorking[[#This Row],[ShipDate]]="",RawWorking[[#This Row],[DeliveryDate]]=""),"",RawWorking[[#This Row],[DeliveryDate]]-RawWorking[[#This Row],[ShipDate]])</f>
        <v>7</v>
      </c>
      <c r="M145" s="9">
        <f>IF(COUNTIF(INDEX(RawWorking[OrderID],1):RawWorking[[#This Row],[OrderID]],RawWorking[[#This Row],[OrderID]])=1,1,0)</f>
        <v>0</v>
      </c>
      <c r="N145" s="4">
        <f>IFERROR(RawWorking[[#This Row],[LineAmount]]/RawWorking[[#This Row],[Quantity]],"")</f>
        <v>170.25</v>
      </c>
    </row>
    <row r="146" spans="1:14">
      <c r="A146">
        <v>50145</v>
      </c>
      <c r="B146">
        <v>30083</v>
      </c>
      <c r="C146" s="2">
        <v>45691</v>
      </c>
      <c r="D146">
        <v>2133</v>
      </c>
      <c r="E146">
        <v>1003</v>
      </c>
      <c r="F146">
        <v>1</v>
      </c>
      <c r="G146">
        <v>224.37</v>
      </c>
      <c r="H146" s="2">
        <v>45692</v>
      </c>
      <c r="I146" s="2">
        <v>45695</v>
      </c>
      <c r="J146" t="s">
        <v>9</v>
      </c>
      <c r="K146" s="2" t="str">
        <f>IFERROR(INDEX(Product_lookup[Category],MATCH(RawWorking[[#This Row],[ProductID]],Product_lookup[ProductID],0)),"")</f>
        <v>Electronics</v>
      </c>
      <c r="L146" s="9">
        <f>IF(OR(RawWorking[[#This Row],[ShipDate]]="",RawWorking[[#This Row],[DeliveryDate]]=""),"",RawWorking[[#This Row],[DeliveryDate]]-RawWorking[[#This Row],[ShipDate]])</f>
        <v>3</v>
      </c>
      <c r="M146" s="9">
        <f>IF(COUNTIF(INDEX(RawWorking[OrderID],1):RawWorking[[#This Row],[OrderID]],RawWorking[[#This Row],[OrderID]])=1,1,0)</f>
        <v>1</v>
      </c>
      <c r="N146" s="4">
        <f>IFERROR(RawWorking[[#This Row],[LineAmount]]/RawWorking[[#This Row],[Quantity]],"")</f>
        <v>224.37</v>
      </c>
    </row>
    <row r="147" spans="1:14">
      <c r="A147">
        <v>50146</v>
      </c>
      <c r="B147">
        <v>30083</v>
      </c>
      <c r="C147" s="2">
        <v>45691</v>
      </c>
      <c r="D147">
        <v>2133</v>
      </c>
      <c r="E147">
        <v>1010</v>
      </c>
      <c r="F147">
        <v>1</v>
      </c>
      <c r="G147">
        <v>121.5</v>
      </c>
      <c r="H147" s="2">
        <v>45694</v>
      </c>
      <c r="I147" s="2">
        <v>45702</v>
      </c>
      <c r="J147" t="s">
        <v>9</v>
      </c>
      <c r="K147" s="2" t="str">
        <f>IFERROR(INDEX(Product_lookup[Category],MATCH(RawWorking[[#This Row],[ProductID]],Product_lookup[ProductID],0)),"")</f>
        <v>Office</v>
      </c>
      <c r="L147" s="9">
        <f>IF(OR(RawWorking[[#This Row],[ShipDate]]="",RawWorking[[#This Row],[DeliveryDate]]=""),"",RawWorking[[#This Row],[DeliveryDate]]-RawWorking[[#This Row],[ShipDate]])</f>
        <v>8</v>
      </c>
      <c r="M147" s="9">
        <f>IF(COUNTIF(INDEX(RawWorking[OrderID],1):RawWorking[[#This Row],[OrderID]],RawWorking[[#This Row],[OrderID]])=1,1,0)</f>
        <v>0</v>
      </c>
      <c r="N147" s="4">
        <f>IFERROR(RawWorking[[#This Row],[LineAmount]]/RawWorking[[#This Row],[Quantity]],"")</f>
        <v>121.5</v>
      </c>
    </row>
    <row r="148" spans="1:14">
      <c r="A148">
        <v>50147</v>
      </c>
      <c r="B148">
        <v>30083</v>
      </c>
      <c r="C148" s="2">
        <v>45691</v>
      </c>
      <c r="D148">
        <v>2133</v>
      </c>
      <c r="E148">
        <v>1013</v>
      </c>
      <c r="F148">
        <v>1</v>
      </c>
      <c r="G148">
        <v>170.25</v>
      </c>
      <c r="H148" s="2">
        <v>45692</v>
      </c>
      <c r="I148" s="2">
        <v>45702</v>
      </c>
      <c r="J148" t="s">
        <v>9</v>
      </c>
      <c r="K148" s="2" t="str">
        <f>IFERROR(INDEX(Product_lookup[Category],MATCH(RawWorking[[#This Row],[ProductID]],Product_lookup[ProductID],0)),"")</f>
        <v>Office</v>
      </c>
      <c r="L148" s="9">
        <f>IF(OR(RawWorking[[#This Row],[ShipDate]]="",RawWorking[[#This Row],[DeliveryDate]]=""),"",RawWorking[[#This Row],[DeliveryDate]]-RawWorking[[#This Row],[ShipDate]])</f>
        <v>10</v>
      </c>
      <c r="M148" s="9">
        <f>IF(COUNTIF(INDEX(RawWorking[OrderID],1):RawWorking[[#This Row],[OrderID]],RawWorking[[#This Row],[OrderID]])=1,1,0)</f>
        <v>0</v>
      </c>
      <c r="N148" s="4">
        <f>IFERROR(RawWorking[[#This Row],[LineAmount]]/RawWorking[[#This Row],[Quantity]],"")</f>
        <v>170.25</v>
      </c>
    </row>
    <row r="149" spans="1:14">
      <c r="A149">
        <v>50148</v>
      </c>
      <c r="B149">
        <v>30084</v>
      </c>
      <c r="C149" s="2">
        <v>45763</v>
      </c>
      <c r="D149">
        <v>2337</v>
      </c>
      <c r="E149">
        <v>1003</v>
      </c>
      <c r="F149">
        <v>1</v>
      </c>
      <c r="G149">
        <v>224.37</v>
      </c>
      <c r="H149" s="2" t="s">
        <v>1421</v>
      </c>
      <c r="I149" s="2" t="s">
        <v>1421</v>
      </c>
      <c r="J149" t="s">
        <v>16</v>
      </c>
      <c r="K149" s="2" t="str">
        <f>IFERROR(INDEX(Product_lookup[Category],MATCH(RawWorking[[#This Row],[ProductID]],Product_lookup[ProductID],0)),"")</f>
        <v>Electronics</v>
      </c>
      <c r="L149" s="9" t="str">
        <f>IF(OR(RawWorking[[#This Row],[ShipDate]]="",RawWorking[[#This Row],[DeliveryDate]]=""),"",RawWorking[[#This Row],[DeliveryDate]]-RawWorking[[#This Row],[ShipDate]])</f>
        <v/>
      </c>
      <c r="M149" s="9">
        <f>IF(COUNTIF(INDEX(RawWorking[OrderID],1):RawWorking[[#This Row],[OrderID]],RawWorking[[#This Row],[OrderID]])=1,1,0)</f>
        <v>1</v>
      </c>
      <c r="N149" s="4">
        <f>IFERROR(RawWorking[[#This Row],[LineAmount]]/RawWorking[[#This Row],[Quantity]],"")</f>
        <v>224.37</v>
      </c>
    </row>
    <row r="150" spans="1:14">
      <c r="A150">
        <v>50149</v>
      </c>
      <c r="B150">
        <v>30085</v>
      </c>
      <c r="C150" s="2">
        <v>45897</v>
      </c>
      <c r="D150">
        <v>2434</v>
      </c>
      <c r="E150">
        <v>1001</v>
      </c>
      <c r="F150">
        <v>2</v>
      </c>
      <c r="G150">
        <v>406.08</v>
      </c>
      <c r="H150" s="2">
        <v>45900</v>
      </c>
      <c r="I150" s="2">
        <v>45909</v>
      </c>
      <c r="J150" t="s">
        <v>9</v>
      </c>
      <c r="K150" s="2" t="str">
        <f>IFERROR(INDEX(Product_lookup[Category],MATCH(RawWorking[[#This Row],[ProductID]],Product_lookup[ProductID],0)),"")</f>
        <v>Electronics</v>
      </c>
      <c r="L150" s="9">
        <f>IF(OR(RawWorking[[#This Row],[ShipDate]]="",RawWorking[[#This Row],[DeliveryDate]]=""),"",RawWorking[[#This Row],[DeliveryDate]]-RawWorking[[#This Row],[ShipDate]])</f>
        <v>9</v>
      </c>
      <c r="M150" s="9">
        <f>IF(COUNTIF(INDEX(RawWorking[OrderID],1):RawWorking[[#This Row],[OrderID]],RawWorking[[#This Row],[OrderID]])=1,1,0)</f>
        <v>1</v>
      </c>
      <c r="N150" s="4">
        <f>IFERROR(RawWorking[[#This Row],[LineAmount]]/RawWorking[[#This Row],[Quantity]],"")</f>
        <v>203.04</v>
      </c>
    </row>
    <row r="151" spans="1:14">
      <c r="A151">
        <v>50150</v>
      </c>
      <c r="B151">
        <v>30086</v>
      </c>
      <c r="C151" s="2">
        <v>46009</v>
      </c>
      <c r="D151">
        <v>2372</v>
      </c>
      <c r="E151">
        <v>1007</v>
      </c>
      <c r="F151">
        <v>1</v>
      </c>
      <c r="G151">
        <v>199.81</v>
      </c>
      <c r="H151" s="2">
        <v>46010</v>
      </c>
      <c r="I151" s="2">
        <v>46017</v>
      </c>
      <c r="J151" t="s">
        <v>9</v>
      </c>
      <c r="K151" s="2" t="str">
        <f>IFERROR(INDEX(Product_lookup[Category],MATCH(RawWorking[[#This Row],[ProductID]],Product_lookup[ProductID],0)),"")</f>
        <v>Home</v>
      </c>
      <c r="L151" s="9">
        <f>IF(OR(RawWorking[[#This Row],[ShipDate]]="",RawWorking[[#This Row],[DeliveryDate]]=""),"",RawWorking[[#This Row],[DeliveryDate]]-RawWorking[[#This Row],[ShipDate]])</f>
        <v>7</v>
      </c>
      <c r="M151" s="9">
        <f>IF(COUNTIF(INDEX(RawWorking[OrderID],1):RawWorking[[#This Row],[OrderID]],RawWorking[[#This Row],[OrderID]])=1,1,0)</f>
        <v>1</v>
      </c>
      <c r="N151" s="4">
        <f>IFERROR(RawWorking[[#This Row],[LineAmount]]/RawWorking[[#This Row],[Quantity]],"")</f>
        <v>199.81</v>
      </c>
    </row>
    <row r="152" spans="1:14">
      <c r="A152">
        <v>50151</v>
      </c>
      <c r="B152">
        <v>30086</v>
      </c>
      <c r="C152" s="2">
        <v>46009</v>
      </c>
      <c r="D152">
        <v>2372</v>
      </c>
      <c r="E152">
        <v>1011</v>
      </c>
      <c r="F152">
        <v>4</v>
      </c>
      <c r="G152">
        <v>405.76</v>
      </c>
      <c r="H152" s="2">
        <v>46012</v>
      </c>
      <c r="I152" s="2">
        <v>46014</v>
      </c>
      <c r="J152" t="s">
        <v>9</v>
      </c>
      <c r="K152" s="2" t="str">
        <f>IFERROR(INDEX(Product_lookup[Category],MATCH(RawWorking[[#This Row],[ProductID]],Product_lookup[ProductID],0)),"")</f>
        <v>Office</v>
      </c>
      <c r="L152" s="9">
        <f>IF(OR(RawWorking[[#This Row],[ShipDate]]="",RawWorking[[#This Row],[DeliveryDate]]=""),"",RawWorking[[#This Row],[DeliveryDate]]-RawWorking[[#This Row],[ShipDate]])</f>
        <v>2</v>
      </c>
      <c r="M152" s="9">
        <f>IF(COUNTIF(INDEX(RawWorking[OrderID],1):RawWorking[[#This Row],[OrderID]],RawWorking[[#This Row],[OrderID]])=1,1,0)</f>
        <v>0</v>
      </c>
      <c r="N152" s="4">
        <f>IFERROR(RawWorking[[#This Row],[LineAmount]]/RawWorking[[#This Row],[Quantity]],"")</f>
        <v>101.44</v>
      </c>
    </row>
    <row r="153" spans="1:14">
      <c r="A153">
        <v>50152</v>
      </c>
      <c r="B153">
        <v>30086</v>
      </c>
      <c r="C153" s="2">
        <v>46009</v>
      </c>
      <c r="D153">
        <v>2372</v>
      </c>
      <c r="E153">
        <v>1016</v>
      </c>
      <c r="F153">
        <v>2</v>
      </c>
      <c r="G153">
        <v>130.52000000000001</v>
      </c>
      <c r="H153" s="2">
        <v>46012</v>
      </c>
      <c r="I153" s="2">
        <v>46021</v>
      </c>
      <c r="J153" t="s">
        <v>9</v>
      </c>
      <c r="K153" s="2" t="str">
        <f>IFERROR(INDEX(Product_lookup[Category],MATCH(RawWorking[[#This Row],[ProductID]],Product_lookup[ProductID],0)),"")</f>
        <v>Sports</v>
      </c>
      <c r="L153" s="9">
        <f>IF(OR(RawWorking[[#This Row],[ShipDate]]="",RawWorking[[#This Row],[DeliveryDate]]=""),"",RawWorking[[#This Row],[DeliveryDate]]-RawWorking[[#This Row],[ShipDate]])</f>
        <v>9</v>
      </c>
      <c r="M153" s="9">
        <f>IF(COUNTIF(INDEX(RawWorking[OrderID],1):RawWorking[[#This Row],[OrderID]],RawWorking[[#This Row],[OrderID]])=1,1,0)</f>
        <v>0</v>
      </c>
      <c r="N153" s="4">
        <f>IFERROR(RawWorking[[#This Row],[LineAmount]]/RawWorking[[#This Row],[Quantity]],"")</f>
        <v>65.260000000000005</v>
      </c>
    </row>
    <row r="154" spans="1:14">
      <c r="A154">
        <v>50153</v>
      </c>
      <c r="B154">
        <v>30087</v>
      </c>
      <c r="C154" s="2">
        <v>45963</v>
      </c>
      <c r="D154">
        <v>2197</v>
      </c>
      <c r="E154">
        <v>1005</v>
      </c>
      <c r="F154">
        <v>1</v>
      </c>
      <c r="G154">
        <v>31.73</v>
      </c>
      <c r="H154" s="2">
        <v>45964</v>
      </c>
      <c r="I154" s="2">
        <v>45966</v>
      </c>
      <c r="J154" t="s">
        <v>9</v>
      </c>
      <c r="K154" s="2" t="str">
        <f>IFERROR(INDEX(Product_lookup[Category],MATCH(RawWorking[[#This Row],[ProductID]],Product_lookup[ProductID],0)),"")</f>
        <v>Electronics</v>
      </c>
      <c r="L154" s="9">
        <f>IF(OR(RawWorking[[#This Row],[ShipDate]]="",RawWorking[[#This Row],[DeliveryDate]]=""),"",RawWorking[[#This Row],[DeliveryDate]]-RawWorking[[#This Row],[ShipDate]])</f>
        <v>2</v>
      </c>
      <c r="M154" s="9">
        <f>IF(COUNTIF(INDEX(RawWorking[OrderID],1):RawWorking[[#This Row],[OrderID]],RawWorking[[#This Row],[OrderID]])=1,1,0)</f>
        <v>1</v>
      </c>
      <c r="N154" s="4">
        <f>IFERROR(RawWorking[[#This Row],[LineAmount]]/RawWorking[[#This Row],[Quantity]],"")</f>
        <v>31.73</v>
      </c>
    </row>
    <row r="155" spans="1:14">
      <c r="A155">
        <v>50154</v>
      </c>
      <c r="B155">
        <v>30088</v>
      </c>
      <c r="C155" s="2">
        <v>45912</v>
      </c>
      <c r="D155">
        <v>2159</v>
      </c>
      <c r="E155">
        <v>1004</v>
      </c>
      <c r="F155">
        <v>2</v>
      </c>
      <c r="G155">
        <v>367.48</v>
      </c>
      <c r="H155" s="2">
        <v>45914</v>
      </c>
      <c r="I155" s="2">
        <v>45915</v>
      </c>
      <c r="J155" t="s">
        <v>9</v>
      </c>
      <c r="K155" s="2" t="str">
        <f>IFERROR(INDEX(Product_lookup[Category],MATCH(RawWorking[[#This Row],[ProductID]],Product_lookup[ProductID],0)),"")</f>
        <v>Electronics</v>
      </c>
      <c r="L155" s="9">
        <f>IF(OR(RawWorking[[#This Row],[ShipDate]]="",RawWorking[[#This Row],[DeliveryDate]]=""),"",RawWorking[[#This Row],[DeliveryDate]]-RawWorking[[#This Row],[ShipDate]])</f>
        <v>1</v>
      </c>
      <c r="M155" s="9">
        <f>IF(COUNTIF(INDEX(RawWorking[OrderID],1):RawWorking[[#This Row],[OrderID]],RawWorking[[#This Row],[OrderID]])=1,1,0)</f>
        <v>1</v>
      </c>
      <c r="N155" s="4">
        <f>IFERROR(RawWorking[[#This Row],[LineAmount]]/RawWorking[[#This Row],[Quantity]],"")</f>
        <v>183.74</v>
      </c>
    </row>
    <row r="156" spans="1:14">
      <c r="A156">
        <v>50155</v>
      </c>
      <c r="B156">
        <v>30088</v>
      </c>
      <c r="C156" s="2">
        <v>45912</v>
      </c>
      <c r="D156">
        <v>2159</v>
      </c>
      <c r="E156">
        <v>1002</v>
      </c>
      <c r="F156">
        <v>1</v>
      </c>
      <c r="G156">
        <v>118.6</v>
      </c>
      <c r="H156" s="2">
        <v>45915</v>
      </c>
      <c r="I156" s="2">
        <v>45924</v>
      </c>
      <c r="J156" t="s">
        <v>9</v>
      </c>
      <c r="K156" s="2" t="str">
        <f>IFERROR(INDEX(Product_lookup[Category],MATCH(RawWorking[[#This Row],[ProductID]],Product_lookup[ProductID],0)),"")</f>
        <v>Electronics</v>
      </c>
      <c r="L156" s="9">
        <f>IF(OR(RawWorking[[#This Row],[ShipDate]]="",RawWorking[[#This Row],[DeliveryDate]]=""),"",RawWorking[[#This Row],[DeliveryDate]]-RawWorking[[#This Row],[ShipDate]])</f>
        <v>9</v>
      </c>
      <c r="M156" s="9">
        <f>IF(COUNTIF(INDEX(RawWorking[OrderID],1):RawWorking[[#This Row],[OrderID]],RawWorking[[#This Row],[OrderID]])=1,1,0)</f>
        <v>0</v>
      </c>
      <c r="N156" s="4">
        <f>IFERROR(RawWorking[[#This Row],[LineAmount]]/RawWorking[[#This Row],[Quantity]],"")</f>
        <v>118.6</v>
      </c>
    </row>
    <row r="157" spans="1:14">
      <c r="A157">
        <v>50156</v>
      </c>
      <c r="B157">
        <v>30089</v>
      </c>
      <c r="C157" s="2">
        <v>45926</v>
      </c>
      <c r="D157">
        <v>2345</v>
      </c>
      <c r="E157">
        <v>1005</v>
      </c>
      <c r="F157">
        <v>1</v>
      </c>
      <c r="G157">
        <v>31.73</v>
      </c>
      <c r="H157" s="2" t="s">
        <v>1421</v>
      </c>
      <c r="I157" s="2" t="s">
        <v>1421</v>
      </c>
      <c r="J157" t="s">
        <v>12</v>
      </c>
      <c r="K157" s="2" t="str">
        <f>IFERROR(INDEX(Product_lookup[Category],MATCH(RawWorking[[#This Row],[ProductID]],Product_lookup[ProductID],0)),"")</f>
        <v>Electronics</v>
      </c>
      <c r="L157" s="9" t="str">
        <f>IF(OR(RawWorking[[#This Row],[ShipDate]]="",RawWorking[[#This Row],[DeliveryDate]]=""),"",RawWorking[[#This Row],[DeliveryDate]]-RawWorking[[#This Row],[ShipDate]])</f>
        <v/>
      </c>
      <c r="M157" s="9">
        <f>IF(COUNTIF(INDEX(RawWorking[OrderID],1):RawWorking[[#This Row],[OrderID]],RawWorking[[#This Row],[OrderID]])=1,1,0)</f>
        <v>1</v>
      </c>
      <c r="N157" s="4">
        <f>IFERROR(RawWorking[[#This Row],[LineAmount]]/RawWorking[[#This Row],[Quantity]],"")</f>
        <v>31.73</v>
      </c>
    </row>
    <row r="158" spans="1:14">
      <c r="A158">
        <v>50157</v>
      </c>
      <c r="B158">
        <v>30090</v>
      </c>
      <c r="C158" s="2">
        <v>45694</v>
      </c>
      <c r="D158">
        <v>2386</v>
      </c>
      <c r="E158">
        <v>1006</v>
      </c>
      <c r="F158">
        <v>2</v>
      </c>
      <c r="G158">
        <v>507.72</v>
      </c>
      <c r="H158" s="2">
        <v>45697</v>
      </c>
      <c r="I158" s="2">
        <v>45703</v>
      </c>
      <c r="J158" t="s">
        <v>9</v>
      </c>
      <c r="K158" s="2" t="str">
        <f>IFERROR(INDEX(Product_lookup[Category],MATCH(RawWorking[[#This Row],[ProductID]],Product_lookup[ProductID],0)),"")</f>
        <v>Home</v>
      </c>
      <c r="L158" s="9">
        <f>IF(OR(RawWorking[[#This Row],[ShipDate]]="",RawWorking[[#This Row],[DeliveryDate]]=""),"",RawWorking[[#This Row],[DeliveryDate]]-RawWorking[[#This Row],[ShipDate]])</f>
        <v>6</v>
      </c>
      <c r="M158" s="9">
        <f>IF(COUNTIF(INDEX(RawWorking[OrderID],1):RawWorking[[#This Row],[OrderID]],RawWorking[[#This Row],[OrderID]])=1,1,0)</f>
        <v>1</v>
      </c>
      <c r="N158" s="4">
        <f>IFERROR(RawWorking[[#This Row],[LineAmount]]/RawWorking[[#This Row],[Quantity]],"")</f>
        <v>253.86</v>
      </c>
    </row>
    <row r="159" spans="1:14">
      <c r="A159">
        <v>50158</v>
      </c>
      <c r="B159">
        <v>30090</v>
      </c>
      <c r="C159" s="2">
        <v>45694</v>
      </c>
      <c r="D159">
        <v>2386</v>
      </c>
      <c r="E159">
        <v>1006</v>
      </c>
      <c r="F159">
        <v>2</v>
      </c>
      <c r="G159">
        <v>507.72</v>
      </c>
      <c r="H159" s="2">
        <v>45695</v>
      </c>
      <c r="I159" s="2">
        <v>45871</v>
      </c>
      <c r="J159" t="s">
        <v>9</v>
      </c>
      <c r="K159" s="2" t="str">
        <f>IFERROR(INDEX(Product_lookup[Category],MATCH(RawWorking[[#This Row],[ProductID]],Product_lookup[ProductID],0)),"")</f>
        <v>Home</v>
      </c>
      <c r="L159" s="9">
        <f>IF(OR(RawWorking[[#This Row],[ShipDate]]="",RawWorking[[#This Row],[DeliveryDate]]=""),"",RawWorking[[#This Row],[DeliveryDate]]-RawWorking[[#This Row],[ShipDate]])</f>
        <v>176</v>
      </c>
      <c r="M159" s="9">
        <f>IF(COUNTIF(INDEX(RawWorking[OrderID],1):RawWorking[[#This Row],[OrderID]],RawWorking[[#This Row],[OrderID]])=1,1,0)</f>
        <v>0</v>
      </c>
      <c r="N159" s="4">
        <f>IFERROR(RawWorking[[#This Row],[LineAmount]]/RawWorking[[#This Row],[Quantity]],"")</f>
        <v>253.86</v>
      </c>
    </row>
    <row r="160" spans="1:14">
      <c r="A160">
        <v>50159</v>
      </c>
      <c r="B160">
        <v>30090</v>
      </c>
      <c r="C160" s="2">
        <v>45694</v>
      </c>
      <c r="D160">
        <v>2386</v>
      </c>
      <c r="E160">
        <v>1015</v>
      </c>
      <c r="F160">
        <v>3</v>
      </c>
      <c r="G160">
        <v>359.22</v>
      </c>
      <c r="H160" s="2">
        <v>45695</v>
      </c>
      <c r="I160" s="2">
        <v>45700</v>
      </c>
      <c r="J160" t="s">
        <v>9</v>
      </c>
      <c r="K160" s="2" t="str">
        <f>IFERROR(INDEX(Product_lookup[Category],MATCH(RawWorking[[#This Row],[ProductID]],Product_lookup[ProductID],0)),"")</f>
        <v>Sports</v>
      </c>
      <c r="L160" s="9">
        <f>IF(OR(RawWorking[[#This Row],[ShipDate]]="",RawWorking[[#This Row],[DeliveryDate]]=""),"",RawWorking[[#This Row],[DeliveryDate]]-RawWorking[[#This Row],[ShipDate]])</f>
        <v>5</v>
      </c>
      <c r="M160" s="9">
        <f>IF(COUNTIF(INDEX(RawWorking[OrderID],1):RawWorking[[#This Row],[OrderID]],RawWorking[[#This Row],[OrderID]])=1,1,0)</f>
        <v>0</v>
      </c>
      <c r="N160" s="4">
        <f>IFERROR(RawWorking[[#This Row],[LineAmount]]/RawWorking[[#This Row],[Quantity]],"")</f>
        <v>119.74000000000001</v>
      </c>
    </row>
    <row r="161" spans="1:14">
      <c r="A161">
        <v>50160</v>
      </c>
      <c r="B161">
        <v>30090</v>
      </c>
      <c r="C161" s="2">
        <v>45694</v>
      </c>
      <c r="D161">
        <v>2386</v>
      </c>
      <c r="E161">
        <v>1002</v>
      </c>
      <c r="F161">
        <v>1</v>
      </c>
      <c r="G161">
        <v>118.6</v>
      </c>
      <c r="H161" s="2">
        <v>45697</v>
      </c>
      <c r="I161" s="2">
        <v>45701</v>
      </c>
      <c r="J161" t="s">
        <v>9</v>
      </c>
      <c r="K161" s="2" t="str">
        <f>IFERROR(INDEX(Product_lookup[Category],MATCH(RawWorking[[#This Row],[ProductID]],Product_lookup[ProductID],0)),"")</f>
        <v>Electronics</v>
      </c>
      <c r="L161" s="9">
        <f>IF(OR(RawWorking[[#This Row],[ShipDate]]="",RawWorking[[#This Row],[DeliveryDate]]=""),"",RawWorking[[#This Row],[DeliveryDate]]-RawWorking[[#This Row],[ShipDate]])</f>
        <v>4</v>
      </c>
      <c r="M161" s="9">
        <f>IF(COUNTIF(INDEX(RawWorking[OrderID],1):RawWorking[[#This Row],[OrderID]],RawWorking[[#This Row],[OrderID]])=1,1,0)</f>
        <v>0</v>
      </c>
      <c r="N161" s="4">
        <f>IFERROR(RawWorking[[#This Row],[LineAmount]]/RawWorking[[#This Row],[Quantity]],"")</f>
        <v>118.6</v>
      </c>
    </row>
    <row r="162" spans="1:14">
      <c r="A162">
        <v>50161</v>
      </c>
      <c r="B162">
        <v>30091</v>
      </c>
      <c r="C162" s="2">
        <v>45691</v>
      </c>
      <c r="D162">
        <v>2421</v>
      </c>
      <c r="E162">
        <v>1008</v>
      </c>
      <c r="F162">
        <v>5</v>
      </c>
      <c r="G162">
        <v>1030.45</v>
      </c>
      <c r="H162" s="2">
        <v>45693</v>
      </c>
      <c r="I162" s="2">
        <v>45698</v>
      </c>
      <c r="J162" t="s">
        <v>9</v>
      </c>
      <c r="K162" s="2" t="str">
        <f>IFERROR(INDEX(Product_lookup[Category],MATCH(RawWorking[[#This Row],[ProductID]],Product_lookup[ProductID],0)),"")</f>
        <v>Home</v>
      </c>
      <c r="L162" s="9">
        <f>IF(OR(RawWorking[[#This Row],[ShipDate]]="",RawWorking[[#This Row],[DeliveryDate]]=""),"",RawWorking[[#This Row],[DeliveryDate]]-RawWorking[[#This Row],[ShipDate]])</f>
        <v>5</v>
      </c>
      <c r="M162" s="9">
        <f>IF(COUNTIF(INDEX(RawWorking[OrderID],1):RawWorking[[#This Row],[OrderID]],RawWorking[[#This Row],[OrderID]])=1,1,0)</f>
        <v>1</v>
      </c>
      <c r="N162" s="4">
        <f>IFERROR(RawWorking[[#This Row],[LineAmount]]/RawWorking[[#This Row],[Quantity]],"")</f>
        <v>206.09</v>
      </c>
    </row>
    <row r="163" spans="1:14">
      <c r="A163">
        <v>50162</v>
      </c>
      <c r="B163">
        <v>30092</v>
      </c>
      <c r="C163" s="2">
        <v>45856</v>
      </c>
      <c r="D163">
        <v>2455</v>
      </c>
      <c r="E163">
        <v>1015</v>
      </c>
      <c r="F163">
        <v>1</v>
      </c>
      <c r="G163">
        <v>119.74</v>
      </c>
      <c r="H163" s="2">
        <v>45859</v>
      </c>
      <c r="I163" s="2">
        <v>45864</v>
      </c>
      <c r="J163" t="s">
        <v>9</v>
      </c>
      <c r="K163" s="2" t="str">
        <f>IFERROR(INDEX(Product_lookup[Category],MATCH(RawWorking[[#This Row],[ProductID]],Product_lookup[ProductID],0)),"")</f>
        <v>Sports</v>
      </c>
      <c r="L163" s="9">
        <f>IF(OR(RawWorking[[#This Row],[ShipDate]]="",RawWorking[[#This Row],[DeliveryDate]]=""),"",RawWorking[[#This Row],[DeliveryDate]]-RawWorking[[#This Row],[ShipDate]])</f>
        <v>5</v>
      </c>
      <c r="M163" s="9">
        <f>IF(COUNTIF(INDEX(RawWorking[OrderID],1):RawWorking[[#This Row],[OrderID]],RawWorking[[#This Row],[OrderID]])=1,1,0)</f>
        <v>1</v>
      </c>
      <c r="N163" s="4">
        <f>IFERROR(RawWorking[[#This Row],[LineAmount]]/RawWorking[[#This Row],[Quantity]],"")</f>
        <v>119.74</v>
      </c>
    </row>
    <row r="164" spans="1:14">
      <c r="A164">
        <v>50163</v>
      </c>
      <c r="B164">
        <v>30092</v>
      </c>
      <c r="C164" s="2">
        <v>45856</v>
      </c>
      <c r="D164">
        <v>2455</v>
      </c>
      <c r="E164">
        <v>1008</v>
      </c>
      <c r="F164">
        <v>4</v>
      </c>
      <c r="G164">
        <v>824.36</v>
      </c>
      <c r="H164" s="2">
        <v>45857</v>
      </c>
      <c r="I164" s="2">
        <v>45863</v>
      </c>
      <c r="J164" t="s">
        <v>9</v>
      </c>
      <c r="K164" s="2" t="str">
        <f>IFERROR(INDEX(Product_lookup[Category],MATCH(RawWorking[[#This Row],[ProductID]],Product_lookup[ProductID],0)),"")</f>
        <v>Home</v>
      </c>
      <c r="L164" s="9">
        <f>IF(OR(RawWorking[[#This Row],[ShipDate]]="",RawWorking[[#This Row],[DeliveryDate]]=""),"",RawWorking[[#This Row],[DeliveryDate]]-RawWorking[[#This Row],[ShipDate]])</f>
        <v>6</v>
      </c>
      <c r="M164" s="9">
        <f>IF(COUNTIF(INDEX(RawWorking[OrderID],1):RawWorking[[#This Row],[OrderID]],RawWorking[[#This Row],[OrderID]])=1,1,0)</f>
        <v>0</v>
      </c>
      <c r="N164" s="4">
        <f>IFERROR(RawWorking[[#This Row],[LineAmount]]/RawWorking[[#This Row],[Quantity]],"")</f>
        <v>206.09</v>
      </c>
    </row>
    <row r="165" spans="1:14">
      <c r="A165">
        <v>50164</v>
      </c>
      <c r="B165">
        <v>30093</v>
      </c>
      <c r="C165" s="2">
        <v>45767</v>
      </c>
      <c r="D165">
        <v>2547</v>
      </c>
      <c r="E165">
        <v>1016</v>
      </c>
      <c r="F165">
        <v>2</v>
      </c>
      <c r="G165">
        <v>130.52000000000001</v>
      </c>
      <c r="H165" s="2">
        <v>45768</v>
      </c>
      <c r="I165" s="2">
        <v>45775</v>
      </c>
      <c r="J165" t="s">
        <v>9</v>
      </c>
      <c r="K165" s="2" t="str">
        <f>IFERROR(INDEX(Product_lookup[Category],MATCH(RawWorking[[#This Row],[ProductID]],Product_lookup[ProductID],0)),"")</f>
        <v>Sports</v>
      </c>
      <c r="L165" s="9">
        <f>IF(OR(RawWorking[[#This Row],[ShipDate]]="",RawWorking[[#This Row],[DeliveryDate]]=""),"",RawWorking[[#This Row],[DeliveryDate]]-RawWorking[[#This Row],[ShipDate]])</f>
        <v>7</v>
      </c>
      <c r="M165" s="9">
        <f>IF(COUNTIF(INDEX(RawWorking[OrderID],1):RawWorking[[#This Row],[OrderID]],RawWorking[[#This Row],[OrderID]])=1,1,0)</f>
        <v>1</v>
      </c>
      <c r="N165" s="4">
        <f>IFERROR(RawWorking[[#This Row],[LineAmount]]/RawWorking[[#This Row],[Quantity]],"")</f>
        <v>65.260000000000005</v>
      </c>
    </row>
    <row r="166" spans="1:14">
      <c r="A166">
        <v>50165</v>
      </c>
      <c r="B166">
        <v>30093</v>
      </c>
      <c r="C166" s="2">
        <v>45767</v>
      </c>
      <c r="D166">
        <v>2547</v>
      </c>
      <c r="E166">
        <v>1007</v>
      </c>
      <c r="F166">
        <v>4</v>
      </c>
      <c r="G166">
        <v>799.24</v>
      </c>
      <c r="H166" s="2">
        <v>45768</v>
      </c>
      <c r="I166" s="2">
        <v>45770</v>
      </c>
      <c r="J166" t="s">
        <v>9</v>
      </c>
      <c r="K166" s="2" t="str">
        <f>IFERROR(INDEX(Product_lookup[Category],MATCH(RawWorking[[#This Row],[ProductID]],Product_lookup[ProductID],0)),"")</f>
        <v>Home</v>
      </c>
      <c r="L166" s="9">
        <f>IF(OR(RawWorking[[#This Row],[ShipDate]]="",RawWorking[[#This Row],[DeliveryDate]]=""),"",RawWorking[[#This Row],[DeliveryDate]]-RawWorking[[#This Row],[ShipDate]])</f>
        <v>2</v>
      </c>
      <c r="M166" s="9">
        <f>IF(COUNTIF(INDEX(RawWorking[OrderID],1):RawWorking[[#This Row],[OrderID]],RawWorking[[#This Row],[OrderID]])=1,1,0)</f>
        <v>0</v>
      </c>
      <c r="N166" s="4">
        <f>IFERROR(RawWorking[[#This Row],[LineAmount]]/RawWorking[[#This Row],[Quantity]],"")</f>
        <v>199.81</v>
      </c>
    </row>
    <row r="167" spans="1:14">
      <c r="A167">
        <v>50166</v>
      </c>
      <c r="B167">
        <v>30094</v>
      </c>
      <c r="C167" s="2">
        <v>45826</v>
      </c>
      <c r="D167">
        <v>2377</v>
      </c>
      <c r="E167">
        <v>1015</v>
      </c>
      <c r="F167">
        <v>1</v>
      </c>
      <c r="G167">
        <v>119.74</v>
      </c>
      <c r="H167" s="2">
        <v>45828</v>
      </c>
      <c r="I167" s="2">
        <v>45830</v>
      </c>
      <c r="J167" t="s">
        <v>9</v>
      </c>
      <c r="K167" s="2" t="str">
        <f>IFERROR(INDEX(Product_lookup[Category],MATCH(RawWorking[[#This Row],[ProductID]],Product_lookup[ProductID],0)),"")</f>
        <v>Sports</v>
      </c>
      <c r="L167" s="9">
        <f>IF(OR(RawWorking[[#This Row],[ShipDate]]="",RawWorking[[#This Row],[DeliveryDate]]=""),"",RawWorking[[#This Row],[DeliveryDate]]-RawWorking[[#This Row],[ShipDate]])</f>
        <v>2</v>
      </c>
      <c r="M167" s="9">
        <f>IF(COUNTIF(INDEX(RawWorking[OrderID],1):RawWorking[[#This Row],[OrderID]],RawWorking[[#This Row],[OrderID]])=1,1,0)</f>
        <v>1</v>
      </c>
      <c r="N167" s="4">
        <f>IFERROR(RawWorking[[#This Row],[LineAmount]]/RawWorking[[#This Row],[Quantity]],"")</f>
        <v>119.74</v>
      </c>
    </row>
    <row r="168" spans="1:14">
      <c r="A168">
        <v>50167</v>
      </c>
      <c r="B168">
        <v>30095</v>
      </c>
      <c r="C168" s="2">
        <v>45701</v>
      </c>
      <c r="D168">
        <v>2473</v>
      </c>
      <c r="E168">
        <v>1013</v>
      </c>
      <c r="F168">
        <v>1</v>
      </c>
      <c r="G168">
        <v>170.25</v>
      </c>
      <c r="H168" s="2" t="s">
        <v>1421</v>
      </c>
      <c r="I168" s="2" t="s">
        <v>1421</v>
      </c>
      <c r="J168" t="s">
        <v>16</v>
      </c>
      <c r="K168" s="2" t="str">
        <f>IFERROR(INDEX(Product_lookup[Category],MATCH(RawWorking[[#This Row],[ProductID]],Product_lookup[ProductID],0)),"")</f>
        <v>Office</v>
      </c>
      <c r="L168" s="9" t="str">
        <f>IF(OR(RawWorking[[#This Row],[ShipDate]]="",RawWorking[[#This Row],[DeliveryDate]]=""),"",RawWorking[[#This Row],[DeliveryDate]]-RawWorking[[#This Row],[ShipDate]])</f>
        <v/>
      </c>
      <c r="M168" s="9">
        <f>IF(COUNTIF(INDEX(RawWorking[OrderID],1):RawWorking[[#This Row],[OrderID]],RawWorking[[#This Row],[OrderID]])=1,1,0)</f>
        <v>1</v>
      </c>
      <c r="N168" s="4">
        <f>IFERROR(RawWorking[[#This Row],[LineAmount]]/RawWorking[[#This Row],[Quantity]],"")</f>
        <v>170.25</v>
      </c>
    </row>
    <row r="169" spans="1:14">
      <c r="A169">
        <v>50168</v>
      </c>
      <c r="B169">
        <v>30096</v>
      </c>
      <c r="C169" s="2">
        <v>45692</v>
      </c>
      <c r="D169">
        <v>2429</v>
      </c>
      <c r="E169">
        <v>1007</v>
      </c>
      <c r="F169">
        <v>2</v>
      </c>
      <c r="G169">
        <v>399.62</v>
      </c>
      <c r="H169" s="2">
        <v>45693</v>
      </c>
      <c r="I169" s="2">
        <v>45932</v>
      </c>
      <c r="J169" t="s">
        <v>11</v>
      </c>
      <c r="K169" s="2" t="str">
        <f>IFERROR(INDEX(Product_lookup[Category],MATCH(RawWorking[[#This Row],[ProductID]],Product_lookup[ProductID],0)),"")</f>
        <v>Home</v>
      </c>
      <c r="L169" s="9">
        <f>IF(OR(RawWorking[[#This Row],[ShipDate]]="",RawWorking[[#This Row],[DeliveryDate]]=""),"",RawWorking[[#This Row],[DeliveryDate]]-RawWorking[[#This Row],[ShipDate]])</f>
        <v>239</v>
      </c>
      <c r="M169" s="9">
        <f>IF(COUNTIF(INDEX(RawWorking[OrderID],1):RawWorking[[#This Row],[OrderID]],RawWorking[[#This Row],[OrderID]])=1,1,0)</f>
        <v>1</v>
      </c>
      <c r="N169" s="4">
        <f>IFERROR(RawWorking[[#This Row],[LineAmount]]/RawWorking[[#This Row],[Quantity]],"")</f>
        <v>199.81</v>
      </c>
    </row>
    <row r="170" spans="1:14">
      <c r="A170">
        <v>50169</v>
      </c>
      <c r="B170">
        <v>30097</v>
      </c>
      <c r="C170" s="2">
        <v>45889</v>
      </c>
      <c r="D170">
        <v>2142</v>
      </c>
      <c r="E170">
        <v>1002</v>
      </c>
      <c r="F170">
        <v>1</v>
      </c>
      <c r="G170">
        <v>118.6</v>
      </c>
      <c r="H170" s="2" t="s">
        <v>1421</v>
      </c>
      <c r="I170" s="2" t="s">
        <v>1421</v>
      </c>
      <c r="J170" t="s">
        <v>12</v>
      </c>
      <c r="K170" s="2" t="str">
        <f>IFERROR(INDEX(Product_lookup[Category],MATCH(RawWorking[[#This Row],[ProductID]],Product_lookup[ProductID],0)),"")</f>
        <v>Electronics</v>
      </c>
      <c r="L170" s="9" t="str">
        <f>IF(OR(RawWorking[[#This Row],[ShipDate]]="",RawWorking[[#This Row],[DeliveryDate]]=""),"",RawWorking[[#This Row],[DeliveryDate]]-RawWorking[[#This Row],[ShipDate]])</f>
        <v/>
      </c>
      <c r="M170" s="9">
        <f>IF(COUNTIF(INDEX(RawWorking[OrderID],1):RawWorking[[#This Row],[OrderID]],RawWorking[[#This Row],[OrderID]])=1,1,0)</f>
        <v>1</v>
      </c>
      <c r="N170" s="4">
        <f>IFERROR(RawWorking[[#This Row],[LineAmount]]/RawWorking[[#This Row],[Quantity]],"")</f>
        <v>118.6</v>
      </c>
    </row>
    <row r="171" spans="1:14">
      <c r="A171">
        <v>50170</v>
      </c>
      <c r="B171">
        <v>30098</v>
      </c>
      <c r="C171" s="2">
        <v>45964</v>
      </c>
      <c r="D171">
        <v>2493</v>
      </c>
      <c r="E171">
        <v>1004</v>
      </c>
      <c r="F171">
        <v>1</v>
      </c>
      <c r="G171">
        <v>183.74</v>
      </c>
      <c r="H171" s="2" t="s">
        <v>1421</v>
      </c>
      <c r="I171" s="2" t="s">
        <v>1421</v>
      </c>
      <c r="J171" t="s">
        <v>12</v>
      </c>
      <c r="K171" s="2" t="str">
        <f>IFERROR(INDEX(Product_lookup[Category],MATCH(RawWorking[[#This Row],[ProductID]],Product_lookup[ProductID],0)),"")</f>
        <v>Electronics</v>
      </c>
      <c r="L171" s="9" t="str">
        <f>IF(OR(RawWorking[[#This Row],[ShipDate]]="",RawWorking[[#This Row],[DeliveryDate]]=""),"",RawWorking[[#This Row],[DeliveryDate]]-RawWorking[[#This Row],[ShipDate]])</f>
        <v/>
      </c>
      <c r="M171" s="9">
        <f>IF(COUNTIF(INDEX(RawWorking[OrderID],1):RawWorking[[#This Row],[OrderID]],RawWorking[[#This Row],[OrderID]])=1,1,0)</f>
        <v>1</v>
      </c>
      <c r="N171" s="4">
        <f>IFERROR(RawWorking[[#This Row],[LineAmount]]/RawWorking[[#This Row],[Quantity]],"")</f>
        <v>183.74</v>
      </c>
    </row>
    <row r="172" spans="1:14">
      <c r="A172">
        <v>50171</v>
      </c>
      <c r="B172">
        <v>30098</v>
      </c>
      <c r="C172" s="2">
        <v>45964</v>
      </c>
      <c r="D172">
        <v>2493</v>
      </c>
      <c r="E172">
        <v>1004</v>
      </c>
      <c r="F172">
        <v>1</v>
      </c>
      <c r="G172">
        <v>183.74</v>
      </c>
      <c r="H172" s="2" t="s">
        <v>1421</v>
      </c>
      <c r="I172" s="2" t="s">
        <v>1421</v>
      </c>
      <c r="J172" t="s">
        <v>12</v>
      </c>
      <c r="K172" s="2" t="str">
        <f>IFERROR(INDEX(Product_lookup[Category],MATCH(RawWorking[[#This Row],[ProductID]],Product_lookup[ProductID],0)),"")</f>
        <v>Electronics</v>
      </c>
      <c r="L172" s="9" t="str">
        <f>IF(OR(RawWorking[[#This Row],[ShipDate]]="",RawWorking[[#This Row],[DeliveryDate]]=""),"",RawWorking[[#This Row],[DeliveryDate]]-RawWorking[[#This Row],[ShipDate]])</f>
        <v/>
      </c>
      <c r="M172" s="9">
        <f>IF(COUNTIF(INDEX(RawWorking[OrderID],1):RawWorking[[#This Row],[OrderID]],RawWorking[[#This Row],[OrderID]])=1,1,0)</f>
        <v>0</v>
      </c>
      <c r="N172" s="4">
        <f>IFERROR(RawWorking[[#This Row],[LineAmount]]/RawWorking[[#This Row],[Quantity]],"")</f>
        <v>183.74</v>
      </c>
    </row>
    <row r="173" spans="1:14">
      <c r="A173">
        <v>50172</v>
      </c>
      <c r="B173">
        <v>30099</v>
      </c>
      <c r="C173" s="2">
        <v>45737</v>
      </c>
      <c r="D173">
        <v>2292</v>
      </c>
      <c r="E173">
        <v>1006</v>
      </c>
      <c r="F173">
        <v>1</v>
      </c>
      <c r="G173">
        <v>253.86</v>
      </c>
      <c r="H173" s="2">
        <v>45738</v>
      </c>
      <c r="I173" s="2">
        <v>45741</v>
      </c>
      <c r="J173" t="s">
        <v>9</v>
      </c>
      <c r="K173" s="2" t="str">
        <f>IFERROR(INDEX(Product_lookup[Category],MATCH(RawWorking[[#This Row],[ProductID]],Product_lookup[ProductID],0)),"")</f>
        <v>Home</v>
      </c>
      <c r="L173" s="9">
        <f>IF(OR(RawWorking[[#This Row],[ShipDate]]="",RawWorking[[#This Row],[DeliveryDate]]=""),"",RawWorking[[#This Row],[DeliveryDate]]-RawWorking[[#This Row],[ShipDate]])</f>
        <v>3</v>
      </c>
      <c r="M173" s="9">
        <f>IF(COUNTIF(INDEX(RawWorking[OrderID],1):RawWorking[[#This Row],[OrderID]],RawWorking[[#This Row],[OrderID]])=1,1,0)</f>
        <v>1</v>
      </c>
      <c r="N173" s="4">
        <f>IFERROR(RawWorking[[#This Row],[LineAmount]]/RawWorking[[#This Row],[Quantity]],"")</f>
        <v>253.86</v>
      </c>
    </row>
    <row r="174" spans="1:14">
      <c r="A174">
        <v>50173</v>
      </c>
      <c r="B174">
        <v>30100</v>
      </c>
      <c r="C174" s="2">
        <v>45692</v>
      </c>
      <c r="D174">
        <v>2280</v>
      </c>
      <c r="E174">
        <v>1005</v>
      </c>
      <c r="F174">
        <v>2</v>
      </c>
      <c r="G174">
        <v>63.46</v>
      </c>
      <c r="H174" s="2">
        <v>45694</v>
      </c>
      <c r="I174" s="2">
        <v>45993</v>
      </c>
      <c r="J174" t="s">
        <v>9</v>
      </c>
      <c r="K174" s="2" t="str">
        <f>IFERROR(INDEX(Product_lookup[Category],MATCH(RawWorking[[#This Row],[ProductID]],Product_lookup[ProductID],0)),"")</f>
        <v>Electronics</v>
      </c>
      <c r="L174" s="9">
        <f>IF(OR(RawWorking[[#This Row],[ShipDate]]="",RawWorking[[#This Row],[DeliveryDate]]=""),"",RawWorking[[#This Row],[DeliveryDate]]-RawWorking[[#This Row],[ShipDate]])</f>
        <v>299</v>
      </c>
      <c r="M174" s="9">
        <f>IF(COUNTIF(INDEX(RawWorking[OrderID],1):RawWorking[[#This Row],[OrderID]],RawWorking[[#This Row],[OrderID]])=1,1,0)</f>
        <v>1</v>
      </c>
      <c r="N174" s="4">
        <f>IFERROR(RawWorking[[#This Row],[LineAmount]]/RawWorking[[#This Row],[Quantity]],"")</f>
        <v>31.73</v>
      </c>
    </row>
    <row r="175" spans="1:14">
      <c r="A175">
        <v>50174</v>
      </c>
      <c r="B175">
        <v>30100</v>
      </c>
      <c r="C175" s="2">
        <v>45692</v>
      </c>
      <c r="D175">
        <v>2280</v>
      </c>
      <c r="E175">
        <v>1014</v>
      </c>
      <c r="F175">
        <v>2</v>
      </c>
      <c r="G175">
        <v>430.68</v>
      </c>
      <c r="H175" s="2">
        <v>45694</v>
      </c>
      <c r="I175" s="2">
        <v>45701</v>
      </c>
      <c r="J175" t="s">
        <v>9</v>
      </c>
      <c r="K175" s="2" t="str">
        <f>IFERROR(INDEX(Product_lookup[Category],MATCH(RawWorking[[#This Row],[ProductID]],Product_lookup[ProductID],0)),"")</f>
        <v>Sports</v>
      </c>
      <c r="L175" s="9">
        <f>IF(OR(RawWorking[[#This Row],[ShipDate]]="",RawWorking[[#This Row],[DeliveryDate]]=""),"",RawWorking[[#This Row],[DeliveryDate]]-RawWorking[[#This Row],[ShipDate]])</f>
        <v>7</v>
      </c>
      <c r="M175" s="9">
        <f>IF(COUNTIF(INDEX(RawWorking[OrderID],1):RawWorking[[#This Row],[OrderID]],RawWorking[[#This Row],[OrderID]])=1,1,0)</f>
        <v>0</v>
      </c>
      <c r="N175" s="4">
        <f>IFERROR(RawWorking[[#This Row],[LineAmount]]/RawWorking[[#This Row],[Quantity]],"")</f>
        <v>215.34</v>
      </c>
    </row>
    <row r="176" spans="1:14">
      <c r="A176">
        <v>50175</v>
      </c>
      <c r="B176">
        <v>30101</v>
      </c>
      <c r="C176" s="2">
        <v>45773</v>
      </c>
      <c r="D176">
        <v>2094</v>
      </c>
      <c r="E176">
        <v>1008</v>
      </c>
      <c r="F176">
        <v>1</v>
      </c>
      <c r="G176">
        <v>206.09</v>
      </c>
      <c r="H176" s="2">
        <v>45774</v>
      </c>
      <c r="I176" s="2">
        <v>45779</v>
      </c>
      <c r="J176" t="s">
        <v>11</v>
      </c>
      <c r="K176" s="2" t="str">
        <f>IFERROR(INDEX(Product_lookup[Category],MATCH(RawWorking[[#This Row],[ProductID]],Product_lookup[ProductID],0)),"")</f>
        <v>Home</v>
      </c>
      <c r="L176" s="9">
        <f>IF(OR(RawWorking[[#This Row],[ShipDate]]="",RawWorking[[#This Row],[DeliveryDate]]=""),"",RawWorking[[#This Row],[DeliveryDate]]-RawWorking[[#This Row],[ShipDate]])</f>
        <v>5</v>
      </c>
      <c r="M176" s="9">
        <f>IF(COUNTIF(INDEX(RawWorking[OrderID],1):RawWorking[[#This Row],[OrderID]],RawWorking[[#This Row],[OrderID]])=1,1,0)</f>
        <v>1</v>
      </c>
      <c r="N176" s="4">
        <f>IFERROR(RawWorking[[#This Row],[LineAmount]]/RawWorking[[#This Row],[Quantity]],"")</f>
        <v>206.09</v>
      </c>
    </row>
    <row r="177" spans="1:14">
      <c r="A177">
        <v>50176</v>
      </c>
      <c r="B177">
        <v>30101</v>
      </c>
      <c r="C177" s="2">
        <v>45773</v>
      </c>
      <c r="D177">
        <v>2094</v>
      </c>
      <c r="E177">
        <v>1015</v>
      </c>
      <c r="F177">
        <v>2</v>
      </c>
      <c r="G177">
        <v>239.48</v>
      </c>
      <c r="H177" s="2">
        <v>45775</v>
      </c>
      <c r="I177" s="2">
        <v>45779</v>
      </c>
      <c r="J177" t="s">
        <v>11</v>
      </c>
      <c r="K177" s="2" t="str">
        <f>IFERROR(INDEX(Product_lookup[Category],MATCH(RawWorking[[#This Row],[ProductID]],Product_lookup[ProductID],0)),"")</f>
        <v>Sports</v>
      </c>
      <c r="L177" s="9">
        <f>IF(OR(RawWorking[[#This Row],[ShipDate]]="",RawWorking[[#This Row],[DeliveryDate]]=""),"",RawWorking[[#This Row],[DeliveryDate]]-RawWorking[[#This Row],[ShipDate]])</f>
        <v>4</v>
      </c>
      <c r="M177" s="9">
        <f>IF(COUNTIF(INDEX(RawWorking[OrderID],1):RawWorking[[#This Row],[OrderID]],RawWorking[[#This Row],[OrderID]])=1,1,0)</f>
        <v>0</v>
      </c>
      <c r="N177" s="4">
        <f>IFERROR(RawWorking[[#This Row],[LineAmount]]/RawWorking[[#This Row],[Quantity]],"")</f>
        <v>119.74</v>
      </c>
    </row>
    <row r="178" spans="1:14">
      <c r="A178">
        <v>50177</v>
      </c>
      <c r="B178">
        <v>30102</v>
      </c>
      <c r="C178" s="2">
        <v>46009</v>
      </c>
      <c r="D178">
        <v>2358</v>
      </c>
      <c r="E178">
        <v>1014</v>
      </c>
      <c r="F178">
        <v>3</v>
      </c>
      <c r="G178">
        <v>646.02</v>
      </c>
      <c r="H178" s="2" t="s">
        <v>1421</v>
      </c>
      <c r="I178" s="2" t="s">
        <v>1421</v>
      </c>
      <c r="J178" t="s">
        <v>12</v>
      </c>
      <c r="K178" s="2" t="str">
        <f>IFERROR(INDEX(Product_lookup[Category],MATCH(RawWorking[[#This Row],[ProductID]],Product_lookup[ProductID],0)),"")</f>
        <v>Sports</v>
      </c>
      <c r="L178" s="9" t="str">
        <f>IF(OR(RawWorking[[#This Row],[ShipDate]]="",RawWorking[[#This Row],[DeliveryDate]]=""),"",RawWorking[[#This Row],[DeliveryDate]]-RawWorking[[#This Row],[ShipDate]])</f>
        <v/>
      </c>
      <c r="M178" s="9">
        <f>IF(COUNTIF(INDEX(RawWorking[OrderID],1):RawWorking[[#This Row],[OrderID]],RawWorking[[#This Row],[OrderID]])=1,1,0)</f>
        <v>1</v>
      </c>
      <c r="N178" s="4">
        <f>IFERROR(RawWorking[[#This Row],[LineAmount]]/RawWorking[[#This Row],[Quantity]],"")</f>
        <v>215.34</v>
      </c>
    </row>
    <row r="179" spans="1:14">
      <c r="A179">
        <v>50178</v>
      </c>
      <c r="B179">
        <v>30102</v>
      </c>
      <c r="C179" s="2">
        <v>46009</v>
      </c>
      <c r="D179">
        <v>2358</v>
      </c>
      <c r="E179">
        <v>1002</v>
      </c>
      <c r="F179">
        <v>4</v>
      </c>
      <c r="G179">
        <v>474.4</v>
      </c>
      <c r="H179" s="2" t="s">
        <v>1421</v>
      </c>
      <c r="I179" s="2" t="s">
        <v>1421</v>
      </c>
      <c r="J179" t="s">
        <v>12</v>
      </c>
      <c r="K179" s="2" t="str">
        <f>IFERROR(INDEX(Product_lookup[Category],MATCH(RawWorking[[#This Row],[ProductID]],Product_lookup[ProductID],0)),"")</f>
        <v>Electronics</v>
      </c>
      <c r="L179" s="9" t="str">
        <f>IF(OR(RawWorking[[#This Row],[ShipDate]]="",RawWorking[[#This Row],[DeliveryDate]]=""),"",RawWorking[[#This Row],[DeliveryDate]]-RawWorking[[#This Row],[ShipDate]])</f>
        <v/>
      </c>
      <c r="M179" s="9">
        <f>IF(COUNTIF(INDEX(RawWorking[OrderID],1):RawWorking[[#This Row],[OrderID]],RawWorking[[#This Row],[OrderID]])=1,1,0)</f>
        <v>0</v>
      </c>
      <c r="N179" s="4">
        <f>IFERROR(RawWorking[[#This Row],[LineAmount]]/RawWorking[[#This Row],[Quantity]],"")</f>
        <v>118.6</v>
      </c>
    </row>
    <row r="180" spans="1:14">
      <c r="A180">
        <v>50179</v>
      </c>
      <c r="B180">
        <v>30103</v>
      </c>
      <c r="C180" s="2">
        <v>45845</v>
      </c>
      <c r="D180">
        <v>2406</v>
      </c>
      <c r="E180">
        <v>1008</v>
      </c>
      <c r="F180">
        <v>1</v>
      </c>
      <c r="G180">
        <v>206.09</v>
      </c>
      <c r="H180" s="2">
        <v>45846</v>
      </c>
      <c r="I180" s="2">
        <v>45854</v>
      </c>
      <c r="J180" t="s">
        <v>9</v>
      </c>
      <c r="K180" s="2" t="str">
        <f>IFERROR(INDEX(Product_lookup[Category],MATCH(RawWorking[[#This Row],[ProductID]],Product_lookup[ProductID],0)),"")</f>
        <v>Home</v>
      </c>
      <c r="L180" s="9">
        <f>IF(OR(RawWorking[[#This Row],[ShipDate]]="",RawWorking[[#This Row],[DeliveryDate]]=""),"",RawWorking[[#This Row],[DeliveryDate]]-RawWorking[[#This Row],[ShipDate]])</f>
        <v>8</v>
      </c>
      <c r="M180" s="9">
        <f>IF(COUNTIF(INDEX(RawWorking[OrderID],1):RawWorking[[#This Row],[OrderID]],RawWorking[[#This Row],[OrderID]])=1,1,0)</f>
        <v>1</v>
      </c>
      <c r="N180" s="4">
        <f>IFERROR(RawWorking[[#This Row],[LineAmount]]/RawWorking[[#This Row],[Quantity]],"")</f>
        <v>206.09</v>
      </c>
    </row>
    <row r="181" spans="1:14">
      <c r="A181">
        <v>50180</v>
      </c>
      <c r="B181">
        <v>30104</v>
      </c>
      <c r="C181" s="2">
        <v>45747</v>
      </c>
      <c r="D181">
        <v>2396</v>
      </c>
      <c r="E181">
        <v>1012</v>
      </c>
      <c r="F181">
        <v>1</v>
      </c>
      <c r="G181">
        <v>241.54</v>
      </c>
      <c r="H181" s="2">
        <v>45748</v>
      </c>
      <c r="I181" s="2">
        <v>45749</v>
      </c>
      <c r="J181" t="s">
        <v>11</v>
      </c>
      <c r="K181" s="2" t="str">
        <f>IFERROR(INDEX(Product_lookup[Category],MATCH(RawWorking[[#This Row],[ProductID]],Product_lookup[ProductID],0)),"")</f>
        <v>Office</v>
      </c>
      <c r="L181" s="9">
        <f>IF(OR(RawWorking[[#This Row],[ShipDate]]="",RawWorking[[#This Row],[DeliveryDate]]=""),"",RawWorking[[#This Row],[DeliveryDate]]-RawWorking[[#This Row],[ShipDate]])</f>
        <v>1</v>
      </c>
      <c r="M181" s="9">
        <f>IF(COUNTIF(INDEX(RawWorking[OrderID],1):RawWorking[[#This Row],[OrderID]],RawWorking[[#This Row],[OrderID]])=1,1,0)</f>
        <v>1</v>
      </c>
      <c r="N181" s="4">
        <f>IFERROR(RawWorking[[#This Row],[LineAmount]]/RawWorking[[#This Row],[Quantity]],"")</f>
        <v>241.54</v>
      </c>
    </row>
    <row r="182" spans="1:14">
      <c r="A182">
        <v>50181</v>
      </c>
      <c r="B182">
        <v>30104</v>
      </c>
      <c r="C182" s="2">
        <v>45747</v>
      </c>
      <c r="D182">
        <v>2396</v>
      </c>
      <c r="E182">
        <v>1008</v>
      </c>
      <c r="F182">
        <v>1</v>
      </c>
      <c r="G182">
        <v>206.09</v>
      </c>
      <c r="H182" s="2">
        <v>45748</v>
      </c>
      <c r="I182" s="2">
        <v>45934</v>
      </c>
      <c r="J182" t="s">
        <v>11</v>
      </c>
      <c r="K182" s="2" t="str">
        <f>IFERROR(INDEX(Product_lookup[Category],MATCH(RawWorking[[#This Row],[ProductID]],Product_lookup[ProductID],0)),"")</f>
        <v>Home</v>
      </c>
      <c r="L182" s="9">
        <f>IF(OR(RawWorking[[#This Row],[ShipDate]]="",RawWorking[[#This Row],[DeliveryDate]]=""),"",RawWorking[[#This Row],[DeliveryDate]]-RawWorking[[#This Row],[ShipDate]])</f>
        <v>186</v>
      </c>
      <c r="M182" s="9">
        <f>IF(COUNTIF(INDEX(RawWorking[OrderID],1):RawWorking[[#This Row],[OrderID]],RawWorking[[#This Row],[OrderID]])=1,1,0)</f>
        <v>0</v>
      </c>
      <c r="N182" s="4">
        <f>IFERROR(RawWorking[[#This Row],[LineAmount]]/RawWorking[[#This Row],[Quantity]],"")</f>
        <v>206.09</v>
      </c>
    </row>
    <row r="183" spans="1:14">
      <c r="A183">
        <v>50182</v>
      </c>
      <c r="B183">
        <v>30104</v>
      </c>
      <c r="C183" s="2">
        <v>45747</v>
      </c>
      <c r="D183">
        <v>2396</v>
      </c>
      <c r="E183">
        <v>1001</v>
      </c>
      <c r="F183">
        <v>1</v>
      </c>
      <c r="G183">
        <v>203.04</v>
      </c>
      <c r="H183" s="2">
        <v>45750</v>
      </c>
      <c r="I183" s="2">
        <v>45751</v>
      </c>
      <c r="J183" t="s">
        <v>11</v>
      </c>
      <c r="K183" s="2" t="str">
        <f>IFERROR(INDEX(Product_lookup[Category],MATCH(RawWorking[[#This Row],[ProductID]],Product_lookup[ProductID],0)),"")</f>
        <v>Electronics</v>
      </c>
      <c r="L183" s="9">
        <f>IF(OR(RawWorking[[#This Row],[ShipDate]]="",RawWorking[[#This Row],[DeliveryDate]]=""),"",RawWorking[[#This Row],[DeliveryDate]]-RawWorking[[#This Row],[ShipDate]])</f>
        <v>1</v>
      </c>
      <c r="M183" s="9">
        <f>IF(COUNTIF(INDEX(RawWorking[OrderID],1):RawWorking[[#This Row],[OrderID]],RawWorking[[#This Row],[OrderID]])=1,1,0)</f>
        <v>0</v>
      </c>
      <c r="N183" s="4">
        <f>IFERROR(RawWorking[[#This Row],[LineAmount]]/RawWorking[[#This Row],[Quantity]],"")</f>
        <v>203.04</v>
      </c>
    </row>
    <row r="184" spans="1:14">
      <c r="A184">
        <v>50183</v>
      </c>
      <c r="B184">
        <v>30105</v>
      </c>
      <c r="C184" s="2">
        <v>45760</v>
      </c>
      <c r="D184">
        <v>2327</v>
      </c>
      <c r="E184">
        <v>1011</v>
      </c>
      <c r="F184">
        <v>1</v>
      </c>
      <c r="G184">
        <v>101.44</v>
      </c>
      <c r="H184" s="2" t="s">
        <v>1421</v>
      </c>
      <c r="I184" s="2" t="s">
        <v>1421</v>
      </c>
      <c r="J184" t="s">
        <v>12</v>
      </c>
      <c r="K184" s="2" t="str">
        <f>IFERROR(INDEX(Product_lookup[Category],MATCH(RawWorking[[#This Row],[ProductID]],Product_lookup[ProductID],0)),"")</f>
        <v>Office</v>
      </c>
      <c r="L184" s="9" t="str">
        <f>IF(OR(RawWorking[[#This Row],[ShipDate]]="",RawWorking[[#This Row],[DeliveryDate]]=""),"",RawWorking[[#This Row],[DeliveryDate]]-RawWorking[[#This Row],[ShipDate]])</f>
        <v/>
      </c>
      <c r="M184" s="9">
        <f>IF(COUNTIF(INDEX(RawWorking[OrderID],1):RawWorking[[#This Row],[OrderID]],RawWorking[[#This Row],[OrderID]])=1,1,0)</f>
        <v>1</v>
      </c>
      <c r="N184" s="4">
        <f>IFERROR(RawWorking[[#This Row],[LineAmount]]/RawWorking[[#This Row],[Quantity]],"")</f>
        <v>101.44</v>
      </c>
    </row>
    <row r="185" spans="1:14">
      <c r="A185">
        <v>50184</v>
      </c>
      <c r="B185">
        <v>30106</v>
      </c>
      <c r="C185" s="2">
        <v>45924</v>
      </c>
      <c r="D185">
        <v>2150</v>
      </c>
      <c r="E185">
        <v>1010</v>
      </c>
      <c r="F185">
        <v>1</v>
      </c>
      <c r="G185">
        <v>121.5</v>
      </c>
      <c r="H185" s="2">
        <v>45925</v>
      </c>
      <c r="I185" s="2">
        <v>45930</v>
      </c>
      <c r="J185" t="s">
        <v>9</v>
      </c>
      <c r="K185" s="2" t="str">
        <f>IFERROR(INDEX(Product_lookup[Category],MATCH(RawWorking[[#This Row],[ProductID]],Product_lookup[ProductID],0)),"")</f>
        <v>Office</v>
      </c>
      <c r="L185" s="9">
        <f>IF(OR(RawWorking[[#This Row],[ShipDate]]="",RawWorking[[#This Row],[DeliveryDate]]=""),"",RawWorking[[#This Row],[DeliveryDate]]-RawWorking[[#This Row],[ShipDate]])</f>
        <v>5</v>
      </c>
      <c r="M185" s="9">
        <f>IF(COUNTIF(INDEX(RawWorking[OrderID],1):RawWorking[[#This Row],[OrderID]],RawWorking[[#This Row],[OrderID]])=1,1,0)</f>
        <v>1</v>
      </c>
      <c r="N185" s="4">
        <f>IFERROR(RawWorking[[#This Row],[LineAmount]]/RawWorking[[#This Row],[Quantity]],"")</f>
        <v>121.5</v>
      </c>
    </row>
    <row r="186" spans="1:14">
      <c r="A186">
        <v>50185</v>
      </c>
      <c r="B186">
        <v>30106</v>
      </c>
      <c r="C186" s="2">
        <v>45924</v>
      </c>
      <c r="D186">
        <v>2150</v>
      </c>
      <c r="E186">
        <v>1016</v>
      </c>
      <c r="F186">
        <v>3</v>
      </c>
      <c r="G186">
        <v>195.78</v>
      </c>
      <c r="H186" s="2">
        <v>45927</v>
      </c>
      <c r="I186" s="2">
        <v>45932</v>
      </c>
      <c r="J186" t="s">
        <v>9</v>
      </c>
      <c r="K186" s="2" t="str">
        <f>IFERROR(INDEX(Product_lookup[Category],MATCH(RawWorking[[#This Row],[ProductID]],Product_lookup[ProductID],0)),"")</f>
        <v>Sports</v>
      </c>
      <c r="L186" s="9">
        <f>IF(OR(RawWorking[[#This Row],[ShipDate]]="",RawWorking[[#This Row],[DeliveryDate]]=""),"",RawWorking[[#This Row],[DeliveryDate]]-RawWorking[[#This Row],[ShipDate]])</f>
        <v>5</v>
      </c>
      <c r="M186" s="9">
        <f>IF(COUNTIF(INDEX(RawWorking[OrderID],1):RawWorking[[#This Row],[OrderID]],RawWorking[[#This Row],[OrderID]])=1,1,0)</f>
        <v>0</v>
      </c>
      <c r="N186" s="4">
        <f>IFERROR(RawWorking[[#This Row],[LineAmount]]/RawWorking[[#This Row],[Quantity]],"")</f>
        <v>65.260000000000005</v>
      </c>
    </row>
    <row r="187" spans="1:14">
      <c r="A187">
        <v>50186</v>
      </c>
      <c r="B187">
        <v>30107</v>
      </c>
      <c r="C187" s="2">
        <v>45793</v>
      </c>
      <c r="D187">
        <v>2143</v>
      </c>
      <c r="E187">
        <v>1016</v>
      </c>
      <c r="F187">
        <v>2</v>
      </c>
      <c r="G187">
        <v>130.52000000000001</v>
      </c>
      <c r="H187" s="2">
        <v>45796</v>
      </c>
      <c r="I187" s="2">
        <v>45798</v>
      </c>
      <c r="J187" t="s">
        <v>9</v>
      </c>
      <c r="K187" s="2" t="str">
        <f>IFERROR(INDEX(Product_lookup[Category],MATCH(RawWorking[[#This Row],[ProductID]],Product_lookup[ProductID],0)),"")</f>
        <v>Sports</v>
      </c>
      <c r="L187" s="9">
        <f>IF(OR(RawWorking[[#This Row],[ShipDate]]="",RawWorking[[#This Row],[DeliveryDate]]=""),"",RawWorking[[#This Row],[DeliveryDate]]-RawWorking[[#This Row],[ShipDate]])</f>
        <v>2</v>
      </c>
      <c r="M187" s="9">
        <f>IF(COUNTIF(INDEX(RawWorking[OrderID],1):RawWorking[[#This Row],[OrderID]],RawWorking[[#This Row],[OrderID]])=1,1,0)</f>
        <v>1</v>
      </c>
      <c r="N187" s="4">
        <f>IFERROR(RawWorking[[#This Row],[LineAmount]]/RawWorking[[#This Row],[Quantity]],"")</f>
        <v>65.260000000000005</v>
      </c>
    </row>
    <row r="188" spans="1:14">
      <c r="A188">
        <v>50187</v>
      </c>
      <c r="B188">
        <v>30108</v>
      </c>
      <c r="C188" s="2">
        <v>45843</v>
      </c>
      <c r="D188">
        <v>2460</v>
      </c>
      <c r="E188">
        <v>1003</v>
      </c>
      <c r="F188">
        <v>5</v>
      </c>
      <c r="G188">
        <v>1121.8499999999999</v>
      </c>
      <c r="H188" s="2">
        <v>45845</v>
      </c>
      <c r="I188" s="2">
        <v>45850</v>
      </c>
      <c r="J188" t="s">
        <v>9</v>
      </c>
      <c r="K188" s="2" t="str">
        <f>IFERROR(INDEX(Product_lookup[Category],MATCH(RawWorking[[#This Row],[ProductID]],Product_lookup[ProductID],0)),"")</f>
        <v>Electronics</v>
      </c>
      <c r="L188" s="9">
        <f>IF(OR(RawWorking[[#This Row],[ShipDate]]="",RawWorking[[#This Row],[DeliveryDate]]=""),"",RawWorking[[#This Row],[DeliveryDate]]-RawWorking[[#This Row],[ShipDate]])</f>
        <v>5</v>
      </c>
      <c r="M188" s="9">
        <f>IF(COUNTIF(INDEX(RawWorking[OrderID],1):RawWorking[[#This Row],[OrderID]],RawWorking[[#This Row],[OrderID]])=1,1,0)</f>
        <v>1</v>
      </c>
      <c r="N188" s="4">
        <f>IFERROR(RawWorking[[#This Row],[LineAmount]]/RawWorking[[#This Row],[Quantity]],"")</f>
        <v>224.36999999999998</v>
      </c>
    </row>
    <row r="189" spans="1:14">
      <c r="A189">
        <v>50188</v>
      </c>
      <c r="B189">
        <v>30108</v>
      </c>
      <c r="C189" s="2">
        <v>45784</v>
      </c>
      <c r="D189">
        <v>2460</v>
      </c>
      <c r="E189">
        <v>1001</v>
      </c>
      <c r="F189">
        <v>1</v>
      </c>
      <c r="G189">
        <v>203.04</v>
      </c>
      <c r="H189" s="2">
        <v>45846</v>
      </c>
      <c r="I189" s="2">
        <v>45854</v>
      </c>
      <c r="J189" t="s">
        <v>9</v>
      </c>
      <c r="K189" s="2" t="str">
        <f>IFERROR(INDEX(Product_lookup[Category],MATCH(RawWorking[[#This Row],[ProductID]],Product_lookup[ProductID],0)),"")</f>
        <v>Electronics</v>
      </c>
      <c r="L189" s="9">
        <f>IF(OR(RawWorking[[#This Row],[ShipDate]]="",RawWorking[[#This Row],[DeliveryDate]]=""),"",RawWorking[[#This Row],[DeliveryDate]]-RawWorking[[#This Row],[ShipDate]])</f>
        <v>8</v>
      </c>
      <c r="M189" s="9">
        <f>IF(COUNTIF(INDEX(RawWorking[OrderID],1):RawWorking[[#This Row],[OrderID]],RawWorking[[#This Row],[OrderID]])=1,1,0)</f>
        <v>0</v>
      </c>
      <c r="N189" s="4">
        <f>IFERROR(RawWorking[[#This Row],[LineAmount]]/RawWorking[[#This Row],[Quantity]],"")</f>
        <v>203.04</v>
      </c>
    </row>
    <row r="190" spans="1:14">
      <c r="A190">
        <v>50189</v>
      </c>
      <c r="B190">
        <v>30108</v>
      </c>
      <c r="C190" s="2">
        <v>45843</v>
      </c>
      <c r="D190">
        <v>2460</v>
      </c>
      <c r="E190">
        <v>1009</v>
      </c>
      <c r="F190">
        <v>2</v>
      </c>
      <c r="G190">
        <v>80.56</v>
      </c>
      <c r="H190" s="2">
        <v>45846</v>
      </c>
      <c r="I190" s="2">
        <v>45854</v>
      </c>
      <c r="J190" t="s">
        <v>9</v>
      </c>
      <c r="K190" s="2" t="str">
        <f>IFERROR(INDEX(Product_lookup[Category],MATCH(RawWorking[[#This Row],[ProductID]],Product_lookup[ProductID],0)),"")</f>
        <v>Home</v>
      </c>
      <c r="L190" s="9">
        <f>IF(OR(RawWorking[[#This Row],[ShipDate]]="",RawWorking[[#This Row],[DeliveryDate]]=""),"",RawWorking[[#This Row],[DeliveryDate]]-RawWorking[[#This Row],[ShipDate]])</f>
        <v>8</v>
      </c>
      <c r="M190" s="9">
        <f>IF(COUNTIF(INDEX(RawWorking[OrderID],1):RawWorking[[#This Row],[OrderID]],RawWorking[[#This Row],[OrderID]])=1,1,0)</f>
        <v>0</v>
      </c>
      <c r="N190" s="4">
        <f>IFERROR(RawWorking[[#This Row],[LineAmount]]/RawWorking[[#This Row],[Quantity]],"")</f>
        <v>40.28</v>
      </c>
    </row>
    <row r="191" spans="1:14">
      <c r="A191">
        <v>50190</v>
      </c>
      <c r="B191">
        <v>30108</v>
      </c>
      <c r="C191" s="2">
        <v>45784</v>
      </c>
      <c r="D191">
        <v>2460</v>
      </c>
      <c r="E191">
        <v>1007</v>
      </c>
      <c r="F191">
        <v>2</v>
      </c>
      <c r="G191">
        <v>399.62</v>
      </c>
      <c r="H191" s="2">
        <v>45845</v>
      </c>
      <c r="I191" s="2">
        <v>45849</v>
      </c>
      <c r="J191" t="s">
        <v>9</v>
      </c>
      <c r="K191" s="2" t="str">
        <f>IFERROR(INDEX(Product_lookup[Category],MATCH(RawWorking[[#This Row],[ProductID]],Product_lookup[ProductID],0)),"")</f>
        <v>Home</v>
      </c>
      <c r="L191" s="9">
        <f>IF(OR(RawWorking[[#This Row],[ShipDate]]="",RawWorking[[#This Row],[DeliveryDate]]=""),"",RawWorking[[#This Row],[DeliveryDate]]-RawWorking[[#This Row],[ShipDate]])</f>
        <v>4</v>
      </c>
      <c r="M191" s="9">
        <f>IF(COUNTIF(INDEX(RawWorking[OrderID],1):RawWorking[[#This Row],[OrderID]],RawWorking[[#This Row],[OrderID]])=1,1,0)</f>
        <v>0</v>
      </c>
      <c r="N191" s="4">
        <f>IFERROR(RawWorking[[#This Row],[LineAmount]]/RawWorking[[#This Row],[Quantity]],"")</f>
        <v>199.81</v>
      </c>
    </row>
    <row r="192" spans="1:14">
      <c r="A192">
        <v>50191</v>
      </c>
      <c r="B192">
        <v>30109</v>
      </c>
      <c r="C192" s="2">
        <v>45661</v>
      </c>
      <c r="D192">
        <v>2154</v>
      </c>
      <c r="E192">
        <v>1014</v>
      </c>
      <c r="F192">
        <v>1</v>
      </c>
      <c r="G192">
        <v>215.34</v>
      </c>
      <c r="H192" s="2">
        <v>45663</v>
      </c>
      <c r="I192" s="2">
        <v>45665</v>
      </c>
      <c r="J192" t="s">
        <v>9</v>
      </c>
      <c r="K192" s="2" t="str">
        <f>IFERROR(INDEX(Product_lookup[Category],MATCH(RawWorking[[#This Row],[ProductID]],Product_lookup[ProductID],0)),"")</f>
        <v>Sports</v>
      </c>
      <c r="L192" s="9">
        <f>IF(OR(RawWorking[[#This Row],[ShipDate]]="",RawWorking[[#This Row],[DeliveryDate]]=""),"",RawWorking[[#This Row],[DeliveryDate]]-RawWorking[[#This Row],[ShipDate]])</f>
        <v>2</v>
      </c>
      <c r="M192" s="9">
        <f>IF(COUNTIF(INDEX(RawWorking[OrderID],1):RawWorking[[#This Row],[OrderID]],RawWorking[[#This Row],[OrderID]])=1,1,0)</f>
        <v>1</v>
      </c>
      <c r="N192" s="4">
        <f>IFERROR(RawWorking[[#This Row],[LineAmount]]/RawWorking[[#This Row],[Quantity]],"")</f>
        <v>215.34</v>
      </c>
    </row>
    <row r="193" spans="1:14">
      <c r="A193">
        <v>50192</v>
      </c>
      <c r="B193">
        <v>30110</v>
      </c>
      <c r="C193" s="2">
        <v>45917</v>
      </c>
      <c r="D193">
        <v>2114</v>
      </c>
      <c r="E193">
        <v>1008</v>
      </c>
      <c r="F193">
        <v>5</v>
      </c>
      <c r="G193">
        <v>1030.45</v>
      </c>
      <c r="H193" s="2" t="s">
        <v>1421</v>
      </c>
      <c r="I193" s="2" t="s">
        <v>1421</v>
      </c>
      <c r="J193" t="s">
        <v>16</v>
      </c>
      <c r="K193" s="2" t="str">
        <f>IFERROR(INDEX(Product_lookup[Category],MATCH(RawWorking[[#This Row],[ProductID]],Product_lookup[ProductID],0)),"")</f>
        <v>Home</v>
      </c>
      <c r="L193" s="9" t="str">
        <f>IF(OR(RawWorking[[#This Row],[ShipDate]]="",RawWorking[[#This Row],[DeliveryDate]]=""),"",RawWorking[[#This Row],[DeliveryDate]]-RawWorking[[#This Row],[ShipDate]])</f>
        <v/>
      </c>
      <c r="M193" s="9">
        <f>IF(COUNTIF(INDEX(RawWorking[OrderID],1):RawWorking[[#This Row],[OrderID]],RawWorking[[#This Row],[OrderID]])=1,1,0)</f>
        <v>1</v>
      </c>
      <c r="N193" s="4">
        <f>IFERROR(RawWorking[[#This Row],[LineAmount]]/RawWorking[[#This Row],[Quantity]],"")</f>
        <v>206.09</v>
      </c>
    </row>
    <row r="194" spans="1:14">
      <c r="A194">
        <v>50193</v>
      </c>
      <c r="B194">
        <v>30110</v>
      </c>
      <c r="C194" s="2">
        <v>45917</v>
      </c>
      <c r="D194">
        <v>2114</v>
      </c>
      <c r="E194">
        <v>1002</v>
      </c>
      <c r="F194">
        <v>1</v>
      </c>
      <c r="G194">
        <v>118.6</v>
      </c>
      <c r="H194" s="2">
        <v>46182</v>
      </c>
      <c r="I194" s="2" t="s">
        <v>1421</v>
      </c>
      <c r="J194" t="s">
        <v>16</v>
      </c>
      <c r="K194" s="2" t="str">
        <f>IFERROR(INDEX(Product_lookup[Category],MATCH(RawWorking[[#This Row],[ProductID]],Product_lookup[ProductID],0)),"")</f>
        <v>Electronics</v>
      </c>
      <c r="L194" s="9" t="str">
        <f>IF(OR(RawWorking[[#This Row],[ShipDate]]="",RawWorking[[#This Row],[DeliveryDate]]=""),"",RawWorking[[#This Row],[DeliveryDate]]-RawWorking[[#This Row],[ShipDate]])</f>
        <v/>
      </c>
      <c r="M194" s="9">
        <f>IF(COUNTIF(INDEX(RawWorking[OrderID],1):RawWorking[[#This Row],[OrderID]],RawWorking[[#This Row],[OrderID]])=1,1,0)</f>
        <v>0</v>
      </c>
      <c r="N194" s="4">
        <f>IFERROR(RawWorking[[#This Row],[LineAmount]]/RawWorking[[#This Row],[Quantity]],"")</f>
        <v>118.6</v>
      </c>
    </row>
    <row r="195" spans="1:14">
      <c r="A195">
        <v>50194</v>
      </c>
      <c r="B195">
        <v>30110</v>
      </c>
      <c r="C195" s="2">
        <v>45917</v>
      </c>
      <c r="D195">
        <v>2114</v>
      </c>
      <c r="E195">
        <v>1015</v>
      </c>
      <c r="F195">
        <v>3</v>
      </c>
      <c r="G195">
        <v>359.22</v>
      </c>
      <c r="H195" s="2">
        <v>46274</v>
      </c>
      <c r="I195" s="2" t="s">
        <v>1421</v>
      </c>
      <c r="J195" t="s">
        <v>16</v>
      </c>
      <c r="K195" s="2" t="str">
        <f>IFERROR(INDEX(Product_lookup[Category],MATCH(RawWorking[[#This Row],[ProductID]],Product_lookup[ProductID],0)),"")</f>
        <v>Sports</v>
      </c>
      <c r="L195" s="9" t="str">
        <f>IF(OR(RawWorking[[#This Row],[ShipDate]]="",RawWorking[[#This Row],[DeliveryDate]]=""),"",RawWorking[[#This Row],[DeliveryDate]]-RawWorking[[#This Row],[ShipDate]])</f>
        <v/>
      </c>
      <c r="M195" s="9">
        <f>IF(COUNTIF(INDEX(RawWorking[OrderID],1):RawWorking[[#This Row],[OrderID]],RawWorking[[#This Row],[OrderID]])=1,1,0)</f>
        <v>0</v>
      </c>
      <c r="N195" s="4">
        <f>IFERROR(RawWorking[[#This Row],[LineAmount]]/RawWorking[[#This Row],[Quantity]],"")</f>
        <v>119.74000000000001</v>
      </c>
    </row>
    <row r="196" spans="1:14">
      <c r="A196">
        <v>50195</v>
      </c>
      <c r="B196">
        <v>30111</v>
      </c>
      <c r="C196" s="2">
        <v>46019</v>
      </c>
      <c r="D196">
        <v>2512</v>
      </c>
      <c r="E196">
        <v>1001</v>
      </c>
      <c r="F196">
        <v>1</v>
      </c>
      <c r="G196">
        <v>203.04</v>
      </c>
      <c r="H196" s="2">
        <v>46022</v>
      </c>
      <c r="I196" s="2">
        <v>46026</v>
      </c>
      <c r="J196" t="s">
        <v>9</v>
      </c>
      <c r="K196" s="2" t="str">
        <f>IFERROR(INDEX(Product_lookup[Category],MATCH(RawWorking[[#This Row],[ProductID]],Product_lookup[ProductID],0)),"")</f>
        <v>Electronics</v>
      </c>
      <c r="L196" s="9">
        <f>IF(OR(RawWorking[[#This Row],[ShipDate]]="",RawWorking[[#This Row],[DeliveryDate]]=""),"",RawWorking[[#This Row],[DeliveryDate]]-RawWorking[[#This Row],[ShipDate]])</f>
        <v>4</v>
      </c>
      <c r="M196" s="9">
        <f>IF(COUNTIF(INDEX(RawWorking[OrderID],1):RawWorking[[#This Row],[OrderID]],RawWorking[[#This Row],[OrderID]])=1,1,0)</f>
        <v>1</v>
      </c>
      <c r="N196" s="4">
        <f>IFERROR(RawWorking[[#This Row],[LineAmount]]/RawWorking[[#This Row],[Quantity]],"")</f>
        <v>203.04</v>
      </c>
    </row>
    <row r="197" spans="1:14">
      <c r="A197">
        <v>50196</v>
      </c>
      <c r="B197">
        <v>30112</v>
      </c>
      <c r="C197" s="2">
        <v>45777</v>
      </c>
      <c r="D197">
        <v>2528</v>
      </c>
      <c r="E197">
        <v>1005</v>
      </c>
      <c r="F197">
        <v>1</v>
      </c>
      <c r="G197">
        <v>31.73</v>
      </c>
      <c r="H197" s="2">
        <v>45778</v>
      </c>
      <c r="I197" s="2">
        <v>45783</v>
      </c>
      <c r="J197" t="s">
        <v>9</v>
      </c>
      <c r="K197" s="2" t="str">
        <f>IFERROR(INDEX(Product_lookup[Category],MATCH(RawWorking[[#This Row],[ProductID]],Product_lookup[ProductID],0)),"")</f>
        <v>Electronics</v>
      </c>
      <c r="L197" s="9">
        <f>IF(OR(RawWorking[[#This Row],[ShipDate]]="",RawWorking[[#This Row],[DeliveryDate]]=""),"",RawWorking[[#This Row],[DeliveryDate]]-RawWorking[[#This Row],[ShipDate]])</f>
        <v>5</v>
      </c>
      <c r="M197" s="9">
        <f>IF(COUNTIF(INDEX(RawWorking[OrderID],1):RawWorking[[#This Row],[OrderID]],RawWorking[[#This Row],[OrderID]])=1,1,0)</f>
        <v>1</v>
      </c>
      <c r="N197" s="4">
        <f>IFERROR(RawWorking[[#This Row],[LineAmount]]/RawWorking[[#This Row],[Quantity]],"")</f>
        <v>31.73</v>
      </c>
    </row>
    <row r="198" spans="1:14">
      <c r="A198">
        <v>50197</v>
      </c>
      <c r="B198">
        <v>30112</v>
      </c>
      <c r="C198" s="2">
        <v>45777</v>
      </c>
      <c r="D198">
        <v>2528</v>
      </c>
      <c r="E198">
        <v>1010</v>
      </c>
      <c r="F198">
        <v>1</v>
      </c>
      <c r="G198">
        <v>121.5</v>
      </c>
      <c r="H198" s="2">
        <v>45779</v>
      </c>
      <c r="I198" s="2">
        <v>45783</v>
      </c>
      <c r="J198" t="s">
        <v>9</v>
      </c>
      <c r="K198" s="2" t="str">
        <f>IFERROR(INDEX(Product_lookup[Category],MATCH(RawWorking[[#This Row],[ProductID]],Product_lookup[ProductID],0)),"")</f>
        <v>Office</v>
      </c>
      <c r="L198" s="9">
        <f>IF(OR(RawWorking[[#This Row],[ShipDate]]="",RawWorking[[#This Row],[DeliveryDate]]=""),"",RawWorking[[#This Row],[DeliveryDate]]-RawWorking[[#This Row],[ShipDate]])</f>
        <v>4</v>
      </c>
      <c r="M198" s="9">
        <f>IF(COUNTIF(INDEX(RawWorking[OrderID],1):RawWorking[[#This Row],[OrderID]],RawWorking[[#This Row],[OrderID]])=1,1,0)</f>
        <v>0</v>
      </c>
      <c r="N198" s="4">
        <f>IFERROR(RawWorking[[#This Row],[LineAmount]]/RawWorking[[#This Row],[Quantity]],"")</f>
        <v>121.5</v>
      </c>
    </row>
    <row r="199" spans="1:14">
      <c r="A199">
        <v>50198</v>
      </c>
      <c r="B199">
        <v>30113</v>
      </c>
      <c r="C199" s="2">
        <v>45724</v>
      </c>
      <c r="D199">
        <v>2440</v>
      </c>
      <c r="E199">
        <v>1012</v>
      </c>
      <c r="F199">
        <v>1</v>
      </c>
      <c r="G199">
        <v>241.54</v>
      </c>
      <c r="H199" s="2">
        <v>45726</v>
      </c>
      <c r="I199" s="2">
        <v>45729</v>
      </c>
      <c r="J199" t="s">
        <v>9</v>
      </c>
      <c r="K199" s="2" t="str">
        <f>IFERROR(INDEX(Product_lookup[Category],MATCH(RawWorking[[#This Row],[ProductID]],Product_lookup[ProductID],0)),"")</f>
        <v>Office</v>
      </c>
      <c r="L199" s="9">
        <f>IF(OR(RawWorking[[#This Row],[ShipDate]]="",RawWorking[[#This Row],[DeliveryDate]]=""),"",RawWorking[[#This Row],[DeliveryDate]]-RawWorking[[#This Row],[ShipDate]])</f>
        <v>3</v>
      </c>
      <c r="M199" s="9">
        <f>IF(COUNTIF(INDEX(RawWorking[OrderID],1):RawWorking[[#This Row],[OrderID]],RawWorking[[#This Row],[OrderID]])=1,1,0)</f>
        <v>1</v>
      </c>
      <c r="N199" s="4">
        <f>IFERROR(RawWorking[[#This Row],[LineAmount]]/RawWorking[[#This Row],[Quantity]],"")</f>
        <v>241.54</v>
      </c>
    </row>
    <row r="200" spans="1:14">
      <c r="A200">
        <v>50199</v>
      </c>
      <c r="B200">
        <v>30113</v>
      </c>
      <c r="C200" s="2">
        <v>45724</v>
      </c>
      <c r="D200">
        <v>2440</v>
      </c>
      <c r="E200">
        <v>1008</v>
      </c>
      <c r="F200">
        <v>1</v>
      </c>
      <c r="G200">
        <v>206.09</v>
      </c>
      <c r="H200" s="2">
        <v>45725</v>
      </c>
      <c r="I200" s="2">
        <v>45730</v>
      </c>
      <c r="J200" t="s">
        <v>9</v>
      </c>
      <c r="K200" s="2" t="str">
        <f>IFERROR(INDEX(Product_lookup[Category],MATCH(RawWorking[[#This Row],[ProductID]],Product_lookup[ProductID],0)),"")</f>
        <v>Home</v>
      </c>
      <c r="L200" s="9">
        <f>IF(OR(RawWorking[[#This Row],[ShipDate]]="",RawWorking[[#This Row],[DeliveryDate]]=""),"",RawWorking[[#This Row],[DeliveryDate]]-RawWorking[[#This Row],[ShipDate]])</f>
        <v>5</v>
      </c>
      <c r="M200" s="9">
        <f>IF(COUNTIF(INDEX(RawWorking[OrderID],1):RawWorking[[#This Row],[OrderID]],RawWorking[[#This Row],[OrderID]])=1,1,0)</f>
        <v>0</v>
      </c>
      <c r="N200" s="4">
        <f>IFERROR(RawWorking[[#This Row],[LineAmount]]/RawWorking[[#This Row],[Quantity]],"")</f>
        <v>206.09</v>
      </c>
    </row>
    <row r="201" spans="1:14">
      <c r="A201">
        <v>50200</v>
      </c>
      <c r="B201">
        <v>30113</v>
      </c>
      <c r="C201" s="2">
        <v>45724</v>
      </c>
      <c r="D201">
        <v>2440</v>
      </c>
      <c r="E201">
        <v>1014</v>
      </c>
      <c r="F201">
        <v>2</v>
      </c>
      <c r="G201">
        <v>430.68</v>
      </c>
      <c r="H201" s="2">
        <v>45727</v>
      </c>
      <c r="I201" s="2">
        <v>45732</v>
      </c>
      <c r="J201" t="s">
        <v>9</v>
      </c>
      <c r="K201" s="2" t="str">
        <f>IFERROR(INDEX(Product_lookup[Category],MATCH(RawWorking[[#This Row],[ProductID]],Product_lookup[ProductID],0)),"")</f>
        <v>Sports</v>
      </c>
      <c r="L201" s="9">
        <f>IF(OR(RawWorking[[#This Row],[ShipDate]]="",RawWorking[[#This Row],[DeliveryDate]]=""),"",RawWorking[[#This Row],[DeliveryDate]]-RawWorking[[#This Row],[ShipDate]])</f>
        <v>5</v>
      </c>
      <c r="M201" s="9">
        <f>IF(COUNTIF(INDEX(RawWorking[OrderID],1):RawWorking[[#This Row],[OrderID]],RawWorking[[#This Row],[OrderID]])=1,1,0)</f>
        <v>0</v>
      </c>
      <c r="N201" s="4">
        <f>IFERROR(RawWorking[[#This Row],[LineAmount]]/RawWorking[[#This Row],[Quantity]],"")</f>
        <v>215.34</v>
      </c>
    </row>
    <row r="202" spans="1:14">
      <c r="A202">
        <v>50201</v>
      </c>
      <c r="B202">
        <v>30114</v>
      </c>
      <c r="C202" s="2">
        <v>45663</v>
      </c>
      <c r="D202">
        <v>2192</v>
      </c>
      <c r="E202">
        <v>1003</v>
      </c>
      <c r="F202">
        <v>3</v>
      </c>
      <c r="G202">
        <v>673.11</v>
      </c>
      <c r="H202" s="2">
        <v>45664</v>
      </c>
      <c r="I202" s="2">
        <v>45673</v>
      </c>
      <c r="J202" t="s">
        <v>9</v>
      </c>
      <c r="K202" s="2" t="str">
        <f>IFERROR(INDEX(Product_lookup[Category],MATCH(RawWorking[[#This Row],[ProductID]],Product_lookup[ProductID],0)),"")</f>
        <v>Electronics</v>
      </c>
      <c r="L202" s="9">
        <f>IF(OR(RawWorking[[#This Row],[ShipDate]]="",RawWorking[[#This Row],[DeliveryDate]]=""),"",RawWorking[[#This Row],[DeliveryDate]]-RawWorking[[#This Row],[ShipDate]])</f>
        <v>9</v>
      </c>
      <c r="M202" s="9">
        <f>IF(COUNTIF(INDEX(RawWorking[OrderID],1):RawWorking[[#This Row],[OrderID]],RawWorking[[#This Row],[OrderID]])=1,1,0)</f>
        <v>1</v>
      </c>
      <c r="N202" s="4">
        <f>IFERROR(RawWorking[[#This Row],[LineAmount]]/RawWorking[[#This Row],[Quantity]],"")</f>
        <v>224.37</v>
      </c>
    </row>
    <row r="203" spans="1:14">
      <c r="A203">
        <v>50202</v>
      </c>
      <c r="B203">
        <v>30115</v>
      </c>
      <c r="C203" s="2">
        <v>45890</v>
      </c>
      <c r="D203">
        <v>2537</v>
      </c>
      <c r="E203">
        <v>1003</v>
      </c>
      <c r="F203">
        <v>2</v>
      </c>
      <c r="G203">
        <v>448.74</v>
      </c>
      <c r="H203" s="2">
        <v>45893</v>
      </c>
      <c r="I203" s="2">
        <v>45901</v>
      </c>
      <c r="J203" t="s">
        <v>11</v>
      </c>
      <c r="K203" s="2" t="str">
        <f>IFERROR(INDEX(Product_lookup[Category],MATCH(RawWorking[[#This Row],[ProductID]],Product_lookup[ProductID],0)),"")</f>
        <v>Electronics</v>
      </c>
      <c r="L203" s="9">
        <f>IF(OR(RawWorking[[#This Row],[ShipDate]]="",RawWorking[[#This Row],[DeliveryDate]]=""),"",RawWorking[[#This Row],[DeliveryDate]]-RawWorking[[#This Row],[ShipDate]])</f>
        <v>8</v>
      </c>
      <c r="M203" s="9">
        <f>IF(COUNTIF(INDEX(RawWorking[OrderID],1):RawWorking[[#This Row],[OrderID]],RawWorking[[#This Row],[OrderID]])=1,1,0)</f>
        <v>1</v>
      </c>
      <c r="N203" s="4">
        <f>IFERROR(RawWorking[[#This Row],[LineAmount]]/RawWorking[[#This Row],[Quantity]],"")</f>
        <v>224.37</v>
      </c>
    </row>
    <row r="204" spans="1:14">
      <c r="A204">
        <v>50203</v>
      </c>
      <c r="B204">
        <v>30115</v>
      </c>
      <c r="C204" s="2">
        <v>45890</v>
      </c>
      <c r="D204">
        <v>2537</v>
      </c>
      <c r="E204">
        <v>1001</v>
      </c>
      <c r="F204">
        <v>1</v>
      </c>
      <c r="G204">
        <v>203.04</v>
      </c>
      <c r="H204" s="2">
        <v>45893</v>
      </c>
      <c r="I204" s="2">
        <v>45897</v>
      </c>
      <c r="J204" t="s">
        <v>11</v>
      </c>
      <c r="K204" s="2" t="str">
        <f>IFERROR(INDEX(Product_lookup[Category],MATCH(RawWorking[[#This Row],[ProductID]],Product_lookup[ProductID],0)),"")</f>
        <v>Electronics</v>
      </c>
      <c r="L204" s="9">
        <f>IF(OR(RawWorking[[#This Row],[ShipDate]]="",RawWorking[[#This Row],[DeliveryDate]]=""),"",RawWorking[[#This Row],[DeliveryDate]]-RawWorking[[#This Row],[ShipDate]])</f>
        <v>4</v>
      </c>
      <c r="M204" s="9">
        <f>IF(COUNTIF(INDEX(RawWorking[OrderID],1):RawWorking[[#This Row],[OrderID]],RawWorking[[#This Row],[OrderID]])=1,1,0)</f>
        <v>0</v>
      </c>
      <c r="N204" s="4">
        <f>IFERROR(RawWorking[[#This Row],[LineAmount]]/RawWorking[[#This Row],[Quantity]],"")</f>
        <v>203.04</v>
      </c>
    </row>
    <row r="205" spans="1:14">
      <c r="A205">
        <v>50204</v>
      </c>
      <c r="B205">
        <v>30116</v>
      </c>
      <c r="C205" s="2">
        <v>45929</v>
      </c>
      <c r="D205">
        <v>2400</v>
      </c>
      <c r="E205">
        <v>1002</v>
      </c>
      <c r="F205">
        <v>3</v>
      </c>
      <c r="G205">
        <v>355.8</v>
      </c>
      <c r="H205" s="2" t="s">
        <v>1421</v>
      </c>
      <c r="I205" s="2" t="s">
        <v>1421</v>
      </c>
      <c r="J205" t="s">
        <v>12</v>
      </c>
      <c r="K205" s="2" t="str">
        <f>IFERROR(INDEX(Product_lookup[Category],MATCH(RawWorking[[#This Row],[ProductID]],Product_lookup[ProductID],0)),"")</f>
        <v>Electronics</v>
      </c>
      <c r="L205" s="9" t="str">
        <f>IF(OR(RawWorking[[#This Row],[ShipDate]]="",RawWorking[[#This Row],[DeliveryDate]]=""),"",RawWorking[[#This Row],[DeliveryDate]]-RawWorking[[#This Row],[ShipDate]])</f>
        <v/>
      </c>
      <c r="M205" s="9">
        <f>IF(COUNTIF(INDEX(RawWorking[OrderID],1):RawWorking[[#This Row],[OrderID]],RawWorking[[#This Row],[OrderID]])=1,1,0)</f>
        <v>1</v>
      </c>
      <c r="N205" s="4">
        <f>IFERROR(RawWorking[[#This Row],[LineAmount]]/RawWorking[[#This Row],[Quantity]],"")</f>
        <v>118.60000000000001</v>
      </c>
    </row>
    <row r="206" spans="1:14">
      <c r="A206">
        <v>50205</v>
      </c>
      <c r="B206">
        <v>30117</v>
      </c>
      <c r="C206" s="2">
        <v>45854</v>
      </c>
      <c r="D206">
        <v>2397</v>
      </c>
      <c r="E206">
        <v>1009</v>
      </c>
      <c r="F206">
        <v>2</v>
      </c>
      <c r="G206">
        <v>80.56</v>
      </c>
      <c r="H206" s="2">
        <v>45857</v>
      </c>
      <c r="I206" s="2">
        <v>45866</v>
      </c>
      <c r="J206" t="s">
        <v>11</v>
      </c>
      <c r="K206" s="2" t="str">
        <f>IFERROR(INDEX(Product_lookup[Category],MATCH(RawWorking[[#This Row],[ProductID]],Product_lookup[ProductID],0)),"")</f>
        <v>Home</v>
      </c>
      <c r="L206" s="9">
        <f>IF(OR(RawWorking[[#This Row],[ShipDate]]="",RawWorking[[#This Row],[DeliveryDate]]=""),"",RawWorking[[#This Row],[DeliveryDate]]-RawWorking[[#This Row],[ShipDate]])</f>
        <v>9</v>
      </c>
      <c r="M206" s="9">
        <f>IF(COUNTIF(INDEX(RawWorking[OrderID],1):RawWorking[[#This Row],[OrderID]],RawWorking[[#This Row],[OrderID]])=1,1,0)</f>
        <v>1</v>
      </c>
      <c r="N206" s="4">
        <f>IFERROR(RawWorking[[#This Row],[LineAmount]]/RawWorking[[#This Row],[Quantity]],"")</f>
        <v>40.28</v>
      </c>
    </row>
    <row r="207" spans="1:14">
      <c r="A207">
        <v>50206</v>
      </c>
      <c r="B207">
        <v>30118</v>
      </c>
      <c r="C207" s="2">
        <v>45793</v>
      </c>
      <c r="D207">
        <v>2017</v>
      </c>
      <c r="E207">
        <v>1003</v>
      </c>
      <c r="F207">
        <v>2</v>
      </c>
      <c r="G207">
        <v>448.74</v>
      </c>
      <c r="H207" s="2">
        <v>45795</v>
      </c>
      <c r="I207" s="2">
        <v>45797</v>
      </c>
      <c r="J207" t="s">
        <v>9</v>
      </c>
      <c r="K207" s="2" t="str">
        <f>IFERROR(INDEX(Product_lookup[Category],MATCH(RawWorking[[#This Row],[ProductID]],Product_lookup[ProductID],0)),"")</f>
        <v>Electronics</v>
      </c>
      <c r="L207" s="9">
        <f>IF(OR(RawWorking[[#This Row],[ShipDate]]="",RawWorking[[#This Row],[DeliveryDate]]=""),"",RawWorking[[#This Row],[DeliveryDate]]-RawWorking[[#This Row],[ShipDate]])</f>
        <v>2</v>
      </c>
      <c r="M207" s="9">
        <f>IF(COUNTIF(INDEX(RawWorking[OrderID],1):RawWorking[[#This Row],[OrderID]],RawWorking[[#This Row],[OrderID]])=1,1,0)</f>
        <v>1</v>
      </c>
      <c r="N207" s="4">
        <f>IFERROR(RawWorking[[#This Row],[LineAmount]]/RawWorking[[#This Row],[Quantity]],"")</f>
        <v>224.37</v>
      </c>
    </row>
    <row r="208" spans="1:14">
      <c r="A208">
        <v>50207</v>
      </c>
      <c r="B208">
        <v>30118</v>
      </c>
      <c r="C208" s="2">
        <v>45793</v>
      </c>
      <c r="D208">
        <v>2017</v>
      </c>
      <c r="E208">
        <v>1012</v>
      </c>
      <c r="F208">
        <v>1</v>
      </c>
      <c r="G208">
        <v>241.54</v>
      </c>
      <c r="H208" s="2">
        <v>45796</v>
      </c>
      <c r="I208" s="2">
        <v>45802</v>
      </c>
      <c r="J208" t="s">
        <v>9</v>
      </c>
      <c r="K208" s="2" t="str">
        <f>IFERROR(INDEX(Product_lookup[Category],MATCH(RawWorking[[#This Row],[ProductID]],Product_lookup[ProductID],0)),"")</f>
        <v>Office</v>
      </c>
      <c r="L208" s="9">
        <f>IF(OR(RawWorking[[#This Row],[ShipDate]]="",RawWorking[[#This Row],[DeliveryDate]]=""),"",RawWorking[[#This Row],[DeliveryDate]]-RawWorking[[#This Row],[ShipDate]])</f>
        <v>6</v>
      </c>
      <c r="M208" s="9">
        <f>IF(COUNTIF(INDEX(RawWorking[OrderID],1):RawWorking[[#This Row],[OrderID]],RawWorking[[#This Row],[OrderID]])=1,1,0)</f>
        <v>0</v>
      </c>
      <c r="N208" s="4">
        <f>IFERROR(RawWorking[[#This Row],[LineAmount]]/RawWorking[[#This Row],[Quantity]],"")</f>
        <v>241.54</v>
      </c>
    </row>
    <row r="209" spans="1:14">
      <c r="A209">
        <v>50208</v>
      </c>
      <c r="B209">
        <v>30118</v>
      </c>
      <c r="C209" s="2">
        <v>45793</v>
      </c>
      <c r="D209">
        <v>2017</v>
      </c>
      <c r="E209">
        <v>1008</v>
      </c>
      <c r="F209">
        <v>1</v>
      </c>
      <c r="G209">
        <v>206.09</v>
      </c>
      <c r="H209" s="2">
        <v>45795</v>
      </c>
      <c r="I209" s="2">
        <v>45801</v>
      </c>
      <c r="J209" t="s">
        <v>9</v>
      </c>
      <c r="K209" s="2" t="str">
        <f>IFERROR(INDEX(Product_lookup[Category],MATCH(RawWorking[[#This Row],[ProductID]],Product_lookup[ProductID],0)),"")</f>
        <v>Home</v>
      </c>
      <c r="L209" s="9">
        <f>IF(OR(RawWorking[[#This Row],[ShipDate]]="",RawWorking[[#This Row],[DeliveryDate]]=""),"",RawWorking[[#This Row],[DeliveryDate]]-RawWorking[[#This Row],[ShipDate]])</f>
        <v>6</v>
      </c>
      <c r="M209" s="9">
        <f>IF(COUNTIF(INDEX(RawWorking[OrderID],1):RawWorking[[#This Row],[OrderID]],RawWorking[[#This Row],[OrderID]])=1,1,0)</f>
        <v>0</v>
      </c>
      <c r="N209" s="4">
        <f>IFERROR(RawWorking[[#This Row],[LineAmount]]/RawWorking[[#This Row],[Quantity]],"")</f>
        <v>206.09</v>
      </c>
    </row>
    <row r="210" spans="1:14">
      <c r="A210">
        <v>50209</v>
      </c>
      <c r="B210">
        <v>30119</v>
      </c>
      <c r="C210" s="2">
        <v>45696</v>
      </c>
      <c r="D210">
        <v>2107</v>
      </c>
      <c r="E210">
        <v>1011</v>
      </c>
      <c r="F210">
        <v>3</v>
      </c>
      <c r="G210">
        <v>304.32</v>
      </c>
      <c r="H210" s="2">
        <v>45699</v>
      </c>
      <c r="I210" s="2" t="s">
        <v>1421</v>
      </c>
      <c r="J210" t="s">
        <v>16</v>
      </c>
      <c r="K210" s="2" t="str">
        <f>IFERROR(INDEX(Product_lookup[Category],MATCH(RawWorking[[#This Row],[ProductID]],Product_lookup[ProductID],0)),"")</f>
        <v>Office</v>
      </c>
      <c r="L210" s="9" t="str">
        <f>IF(OR(RawWorking[[#This Row],[ShipDate]]="",RawWorking[[#This Row],[DeliveryDate]]=""),"",RawWorking[[#This Row],[DeliveryDate]]-RawWorking[[#This Row],[ShipDate]])</f>
        <v/>
      </c>
      <c r="M210" s="9">
        <f>IF(COUNTIF(INDEX(RawWorking[OrderID],1):RawWorking[[#This Row],[OrderID]],RawWorking[[#This Row],[OrderID]])=1,1,0)</f>
        <v>1</v>
      </c>
      <c r="N210" s="4">
        <f>IFERROR(RawWorking[[#This Row],[LineAmount]]/RawWorking[[#This Row],[Quantity]],"")</f>
        <v>101.44</v>
      </c>
    </row>
    <row r="211" spans="1:14">
      <c r="A211">
        <v>50210</v>
      </c>
      <c r="B211">
        <v>30120</v>
      </c>
      <c r="C211" s="2">
        <v>45888</v>
      </c>
      <c r="D211">
        <v>2361</v>
      </c>
      <c r="E211">
        <v>1006</v>
      </c>
      <c r="F211">
        <v>1</v>
      </c>
      <c r="G211">
        <v>253.86</v>
      </c>
      <c r="H211" s="2">
        <v>45889</v>
      </c>
      <c r="I211" s="2">
        <v>45891</v>
      </c>
      <c r="J211" t="s">
        <v>9</v>
      </c>
      <c r="K211" s="2" t="str">
        <f>IFERROR(INDEX(Product_lookup[Category],MATCH(RawWorking[[#This Row],[ProductID]],Product_lookup[ProductID],0)),"")</f>
        <v>Home</v>
      </c>
      <c r="L211" s="9">
        <f>IF(OR(RawWorking[[#This Row],[ShipDate]]="",RawWorking[[#This Row],[DeliveryDate]]=""),"",RawWorking[[#This Row],[DeliveryDate]]-RawWorking[[#This Row],[ShipDate]])</f>
        <v>2</v>
      </c>
      <c r="M211" s="9">
        <f>IF(COUNTIF(INDEX(RawWorking[OrderID],1):RawWorking[[#This Row],[OrderID]],RawWorking[[#This Row],[OrderID]])=1,1,0)</f>
        <v>1</v>
      </c>
      <c r="N211" s="4">
        <f>IFERROR(RawWorking[[#This Row],[LineAmount]]/RawWorking[[#This Row],[Quantity]],"")</f>
        <v>253.86</v>
      </c>
    </row>
    <row r="212" spans="1:14">
      <c r="A212">
        <v>50211</v>
      </c>
      <c r="B212">
        <v>30121</v>
      </c>
      <c r="C212" s="2">
        <v>45752</v>
      </c>
      <c r="D212">
        <v>2476</v>
      </c>
      <c r="E212">
        <v>1016</v>
      </c>
      <c r="F212">
        <v>1</v>
      </c>
      <c r="G212">
        <v>65.260000000000005</v>
      </c>
      <c r="H212" s="2">
        <v>45753</v>
      </c>
      <c r="I212" s="2">
        <v>45758</v>
      </c>
      <c r="J212" t="s">
        <v>11</v>
      </c>
      <c r="K212" s="2" t="str">
        <f>IFERROR(INDEX(Product_lookup[Category],MATCH(RawWorking[[#This Row],[ProductID]],Product_lookup[ProductID],0)),"")</f>
        <v>Sports</v>
      </c>
      <c r="L212" s="9">
        <f>IF(OR(RawWorking[[#This Row],[ShipDate]]="",RawWorking[[#This Row],[DeliveryDate]]=""),"",RawWorking[[#This Row],[DeliveryDate]]-RawWorking[[#This Row],[ShipDate]])</f>
        <v>5</v>
      </c>
      <c r="M212" s="9">
        <f>IF(COUNTIF(INDEX(RawWorking[OrderID],1):RawWorking[[#This Row],[OrderID]],RawWorking[[#This Row],[OrderID]])=1,1,0)</f>
        <v>1</v>
      </c>
      <c r="N212" s="4">
        <f>IFERROR(RawWorking[[#This Row],[LineAmount]]/RawWorking[[#This Row],[Quantity]],"")</f>
        <v>65.260000000000005</v>
      </c>
    </row>
    <row r="213" spans="1:14">
      <c r="A213">
        <v>50212</v>
      </c>
      <c r="B213">
        <v>30121</v>
      </c>
      <c r="C213" s="2">
        <v>45752</v>
      </c>
      <c r="D213">
        <v>2476</v>
      </c>
      <c r="E213">
        <v>1006</v>
      </c>
      <c r="F213">
        <v>2</v>
      </c>
      <c r="G213">
        <v>507.72</v>
      </c>
      <c r="H213" s="2">
        <v>45753</v>
      </c>
      <c r="I213" s="2">
        <v>45759</v>
      </c>
      <c r="J213" t="s">
        <v>11</v>
      </c>
      <c r="K213" s="2" t="str">
        <f>IFERROR(INDEX(Product_lookup[Category],MATCH(RawWorking[[#This Row],[ProductID]],Product_lookup[ProductID],0)),"")</f>
        <v>Home</v>
      </c>
      <c r="L213" s="9">
        <f>IF(OR(RawWorking[[#This Row],[ShipDate]]="",RawWorking[[#This Row],[DeliveryDate]]=""),"",RawWorking[[#This Row],[DeliveryDate]]-RawWorking[[#This Row],[ShipDate]])</f>
        <v>6</v>
      </c>
      <c r="M213" s="9">
        <f>IF(COUNTIF(INDEX(RawWorking[OrderID],1):RawWorking[[#This Row],[OrderID]],RawWorking[[#This Row],[OrderID]])=1,1,0)</f>
        <v>0</v>
      </c>
      <c r="N213" s="4">
        <f>IFERROR(RawWorking[[#This Row],[LineAmount]]/RawWorking[[#This Row],[Quantity]],"")</f>
        <v>253.86</v>
      </c>
    </row>
    <row r="214" spans="1:14">
      <c r="A214">
        <v>50213</v>
      </c>
      <c r="B214">
        <v>30121</v>
      </c>
      <c r="C214" s="2">
        <v>45752</v>
      </c>
      <c r="D214">
        <v>2476</v>
      </c>
      <c r="E214">
        <v>1005</v>
      </c>
      <c r="F214">
        <v>1</v>
      </c>
      <c r="G214">
        <v>31.73</v>
      </c>
      <c r="H214" s="2">
        <v>45753</v>
      </c>
      <c r="I214" s="2">
        <v>45755</v>
      </c>
      <c r="J214" t="s">
        <v>11</v>
      </c>
      <c r="K214" s="2" t="str">
        <f>IFERROR(INDEX(Product_lookup[Category],MATCH(RawWorking[[#This Row],[ProductID]],Product_lookup[ProductID],0)),"")</f>
        <v>Electronics</v>
      </c>
      <c r="L214" s="9">
        <f>IF(OR(RawWorking[[#This Row],[ShipDate]]="",RawWorking[[#This Row],[DeliveryDate]]=""),"",RawWorking[[#This Row],[DeliveryDate]]-RawWorking[[#This Row],[ShipDate]])</f>
        <v>2</v>
      </c>
      <c r="M214" s="9">
        <f>IF(COUNTIF(INDEX(RawWorking[OrderID],1):RawWorking[[#This Row],[OrderID]],RawWorking[[#This Row],[OrderID]])=1,1,0)</f>
        <v>0</v>
      </c>
      <c r="N214" s="4">
        <f>IFERROR(RawWorking[[#This Row],[LineAmount]]/RawWorking[[#This Row],[Quantity]],"")</f>
        <v>31.73</v>
      </c>
    </row>
    <row r="215" spans="1:14">
      <c r="A215">
        <v>50214</v>
      </c>
      <c r="B215">
        <v>30122</v>
      </c>
      <c r="C215" s="2">
        <v>45914</v>
      </c>
      <c r="D215">
        <v>2065</v>
      </c>
      <c r="E215">
        <v>1015</v>
      </c>
      <c r="F215">
        <v>5</v>
      </c>
      <c r="G215">
        <v>598.70000000000005</v>
      </c>
      <c r="H215" s="2">
        <v>45917</v>
      </c>
      <c r="I215" s="2">
        <v>45924</v>
      </c>
      <c r="J215" t="s">
        <v>9</v>
      </c>
      <c r="K215" s="2" t="str">
        <f>IFERROR(INDEX(Product_lookup[Category],MATCH(RawWorking[[#This Row],[ProductID]],Product_lookup[ProductID],0)),"")</f>
        <v>Sports</v>
      </c>
      <c r="L215" s="9">
        <f>IF(OR(RawWorking[[#This Row],[ShipDate]]="",RawWorking[[#This Row],[DeliveryDate]]=""),"",RawWorking[[#This Row],[DeliveryDate]]-RawWorking[[#This Row],[ShipDate]])</f>
        <v>7</v>
      </c>
      <c r="M215" s="9">
        <f>IF(COUNTIF(INDEX(RawWorking[OrderID],1):RawWorking[[#This Row],[OrderID]],RawWorking[[#This Row],[OrderID]])=1,1,0)</f>
        <v>1</v>
      </c>
      <c r="N215" s="4">
        <f>IFERROR(RawWorking[[#This Row],[LineAmount]]/RawWorking[[#This Row],[Quantity]],"")</f>
        <v>119.74000000000001</v>
      </c>
    </row>
    <row r="216" spans="1:14">
      <c r="A216">
        <v>50215</v>
      </c>
      <c r="B216">
        <v>30122</v>
      </c>
      <c r="C216" s="2">
        <v>45914</v>
      </c>
      <c r="D216">
        <v>2065</v>
      </c>
      <c r="E216">
        <v>1002</v>
      </c>
      <c r="F216">
        <v>1</v>
      </c>
      <c r="G216">
        <v>118.6</v>
      </c>
      <c r="H216" s="2">
        <v>45917</v>
      </c>
      <c r="I216" s="2">
        <v>45925</v>
      </c>
      <c r="J216" t="s">
        <v>9</v>
      </c>
      <c r="K216" s="2" t="str">
        <f>IFERROR(INDEX(Product_lookup[Category],MATCH(RawWorking[[#This Row],[ProductID]],Product_lookup[ProductID],0)),"")</f>
        <v>Electronics</v>
      </c>
      <c r="L216" s="9">
        <f>IF(OR(RawWorking[[#This Row],[ShipDate]]="",RawWorking[[#This Row],[DeliveryDate]]=""),"",RawWorking[[#This Row],[DeliveryDate]]-RawWorking[[#This Row],[ShipDate]])</f>
        <v>8</v>
      </c>
      <c r="M216" s="9">
        <f>IF(COUNTIF(INDEX(RawWorking[OrderID],1):RawWorking[[#This Row],[OrderID]],RawWorking[[#This Row],[OrderID]])=1,1,0)</f>
        <v>0</v>
      </c>
      <c r="N216" s="4">
        <f>IFERROR(RawWorking[[#This Row],[LineAmount]]/RawWorking[[#This Row],[Quantity]],"")</f>
        <v>118.6</v>
      </c>
    </row>
    <row r="217" spans="1:14">
      <c r="A217">
        <v>50216</v>
      </c>
      <c r="B217">
        <v>30123</v>
      </c>
      <c r="C217" s="2">
        <v>45895</v>
      </c>
      <c r="D217">
        <v>2301</v>
      </c>
      <c r="E217">
        <v>1007</v>
      </c>
      <c r="F217">
        <v>4</v>
      </c>
      <c r="G217">
        <v>799.24</v>
      </c>
      <c r="H217" s="2">
        <v>45898</v>
      </c>
      <c r="I217" s="2">
        <v>45905</v>
      </c>
      <c r="J217" t="s">
        <v>9</v>
      </c>
      <c r="K217" s="2" t="str">
        <f>IFERROR(INDEX(Product_lookup[Category],MATCH(RawWorking[[#This Row],[ProductID]],Product_lookup[ProductID],0)),"")</f>
        <v>Home</v>
      </c>
      <c r="L217" s="9">
        <f>IF(OR(RawWorking[[#This Row],[ShipDate]]="",RawWorking[[#This Row],[DeliveryDate]]=""),"",RawWorking[[#This Row],[DeliveryDate]]-RawWorking[[#This Row],[ShipDate]])</f>
        <v>7</v>
      </c>
      <c r="M217" s="9">
        <f>IF(COUNTIF(INDEX(RawWorking[OrderID],1):RawWorking[[#This Row],[OrderID]],RawWorking[[#This Row],[OrderID]])=1,1,0)</f>
        <v>1</v>
      </c>
      <c r="N217" s="4">
        <f>IFERROR(RawWorking[[#This Row],[LineAmount]]/RawWorking[[#This Row],[Quantity]],"")</f>
        <v>199.81</v>
      </c>
    </row>
    <row r="218" spans="1:14">
      <c r="A218">
        <v>50217</v>
      </c>
      <c r="B218">
        <v>30123</v>
      </c>
      <c r="C218" s="2">
        <v>45895</v>
      </c>
      <c r="D218">
        <v>2301</v>
      </c>
      <c r="E218">
        <v>1002</v>
      </c>
      <c r="F218">
        <v>3</v>
      </c>
      <c r="G218">
        <v>355.8</v>
      </c>
      <c r="H218" s="2">
        <v>45898</v>
      </c>
      <c r="I218" s="2">
        <v>45899</v>
      </c>
      <c r="J218" t="s">
        <v>9</v>
      </c>
      <c r="K218" s="2" t="str">
        <f>IFERROR(INDEX(Product_lookup[Category],MATCH(RawWorking[[#This Row],[ProductID]],Product_lookup[ProductID],0)),"")</f>
        <v>Electronics</v>
      </c>
      <c r="L218" s="9">
        <f>IF(OR(RawWorking[[#This Row],[ShipDate]]="",RawWorking[[#This Row],[DeliveryDate]]=""),"",RawWorking[[#This Row],[DeliveryDate]]-RawWorking[[#This Row],[ShipDate]])</f>
        <v>1</v>
      </c>
      <c r="M218" s="9">
        <f>IF(COUNTIF(INDEX(RawWorking[OrderID],1):RawWorking[[#This Row],[OrderID]],RawWorking[[#This Row],[OrderID]])=1,1,0)</f>
        <v>0</v>
      </c>
      <c r="N218" s="4">
        <f>IFERROR(RawWorking[[#This Row],[LineAmount]]/RawWorking[[#This Row],[Quantity]],"")</f>
        <v>118.60000000000001</v>
      </c>
    </row>
    <row r="219" spans="1:14">
      <c r="A219">
        <v>50218</v>
      </c>
      <c r="B219">
        <v>30124</v>
      </c>
      <c r="C219" s="2">
        <v>45963</v>
      </c>
      <c r="D219">
        <v>2324</v>
      </c>
      <c r="E219">
        <v>1013</v>
      </c>
      <c r="F219">
        <v>1</v>
      </c>
      <c r="G219">
        <v>170.25</v>
      </c>
      <c r="H219" s="2" t="s">
        <v>1421</v>
      </c>
      <c r="I219" s="2" t="s">
        <v>1421</v>
      </c>
      <c r="J219" t="s">
        <v>12</v>
      </c>
      <c r="K219" s="2" t="str">
        <f>IFERROR(INDEX(Product_lookup[Category],MATCH(RawWorking[[#This Row],[ProductID]],Product_lookup[ProductID],0)),"")</f>
        <v>Office</v>
      </c>
      <c r="L219" s="9" t="str">
        <f>IF(OR(RawWorking[[#This Row],[ShipDate]]="",RawWorking[[#This Row],[DeliveryDate]]=""),"",RawWorking[[#This Row],[DeliveryDate]]-RawWorking[[#This Row],[ShipDate]])</f>
        <v/>
      </c>
      <c r="M219" s="9">
        <f>IF(COUNTIF(INDEX(RawWorking[OrderID],1):RawWorking[[#This Row],[OrderID]],RawWorking[[#This Row],[OrderID]])=1,1,0)</f>
        <v>1</v>
      </c>
      <c r="N219" s="4">
        <f>IFERROR(RawWorking[[#This Row],[LineAmount]]/RawWorking[[#This Row],[Quantity]],"")</f>
        <v>170.25</v>
      </c>
    </row>
    <row r="220" spans="1:14">
      <c r="A220">
        <v>50219</v>
      </c>
      <c r="B220">
        <v>30124</v>
      </c>
      <c r="C220" s="2">
        <v>45699</v>
      </c>
      <c r="D220">
        <v>2324</v>
      </c>
      <c r="E220">
        <v>1016</v>
      </c>
      <c r="F220">
        <v>1</v>
      </c>
      <c r="G220">
        <v>65.260000000000005</v>
      </c>
      <c r="H220" s="2" t="s">
        <v>1421</v>
      </c>
      <c r="I220" s="2" t="s">
        <v>1421</v>
      </c>
      <c r="J220" t="s">
        <v>12</v>
      </c>
      <c r="K220" s="2" t="str">
        <f>IFERROR(INDEX(Product_lookup[Category],MATCH(RawWorking[[#This Row],[ProductID]],Product_lookup[ProductID],0)),"")</f>
        <v>Sports</v>
      </c>
      <c r="L220" s="9" t="str">
        <f>IF(OR(RawWorking[[#This Row],[ShipDate]]="",RawWorking[[#This Row],[DeliveryDate]]=""),"",RawWorking[[#This Row],[DeliveryDate]]-RawWorking[[#This Row],[ShipDate]])</f>
        <v/>
      </c>
      <c r="M220" s="9">
        <f>IF(COUNTIF(INDEX(RawWorking[OrderID],1):RawWorking[[#This Row],[OrderID]],RawWorking[[#This Row],[OrderID]])=1,1,0)</f>
        <v>0</v>
      </c>
      <c r="N220" s="4">
        <f>IFERROR(RawWorking[[#This Row],[LineAmount]]/RawWorking[[#This Row],[Quantity]],"")</f>
        <v>65.260000000000005</v>
      </c>
    </row>
    <row r="221" spans="1:14">
      <c r="A221">
        <v>50220</v>
      </c>
      <c r="B221">
        <v>30125</v>
      </c>
      <c r="C221" s="2">
        <v>46008</v>
      </c>
      <c r="D221">
        <v>2260</v>
      </c>
      <c r="E221">
        <v>1007</v>
      </c>
      <c r="F221">
        <v>5</v>
      </c>
      <c r="G221">
        <v>999.05</v>
      </c>
      <c r="H221" s="2">
        <v>46010</v>
      </c>
      <c r="I221" s="2">
        <v>46012</v>
      </c>
      <c r="J221" t="s">
        <v>9</v>
      </c>
      <c r="K221" s="2" t="str">
        <f>IFERROR(INDEX(Product_lookup[Category],MATCH(RawWorking[[#This Row],[ProductID]],Product_lookup[ProductID],0)),"")</f>
        <v>Home</v>
      </c>
      <c r="L221" s="9">
        <f>IF(OR(RawWorking[[#This Row],[ShipDate]]="",RawWorking[[#This Row],[DeliveryDate]]=""),"",RawWorking[[#This Row],[DeliveryDate]]-RawWorking[[#This Row],[ShipDate]])</f>
        <v>2</v>
      </c>
      <c r="M221" s="9">
        <f>IF(COUNTIF(INDEX(RawWorking[OrderID],1):RawWorking[[#This Row],[OrderID]],RawWorking[[#This Row],[OrderID]])=1,1,0)</f>
        <v>1</v>
      </c>
      <c r="N221" s="4">
        <f>IFERROR(RawWorking[[#This Row],[LineAmount]]/RawWorking[[#This Row],[Quantity]],"")</f>
        <v>199.81</v>
      </c>
    </row>
    <row r="222" spans="1:14">
      <c r="A222">
        <v>50221</v>
      </c>
      <c r="B222">
        <v>30125</v>
      </c>
      <c r="C222" s="2">
        <v>46008</v>
      </c>
      <c r="D222">
        <v>2260</v>
      </c>
      <c r="E222">
        <v>1010</v>
      </c>
      <c r="F222">
        <v>2</v>
      </c>
      <c r="G222">
        <v>243</v>
      </c>
      <c r="H222" s="2">
        <v>46009</v>
      </c>
      <c r="I222" s="2">
        <v>46019</v>
      </c>
      <c r="J222" t="s">
        <v>9</v>
      </c>
      <c r="K222" s="2" t="str">
        <f>IFERROR(INDEX(Product_lookup[Category],MATCH(RawWorking[[#This Row],[ProductID]],Product_lookup[ProductID],0)),"")</f>
        <v>Office</v>
      </c>
      <c r="L222" s="9">
        <f>IF(OR(RawWorking[[#This Row],[ShipDate]]="",RawWorking[[#This Row],[DeliveryDate]]=""),"",RawWorking[[#This Row],[DeliveryDate]]-RawWorking[[#This Row],[ShipDate]])</f>
        <v>10</v>
      </c>
      <c r="M222" s="9">
        <f>IF(COUNTIF(INDEX(RawWorking[OrderID],1):RawWorking[[#This Row],[OrderID]],RawWorking[[#This Row],[OrderID]])=1,1,0)</f>
        <v>0</v>
      </c>
      <c r="N222" s="4">
        <f>IFERROR(RawWorking[[#This Row],[LineAmount]]/RawWorking[[#This Row],[Quantity]],"")</f>
        <v>121.5</v>
      </c>
    </row>
    <row r="223" spans="1:14">
      <c r="A223">
        <v>50222</v>
      </c>
      <c r="B223">
        <v>30125</v>
      </c>
      <c r="C223" s="2">
        <v>46008</v>
      </c>
      <c r="D223">
        <v>2260</v>
      </c>
      <c r="E223">
        <v>1012</v>
      </c>
      <c r="F223">
        <v>1</v>
      </c>
      <c r="G223">
        <v>241.54</v>
      </c>
      <c r="H223" s="2">
        <v>46011</v>
      </c>
      <c r="I223" s="2">
        <v>46012</v>
      </c>
      <c r="J223" t="s">
        <v>9</v>
      </c>
      <c r="K223" s="2" t="str">
        <f>IFERROR(INDEX(Product_lookup[Category],MATCH(RawWorking[[#This Row],[ProductID]],Product_lookup[ProductID],0)),"")</f>
        <v>Office</v>
      </c>
      <c r="L223" s="9">
        <f>IF(OR(RawWorking[[#This Row],[ShipDate]]="",RawWorking[[#This Row],[DeliveryDate]]=""),"",RawWorking[[#This Row],[DeliveryDate]]-RawWorking[[#This Row],[ShipDate]])</f>
        <v>1</v>
      </c>
      <c r="M223" s="9">
        <f>IF(COUNTIF(INDEX(RawWorking[OrderID],1):RawWorking[[#This Row],[OrderID]],RawWorking[[#This Row],[OrderID]])=1,1,0)</f>
        <v>0</v>
      </c>
      <c r="N223" s="4">
        <f>IFERROR(RawWorking[[#This Row],[LineAmount]]/RawWorking[[#This Row],[Quantity]],"")</f>
        <v>241.54</v>
      </c>
    </row>
    <row r="224" spans="1:14">
      <c r="A224">
        <v>50223</v>
      </c>
      <c r="B224">
        <v>30125</v>
      </c>
      <c r="C224" s="2">
        <v>46008</v>
      </c>
      <c r="D224">
        <v>2260</v>
      </c>
      <c r="E224">
        <v>1002</v>
      </c>
      <c r="F224">
        <v>1</v>
      </c>
      <c r="G224">
        <v>118.6</v>
      </c>
      <c r="H224" s="2">
        <v>46009</v>
      </c>
      <c r="I224" s="2">
        <v>46015</v>
      </c>
      <c r="J224" t="s">
        <v>9</v>
      </c>
      <c r="K224" s="2" t="str">
        <f>IFERROR(INDEX(Product_lookup[Category],MATCH(RawWorking[[#This Row],[ProductID]],Product_lookup[ProductID],0)),"")</f>
        <v>Electronics</v>
      </c>
      <c r="L224" s="9">
        <f>IF(OR(RawWorking[[#This Row],[ShipDate]]="",RawWorking[[#This Row],[DeliveryDate]]=""),"",RawWorking[[#This Row],[DeliveryDate]]-RawWorking[[#This Row],[ShipDate]])</f>
        <v>6</v>
      </c>
      <c r="M224" s="9">
        <f>IF(COUNTIF(INDEX(RawWorking[OrderID],1):RawWorking[[#This Row],[OrderID]],RawWorking[[#This Row],[OrderID]])=1,1,0)</f>
        <v>0</v>
      </c>
      <c r="N224" s="4">
        <f>IFERROR(RawWorking[[#This Row],[LineAmount]]/RawWorking[[#This Row],[Quantity]],"")</f>
        <v>118.6</v>
      </c>
    </row>
    <row r="225" spans="1:14">
      <c r="A225">
        <v>50224</v>
      </c>
      <c r="B225">
        <v>30126</v>
      </c>
      <c r="C225" s="2">
        <v>45941</v>
      </c>
      <c r="D225">
        <v>2340</v>
      </c>
      <c r="E225">
        <v>1012</v>
      </c>
      <c r="F225">
        <v>5</v>
      </c>
      <c r="G225">
        <v>1207.7</v>
      </c>
      <c r="H225" s="2">
        <v>45944</v>
      </c>
      <c r="I225" s="2">
        <v>45949</v>
      </c>
      <c r="J225" t="s">
        <v>9</v>
      </c>
      <c r="K225" s="2" t="str">
        <f>IFERROR(INDEX(Product_lookup[Category],MATCH(RawWorking[[#This Row],[ProductID]],Product_lookup[ProductID],0)),"")</f>
        <v>Office</v>
      </c>
      <c r="L225" s="9">
        <f>IF(OR(RawWorking[[#This Row],[ShipDate]]="",RawWorking[[#This Row],[DeliveryDate]]=""),"",RawWorking[[#This Row],[DeliveryDate]]-RawWorking[[#This Row],[ShipDate]])</f>
        <v>5</v>
      </c>
      <c r="M225" s="9">
        <f>IF(COUNTIF(INDEX(RawWorking[OrderID],1):RawWorking[[#This Row],[OrderID]],RawWorking[[#This Row],[OrderID]])=1,1,0)</f>
        <v>1</v>
      </c>
      <c r="N225" s="4">
        <f>IFERROR(RawWorking[[#This Row],[LineAmount]]/RawWorking[[#This Row],[Quantity]],"")</f>
        <v>241.54000000000002</v>
      </c>
    </row>
    <row r="226" spans="1:14">
      <c r="A226">
        <v>50225</v>
      </c>
      <c r="B226">
        <v>30127</v>
      </c>
      <c r="C226" s="2">
        <v>45776</v>
      </c>
      <c r="D226">
        <v>2448</v>
      </c>
      <c r="E226">
        <v>1015</v>
      </c>
      <c r="F226">
        <v>2</v>
      </c>
      <c r="G226">
        <v>239.48</v>
      </c>
      <c r="H226" s="2" t="s">
        <v>1421</v>
      </c>
      <c r="I226" s="2" t="s">
        <v>1421</v>
      </c>
      <c r="J226" t="s">
        <v>12</v>
      </c>
      <c r="K226" s="2" t="str">
        <f>IFERROR(INDEX(Product_lookup[Category],MATCH(RawWorking[[#This Row],[ProductID]],Product_lookup[ProductID],0)),"")</f>
        <v>Sports</v>
      </c>
      <c r="L226" s="9" t="str">
        <f>IF(OR(RawWorking[[#This Row],[ShipDate]]="",RawWorking[[#This Row],[DeliveryDate]]=""),"",RawWorking[[#This Row],[DeliveryDate]]-RawWorking[[#This Row],[ShipDate]])</f>
        <v/>
      </c>
      <c r="M226" s="9">
        <f>IF(COUNTIF(INDEX(RawWorking[OrderID],1):RawWorking[[#This Row],[OrderID]],RawWorking[[#This Row],[OrderID]])=1,1,0)</f>
        <v>1</v>
      </c>
      <c r="N226" s="4">
        <f>IFERROR(RawWorking[[#This Row],[LineAmount]]/RawWorking[[#This Row],[Quantity]],"")</f>
        <v>119.74</v>
      </c>
    </row>
    <row r="227" spans="1:14">
      <c r="A227">
        <v>50226</v>
      </c>
      <c r="B227">
        <v>30128</v>
      </c>
      <c r="C227" s="2">
        <v>46014</v>
      </c>
      <c r="D227">
        <v>2396</v>
      </c>
      <c r="E227">
        <v>1006</v>
      </c>
      <c r="F227">
        <v>1</v>
      </c>
      <c r="G227">
        <v>253.86</v>
      </c>
      <c r="H227" s="2">
        <v>46016</v>
      </c>
      <c r="I227" s="2">
        <v>46082</v>
      </c>
      <c r="J227" t="s">
        <v>9</v>
      </c>
      <c r="K227" s="2" t="str">
        <f>IFERROR(INDEX(Product_lookup[Category],MATCH(RawWorking[[#This Row],[ProductID]],Product_lookup[ProductID],0)),"")</f>
        <v>Home</v>
      </c>
      <c r="L227" s="9">
        <f>IF(OR(RawWorking[[#This Row],[ShipDate]]="",RawWorking[[#This Row],[DeliveryDate]]=""),"",RawWorking[[#This Row],[DeliveryDate]]-RawWorking[[#This Row],[ShipDate]])</f>
        <v>66</v>
      </c>
      <c r="M227" s="9">
        <f>IF(COUNTIF(INDEX(RawWorking[OrderID],1):RawWorking[[#This Row],[OrderID]],RawWorking[[#This Row],[OrderID]])=1,1,0)</f>
        <v>1</v>
      </c>
      <c r="N227" s="4">
        <f>IFERROR(RawWorking[[#This Row],[LineAmount]]/RawWorking[[#This Row],[Quantity]],"")</f>
        <v>253.86</v>
      </c>
    </row>
    <row r="228" spans="1:14">
      <c r="A228">
        <v>50227</v>
      </c>
      <c r="B228">
        <v>30129</v>
      </c>
      <c r="C228" s="2">
        <v>45755</v>
      </c>
      <c r="D228">
        <v>2509</v>
      </c>
      <c r="E228">
        <v>1012</v>
      </c>
      <c r="F228">
        <v>1</v>
      </c>
      <c r="G228">
        <v>241.54</v>
      </c>
      <c r="H228" s="2">
        <v>45758</v>
      </c>
      <c r="I228" s="2">
        <v>45759</v>
      </c>
      <c r="J228" t="s">
        <v>9</v>
      </c>
      <c r="K228" s="2" t="str">
        <f>IFERROR(INDEX(Product_lookup[Category],MATCH(RawWorking[[#This Row],[ProductID]],Product_lookup[ProductID],0)),"")</f>
        <v>Office</v>
      </c>
      <c r="L228" s="9">
        <f>IF(OR(RawWorking[[#This Row],[ShipDate]]="",RawWorking[[#This Row],[DeliveryDate]]=""),"",RawWorking[[#This Row],[DeliveryDate]]-RawWorking[[#This Row],[ShipDate]])</f>
        <v>1</v>
      </c>
      <c r="M228" s="9">
        <f>IF(COUNTIF(INDEX(RawWorking[OrderID],1):RawWorking[[#This Row],[OrderID]],RawWorking[[#This Row],[OrderID]])=1,1,0)</f>
        <v>1</v>
      </c>
      <c r="N228" s="4">
        <f>IFERROR(RawWorking[[#This Row],[LineAmount]]/RawWorking[[#This Row],[Quantity]],"")</f>
        <v>241.54</v>
      </c>
    </row>
    <row r="229" spans="1:14">
      <c r="A229">
        <v>50228</v>
      </c>
      <c r="B229">
        <v>30129</v>
      </c>
      <c r="C229" s="2">
        <v>45755</v>
      </c>
      <c r="D229">
        <v>2509</v>
      </c>
      <c r="E229">
        <v>1009</v>
      </c>
      <c r="F229">
        <v>1</v>
      </c>
      <c r="G229">
        <v>40.28</v>
      </c>
      <c r="H229" s="2">
        <v>45757</v>
      </c>
      <c r="I229" s="2">
        <v>45761</v>
      </c>
      <c r="J229" t="s">
        <v>9</v>
      </c>
      <c r="K229" s="2" t="str">
        <f>IFERROR(INDEX(Product_lookup[Category],MATCH(RawWorking[[#This Row],[ProductID]],Product_lookup[ProductID],0)),"")</f>
        <v>Home</v>
      </c>
      <c r="L229" s="9">
        <f>IF(OR(RawWorking[[#This Row],[ShipDate]]="",RawWorking[[#This Row],[DeliveryDate]]=""),"",RawWorking[[#This Row],[DeliveryDate]]-RawWorking[[#This Row],[ShipDate]])</f>
        <v>4</v>
      </c>
      <c r="M229" s="9">
        <f>IF(COUNTIF(INDEX(RawWorking[OrderID],1):RawWorking[[#This Row],[OrderID]],RawWorking[[#This Row],[OrderID]])=1,1,0)</f>
        <v>0</v>
      </c>
      <c r="N229" s="4">
        <f>IFERROR(RawWorking[[#This Row],[LineAmount]]/RawWorking[[#This Row],[Quantity]],"")</f>
        <v>40.28</v>
      </c>
    </row>
    <row r="230" spans="1:14">
      <c r="A230">
        <v>50229</v>
      </c>
      <c r="B230">
        <v>30129</v>
      </c>
      <c r="C230" s="2">
        <v>45755</v>
      </c>
      <c r="D230">
        <v>2509</v>
      </c>
      <c r="E230">
        <v>1003</v>
      </c>
      <c r="F230">
        <v>2</v>
      </c>
      <c r="G230">
        <v>448.74</v>
      </c>
      <c r="H230" s="2">
        <v>45756</v>
      </c>
      <c r="I230" s="2">
        <v>45764</v>
      </c>
      <c r="J230" t="s">
        <v>9</v>
      </c>
      <c r="K230" s="2" t="str">
        <f>IFERROR(INDEX(Product_lookup[Category],MATCH(RawWorking[[#This Row],[ProductID]],Product_lookup[ProductID],0)),"")</f>
        <v>Electronics</v>
      </c>
      <c r="L230" s="9">
        <f>IF(OR(RawWorking[[#This Row],[ShipDate]]="",RawWorking[[#This Row],[DeliveryDate]]=""),"",RawWorking[[#This Row],[DeliveryDate]]-RawWorking[[#This Row],[ShipDate]])</f>
        <v>8</v>
      </c>
      <c r="M230" s="9">
        <f>IF(COUNTIF(INDEX(RawWorking[OrderID],1):RawWorking[[#This Row],[OrderID]],RawWorking[[#This Row],[OrderID]])=1,1,0)</f>
        <v>0</v>
      </c>
      <c r="N230" s="4">
        <f>IFERROR(RawWorking[[#This Row],[LineAmount]]/RawWorking[[#This Row],[Quantity]],"")</f>
        <v>224.37</v>
      </c>
    </row>
    <row r="231" spans="1:14">
      <c r="A231">
        <v>50230</v>
      </c>
      <c r="B231">
        <v>30130</v>
      </c>
      <c r="C231" s="2">
        <v>45918</v>
      </c>
      <c r="D231">
        <v>2435</v>
      </c>
      <c r="E231">
        <v>1006</v>
      </c>
      <c r="F231">
        <v>3</v>
      </c>
      <c r="G231">
        <v>761.58</v>
      </c>
      <c r="H231" s="2">
        <v>45921</v>
      </c>
      <c r="I231" s="2">
        <v>45929</v>
      </c>
      <c r="J231" t="s">
        <v>9</v>
      </c>
      <c r="K231" s="2" t="str">
        <f>IFERROR(INDEX(Product_lookup[Category],MATCH(RawWorking[[#This Row],[ProductID]],Product_lookup[ProductID],0)),"")</f>
        <v>Home</v>
      </c>
      <c r="L231" s="9">
        <f>IF(OR(RawWorking[[#This Row],[ShipDate]]="",RawWorking[[#This Row],[DeliveryDate]]=""),"",RawWorking[[#This Row],[DeliveryDate]]-RawWorking[[#This Row],[ShipDate]])</f>
        <v>8</v>
      </c>
      <c r="M231" s="9">
        <f>IF(COUNTIF(INDEX(RawWorking[OrderID],1):RawWorking[[#This Row],[OrderID]],RawWorking[[#This Row],[OrderID]])=1,1,0)</f>
        <v>1</v>
      </c>
      <c r="N231" s="4">
        <f>IFERROR(RawWorking[[#This Row],[LineAmount]]/RawWorking[[#This Row],[Quantity]],"")</f>
        <v>253.86</v>
      </c>
    </row>
    <row r="232" spans="1:14">
      <c r="A232">
        <v>50231</v>
      </c>
      <c r="B232">
        <v>30130</v>
      </c>
      <c r="C232" s="2">
        <v>45918</v>
      </c>
      <c r="D232">
        <v>2435</v>
      </c>
      <c r="E232">
        <v>1010</v>
      </c>
      <c r="F232">
        <v>2</v>
      </c>
      <c r="G232">
        <v>243</v>
      </c>
      <c r="H232" s="2">
        <v>45920</v>
      </c>
      <c r="I232" s="2">
        <v>45921</v>
      </c>
      <c r="J232" t="s">
        <v>9</v>
      </c>
      <c r="K232" s="2" t="str">
        <f>IFERROR(INDEX(Product_lookup[Category],MATCH(RawWorking[[#This Row],[ProductID]],Product_lookup[ProductID],0)),"")</f>
        <v>Office</v>
      </c>
      <c r="L232" s="9">
        <f>IF(OR(RawWorking[[#This Row],[ShipDate]]="",RawWorking[[#This Row],[DeliveryDate]]=""),"",RawWorking[[#This Row],[DeliveryDate]]-RawWorking[[#This Row],[ShipDate]])</f>
        <v>1</v>
      </c>
      <c r="M232" s="9">
        <f>IF(COUNTIF(INDEX(RawWorking[OrderID],1):RawWorking[[#This Row],[OrderID]],RawWorking[[#This Row],[OrderID]])=1,1,0)</f>
        <v>0</v>
      </c>
      <c r="N232" s="4">
        <f>IFERROR(RawWorking[[#This Row],[LineAmount]]/RawWorking[[#This Row],[Quantity]],"")</f>
        <v>121.5</v>
      </c>
    </row>
    <row r="233" spans="1:14">
      <c r="A233">
        <v>50232</v>
      </c>
      <c r="B233">
        <v>30131</v>
      </c>
      <c r="C233" s="2">
        <v>45989</v>
      </c>
      <c r="D233">
        <v>2329</v>
      </c>
      <c r="E233">
        <v>1011</v>
      </c>
      <c r="F233">
        <v>3</v>
      </c>
      <c r="G233">
        <v>304.32</v>
      </c>
      <c r="H233" s="2">
        <v>45990</v>
      </c>
      <c r="I233" s="2">
        <v>45995</v>
      </c>
      <c r="J233" t="s">
        <v>9</v>
      </c>
      <c r="K233" s="2" t="str">
        <f>IFERROR(INDEX(Product_lookup[Category],MATCH(RawWorking[[#This Row],[ProductID]],Product_lookup[ProductID],0)),"")</f>
        <v>Office</v>
      </c>
      <c r="L233" s="9">
        <f>IF(OR(RawWorking[[#This Row],[ShipDate]]="",RawWorking[[#This Row],[DeliveryDate]]=""),"",RawWorking[[#This Row],[DeliveryDate]]-RawWorking[[#This Row],[ShipDate]])</f>
        <v>5</v>
      </c>
      <c r="M233" s="9">
        <f>IF(COUNTIF(INDEX(RawWorking[OrderID],1):RawWorking[[#This Row],[OrderID]],RawWorking[[#This Row],[OrderID]])=1,1,0)</f>
        <v>1</v>
      </c>
      <c r="N233" s="4">
        <f>IFERROR(RawWorking[[#This Row],[LineAmount]]/RawWorking[[#This Row],[Quantity]],"")</f>
        <v>101.44</v>
      </c>
    </row>
    <row r="234" spans="1:14">
      <c r="A234">
        <v>50233</v>
      </c>
      <c r="B234">
        <v>30131</v>
      </c>
      <c r="C234" s="2">
        <v>45989</v>
      </c>
      <c r="D234">
        <v>2329</v>
      </c>
      <c r="E234">
        <v>1010</v>
      </c>
      <c r="F234">
        <v>1</v>
      </c>
      <c r="G234">
        <v>121.5</v>
      </c>
      <c r="H234" s="2">
        <v>45990</v>
      </c>
      <c r="I234" s="2">
        <v>45993</v>
      </c>
      <c r="J234" t="s">
        <v>9</v>
      </c>
      <c r="K234" s="2" t="str">
        <f>IFERROR(INDEX(Product_lookup[Category],MATCH(RawWorking[[#This Row],[ProductID]],Product_lookup[ProductID],0)),"")</f>
        <v>Office</v>
      </c>
      <c r="L234" s="9">
        <f>IF(OR(RawWorking[[#This Row],[ShipDate]]="",RawWorking[[#This Row],[DeliveryDate]]=""),"",RawWorking[[#This Row],[DeliveryDate]]-RawWorking[[#This Row],[ShipDate]])</f>
        <v>3</v>
      </c>
      <c r="M234" s="9">
        <f>IF(COUNTIF(INDEX(RawWorking[OrderID],1):RawWorking[[#This Row],[OrderID]],RawWorking[[#This Row],[OrderID]])=1,1,0)</f>
        <v>0</v>
      </c>
      <c r="N234" s="4">
        <f>IFERROR(RawWorking[[#This Row],[LineAmount]]/RawWorking[[#This Row],[Quantity]],"")</f>
        <v>121.5</v>
      </c>
    </row>
    <row r="235" spans="1:14">
      <c r="A235">
        <v>50234</v>
      </c>
      <c r="B235">
        <v>30132</v>
      </c>
      <c r="C235" s="2">
        <v>45905</v>
      </c>
      <c r="D235">
        <v>2314</v>
      </c>
      <c r="E235">
        <v>1014</v>
      </c>
      <c r="F235">
        <v>1</v>
      </c>
      <c r="G235">
        <v>215.34</v>
      </c>
      <c r="H235" s="2">
        <v>45908</v>
      </c>
      <c r="I235" s="2">
        <v>45917</v>
      </c>
      <c r="J235" t="s">
        <v>9</v>
      </c>
      <c r="K235" s="2" t="str">
        <f>IFERROR(INDEX(Product_lookup[Category],MATCH(RawWorking[[#This Row],[ProductID]],Product_lookup[ProductID],0)),"")</f>
        <v>Sports</v>
      </c>
      <c r="L235" s="9">
        <f>IF(OR(RawWorking[[#This Row],[ShipDate]]="",RawWorking[[#This Row],[DeliveryDate]]=""),"",RawWorking[[#This Row],[DeliveryDate]]-RawWorking[[#This Row],[ShipDate]])</f>
        <v>9</v>
      </c>
      <c r="M235" s="9">
        <f>IF(COUNTIF(INDEX(RawWorking[OrderID],1):RawWorking[[#This Row],[OrderID]],RawWorking[[#This Row],[OrderID]])=1,1,0)</f>
        <v>1</v>
      </c>
      <c r="N235" s="4">
        <f>IFERROR(RawWorking[[#This Row],[LineAmount]]/RawWorking[[#This Row],[Quantity]],"")</f>
        <v>215.34</v>
      </c>
    </row>
    <row r="236" spans="1:14">
      <c r="A236">
        <v>50235</v>
      </c>
      <c r="B236">
        <v>30133</v>
      </c>
      <c r="C236" s="2">
        <v>45880</v>
      </c>
      <c r="D236">
        <v>2171</v>
      </c>
      <c r="E236">
        <v>1012</v>
      </c>
      <c r="F236">
        <v>3</v>
      </c>
      <c r="G236">
        <v>724.62</v>
      </c>
      <c r="H236" s="2">
        <v>45883</v>
      </c>
      <c r="I236" s="2">
        <v>45889</v>
      </c>
      <c r="J236" t="s">
        <v>9</v>
      </c>
      <c r="K236" s="2" t="str">
        <f>IFERROR(INDEX(Product_lookup[Category],MATCH(RawWorking[[#This Row],[ProductID]],Product_lookup[ProductID],0)),"")</f>
        <v>Office</v>
      </c>
      <c r="L236" s="9">
        <f>IF(OR(RawWorking[[#This Row],[ShipDate]]="",RawWorking[[#This Row],[DeliveryDate]]=""),"",RawWorking[[#This Row],[DeliveryDate]]-RawWorking[[#This Row],[ShipDate]])</f>
        <v>6</v>
      </c>
      <c r="M236" s="9">
        <f>IF(COUNTIF(INDEX(RawWorking[OrderID],1):RawWorking[[#This Row],[OrderID]],RawWorking[[#This Row],[OrderID]])=1,1,0)</f>
        <v>1</v>
      </c>
      <c r="N236" s="4">
        <f>IFERROR(RawWorking[[#This Row],[LineAmount]]/RawWorking[[#This Row],[Quantity]],"")</f>
        <v>241.54</v>
      </c>
    </row>
    <row r="237" spans="1:14">
      <c r="A237">
        <v>50236</v>
      </c>
      <c r="B237">
        <v>30134</v>
      </c>
      <c r="C237" s="2">
        <v>45785</v>
      </c>
      <c r="D237">
        <v>2458</v>
      </c>
      <c r="E237">
        <v>1012</v>
      </c>
      <c r="F237">
        <v>1</v>
      </c>
      <c r="G237">
        <v>241.54</v>
      </c>
      <c r="H237" s="2">
        <v>45788</v>
      </c>
      <c r="I237" s="2">
        <v>45794</v>
      </c>
      <c r="J237" t="s">
        <v>9</v>
      </c>
      <c r="K237" s="2" t="str">
        <f>IFERROR(INDEX(Product_lookup[Category],MATCH(RawWorking[[#This Row],[ProductID]],Product_lookup[ProductID],0)),"")</f>
        <v>Office</v>
      </c>
      <c r="L237" s="9">
        <f>IF(OR(RawWorking[[#This Row],[ShipDate]]="",RawWorking[[#This Row],[DeliveryDate]]=""),"",RawWorking[[#This Row],[DeliveryDate]]-RawWorking[[#This Row],[ShipDate]])</f>
        <v>6</v>
      </c>
      <c r="M237" s="9">
        <f>IF(COUNTIF(INDEX(RawWorking[OrderID],1):RawWorking[[#This Row],[OrderID]],RawWorking[[#This Row],[OrderID]])=1,1,0)</f>
        <v>1</v>
      </c>
      <c r="N237" s="4">
        <f>IFERROR(RawWorking[[#This Row],[LineAmount]]/RawWorking[[#This Row],[Quantity]],"")</f>
        <v>241.54</v>
      </c>
    </row>
    <row r="238" spans="1:14">
      <c r="A238">
        <v>50237</v>
      </c>
      <c r="B238">
        <v>30134</v>
      </c>
      <c r="C238" s="2">
        <v>45785</v>
      </c>
      <c r="D238">
        <v>2458</v>
      </c>
      <c r="E238">
        <v>1014</v>
      </c>
      <c r="F238">
        <v>1</v>
      </c>
      <c r="G238">
        <v>215.34</v>
      </c>
      <c r="H238" s="2">
        <v>45786</v>
      </c>
      <c r="I238" s="2">
        <v>45789</v>
      </c>
      <c r="J238" t="s">
        <v>9</v>
      </c>
      <c r="K238" s="2" t="str">
        <f>IFERROR(INDEX(Product_lookup[Category],MATCH(RawWorking[[#This Row],[ProductID]],Product_lookup[ProductID],0)),"")</f>
        <v>Sports</v>
      </c>
      <c r="L238" s="9">
        <f>IF(OR(RawWorking[[#This Row],[ShipDate]]="",RawWorking[[#This Row],[DeliveryDate]]=""),"",RawWorking[[#This Row],[DeliveryDate]]-RawWorking[[#This Row],[ShipDate]])</f>
        <v>3</v>
      </c>
      <c r="M238" s="9">
        <f>IF(COUNTIF(INDEX(RawWorking[OrderID],1):RawWorking[[#This Row],[OrderID]],RawWorking[[#This Row],[OrderID]])=1,1,0)</f>
        <v>0</v>
      </c>
      <c r="N238" s="4">
        <f>IFERROR(RawWorking[[#This Row],[LineAmount]]/RawWorking[[#This Row],[Quantity]],"")</f>
        <v>215.34</v>
      </c>
    </row>
    <row r="239" spans="1:14">
      <c r="A239">
        <v>50238</v>
      </c>
      <c r="B239">
        <v>30134</v>
      </c>
      <c r="C239" s="2">
        <v>45785</v>
      </c>
      <c r="D239">
        <v>2458</v>
      </c>
      <c r="E239">
        <v>1009</v>
      </c>
      <c r="F239">
        <v>3</v>
      </c>
      <c r="G239">
        <v>120.84</v>
      </c>
      <c r="H239" s="2">
        <v>45788</v>
      </c>
      <c r="I239" s="2">
        <v>45790</v>
      </c>
      <c r="J239" t="s">
        <v>9</v>
      </c>
      <c r="K239" s="2" t="str">
        <f>IFERROR(INDEX(Product_lookup[Category],MATCH(RawWorking[[#This Row],[ProductID]],Product_lookup[ProductID],0)),"")</f>
        <v>Home</v>
      </c>
      <c r="L239" s="9">
        <f>IF(OR(RawWorking[[#This Row],[ShipDate]]="",RawWorking[[#This Row],[DeliveryDate]]=""),"",RawWorking[[#This Row],[DeliveryDate]]-RawWorking[[#This Row],[ShipDate]])</f>
        <v>2</v>
      </c>
      <c r="M239" s="9">
        <f>IF(COUNTIF(INDEX(RawWorking[OrderID],1):RawWorking[[#This Row],[OrderID]],RawWorking[[#This Row],[OrderID]])=1,1,0)</f>
        <v>0</v>
      </c>
      <c r="N239" s="4">
        <f>IFERROR(RawWorking[[#This Row],[LineAmount]]/RawWorking[[#This Row],[Quantity]],"")</f>
        <v>40.28</v>
      </c>
    </row>
    <row r="240" spans="1:14">
      <c r="A240">
        <v>50239</v>
      </c>
      <c r="B240">
        <v>30135</v>
      </c>
      <c r="C240" s="2">
        <v>45905</v>
      </c>
      <c r="D240">
        <v>2059</v>
      </c>
      <c r="E240">
        <v>1013</v>
      </c>
      <c r="F240">
        <v>2</v>
      </c>
      <c r="G240">
        <v>340.5</v>
      </c>
      <c r="H240" s="2">
        <v>45906</v>
      </c>
      <c r="I240" s="2">
        <v>45911</v>
      </c>
      <c r="J240" t="s">
        <v>9</v>
      </c>
      <c r="K240" s="2" t="str">
        <f>IFERROR(INDEX(Product_lookup[Category],MATCH(RawWorking[[#This Row],[ProductID]],Product_lookup[ProductID],0)),"")</f>
        <v>Office</v>
      </c>
      <c r="L240" s="9">
        <f>IF(OR(RawWorking[[#This Row],[ShipDate]]="",RawWorking[[#This Row],[DeliveryDate]]=""),"",RawWorking[[#This Row],[DeliveryDate]]-RawWorking[[#This Row],[ShipDate]])</f>
        <v>5</v>
      </c>
      <c r="M240" s="9">
        <f>IF(COUNTIF(INDEX(RawWorking[OrderID],1):RawWorking[[#This Row],[OrderID]],RawWorking[[#This Row],[OrderID]])=1,1,0)</f>
        <v>1</v>
      </c>
      <c r="N240" s="4">
        <f>IFERROR(RawWorking[[#This Row],[LineAmount]]/RawWorking[[#This Row],[Quantity]],"")</f>
        <v>170.25</v>
      </c>
    </row>
    <row r="241" spans="1:14">
      <c r="A241">
        <v>50240</v>
      </c>
      <c r="B241">
        <v>30136</v>
      </c>
      <c r="C241" s="2">
        <v>45952</v>
      </c>
      <c r="D241">
        <v>2373</v>
      </c>
      <c r="E241">
        <v>1006</v>
      </c>
      <c r="F241">
        <v>1</v>
      </c>
      <c r="G241">
        <v>253.86</v>
      </c>
      <c r="H241" s="2">
        <v>45955</v>
      </c>
      <c r="I241" s="2">
        <v>45960</v>
      </c>
      <c r="J241" t="s">
        <v>9</v>
      </c>
      <c r="K241" s="2" t="str">
        <f>IFERROR(INDEX(Product_lookup[Category],MATCH(RawWorking[[#This Row],[ProductID]],Product_lookup[ProductID],0)),"")</f>
        <v>Home</v>
      </c>
      <c r="L241" s="9">
        <f>IF(OR(RawWorking[[#This Row],[ShipDate]]="",RawWorking[[#This Row],[DeliveryDate]]=""),"",RawWorking[[#This Row],[DeliveryDate]]-RawWorking[[#This Row],[ShipDate]])</f>
        <v>5</v>
      </c>
      <c r="M241" s="9">
        <f>IF(COUNTIF(INDEX(RawWorking[OrderID],1):RawWorking[[#This Row],[OrderID]],RawWorking[[#This Row],[OrderID]])=1,1,0)</f>
        <v>1</v>
      </c>
      <c r="N241" s="4">
        <f>IFERROR(RawWorking[[#This Row],[LineAmount]]/RawWorking[[#This Row],[Quantity]],"")</f>
        <v>253.86</v>
      </c>
    </row>
    <row r="242" spans="1:14">
      <c r="A242">
        <v>50241</v>
      </c>
      <c r="B242">
        <v>30136</v>
      </c>
      <c r="C242" s="2">
        <v>45952</v>
      </c>
      <c r="D242">
        <v>2373</v>
      </c>
      <c r="E242">
        <v>1001</v>
      </c>
      <c r="F242">
        <v>1</v>
      </c>
      <c r="G242">
        <v>203.04</v>
      </c>
      <c r="H242" s="2">
        <v>45953</v>
      </c>
      <c r="I242" s="2">
        <v>45959</v>
      </c>
      <c r="J242" t="s">
        <v>9</v>
      </c>
      <c r="K242" s="2" t="str">
        <f>IFERROR(INDEX(Product_lookup[Category],MATCH(RawWorking[[#This Row],[ProductID]],Product_lookup[ProductID],0)),"")</f>
        <v>Electronics</v>
      </c>
      <c r="L242" s="9">
        <f>IF(OR(RawWorking[[#This Row],[ShipDate]]="",RawWorking[[#This Row],[DeliveryDate]]=""),"",RawWorking[[#This Row],[DeliveryDate]]-RawWorking[[#This Row],[ShipDate]])</f>
        <v>6</v>
      </c>
      <c r="M242" s="9">
        <f>IF(COUNTIF(INDEX(RawWorking[OrderID],1):RawWorking[[#This Row],[OrderID]],RawWorking[[#This Row],[OrderID]])=1,1,0)</f>
        <v>0</v>
      </c>
      <c r="N242" s="4">
        <f>IFERROR(RawWorking[[#This Row],[LineAmount]]/RawWorking[[#This Row],[Quantity]],"")</f>
        <v>203.04</v>
      </c>
    </row>
    <row r="243" spans="1:14">
      <c r="A243">
        <v>50242</v>
      </c>
      <c r="B243">
        <v>30136</v>
      </c>
      <c r="C243" s="2">
        <v>45952</v>
      </c>
      <c r="D243">
        <v>2373</v>
      </c>
      <c r="E243">
        <v>1005</v>
      </c>
      <c r="F243">
        <v>5</v>
      </c>
      <c r="G243">
        <v>158.65</v>
      </c>
      <c r="H243" s="2">
        <v>45955</v>
      </c>
      <c r="I243" s="2">
        <v>45963</v>
      </c>
      <c r="J243" t="s">
        <v>9</v>
      </c>
      <c r="K243" s="2" t="str">
        <f>IFERROR(INDEX(Product_lookup[Category],MATCH(RawWorking[[#This Row],[ProductID]],Product_lookup[ProductID],0)),"")</f>
        <v>Electronics</v>
      </c>
      <c r="L243" s="9">
        <f>IF(OR(RawWorking[[#This Row],[ShipDate]]="",RawWorking[[#This Row],[DeliveryDate]]=""),"",RawWorking[[#This Row],[DeliveryDate]]-RawWorking[[#This Row],[ShipDate]])</f>
        <v>8</v>
      </c>
      <c r="M243" s="9">
        <f>IF(COUNTIF(INDEX(RawWorking[OrderID],1):RawWorking[[#This Row],[OrderID]],RawWorking[[#This Row],[OrderID]])=1,1,0)</f>
        <v>0</v>
      </c>
      <c r="N243" s="4">
        <f>IFERROR(RawWorking[[#This Row],[LineAmount]]/RawWorking[[#This Row],[Quantity]],"")</f>
        <v>31.73</v>
      </c>
    </row>
    <row r="244" spans="1:14">
      <c r="A244">
        <v>50243</v>
      </c>
      <c r="B244">
        <v>30136</v>
      </c>
      <c r="C244" s="2">
        <v>45952</v>
      </c>
      <c r="D244">
        <v>2373</v>
      </c>
      <c r="E244">
        <v>1015</v>
      </c>
      <c r="F244">
        <v>2</v>
      </c>
      <c r="G244">
        <v>239.48</v>
      </c>
      <c r="H244" s="2">
        <v>45953</v>
      </c>
      <c r="I244" s="2">
        <v>45957</v>
      </c>
      <c r="J244" t="s">
        <v>9</v>
      </c>
      <c r="K244" s="2" t="str">
        <f>IFERROR(INDEX(Product_lookup[Category],MATCH(RawWorking[[#This Row],[ProductID]],Product_lookup[ProductID],0)),"")</f>
        <v>Sports</v>
      </c>
      <c r="L244" s="9">
        <f>IF(OR(RawWorking[[#This Row],[ShipDate]]="",RawWorking[[#This Row],[DeliveryDate]]=""),"",RawWorking[[#This Row],[DeliveryDate]]-RawWorking[[#This Row],[ShipDate]])</f>
        <v>4</v>
      </c>
      <c r="M244" s="9">
        <f>IF(COUNTIF(INDEX(RawWorking[OrderID],1):RawWorking[[#This Row],[OrderID]],RawWorking[[#This Row],[OrderID]])=1,1,0)</f>
        <v>0</v>
      </c>
      <c r="N244" s="4">
        <f>IFERROR(RawWorking[[#This Row],[LineAmount]]/RawWorking[[#This Row],[Quantity]],"")</f>
        <v>119.74</v>
      </c>
    </row>
    <row r="245" spans="1:14">
      <c r="A245">
        <v>50244</v>
      </c>
      <c r="B245">
        <v>30137</v>
      </c>
      <c r="C245" s="2">
        <v>45838</v>
      </c>
      <c r="D245">
        <v>2036</v>
      </c>
      <c r="E245">
        <v>1008</v>
      </c>
      <c r="F245">
        <v>1</v>
      </c>
      <c r="G245">
        <v>206.09</v>
      </c>
      <c r="H245" s="2">
        <v>45841</v>
      </c>
      <c r="I245" s="2">
        <v>45843</v>
      </c>
      <c r="J245" t="s">
        <v>9</v>
      </c>
      <c r="K245" s="2" t="str">
        <f>IFERROR(INDEX(Product_lookup[Category],MATCH(RawWorking[[#This Row],[ProductID]],Product_lookup[ProductID],0)),"")</f>
        <v>Home</v>
      </c>
      <c r="L245" s="9">
        <f>IF(OR(RawWorking[[#This Row],[ShipDate]]="",RawWorking[[#This Row],[DeliveryDate]]=""),"",RawWorking[[#This Row],[DeliveryDate]]-RawWorking[[#This Row],[ShipDate]])</f>
        <v>2</v>
      </c>
      <c r="M245" s="9">
        <f>IF(COUNTIF(INDEX(RawWorking[OrderID],1):RawWorking[[#This Row],[OrderID]],RawWorking[[#This Row],[OrderID]])=1,1,0)</f>
        <v>1</v>
      </c>
      <c r="N245" s="4">
        <f>IFERROR(RawWorking[[#This Row],[LineAmount]]/RawWorking[[#This Row],[Quantity]],"")</f>
        <v>206.09</v>
      </c>
    </row>
    <row r="246" spans="1:14">
      <c r="A246">
        <v>50245</v>
      </c>
      <c r="B246">
        <v>30138</v>
      </c>
      <c r="C246" s="2">
        <v>45791</v>
      </c>
      <c r="D246">
        <v>2376</v>
      </c>
      <c r="E246">
        <v>1002</v>
      </c>
      <c r="F246">
        <v>1</v>
      </c>
      <c r="G246">
        <v>118.6</v>
      </c>
      <c r="H246" s="2">
        <v>45793</v>
      </c>
      <c r="I246" s="2">
        <v>45794</v>
      </c>
      <c r="J246" t="s">
        <v>9</v>
      </c>
      <c r="K246" s="2" t="str">
        <f>IFERROR(INDEX(Product_lookup[Category],MATCH(RawWorking[[#This Row],[ProductID]],Product_lookup[ProductID],0)),"")</f>
        <v>Electronics</v>
      </c>
      <c r="L246" s="9">
        <f>IF(OR(RawWorking[[#This Row],[ShipDate]]="",RawWorking[[#This Row],[DeliveryDate]]=""),"",RawWorking[[#This Row],[DeliveryDate]]-RawWorking[[#This Row],[ShipDate]])</f>
        <v>1</v>
      </c>
      <c r="M246" s="9">
        <f>IF(COUNTIF(INDEX(RawWorking[OrderID],1):RawWorking[[#This Row],[OrderID]],RawWorking[[#This Row],[OrderID]])=1,1,0)</f>
        <v>1</v>
      </c>
      <c r="N246" s="4">
        <f>IFERROR(RawWorking[[#This Row],[LineAmount]]/RawWorking[[#This Row],[Quantity]],"")</f>
        <v>118.6</v>
      </c>
    </row>
    <row r="247" spans="1:14">
      <c r="A247">
        <v>50246</v>
      </c>
      <c r="B247">
        <v>30139</v>
      </c>
      <c r="C247" s="2">
        <v>45768</v>
      </c>
      <c r="D247">
        <v>2158</v>
      </c>
      <c r="E247">
        <v>1012</v>
      </c>
      <c r="F247">
        <v>1</v>
      </c>
      <c r="G247">
        <v>241.54</v>
      </c>
      <c r="H247" s="2">
        <v>45770</v>
      </c>
      <c r="I247" s="2">
        <v>45775</v>
      </c>
      <c r="J247" t="s">
        <v>9</v>
      </c>
      <c r="K247" s="2" t="str">
        <f>IFERROR(INDEX(Product_lookup[Category],MATCH(RawWorking[[#This Row],[ProductID]],Product_lookup[ProductID],0)),"")</f>
        <v>Office</v>
      </c>
      <c r="L247" s="9">
        <f>IF(OR(RawWorking[[#This Row],[ShipDate]]="",RawWorking[[#This Row],[DeliveryDate]]=""),"",RawWorking[[#This Row],[DeliveryDate]]-RawWorking[[#This Row],[ShipDate]])</f>
        <v>5</v>
      </c>
      <c r="M247" s="9">
        <f>IF(COUNTIF(INDEX(RawWorking[OrderID],1):RawWorking[[#This Row],[OrderID]],RawWorking[[#This Row],[OrderID]])=1,1,0)</f>
        <v>1</v>
      </c>
      <c r="N247" s="4">
        <f>IFERROR(RawWorking[[#This Row],[LineAmount]]/RawWorking[[#This Row],[Quantity]],"")</f>
        <v>241.54</v>
      </c>
    </row>
    <row r="248" spans="1:14">
      <c r="A248">
        <v>50247</v>
      </c>
      <c r="B248">
        <v>30139</v>
      </c>
      <c r="C248" s="2">
        <v>45768</v>
      </c>
      <c r="D248">
        <v>2158</v>
      </c>
      <c r="E248">
        <v>1012</v>
      </c>
      <c r="F248">
        <v>4</v>
      </c>
      <c r="G248">
        <v>966.16</v>
      </c>
      <c r="H248" s="2">
        <v>45770</v>
      </c>
      <c r="I248" s="2">
        <v>45780</v>
      </c>
      <c r="J248" t="s">
        <v>9</v>
      </c>
      <c r="K248" s="2" t="str">
        <f>IFERROR(INDEX(Product_lookup[Category],MATCH(RawWorking[[#This Row],[ProductID]],Product_lookup[ProductID],0)),"")</f>
        <v>Office</v>
      </c>
      <c r="L248" s="9">
        <f>IF(OR(RawWorking[[#This Row],[ShipDate]]="",RawWorking[[#This Row],[DeliveryDate]]=""),"",RawWorking[[#This Row],[DeliveryDate]]-RawWorking[[#This Row],[ShipDate]])</f>
        <v>10</v>
      </c>
      <c r="M248" s="9">
        <f>IF(COUNTIF(INDEX(RawWorking[OrderID],1):RawWorking[[#This Row],[OrderID]],RawWorking[[#This Row],[OrderID]])=1,1,0)</f>
        <v>0</v>
      </c>
      <c r="N248" s="4">
        <f>IFERROR(RawWorking[[#This Row],[LineAmount]]/RawWorking[[#This Row],[Quantity]],"")</f>
        <v>241.54</v>
      </c>
    </row>
    <row r="249" spans="1:14">
      <c r="A249">
        <v>50248</v>
      </c>
      <c r="B249">
        <v>30140</v>
      </c>
      <c r="C249" s="2">
        <v>45932</v>
      </c>
      <c r="D249">
        <v>2455</v>
      </c>
      <c r="E249">
        <v>1005</v>
      </c>
      <c r="F249">
        <v>1</v>
      </c>
      <c r="G249">
        <v>31.73</v>
      </c>
      <c r="H249" s="2" t="s">
        <v>1421</v>
      </c>
      <c r="I249" s="2" t="s">
        <v>1421</v>
      </c>
      <c r="J249" t="s">
        <v>16</v>
      </c>
      <c r="K249" s="2" t="str">
        <f>IFERROR(INDEX(Product_lookup[Category],MATCH(RawWorking[[#This Row],[ProductID]],Product_lookup[ProductID],0)),"")</f>
        <v>Electronics</v>
      </c>
      <c r="L249" s="9" t="str">
        <f>IF(OR(RawWorking[[#This Row],[ShipDate]]="",RawWorking[[#This Row],[DeliveryDate]]=""),"",RawWorking[[#This Row],[DeliveryDate]]-RawWorking[[#This Row],[ShipDate]])</f>
        <v/>
      </c>
      <c r="M249" s="9">
        <f>IF(COUNTIF(INDEX(RawWorking[OrderID],1):RawWorking[[#This Row],[OrderID]],RawWorking[[#This Row],[OrderID]])=1,1,0)</f>
        <v>1</v>
      </c>
      <c r="N249" s="4">
        <f>IFERROR(RawWorking[[#This Row],[LineAmount]]/RawWorking[[#This Row],[Quantity]],"")</f>
        <v>31.73</v>
      </c>
    </row>
    <row r="250" spans="1:14">
      <c r="A250">
        <v>50249</v>
      </c>
      <c r="B250">
        <v>30140</v>
      </c>
      <c r="C250" s="2">
        <v>45932</v>
      </c>
      <c r="D250">
        <v>2455</v>
      </c>
      <c r="E250">
        <v>1013</v>
      </c>
      <c r="F250">
        <v>3</v>
      </c>
      <c r="G250">
        <v>510.75</v>
      </c>
      <c r="H250" s="2" t="s">
        <v>1421</v>
      </c>
      <c r="I250" s="2" t="s">
        <v>1421</v>
      </c>
      <c r="J250" t="s">
        <v>16</v>
      </c>
      <c r="K250" s="2" t="str">
        <f>IFERROR(INDEX(Product_lookup[Category],MATCH(RawWorking[[#This Row],[ProductID]],Product_lookup[ProductID],0)),"")</f>
        <v>Office</v>
      </c>
      <c r="L250" s="9" t="str">
        <f>IF(OR(RawWorking[[#This Row],[ShipDate]]="",RawWorking[[#This Row],[DeliveryDate]]=""),"",RawWorking[[#This Row],[DeliveryDate]]-RawWorking[[#This Row],[ShipDate]])</f>
        <v/>
      </c>
      <c r="M250" s="9">
        <f>IF(COUNTIF(INDEX(RawWorking[OrderID],1):RawWorking[[#This Row],[OrderID]],RawWorking[[#This Row],[OrderID]])=1,1,0)</f>
        <v>0</v>
      </c>
      <c r="N250" s="4">
        <f>IFERROR(RawWorking[[#This Row],[LineAmount]]/RawWorking[[#This Row],[Quantity]],"")</f>
        <v>170.25</v>
      </c>
    </row>
    <row r="251" spans="1:14">
      <c r="A251">
        <v>50250</v>
      </c>
      <c r="B251">
        <v>30141</v>
      </c>
      <c r="C251" s="2">
        <v>45799</v>
      </c>
      <c r="D251">
        <v>2286</v>
      </c>
      <c r="E251">
        <v>1004</v>
      </c>
      <c r="F251">
        <v>3</v>
      </c>
      <c r="G251">
        <v>551.22</v>
      </c>
      <c r="H251" s="2">
        <v>45800</v>
      </c>
      <c r="I251" s="2">
        <v>45804</v>
      </c>
      <c r="J251" t="s">
        <v>9</v>
      </c>
      <c r="K251" s="2" t="str">
        <f>IFERROR(INDEX(Product_lookup[Category],MATCH(RawWorking[[#This Row],[ProductID]],Product_lookup[ProductID],0)),"")</f>
        <v>Electronics</v>
      </c>
      <c r="L251" s="9">
        <f>IF(OR(RawWorking[[#This Row],[ShipDate]]="",RawWorking[[#This Row],[DeliveryDate]]=""),"",RawWorking[[#This Row],[DeliveryDate]]-RawWorking[[#This Row],[ShipDate]])</f>
        <v>4</v>
      </c>
      <c r="M251" s="9">
        <f>IF(COUNTIF(INDEX(RawWorking[OrderID],1):RawWorking[[#This Row],[OrderID]],RawWorking[[#This Row],[OrderID]])=1,1,0)</f>
        <v>1</v>
      </c>
      <c r="N251" s="4">
        <f>IFERROR(RawWorking[[#This Row],[LineAmount]]/RawWorking[[#This Row],[Quantity]],"")</f>
        <v>183.74</v>
      </c>
    </row>
    <row r="252" spans="1:14">
      <c r="A252">
        <v>50251</v>
      </c>
      <c r="B252">
        <v>30142</v>
      </c>
      <c r="C252" s="2">
        <v>45851</v>
      </c>
      <c r="D252">
        <v>2027</v>
      </c>
      <c r="E252">
        <v>1016</v>
      </c>
      <c r="F252">
        <v>2</v>
      </c>
      <c r="G252">
        <v>130.52000000000001</v>
      </c>
      <c r="H252" s="2">
        <v>45853</v>
      </c>
      <c r="I252" s="2">
        <v>45860</v>
      </c>
      <c r="J252" t="s">
        <v>9</v>
      </c>
      <c r="K252" s="2" t="str">
        <f>IFERROR(INDEX(Product_lookup[Category],MATCH(RawWorking[[#This Row],[ProductID]],Product_lookup[ProductID],0)),"")</f>
        <v>Sports</v>
      </c>
      <c r="L252" s="9">
        <f>IF(OR(RawWorking[[#This Row],[ShipDate]]="",RawWorking[[#This Row],[DeliveryDate]]=""),"",RawWorking[[#This Row],[DeliveryDate]]-RawWorking[[#This Row],[ShipDate]])</f>
        <v>7</v>
      </c>
      <c r="M252" s="9">
        <f>IF(COUNTIF(INDEX(RawWorking[OrderID],1):RawWorking[[#This Row],[OrderID]],RawWorking[[#This Row],[OrderID]])=1,1,0)</f>
        <v>1</v>
      </c>
      <c r="N252" s="4">
        <f>IFERROR(RawWorking[[#This Row],[LineAmount]]/RawWorking[[#This Row],[Quantity]],"")</f>
        <v>65.260000000000005</v>
      </c>
    </row>
    <row r="253" spans="1:14">
      <c r="A253">
        <v>50252</v>
      </c>
      <c r="B253">
        <v>30142</v>
      </c>
      <c r="C253" s="2">
        <v>45851</v>
      </c>
      <c r="D253">
        <v>2027</v>
      </c>
      <c r="E253">
        <v>1013</v>
      </c>
      <c r="F253">
        <v>1</v>
      </c>
      <c r="G253">
        <v>170.25</v>
      </c>
      <c r="H253" s="2">
        <v>45854</v>
      </c>
      <c r="I253" s="2">
        <v>45857</v>
      </c>
      <c r="J253" t="s">
        <v>9</v>
      </c>
      <c r="K253" s="2" t="str">
        <f>IFERROR(INDEX(Product_lookup[Category],MATCH(RawWorking[[#This Row],[ProductID]],Product_lookup[ProductID],0)),"")</f>
        <v>Office</v>
      </c>
      <c r="L253" s="9">
        <f>IF(OR(RawWorking[[#This Row],[ShipDate]]="",RawWorking[[#This Row],[DeliveryDate]]=""),"",RawWorking[[#This Row],[DeliveryDate]]-RawWorking[[#This Row],[ShipDate]])</f>
        <v>3</v>
      </c>
      <c r="M253" s="9">
        <f>IF(COUNTIF(INDEX(RawWorking[OrderID],1):RawWorking[[#This Row],[OrderID]],RawWorking[[#This Row],[OrderID]])=1,1,0)</f>
        <v>0</v>
      </c>
      <c r="N253" s="4">
        <f>IFERROR(RawWorking[[#This Row],[LineAmount]]/RawWorking[[#This Row],[Quantity]],"")</f>
        <v>170.25</v>
      </c>
    </row>
    <row r="254" spans="1:14">
      <c r="A254">
        <v>50253</v>
      </c>
      <c r="B254">
        <v>30143</v>
      </c>
      <c r="C254" s="2">
        <v>45767</v>
      </c>
      <c r="D254">
        <v>2576</v>
      </c>
      <c r="E254">
        <v>1009</v>
      </c>
      <c r="F254">
        <v>3</v>
      </c>
      <c r="G254">
        <v>120.84</v>
      </c>
      <c r="H254" s="2">
        <v>45768</v>
      </c>
      <c r="I254" s="2">
        <v>45769</v>
      </c>
      <c r="J254" t="s">
        <v>9</v>
      </c>
      <c r="K254" s="2" t="str">
        <f>IFERROR(INDEX(Product_lookup[Category],MATCH(RawWorking[[#This Row],[ProductID]],Product_lookup[ProductID],0)),"")</f>
        <v>Home</v>
      </c>
      <c r="L254" s="9">
        <f>IF(OR(RawWorking[[#This Row],[ShipDate]]="",RawWorking[[#This Row],[DeliveryDate]]=""),"",RawWorking[[#This Row],[DeliveryDate]]-RawWorking[[#This Row],[ShipDate]])</f>
        <v>1</v>
      </c>
      <c r="M254" s="9">
        <f>IF(COUNTIF(INDEX(RawWorking[OrderID],1):RawWorking[[#This Row],[OrderID]],RawWorking[[#This Row],[OrderID]])=1,1,0)</f>
        <v>1</v>
      </c>
      <c r="N254" s="4">
        <f>IFERROR(RawWorking[[#This Row],[LineAmount]]/RawWorking[[#This Row],[Quantity]],"")</f>
        <v>40.28</v>
      </c>
    </row>
    <row r="255" spans="1:14">
      <c r="A255">
        <v>50254</v>
      </c>
      <c r="B255">
        <v>30144</v>
      </c>
      <c r="C255" s="2">
        <v>45761</v>
      </c>
      <c r="D255">
        <v>2457</v>
      </c>
      <c r="E255">
        <v>1010</v>
      </c>
      <c r="F255">
        <v>2</v>
      </c>
      <c r="G255">
        <v>243</v>
      </c>
      <c r="H255" s="2">
        <v>45763</v>
      </c>
      <c r="I255" s="2">
        <v>45771</v>
      </c>
      <c r="J255" t="s">
        <v>9</v>
      </c>
      <c r="K255" s="2" t="str">
        <f>IFERROR(INDEX(Product_lookup[Category],MATCH(RawWorking[[#This Row],[ProductID]],Product_lookup[ProductID],0)),"")</f>
        <v>Office</v>
      </c>
      <c r="L255" s="9">
        <f>IF(OR(RawWorking[[#This Row],[ShipDate]]="",RawWorking[[#This Row],[DeliveryDate]]=""),"",RawWorking[[#This Row],[DeliveryDate]]-RawWorking[[#This Row],[ShipDate]])</f>
        <v>8</v>
      </c>
      <c r="M255" s="9">
        <f>IF(COUNTIF(INDEX(RawWorking[OrderID],1):RawWorking[[#This Row],[OrderID]],RawWorking[[#This Row],[OrderID]])=1,1,0)</f>
        <v>1</v>
      </c>
      <c r="N255" s="4">
        <f>IFERROR(RawWorking[[#This Row],[LineAmount]]/RawWorking[[#This Row],[Quantity]],"")</f>
        <v>121.5</v>
      </c>
    </row>
    <row r="256" spans="1:14">
      <c r="A256">
        <v>50255</v>
      </c>
      <c r="B256">
        <v>30144</v>
      </c>
      <c r="C256" s="2">
        <v>45761</v>
      </c>
      <c r="D256">
        <v>2457</v>
      </c>
      <c r="E256">
        <v>1016</v>
      </c>
      <c r="F256">
        <v>1</v>
      </c>
      <c r="G256">
        <v>65.260000000000005</v>
      </c>
      <c r="H256" s="2">
        <v>45764</v>
      </c>
      <c r="I256" s="2">
        <v>45769</v>
      </c>
      <c r="J256" t="s">
        <v>9</v>
      </c>
      <c r="K256" s="2" t="str">
        <f>IFERROR(INDEX(Product_lookup[Category],MATCH(RawWorking[[#This Row],[ProductID]],Product_lookup[ProductID],0)),"")</f>
        <v>Sports</v>
      </c>
      <c r="L256" s="9">
        <f>IF(OR(RawWorking[[#This Row],[ShipDate]]="",RawWorking[[#This Row],[DeliveryDate]]=""),"",RawWorking[[#This Row],[DeliveryDate]]-RawWorking[[#This Row],[ShipDate]])</f>
        <v>5</v>
      </c>
      <c r="M256" s="9">
        <f>IF(COUNTIF(INDEX(RawWorking[OrderID],1):RawWorking[[#This Row],[OrderID]],RawWorking[[#This Row],[OrderID]])=1,1,0)</f>
        <v>0</v>
      </c>
      <c r="N256" s="4">
        <f>IFERROR(RawWorking[[#This Row],[LineAmount]]/RawWorking[[#This Row],[Quantity]],"")</f>
        <v>65.260000000000005</v>
      </c>
    </row>
    <row r="257" spans="1:14">
      <c r="A257">
        <v>50256</v>
      </c>
      <c r="B257">
        <v>30145</v>
      </c>
      <c r="C257" s="2">
        <v>46004</v>
      </c>
      <c r="D257">
        <v>2205</v>
      </c>
      <c r="E257">
        <v>1003</v>
      </c>
      <c r="F257">
        <v>3</v>
      </c>
      <c r="G257">
        <v>673.11</v>
      </c>
      <c r="H257" s="2">
        <v>46007</v>
      </c>
      <c r="I257" s="2">
        <v>46014</v>
      </c>
      <c r="J257" t="s">
        <v>9</v>
      </c>
      <c r="K257" s="2" t="str">
        <f>IFERROR(INDEX(Product_lookup[Category],MATCH(RawWorking[[#This Row],[ProductID]],Product_lookup[ProductID],0)),"")</f>
        <v>Electronics</v>
      </c>
      <c r="L257" s="9">
        <f>IF(OR(RawWorking[[#This Row],[ShipDate]]="",RawWorking[[#This Row],[DeliveryDate]]=""),"",RawWorking[[#This Row],[DeliveryDate]]-RawWorking[[#This Row],[ShipDate]])</f>
        <v>7</v>
      </c>
      <c r="M257" s="9">
        <f>IF(COUNTIF(INDEX(RawWorking[OrderID],1):RawWorking[[#This Row],[OrderID]],RawWorking[[#This Row],[OrderID]])=1,1,0)</f>
        <v>1</v>
      </c>
      <c r="N257" s="4">
        <f>IFERROR(RawWorking[[#This Row],[LineAmount]]/RawWorking[[#This Row],[Quantity]],"")</f>
        <v>224.37</v>
      </c>
    </row>
    <row r="258" spans="1:14">
      <c r="A258">
        <v>50257</v>
      </c>
      <c r="B258">
        <v>30145</v>
      </c>
      <c r="C258" s="2">
        <v>46004</v>
      </c>
      <c r="D258">
        <v>2205</v>
      </c>
      <c r="E258">
        <v>1015</v>
      </c>
      <c r="F258">
        <v>2</v>
      </c>
      <c r="G258">
        <v>239.48</v>
      </c>
      <c r="H258" s="2">
        <v>46007</v>
      </c>
      <c r="I258" s="2">
        <v>46012</v>
      </c>
      <c r="J258" t="s">
        <v>9</v>
      </c>
      <c r="K258" s="2" t="str">
        <f>IFERROR(INDEX(Product_lookup[Category],MATCH(RawWorking[[#This Row],[ProductID]],Product_lookup[ProductID],0)),"")</f>
        <v>Sports</v>
      </c>
      <c r="L258" s="9">
        <f>IF(OR(RawWorking[[#This Row],[ShipDate]]="",RawWorking[[#This Row],[DeliveryDate]]=""),"",RawWorking[[#This Row],[DeliveryDate]]-RawWorking[[#This Row],[ShipDate]])</f>
        <v>5</v>
      </c>
      <c r="M258" s="9">
        <f>IF(COUNTIF(INDEX(RawWorking[OrderID],1):RawWorking[[#This Row],[OrderID]],RawWorking[[#This Row],[OrderID]])=1,1,0)</f>
        <v>0</v>
      </c>
      <c r="N258" s="4">
        <f>IFERROR(RawWorking[[#This Row],[LineAmount]]/RawWorking[[#This Row],[Quantity]],"")</f>
        <v>119.74</v>
      </c>
    </row>
    <row r="259" spans="1:14">
      <c r="A259">
        <v>50258</v>
      </c>
      <c r="B259">
        <v>30146</v>
      </c>
      <c r="C259" s="2">
        <v>45725</v>
      </c>
      <c r="D259">
        <v>2177</v>
      </c>
      <c r="E259">
        <v>1015</v>
      </c>
      <c r="F259">
        <v>1</v>
      </c>
      <c r="G259">
        <v>119.74</v>
      </c>
      <c r="H259" s="2" t="s">
        <v>1421</v>
      </c>
      <c r="I259" s="2" t="s">
        <v>1421</v>
      </c>
      <c r="J259" t="s">
        <v>12</v>
      </c>
      <c r="K259" s="2" t="str">
        <f>IFERROR(INDEX(Product_lookup[Category],MATCH(RawWorking[[#This Row],[ProductID]],Product_lookup[ProductID],0)),"")</f>
        <v>Sports</v>
      </c>
      <c r="L259" s="9" t="str">
        <f>IF(OR(RawWorking[[#This Row],[ShipDate]]="",RawWorking[[#This Row],[DeliveryDate]]=""),"",RawWorking[[#This Row],[DeliveryDate]]-RawWorking[[#This Row],[ShipDate]])</f>
        <v/>
      </c>
      <c r="M259" s="9">
        <f>IF(COUNTIF(INDEX(RawWorking[OrderID],1):RawWorking[[#This Row],[OrderID]],RawWorking[[#This Row],[OrderID]])=1,1,0)</f>
        <v>1</v>
      </c>
      <c r="N259" s="4">
        <f>IFERROR(RawWorking[[#This Row],[LineAmount]]/RawWorking[[#This Row],[Quantity]],"")</f>
        <v>119.74</v>
      </c>
    </row>
    <row r="260" spans="1:14">
      <c r="A260">
        <v>50259</v>
      </c>
      <c r="B260">
        <v>30146</v>
      </c>
      <c r="C260" s="2">
        <v>45725</v>
      </c>
      <c r="D260">
        <v>2177</v>
      </c>
      <c r="E260">
        <v>1003</v>
      </c>
      <c r="F260">
        <v>2</v>
      </c>
      <c r="G260">
        <v>448.74</v>
      </c>
      <c r="H260" s="2" t="s">
        <v>1421</v>
      </c>
      <c r="I260" s="2" t="s">
        <v>1421</v>
      </c>
      <c r="J260" t="s">
        <v>12</v>
      </c>
      <c r="K260" s="2" t="str">
        <f>IFERROR(INDEX(Product_lookup[Category],MATCH(RawWorking[[#This Row],[ProductID]],Product_lookup[ProductID],0)),"")</f>
        <v>Electronics</v>
      </c>
      <c r="L260" s="9" t="str">
        <f>IF(OR(RawWorking[[#This Row],[ShipDate]]="",RawWorking[[#This Row],[DeliveryDate]]=""),"",RawWorking[[#This Row],[DeliveryDate]]-RawWorking[[#This Row],[ShipDate]])</f>
        <v/>
      </c>
      <c r="M260" s="9">
        <f>IF(COUNTIF(INDEX(RawWorking[OrderID],1):RawWorking[[#This Row],[OrderID]],RawWorking[[#This Row],[OrderID]])=1,1,0)</f>
        <v>0</v>
      </c>
      <c r="N260" s="4">
        <f>IFERROR(RawWorking[[#This Row],[LineAmount]]/RawWorking[[#This Row],[Quantity]],"")</f>
        <v>224.37</v>
      </c>
    </row>
    <row r="261" spans="1:14">
      <c r="A261">
        <v>50260</v>
      </c>
      <c r="B261">
        <v>30147</v>
      </c>
      <c r="C261" s="2">
        <v>45774</v>
      </c>
      <c r="D261">
        <v>2328</v>
      </c>
      <c r="E261">
        <v>1003</v>
      </c>
      <c r="F261">
        <v>1</v>
      </c>
      <c r="G261">
        <v>224.37</v>
      </c>
      <c r="H261" s="2">
        <v>45777</v>
      </c>
      <c r="I261" s="2">
        <v>45779</v>
      </c>
      <c r="J261" t="s">
        <v>9</v>
      </c>
      <c r="K261" s="2" t="str">
        <f>IFERROR(INDEX(Product_lookup[Category],MATCH(RawWorking[[#This Row],[ProductID]],Product_lookup[ProductID],0)),"")</f>
        <v>Electronics</v>
      </c>
      <c r="L261" s="9">
        <f>IF(OR(RawWorking[[#This Row],[ShipDate]]="",RawWorking[[#This Row],[DeliveryDate]]=""),"",RawWorking[[#This Row],[DeliveryDate]]-RawWorking[[#This Row],[ShipDate]])</f>
        <v>2</v>
      </c>
      <c r="M261" s="9">
        <f>IF(COUNTIF(INDEX(RawWorking[OrderID],1):RawWorking[[#This Row],[OrderID]],RawWorking[[#This Row],[OrderID]])=1,1,0)</f>
        <v>1</v>
      </c>
      <c r="N261" s="4">
        <f>IFERROR(RawWorking[[#This Row],[LineAmount]]/RawWorking[[#This Row],[Quantity]],"")</f>
        <v>224.37</v>
      </c>
    </row>
    <row r="262" spans="1:14">
      <c r="A262">
        <v>50261</v>
      </c>
      <c r="B262">
        <v>30148</v>
      </c>
      <c r="C262" s="2">
        <v>45671</v>
      </c>
      <c r="D262">
        <v>2564</v>
      </c>
      <c r="E262">
        <v>1010</v>
      </c>
      <c r="F262">
        <v>1</v>
      </c>
      <c r="G262">
        <v>121.5</v>
      </c>
      <c r="H262" s="2">
        <v>45672</v>
      </c>
      <c r="I262" s="2">
        <v>45673</v>
      </c>
      <c r="J262" t="s">
        <v>9</v>
      </c>
      <c r="K262" s="2" t="str">
        <f>IFERROR(INDEX(Product_lookup[Category],MATCH(RawWorking[[#This Row],[ProductID]],Product_lookup[ProductID],0)),"")</f>
        <v>Office</v>
      </c>
      <c r="L262" s="9">
        <f>IF(OR(RawWorking[[#This Row],[ShipDate]]="",RawWorking[[#This Row],[DeliveryDate]]=""),"",RawWorking[[#This Row],[DeliveryDate]]-RawWorking[[#This Row],[ShipDate]])</f>
        <v>1</v>
      </c>
      <c r="M262" s="9">
        <f>IF(COUNTIF(INDEX(RawWorking[OrderID],1):RawWorking[[#This Row],[OrderID]],RawWorking[[#This Row],[OrderID]])=1,1,0)</f>
        <v>1</v>
      </c>
      <c r="N262" s="4">
        <f>IFERROR(RawWorking[[#This Row],[LineAmount]]/RawWorking[[#This Row],[Quantity]],"")</f>
        <v>121.5</v>
      </c>
    </row>
    <row r="263" spans="1:14">
      <c r="A263">
        <v>50262</v>
      </c>
      <c r="B263">
        <v>30148</v>
      </c>
      <c r="C263" s="2">
        <v>45671</v>
      </c>
      <c r="D263">
        <v>2564</v>
      </c>
      <c r="E263">
        <v>1006</v>
      </c>
      <c r="F263">
        <v>1</v>
      </c>
      <c r="G263">
        <v>253.86</v>
      </c>
      <c r="H263" s="2">
        <v>45673</v>
      </c>
      <c r="I263" s="2">
        <v>45674</v>
      </c>
      <c r="J263" t="s">
        <v>9</v>
      </c>
      <c r="K263" s="2" t="str">
        <f>IFERROR(INDEX(Product_lookup[Category],MATCH(RawWorking[[#This Row],[ProductID]],Product_lookup[ProductID],0)),"")</f>
        <v>Home</v>
      </c>
      <c r="L263" s="9">
        <f>IF(OR(RawWorking[[#This Row],[ShipDate]]="",RawWorking[[#This Row],[DeliveryDate]]=""),"",RawWorking[[#This Row],[DeliveryDate]]-RawWorking[[#This Row],[ShipDate]])</f>
        <v>1</v>
      </c>
      <c r="M263" s="9">
        <f>IF(COUNTIF(INDEX(RawWorking[OrderID],1):RawWorking[[#This Row],[OrderID]],RawWorking[[#This Row],[OrderID]])=1,1,0)</f>
        <v>0</v>
      </c>
      <c r="N263" s="4">
        <f>IFERROR(RawWorking[[#This Row],[LineAmount]]/RawWorking[[#This Row],[Quantity]],"")</f>
        <v>253.86</v>
      </c>
    </row>
    <row r="264" spans="1:14">
      <c r="A264">
        <v>50263</v>
      </c>
      <c r="B264">
        <v>30148</v>
      </c>
      <c r="C264" s="2">
        <v>45671</v>
      </c>
      <c r="D264">
        <v>2564</v>
      </c>
      <c r="E264">
        <v>1006</v>
      </c>
      <c r="F264">
        <v>1</v>
      </c>
      <c r="G264">
        <v>253.86</v>
      </c>
      <c r="H264" s="2">
        <v>45672</v>
      </c>
      <c r="I264" s="2">
        <v>45678</v>
      </c>
      <c r="J264" t="s">
        <v>9</v>
      </c>
      <c r="K264" s="2" t="str">
        <f>IFERROR(INDEX(Product_lookup[Category],MATCH(RawWorking[[#This Row],[ProductID]],Product_lookup[ProductID],0)),"")</f>
        <v>Home</v>
      </c>
      <c r="L264" s="9">
        <f>IF(OR(RawWorking[[#This Row],[ShipDate]]="",RawWorking[[#This Row],[DeliveryDate]]=""),"",RawWorking[[#This Row],[DeliveryDate]]-RawWorking[[#This Row],[ShipDate]])</f>
        <v>6</v>
      </c>
      <c r="M264" s="9">
        <f>IF(COUNTIF(INDEX(RawWorking[OrderID],1):RawWorking[[#This Row],[OrderID]],RawWorking[[#This Row],[OrderID]])=1,1,0)</f>
        <v>0</v>
      </c>
      <c r="N264" s="4">
        <f>IFERROR(RawWorking[[#This Row],[LineAmount]]/RawWorking[[#This Row],[Quantity]],"")</f>
        <v>253.86</v>
      </c>
    </row>
    <row r="265" spans="1:14">
      <c r="A265">
        <v>50264</v>
      </c>
      <c r="B265">
        <v>30148</v>
      </c>
      <c r="C265" s="2">
        <v>45671</v>
      </c>
      <c r="D265">
        <v>2564</v>
      </c>
      <c r="E265">
        <v>1012</v>
      </c>
      <c r="F265">
        <v>1</v>
      </c>
      <c r="G265">
        <v>241.54</v>
      </c>
      <c r="H265" s="2">
        <v>45672</v>
      </c>
      <c r="I265" s="2">
        <v>45673</v>
      </c>
      <c r="J265" t="s">
        <v>9</v>
      </c>
      <c r="K265" s="2" t="str">
        <f>IFERROR(INDEX(Product_lookup[Category],MATCH(RawWorking[[#This Row],[ProductID]],Product_lookup[ProductID],0)),"")</f>
        <v>Office</v>
      </c>
      <c r="L265" s="9">
        <f>IF(OR(RawWorking[[#This Row],[ShipDate]]="",RawWorking[[#This Row],[DeliveryDate]]=""),"",RawWorking[[#This Row],[DeliveryDate]]-RawWorking[[#This Row],[ShipDate]])</f>
        <v>1</v>
      </c>
      <c r="M265" s="9">
        <f>IF(COUNTIF(INDEX(RawWorking[OrderID],1):RawWorking[[#This Row],[OrderID]],RawWorking[[#This Row],[OrderID]])=1,1,0)</f>
        <v>0</v>
      </c>
      <c r="N265" s="4">
        <f>IFERROR(RawWorking[[#This Row],[LineAmount]]/RawWorking[[#This Row],[Quantity]],"")</f>
        <v>241.54</v>
      </c>
    </row>
    <row r="266" spans="1:14">
      <c r="A266">
        <v>50265</v>
      </c>
      <c r="B266">
        <v>30149</v>
      </c>
      <c r="C266" s="2">
        <v>45968</v>
      </c>
      <c r="D266">
        <v>2521</v>
      </c>
      <c r="E266">
        <v>1007</v>
      </c>
      <c r="F266">
        <v>1</v>
      </c>
      <c r="G266">
        <v>199.81</v>
      </c>
      <c r="H266" s="2">
        <v>45969</v>
      </c>
      <c r="I266" s="2">
        <v>45978</v>
      </c>
      <c r="J266" t="s">
        <v>9</v>
      </c>
      <c r="K266" s="2" t="str">
        <f>IFERROR(INDEX(Product_lookup[Category],MATCH(RawWorking[[#This Row],[ProductID]],Product_lookup[ProductID],0)),"")</f>
        <v>Home</v>
      </c>
      <c r="L266" s="9">
        <f>IF(OR(RawWorking[[#This Row],[ShipDate]]="",RawWorking[[#This Row],[DeliveryDate]]=""),"",RawWorking[[#This Row],[DeliveryDate]]-RawWorking[[#This Row],[ShipDate]])</f>
        <v>9</v>
      </c>
      <c r="M266" s="9">
        <f>IF(COUNTIF(INDEX(RawWorking[OrderID],1):RawWorking[[#This Row],[OrderID]],RawWorking[[#This Row],[OrderID]])=1,1,0)</f>
        <v>1</v>
      </c>
      <c r="N266" s="4">
        <f>IFERROR(RawWorking[[#This Row],[LineAmount]]/RawWorking[[#This Row],[Quantity]],"")</f>
        <v>199.81</v>
      </c>
    </row>
    <row r="267" spans="1:14">
      <c r="A267">
        <v>50266</v>
      </c>
      <c r="B267">
        <v>30150</v>
      </c>
      <c r="C267" s="2">
        <v>45912</v>
      </c>
      <c r="D267">
        <v>2143</v>
      </c>
      <c r="E267">
        <v>1016</v>
      </c>
      <c r="F267">
        <v>1</v>
      </c>
      <c r="G267">
        <v>65.260000000000005</v>
      </c>
      <c r="H267" s="2">
        <v>45914</v>
      </c>
      <c r="I267" s="2">
        <v>45918</v>
      </c>
      <c r="J267" t="s">
        <v>9</v>
      </c>
      <c r="K267" s="2" t="str">
        <f>IFERROR(INDEX(Product_lookup[Category],MATCH(RawWorking[[#This Row],[ProductID]],Product_lookup[ProductID],0)),"")</f>
        <v>Sports</v>
      </c>
      <c r="L267" s="9">
        <f>IF(OR(RawWorking[[#This Row],[ShipDate]]="",RawWorking[[#This Row],[DeliveryDate]]=""),"",RawWorking[[#This Row],[DeliveryDate]]-RawWorking[[#This Row],[ShipDate]])</f>
        <v>4</v>
      </c>
      <c r="M267" s="9">
        <f>IF(COUNTIF(INDEX(RawWorking[OrderID],1):RawWorking[[#This Row],[OrderID]],RawWorking[[#This Row],[OrderID]])=1,1,0)</f>
        <v>1</v>
      </c>
      <c r="N267" s="4">
        <f>IFERROR(RawWorking[[#This Row],[LineAmount]]/RawWorking[[#This Row],[Quantity]],"")</f>
        <v>65.260000000000005</v>
      </c>
    </row>
    <row r="268" spans="1:14">
      <c r="A268">
        <v>50267</v>
      </c>
      <c r="B268">
        <v>30151</v>
      </c>
      <c r="C268" s="2">
        <v>45742</v>
      </c>
      <c r="D268">
        <v>2027</v>
      </c>
      <c r="E268">
        <v>1012</v>
      </c>
      <c r="F268">
        <v>1</v>
      </c>
      <c r="G268">
        <v>241.54</v>
      </c>
      <c r="H268" s="2">
        <v>45744</v>
      </c>
      <c r="I268" s="2">
        <v>45749</v>
      </c>
      <c r="J268" t="s">
        <v>9</v>
      </c>
      <c r="K268" s="2" t="str">
        <f>IFERROR(INDEX(Product_lookup[Category],MATCH(RawWorking[[#This Row],[ProductID]],Product_lookup[ProductID],0)),"")</f>
        <v>Office</v>
      </c>
      <c r="L268" s="9">
        <f>IF(OR(RawWorking[[#This Row],[ShipDate]]="",RawWorking[[#This Row],[DeliveryDate]]=""),"",RawWorking[[#This Row],[DeliveryDate]]-RawWorking[[#This Row],[ShipDate]])</f>
        <v>5</v>
      </c>
      <c r="M268" s="9">
        <f>IF(COUNTIF(INDEX(RawWorking[OrderID],1):RawWorking[[#This Row],[OrderID]],RawWorking[[#This Row],[OrderID]])=1,1,0)</f>
        <v>1</v>
      </c>
      <c r="N268" s="4">
        <f>IFERROR(RawWorking[[#This Row],[LineAmount]]/RawWorking[[#This Row],[Quantity]],"")</f>
        <v>241.54</v>
      </c>
    </row>
    <row r="269" spans="1:14">
      <c r="A269">
        <v>50268</v>
      </c>
      <c r="B269">
        <v>30152</v>
      </c>
      <c r="C269" s="2">
        <v>45972</v>
      </c>
      <c r="D269">
        <v>2479</v>
      </c>
      <c r="E269">
        <v>1005</v>
      </c>
      <c r="F269">
        <v>1</v>
      </c>
      <c r="G269">
        <v>31.73</v>
      </c>
      <c r="H269" s="2" t="s">
        <v>1421</v>
      </c>
      <c r="I269" s="2" t="s">
        <v>1421</v>
      </c>
      <c r="J269" t="s">
        <v>16</v>
      </c>
      <c r="K269" s="2" t="str">
        <f>IFERROR(INDEX(Product_lookup[Category],MATCH(RawWorking[[#This Row],[ProductID]],Product_lookup[ProductID],0)),"")</f>
        <v>Electronics</v>
      </c>
      <c r="L269" s="9" t="str">
        <f>IF(OR(RawWorking[[#This Row],[ShipDate]]="",RawWorking[[#This Row],[DeliveryDate]]=""),"",RawWorking[[#This Row],[DeliveryDate]]-RawWorking[[#This Row],[ShipDate]])</f>
        <v/>
      </c>
      <c r="M269" s="9">
        <f>IF(COUNTIF(INDEX(RawWorking[OrderID],1):RawWorking[[#This Row],[OrderID]],RawWorking[[#This Row],[OrderID]])=1,1,0)</f>
        <v>1</v>
      </c>
      <c r="N269" s="4">
        <f>IFERROR(RawWorking[[#This Row],[LineAmount]]/RawWorking[[#This Row],[Quantity]],"")</f>
        <v>31.73</v>
      </c>
    </row>
    <row r="270" spans="1:14">
      <c r="A270">
        <v>50269</v>
      </c>
      <c r="B270">
        <v>30153</v>
      </c>
      <c r="C270" s="2">
        <v>45758</v>
      </c>
      <c r="D270">
        <v>2089</v>
      </c>
      <c r="E270">
        <v>1013</v>
      </c>
      <c r="F270">
        <v>1</v>
      </c>
      <c r="G270">
        <v>170.25</v>
      </c>
      <c r="H270" s="2">
        <v>45760</v>
      </c>
      <c r="I270" s="2">
        <v>45766</v>
      </c>
      <c r="J270" t="s">
        <v>9</v>
      </c>
      <c r="K270" s="2" t="str">
        <f>IFERROR(INDEX(Product_lookup[Category],MATCH(RawWorking[[#This Row],[ProductID]],Product_lookup[ProductID],0)),"")</f>
        <v>Office</v>
      </c>
      <c r="L270" s="9">
        <f>IF(OR(RawWorking[[#This Row],[ShipDate]]="",RawWorking[[#This Row],[DeliveryDate]]=""),"",RawWorking[[#This Row],[DeliveryDate]]-RawWorking[[#This Row],[ShipDate]])</f>
        <v>6</v>
      </c>
      <c r="M270" s="9">
        <f>IF(COUNTIF(INDEX(RawWorking[OrderID],1):RawWorking[[#This Row],[OrderID]],RawWorking[[#This Row],[OrderID]])=1,1,0)</f>
        <v>1</v>
      </c>
      <c r="N270" s="4">
        <f>IFERROR(RawWorking[[#This Row],[LineAmount]]/RawWorking[[#This Row],[Quantity]],"")</f>
        <v>170.25</v>
      </c>
    </row>
    <row r="271" spans="1:14">
      <c r="A271">
        <v>50270</v>
      </c>
      <c r="B271">
        <v>30154</v>
      </c>
      <c r="C271" s="2">
        <v>45942</v>
      </c>
      <c r="D271">
        <v>2491</v>
      </c>
      <c r="E271">
        <v>1014</v>
      </c>
      <c r="F271">
        <v>1</v>
      </c>
      <c r="G271">
        <v>215.34</v>
      </c>
      <c r="H271" s="2">
        <v>45943</v>
      </c>
      <c r="I271" s="2">
        <v>45947</v>
      </c>
      <c r="J271" t="s">
        <v>9</v>
      </c>
      <c r="K271" s="2" t="str">
        <f>IFERROR(INDEX(Product_lookup[Category],MATCH(RawWorking[[#This Row],[ProductID]],Product_lookup[ProductID],0)),"")</f>
        <v>Sports</v>
      </c>
      <c r="L271" s="9">
        <f>IF(OR(RawWorking[[#This Row],[ShipDate]]="",RawWorking[[#This Row],[DeliveryDate]]=""),"",RawWorking[[#This Row],[DeliveryDate]]-RawWorking[[#This Row],[ShipDate]])</f>
        <v>4</v>
      </c>
      <c r="M271" s="9">
        <f>IF(COUNTIF(INDEX(RawWorking[OrderID],1):RawWorking[[#This Row],[OrderID]],RawWorking[[#This Row],[OrderID]])=1,1,0)</f>
        <v>1</v>
      </c>
      <c r="N271" s="4">
        <f>IFERROR(RawWorking[[#This Row],[LineAmount]]/RawWorking[[#This Row],[Quantity]],"")</f>
        <v>215.34</v>
      </c>
    </row>
    <row r="272" spans="1:14">
      <c r="A272">
        <v>50271</v>
      </c>
      <c r="B272">
        <v>30154</v>
      </c>
      <c r="C272" s="2">
        <v>45942</v>
      </c>
      <c r="D272">
        <v>2491</v>
      </c>
      <c r="E272">
        <v>1003</v>
      </c>
      <c r="F272">
        <v>1</v>
      </c>
      <c r="G272">
        <v>224.37</v>
      </c>
      <c r="H272" s="2">
        <v>45945</v>
      </c>
      <c r="I272" s="2">
        <v>45950</v>
      </c>
      <c r="J272" t="s">
        <v>9</v>
      </c>
      <c r="K272" s="2" t="str">
        <f>IFERROR(INDEX(Product_lookup[Category],MATCH(RawWorking[[#This Row],[ProductID]],Product_lookup[ProductID],0)),"")</f>
        <v>Electronics</v>
      </c>
      <c r="L272" s="9">
        <f>IF(OR(RawWorking[[#This Row],[ShipDate]]="",RawWorking[[#This Row],[DeliveryDate]]=""),"",RawWorking[[#This Row],[DeliveryDate]]-RawWorking[[#This Row],[ShipDate]])</f>
        <v>5</v>
      </c>
      <c r="M272" s="9">
        <f>IF(COUNTIF(INDEX(RawWorking[OrderID],1):RawWorking[[#This Row],[OrderID]],RawWorking[[#This Row],[OrderID]])=1,1,0)</f>
        <v>0</v>
      </c>
      <c r="N272" s="4">
        <f>IFERROR(RawWorking[[#This Row],[LineAmount]]/RawWorking[[#This Row],[Quantity]],"")</f>
        <v>224.37</v>
      </c>
    </row>
    <row r="273" spans="1:14">
      <c r="A273">
        <v>50272</v>
      </c>
      <c r="B273">
        <v>30154</v>
      </c>
      <c r="C273" s="2">
        <v>45942</v>
      </c>
      <c r="D273">
        <v>2491</v>
      </c>
      <c r="E273">
        <v>1005</v>
      </c>
      <c r="F273">
        <v>2</v>
      </c>
      <c r="G273">
        <v>63.46</v>
      </c>
      <c r="H273" s="2">
        <v>45944</v>
      </c>
      <c r="I273" s="2">
        <v>45947</v>
      </c>
      <c r="J273" t="s">
        <v>9</v>
      </c>
      <c r="K273" s="2" t="str">
        <f>IFERROR(INDEX(Product_lookup[Category],MATCH(RawWorking[[#This Row],[ProductID]],Product_lookup[ProductID],0)),"")</f>
        <v>Electronics</v>
      </c>
      <c r="L273" s="9">
        <f>IF(OR(RawWorking[[#This Row],[ShipDate]]="",RawWorking[[#This Row],[DeliveryDate]]=""),"",RawWorking[[#This Row],[DeliveryDate]]-RawWorking[[#This Row],[ShipDate]])</f>
        <v>3</v>
      </c>
      <c r="M273" s="9">
        <f>IF(COUNTIF(INDEX(RawWorking[OrderID],1):RawWorking[[#This Row],[OrderID]],RawWorking[[#This Row],[OrderID]])=1,1,0)</f>
        <v>0</v>
      </c>
      <c r="N273" s="4">
        <f>IFERROR(RawWorking[[#This Row],[LineAmount]]/RawWorking[[#This Row],[Quantity]],"")</f>
        <v>31.73</v>
      </c>
    </row>
    <row r="274" spans="1:14">
      <c r="A274">
        <v>50273</v>
      </c>
      <c r="B274">
        <v>30155</v>
      </c>
      <c r="C274" s="2">
        <v>45929</v>
      </c>
      <c r="D274">
        <v>2325</v>
      </c>
      <c r="E274">
        <v>1015</v>
      </c>
      <c r="F274">
        <v>1</v>
      </c>
      <c r="G274">
        <v>119.74</v>
      </c>
      <c r="H274" s="2">
        <v>45930</v>
      </c>
      <c r="I274" s="2">
        <v>45935</v>
      </c>
      <c r="J274" t="s">
        <v>9</v>
      </c>
      <c r="K274" s="2" t="str">
        <f>IFERROR(INDEX(Product_lookup[Category],MATCH(RawWorking[[#This Row],[ProductID]],Product_lookup[ProductID],0)),"")</f>
        <v>Sports</v>
      </c>
      <c r="L274" s="9">
        <f>IF(OR(RawWorking[[#This Row],[ShipDate]]="",RawWorking[[#This Row],[DeliveryDate]]=""),"",RawWorking[[#This Row],[DeliveryDate]]-RawWorking[[#This Row],[ShipDate]])</f>
        <v>5</v>
      </c>
      <c r="M274" s="9">
        <f>IF(COUNTIF(INDEX(RawWorking[OrderID],1):RawWorking[[#This Row],[OrderID]],RawWorking[[#This Row],[OrderID]])=1,1,0)</f>
        <v>1</v>
      </c>
      <c r="N274" s="4">
        <f>IFERROR(RawWorking[[#This Row],[LineAmount]]/RawWorking[[#This Row],[Quantity]],"")</f>
        <v>119.74</v>
      </c>
    </row>
    <row r="275" spans="1:14">
      <c r="A275">
        <v>50274</v>
      </c>
      <c r="B275">
        <v>30155</v>
      </c>
      <c r="C275" s="2">
        <v>45929</v>
      </c>
      <c r="D275">
        <v>2325</v>
      </c>
      <c r="E275">
        <v>1015</v>
      </c>
      <c r="F275">
        <v>2</v>
      </c>
      <c r="G275">
        <v>239.48</v>
      </c>
      <c r="H275" s="2">
        <v>45931</v>
      </c>
      <c r="I275" s="2">
        <v>45933</v>
      </c>
      <c r="J275" t="s">
        <v>9</v>
      </c>
      <c r="K275" s="2" t="str">
        <f>IFERROR(INDEX(Product_lookup[Category],MATCH(RawWorking[[#This Row],[ProductID]],Product_lookup[ProductID],0)),"")</f>
        <v>Sports</v>
      </c>
      <c r="L275" s="9">
        <f>IF(OR(RawWorking[[#This Row],[ShipDate]]="",RawWorking[[#This Row],[DeliveryDate]]=""),"",RawWorking[[#This Row],[DeliveryDate]]-RawWorking[[#This Row],[ShipDate]])</f>
        <v>2</v>
      </c>
      <c r="M275" s="9">
        <f>IF(COUNTIF(INDEX(RawWorking[OrderID],1):RawWorking[[#This Row],[OrderID]],RawWorking[[#This Row],[OrderID]])=1,1,0)</f>
        <v>0</v>
      </c>
      <c r="N275" s="4">
        <f>IFERROR(RawWorking[[#This Row],[LineAmount]]/RawWorking[[#This Row],[Quantity]],"")</f>
        <v>119.74</v>
      </c>
    </row>
    <row r="276" spans="1:14">
      <c r="A276">
        <v>50275</v>
      </c>
      <c r="B276">
        <v>30155</v>
      </c>
      <c r="C276" s="2">
        <v>45929</v>
      </c>
      <c r="D276">
        <v>2325</v>
      </c>
      <c r="E276">
        <v>1012</v>
      </c>
      <c r="F276">
        <v>1</v>
      </c>
      <c r="G276">
        <v>241.54</v>
      </c>
      <c r="H276" s="2">
        <v>45930</v>
      </c>
      <c r="I276" s="2">
        <v>45934</v>
      </c>
      <c r="J276" t="s">
        <v>9</v>
      </c>
      <c r="K276" s="2" t="str">
        <f>IFERROR(INDEX(Product_lookup[Category],MATCH(RawWorking[[#This Row],[ProductID]],Product_lookup[ProductID],0)),"")</f>
        <v>Office</v>
      </c>
      <c r="L276" s="9">
        <f>IF(OR(RawWorking[[#This Row],[ShipDate]]="",RawWorking[[#This Row],[DeliveryDate]]=""),"",RawWorking[[#This Row],[DeliveryDate]]-RawWorking[[#This Row],[ShipDate]])</f>
        <v>4</v>
      </c>
      <c r="M276" s="9">
        <f>IF(COUNTIF(INDEX(RawWorking[OrderID],1):RawWorking[[#This Row],[OrderID]],RawWorking[[#This Row],[OrderID]])=1,1,0)</f>
        <v>0</v>
      </c>
      <c r="N276" s="4">
        <f>IFERROR(RawWorking[[#This Row],[LineAmount]]/RawWorking[[#This Row],[Quantity]],"")</f>
        <v>241.54</v>
      </c>
    </row>
    <row r="277" spans="1:14">
      <c r="A277">
        <v>50276</v>
      </c>
      <c r="B277">
        <v>30156</v>
      </c>
      <c r="C277" s="2">
        <v>45708</v>
      </c>
      <c r="D277">
        <v>2132</v>
      </c>
      <c r="E277">
        <v>1006</v>
      </c>
      <c r="F277">
        <v>1</v>
      </c>
      <c r="G277">
        <v>253.86</v>
      </c>
      <c r="H277" s="2" t="s">
        <v>1421</v>
      </c>
      <c r="I277" s="2" t="s">
        <v>1421</v>
      </c>
      <c r="J277" t="s">
        <v>12</v>
      </c>
      <c r="K277" s="2" t="str">
        <f>IFERROR(INDEX(Product_lookup[Category],MATCH(RawWorking[[#This Row],[ProductID]],Product_lookup[ProductID],0)),"")</f>
        <v>Home</v>
      </c>
      <c r="L277" s="9" t="str">
        <f>IF(OR(RawWorking[[#This Row],[ShipDate]]="",RawWorking[[#This Row],[DeliveryDate]]=""),"",RawWorking[[#This Row],[DeliveryDate]]-RawWorking[[#This Row],[ShipDate]])</f>
        <v/>
      </c>
      <c r="M277" s="9">
        <f>IF(COUNTIF(INDEX(RawWorking[OrderID],1):RawWorking[[#This Row],[OrderID]],RawWorking[[#This Row],[OrderID]])=1,1,0)</f>
        <v>1</v>
      </c>
      <c r="N277" s="4">
        <f>IFERROR(RawWorking[[#This Row],[LineAmount]]/RawWorking[[#This Row],[Quantity]],"")</f>
        <v>253.86</v>
      </c>
    </row>
    <row r="278" spans="1:14">
      <c r="A278">
        <v>50277</v>
      </c>
      <c r="B278">
        <v>30156</v>
      </c>
      <c r="C278" s="2">
        <v>45708</v>
      </c>
      <c r="D278">
        <v>2132</v>
      </c>
      <c r="E278">
        <v>1005</v>
      </c>
      <c r="F278">
        <v>1</v>
      </c>
      <c r="G278">
        <v>31.73</v>
      </c>
      <c r="H278" s="2" t="s">
        <v>1421</v>
      </c>
      <c r="I278" s="2" t="s">
        <v>1421</v>
      </c>
      <c r="J278" t="s">
        <v>12</v>
      </c>
      <c r="K278" s="2" t="str">
        <f>IFERROR(INDEX(Product_lookup[Category],MATCH(RawWorking[[#This Row],[ProductID]],Product_lookup[ProductID],0)),"")</f>
        <v>Electronics</v>
      </c>
      <c r="L278" s="9" t="str">
        <f>IF(OR(RawWorking[[#This Row],[ShipDate]]="",RawWorking[[#This Row],[DeliveryDate]]=""),"",RawWorking[[#This Row],[DeliveryDate]]-RawWorking[[#This Row],[ShipDate]])</f>
        <v/>
      </c>
      <c r="M278" s="9">
        <f>IF(COUNTIF(INDEX(RawWorking[OrderID],1):RawWorking[[#This Row],[OrderID]],RawWorking[[#This Row],[OrderID]])=1,1,0)</f>
        <v>0</v>
      </c>
      <c r="N278" s="4">
        <f>IFERROR(RawWorking[[#This Row],[LineAmount]]/RawWorking[[#This Row],[Quantity]],"")</f>
        <v>31.73</v>
      </c>
    </row>
    <row r="279" spans="1:14">
      <c r="A279">
        <v>50278</v>
      </c>
      <c r="B279">
        <v>30156</v>
      </c>
      <c r="C279" s="2">
        <v>45708</v>
      </c>
      <c r="D279">
        <v>2132</v>
      </c>
      <c r="E279">
        <v>1014</v>
      </c>
      <c r="F279">
        <v>1</v>
      </c>
      <c r="G279">
        <v>215.34</v>
      </c>
      <c r="H279" s="2" t="s">
        <v>1421</v>
      </c>
      <c r="I279" s="2" t="s">
        <v>1421</v>
      </c>
      <c r="J279" t="s">
        <v>12</v>
      </c>
      <c r="K279" s="2" t="str">
        <f>IFERROR(INDEX(Product_lookup[Category],MATCH(RawWorking[[#This Row],[ProductID]],Product_lookup[ProductID],0)),"")</f>
        <v>Sports</v>
      </c>
      <c r="L279" s="9" t="str">
        <f>IF(OR(RawWorking[[#This Row],[ShipDate]]="",RawWorking[[#This Row],[DeliveryDate]]=""),"",RawWorking[[#This Row],[DeliveryDate]]-RawWorking[[#This Row],[ShipDate]])</f>
        <v/>
      </c>
      <c r="M279" s="9">
        <f>IF(COUNTIF(INDEX(RawWorking[OrderID],1):RawWorking[[#This Row],[OrderID]],RawWorking[[#This Row],[OrderID]])=1,1,0)</f>
        <v>0</v>
      </c>
      <c r="N279" s="4">
        <f>IFERROR(RawWorking[[#This Row],[LineAmount]]/RawWorking[[#This Row],[Quantity]],"")</f>
        <v>215.34</v>
      </c>
    </row>
    <row r="280" spans="1:14">
      <c r="A280">
        <v>50279</v>
      </c>
      <c r="B280">
        <v>30157</v>
      </c>
      <c r="C280" s="2">
        <v>45714</v>
      </c>
      <c r="D280">
        <v>2515</v>
      </c>
      <c r="E280">
        <v>1002</v>
      </c>
      <c r="F280">
        <v>1</v>
      </c>
      <c r="G280">
        <v>118.6</v>
      </c>
      <c r="H280" s="2" t="s">
        <v>1421</v>
      </c>
      <c r="I280" s="2" t="s">
        <v>1421</v>
      </c>
      <c r="J280" t="s">
        <v>12</v>
      </c>
      <c r="K280" s="2" t="str">
        <f>IFERROR(INDEX(Product_lookup[Category],MATCH(RawWorking[[#This Row],[ProductID]],Product_lookup[ProductID],0)),"")</f>
        <v>Electronics</v>
      </c>
      <c r="L280" s="9" t="str">
        <f>IF(OR(RawWorking[[#This Row],[ShipDate]]="",RawWorking[[#This Row],[DeliveryDate]]=""),"",RawWorking[[#This Row],[DeliveryDate]]-RawWorking[[#This Row],[ShipDate]])</f>
        <v/>
      </c>
      <c r="M280" s="9">
        <f>IF(COUNTIF(INDEX(RawWorking[OrderID],1):RawWorking[[#This Row],[OrderID]],RawWorking[[#This Row],[OrderID]])=1,1,0)</f>
        <v>1</v>
      </c>
      <c r="N280" s="4">
        <f>IFERROR(RawWorking[[#This Row],[LineAmount]]/RawWorking[[#This Row],[Quantity]],"")</f>
        <v>118.6</v>
      </c>
    </row>
    <row r="281" spans="1:14">
      <c r="A281">
        <v>50280</v>
      </c>
      <c r="B281">
        <v>30157</v>
      </c>
      <c r="C281" s="2">
        <v>45714</v>
      </c>
      <c r="D281">
        <v>2515</v>
      </c>
      <c r="E281">
        <v>1004</v>
      </c>
      <c r="F281">
        <v>1</v>
      </c>
      <c r="G281">
        <v>183.74</v>
      </c>
      <c r="H281" s="2" t="s">
        <v>1421</v>
      </c>
      <c r="I281" s="2" t="s">
        <v>1421</v>
      </c>
      <c r="J281" t="s">
        <v>12</v>
      </c>
      <c r="K281" s="2" t="str">
        <f>IFERROR(INDEX(Product_lookup[Category],MATCH(RawWorking[[#This Row],[ProductID]],Product_lookup[ProductID],0)),"")</f>
        <v>Electronics</v>
      </c>
      <c r="L281" s="9" t="str">
        <f>IF(OR(RawWorking[[#This Row],[ShipDate]]="",RawWorking[[#This Row],[DeliveryDate]]=""),"",RawWorking[[#This Row],[DeliveryDate]]-RawWorking[[#This Row],[ShipDate]])</f>
        <v/>
      </c>
      <c r="M281" s="9">
        <f>IF(COUNTIF(INDEX(RawWorking[OrderID],1):RawWorking[[#This Row],[OrderID]],RawWorking[[#This Row],[OrderID]])=1,1,0)</f>
        <v>0</v>
      </c>
      <c r="N281" s="4">
        <f>IFERROR(RawWorking[[#This Row],[LineAmount]]/RawWorking[[#This Row],[Quantity]],"")</f>
        <v>183.74</v>
      </c>
    </row>
    <row r="282" spans="1:14">
      <c r="A282">
        <v>50281</v>
      </c>
      <c r="B282">
        <v>30158</v>
      </c>
      <c r="C282" s="2">
        <v>45698</v>
      </c>
      <c r="D282">
        <v>2531</v>
      </c>
      <c r="E282">
        <v>1006</v>
      </c>
      <c r="F282">
        <v>3</v>
      </c>
      <c r="G282">
        <v>761.58</v>
      </c>
      <c r="H282" s="2">
        <v>45700</v>
      </c>
      <c r="I282" s="2">
        <v>45701</v>
      </c>
      <c r="J282" t="s">
        <v>9</v>
      </c>
      <c r="K282" s="2" t="str">
        <f>IFERROR(INDEX(Product_lookup[Category],MATCH(RawWorking[[#This Row],[ProductID]],Product_lookup[ProductID],0)),"")</f>
        <v>Home</v>
      </c>
      <c r="L282" s="9">
        <f>IF(OR(RawWorking[[#This Row],[ShipDate]]="",RawWorking[[#This Row],[DeliveryDate]]=""),"",RawWorking[[#This Row],[DeliveryDate]]-RawWorking[[#This Row],[ShipDate]])</f>
        <v>1</v>
      </c>
      <c r="M282" s="9">
        <f>IF(COUNTIF(INDEX(RawWorking[OrderID],1):RawWorking[[#This Row],[OrderID]],RawWorking[[#This Row],[OrderID]])=1,1,0)</f>
        <v>1</v>
      </c>
      <c r="N282" s="4">
        <f>IFERROR(RawWorking[[#This Row],[LineAmount]]/RawWorking[[#This Row],[Quantity]],"")</f>
        <v>253.86</v>
      </c>
    </row>
    <row r="283" spans="1:14">
      <c r="A283">
        <v>50282</v>
      </c>
      <c r="B283">
        <v>30158</v>
      </c>
      <c r="C283" s="2">
        <v>45698</v>
      </c>
      <c r="D283">
        <v>2531</v>
      </c>
      <c r="E283">
        <v>1006</v>
      </c>
      <c r="F283">
        <v>3</v>
      </c>
      <c r="G283">
        <v>761.58</v>
      </c>
      <c r="H283" s="2">
        <v>45700</v>
      </c>
      <c r="I283" s="2">
        <v>45707</v>
      </c>
      <c r="J283" t="s">
        <v>9</v>
      </c>
      <c r="K283" s="2" t="str">
        <f>IFERROR(INDEX(Product_lookup[Category],MATCH(RawWorking[[#This Row],[ProductID]],Product_lookup[ProductID],0)),"")</f>
        <v>Home</v>
      </c>
      <c r="L283" s="9">
        <f>IF(OR(RawWorking[[#This Row],[ShipDate]]="",RawWorking[[#This Row],[DeliveryDate]]=""),"",RawWorking[[#This Row],[DeliveryDate]]-RawWorking[[#This Row],[ShipDate]])</f>
        <v>7</v>
      </c>
      <c r="M283" s="9">
        <f>IF(COUNTIF(INDEX(RawWorking[OrderID],1):RawWorking[[#This Row],[OrderID]],RawWorking[[#This Row],[OrderID]])=1,1,0)</f>
        <v>0</v>
      </c>
      <c r="N283" s="4">
        <f>IFERROR(RawWorking[[#This Row],[LineAmount]]/RawWorking[[#This Row],[Quantity]],"")</f>
        <v>253.86</v>
      </c>
    </row>
    <row r="284" spans="1:14">
      <c r="A284">
        <v>50283</v>
      </c>
      <c r="B284">
        <v>30159</v>
      </c>
      <c r="C284" s="2">
        <v>45825</v>
      </c>
      <c r="D284">
        <v>2331</v>
      </c>
      <c r="E284">
        <v>1008</v>
      </c>
      <c r="F284">
        <v>3</v>
      </c>
      <c r="G284">
        <v>618.27</v>
      </c>
      <c r="H284" s="2" t="s">
        <v>1421</v>
      </c>
      <c r="I284" s="2" t="s">
        <v>1421</v>
      </c>
      <c r="J284" t="s">
        <v>12</v>
      </c>
      <c r="K284" s="2" t="str">
        <f>IFERROR(INDEX(Product_lookup[Category],MATCH(RawWorking[[#This Row],[ProductID]],Product_lookup[ProductID],0)),"")</f>
        <v>Home</v>
      </c>
      <c r="L284" s="9" t="str">
        <f>IF(OR(RawWorking[[#This Row],[ShipDate]]="",RawWorking[[#This Row],[DeliveryDate]]=""),"",RawWorking[[#This Row],[DeliveryDate]]-RawWorking[[#This Row],[ShipDate]])</f>
        <v/>
      </c>
      <c r="M284" s="9">
        <f>IF(COUNTIF(INDEX(RawWorking[OrderID],1):RawWorking[[#This Row],[OrderID]],RawWorking[[#This Row],[OrderID]])=1,1,0)</f>
        <v>1</v>
      </c>
      <c r="N284" s="4">
        <f>IFERROR(RawWorking[[#This Row],[LineAmount]]/RawWorking[[#This Row],[Quantity]],"")</f>
        <v>206.09</v>
      </c>
    </row>
    <row r="285" spans="1:14">
      <c r="A285">
        <v>50284</v>
      </c>
      <c r="B285">
        <v>30159</v>
      </c>
      <c r="C285" s="2">
        <v>45825</v>
      </c>
      <c r="D285">
        <v>2331</v>
      </c>
      <c r="E285">
        <v>1012</v>
      </c>
      <c r="F285">
        <v>1</v>
      </c>
      <c r="G285">
        <v>241.54</v>
      </c>
      <c r="H285" s="2" t="s">
        <v>1421</v>
      </c>
      <c r="I285" s="2" t="s">
        <v>1421</v>
      </c>
      <c r="J285" t="s">
        <v>12</v>
      </c>
      <c r="K285" s="2" t="str">
        <f>IFERROR(INDEX(Product_lookup[Category],MATCH(RawWorking[[#This Row],[ProductID]],Product_lookup[ProductID],0)),"")</f>
        <v>Office</v>
      </c>
      <c r="L285" s="9" t="str">
        <f>IF(OR(RawWorking[[#This Row],[ShipDate]]="",RawWorking[[#This Row],[DeliveryDate]]=""),"",RawWorking[[#This Row],[DeliveryDate]]-RawWorking[[#This Row],[ShipDate]])</f>
        <v/>
      </c>
      <c r="M285" s="9">
        <f>IF(COUNTIF(INDEX(RawWorking[OrderID],1):RawWorking[[#This Row],[OrderID]],RawWorking[[#This Row],[OrderID]])=1,1,0)</f>
        <v>0</v>
      </c>
      <c r="N285" s="4">
        <f>IFERROR(RawWorking[[#This Row],[LineAmount]]/RawWorking[[#This Row],[Quantity]],"")</f>
        <v>241.54</v>
      </c>
    </row>
    <row r="286" spans="1:14">
      <c r="A286">
        <v>50285</v>
      </c>
      <c r="B286">
        <v>30160</v>
      </c>
      <c r="C286" s="2">
        <v>45717</v>
      </c>
      <c r="D286">
        <v>2532</v>
      </c>
      <c r="E286">
        <v>1003</v>
      </c>
      <c r="F286">
        <v>1</v>
      </c>
      <c r="G286">
        <v>224.37</v>
      </c>
      <c r="H286" s="2" t="s">
        <v>1421</v>
      </c>
      <c r="I286" s="2" t="s">
        <v>1421</v>
      </c>
      <c r="J286" t="s">
        <v>12</v>
      </c>
      <c r="K286" s="2" t="str">
        <f>IFERROR(INDEX(Product_lookup[Category],MATCH(RawWorking[[#This Row],[ProductID]],Product_lookup[ProductID],0)),"")</f>
        <v>Electronics</v>
      </c>
      <c r="L286" s="9" t="str">
        <f>IF(OR(RawWorking[[#This Row],[ShipDate]]="",RawWorking[[#This Row],[DeliveryDate]]=""),"",RawWorking[[#This Row],[DeliveryDate]]-RawWorking[[#This Row],[ShipDate]])</f>
        <v/>
      </c>
      <c r="M286" s="9">
        <f>IF(COUNTIF(INDEX(RawWorking[OrderID],1):RawWorking[[#This Row],[OrderID]],RawWorking[[#This Row],[OrderID]])=1,1,0)</f>
        <v>1</v>
      </c>
      <c r="N286" s="4">
        <f>IFERROR(RawWorking[[#This Row],[LineAmount]]/RawWorking[[#This Row],[Quantity]],"")</f>
        <v>224.37</v>
      </c>
    </row>
    <row r="287" spans="1:14">
      <c r="A287">
        <v>50286</v>
      </c>
      <c r="B287">
        <v>30160</v>
      </c>
      <c r="C287" s="2">
        <v>45717</v>
      </c>
      <c r="D287">
        <v>2532</v>
      </c>
      <c r="E287">
        <v>1009</v>
      </c>
      <c r="F287">
        <v>2</v>
      </c>
      <c r="G287">
        <v>80.56</v>
      </c>
      <c r="H287" s="2" t="s">
        <v>1421</v>
      </c>
      <c r="I287" s="2" t="s">
        <v>1421</v>
      </c>
      <c r="J287" t="s">
        <v>12</v>
      </c>
      <c r="K287" s="2" t="str">
        <f>IFERROR(INDEX(Product_lookup[Category],MATCH(RawWorking[[#This Row],[ProductID]],Product_lookup[ProductID],0)),"")</f>
        <v>Home</v>
      </c>
      <c r="L287" s="9" t="str">
        <f>IF(OR(RawWorking[[#This Row],[ShipDate]]="",RawWorking[[#This Row],[DeliveryDate]]=""),"",RawWorking[[#This Row],[DeliveryDate]]-RawWorking[[#This Row],[ShipDate]])</f>
        <v/>
      </c>
      <c r="M287" s="9">
        <f>IF(COUNTIF(INDEX(RawWorking[OrderID],1):RawWorking[[#This Row],[OrderID]],RawWorking[[#This Row],[OrderID]])=1,1,0)</f>
        <v>0</v>
      </c>
      <c r="N287" s="4">
        <f>IFERROR(RawWorking[[#This Row],[LineAmount]]/RawWorking[[#This Row],[Quantity]],"")</f>
        <v>40.28</v>
      </c>
    </row>
    <row r="288" spans="1:14">
      <c r="A288">
        <v>50287</v>
      </c>
      <c r="B288">
        <v>30160</v>
      </c>
      <c r="C288" s="2">
        <v>45717</v>
      </c>
      <c r="D288">
        <v>2532</v>
      </c>
      <c r="E288">
        <v>1007</v>
      </c>
      <c r="F288">
        <v>5</v>
      </c>
      <c r="G288">
        <v>999.05</v>
      </c>
      <c r="H288" s="2" t="s">
        <v>1421</v>
      </c>
      <c r="I288" s="2" t="s">
        <v>1421</v>
      </c>
      <c r="J288" t="s">
        <v>12</v>
      </c>
      <c r="K288" s="2" t="str">
        <f>IFERROR(INDEX(Product_lookup[Category],MATCH(RawWorking[[#This Row],[ProductID]],Product_lookup[ProductID],0)),"")</f>
        <v>Home</v>
      </c>
      <c r="L288" s="9" t="str">
        <f>IF(OR(RawWorking[[#This Row],[ShipDate]]="",RawWorking[[#This Row],[DeliveryDate]]=""),"",RawWorking[[#This Row],[DeliveryDate]]-RawWorking[[#This Row],[ShipDate]])</f>
        <v/>
      </c>
      <c r="M288" s="9">
        <f>IF(COUNTIF(INDEX(RawWorking[OrderID],1):RawWorking[[#This Row],[OrderID]],RawWorking[[#This Row],[OrderID]])=1,1,0)</f>
        <v>0</v>
      </c>
      <c r="N288" s="4">
        <f>IFERROR(RawWorking[[#This Row],[LineAmount]]/RawWorking[[#This Row],[Quantity]],"")</f>
        <v>199.81</v>
      </c>
    </row>
    <row r="289" spans="1:14">
      <c r="A289">
        <v>50288</v>
      </c>
      <c r="B289">
        <v>30161</v>
      </c>
      <c r="C289" s="2">
        <v>45686</v>
      </c>
      <c r="D289">
        <v>2565</v>
      </c>
      <c r="E289">
        <v>1010</v>
      </c>
      <c r="F289">
        <v>1</v>
      </c>
      <c r="G289">
        <v>121.5</v>
      </c>
      <c r="H289" s="2">
        <v>45688</v>
      </c>
      <c r="I289" s="2">
        <v>45694</v>
      </c>
      <c r="J289" t="s">
        <v>9</v>
      </c>
      <c r="K289" s="2" t="str">
        <f>IFERROR(INDEX(Product_lookup[Category],MATCH(RawWorking[[#This Row],[ProductID]],Product_lookup[ProductID],0)),"")</f>
        <v>Office</v>
      </c>
      <c r="L289" s="9">
        <f>IF(OR(RawWorking[[#This Row],[ShipDate]]="",RawWorking[[#This Row],[DeliveryDate]]=""),"",RawWorking[[#This Row],[DeliveryDate]]-RawWorking[[#This Row],[ShipDate]])</f>
        <v>6</v>
      </c>
      <c r="M289" s="9">
        <f>IF(COUNTIF(INDEX(RawWorking[OrderID],1):RawWorking[[#This Row],[OrderID]],RawWorking[[#This Row],[OrderID]])=1,1,0)</f>
        <v>1</v>
      </c>
      <c r="N289" s="4">
        <f>IFERROR(RawWorking[[#This Row],[LineAmount]]/RawWorking[[#This Row],[Quantity]],"")</f>
        <v>121.5</v>
      </c>
    </row>
    <row r="290" spans="1:14">
      <c r="A290">
        <v>50289</v>
      </c>
      <c r="B290">
        <v>30161</v>
      </c>
      <c r="C290" s="2">
        <v>45686</v>
      </c>
      <c r="D290">
        <v>2565</v>
      </c>
      <c r="E290">
        <v>1003</v>
      </c>
      <c r="F290">
        <v>2</v>
      </c>
      <c r="G290">
        <v>448.74</v>
      </c>
      <c r="H290" s="2">
        <v>45689</v>
      </c>
      <c r="I290" s="2">
        <v>45692</v>
      </c>
      <c r="J290" t="s">
        <v>9</v>
      </c>
      <c r="K290" s="2" t="str">
        <f>IFERROR(INDEX(Product_lookup[Category],MATCH(RawWorking[[#This Row],[ProductID]],Product_lookup[ProductID],0)),"")</f>
        <v>Electronics</v>
      </c>
      <c r="L290" s="9">
        <f>IF(OR(RawWorking[[#This Row],[ShipDate]]="",RawWorking[[#This Row],[DeliveryDate]]=""),"",RawWorking[[#This Row],[DeliveryDate]]-RawWorking[[#This Row],[ShipDate]])</f>
        <v>3</v>
      </c>
      <c r="M290" s="9">
        <f>IF(COUNTIF(INDEX(RawWorking[OrderID],1):RawWorking[[#This Row],[OrderID]],RawWorking[[#This Row],[OrderID]])=1,1,0)</f>
        <v>0</v>
      </c>
      <c r="N290" s="4">
        <f>IFERROR(RawWorking[[#This Row],[LineAmount]]/RawWorking[[#This Row],[Quantity]],"")</f>
        <v>224.37</v>
      </c>
    </row>
    <row r="291" spans="1:14">
      <c r="A291">
        <v>50290</v>
      </c>
      <c r="B291">
        <v>30161</v>
      </c>
      <c r="C291" s="2">
        <v>45686</v>
      </c>
      <c r="D291">
        <v>2565</v>
      </c>
      <c r="E291">
        <v>1006</v>
      </c>
      <c r="F291">
        <v>1</v>
      </c>
      <c r="G291">
        <v>253.86</v>
      </c>
      <c r="H291" s="2">
        <v>45687</v>
      </c>
      <c r="I291" s="2">
        <v>45810</v>
      </c>
      <c r="J291" t="s">
        <v>9</v>
      </c>
      <c r="K291" s="2" t="str">
        <f>IFERROR(INDEX(Product_lookup[Category],MATCH(RawWorking[[#This Row],[ProductID]],Product_lookup[ProductID],0)),"")</f>
        <v>Home</v>
      </c>
      <c r="L291" s="9">
        <f>IF(OR(RawWorking[[#This Row],[ShipDate]]="",RawWorking[[#This Row],[DeliveryDate]]=""),"",RawWorking[[#This Row],[DeliveryDate]]-RawWorking[[#This Row],[ShipDate]])</f>
        <v>123</v>
      </c>
      <c r="M291" s="9">
        <f>IF(COUNTIF(INDEX(RawWorking[OrderID],1):RawWorking[[#This Row],[OrderID]],RawWorking[[#This Row],[OrderID]])=1,1,0)</f>
        <v>0</v>
      </c>
      <c r="N291" s="4">
        <f>IFERROR(RawWorking[[#This Row],[LineAmount]]/RawWorking[[#This Row],[Quantity]],"")</f>
        <v>253.86</v>
      </c>
    </row>
    <row r="292" spans="1:14">
      <c r="A292">
        <v>50291</v>
      </c>
      <c r="B292">
        <v>30162</v>
      </c>
      <c r="C292" s="2">
        <v>45773</v>
      </c>
      <c r="D292">
        <v>2595</v>
      </c>
      <c r="E292">
        <v>1011</v>
      </c>
      <c r="F292">
        <v>1</v>
      </c>
      <c r="G292">
        <v>101.44</v>
      </c>
      <c r="H292" s="2">
        <v>45776</v>
      </c>
      <c r="I292" s="2">
        <v>45780</v>
      </c>
      <c r="J292" t="s">
        <v>9</v>
      </c>
      <c r="K292" s="2" t="str">
        <f>IFERROR(INDEX(Product_lookup[Category],MATCH(RawWorking[[#This Row],[ProductID]],Product_lookup[ProductID],0)),"")</f>
        <v>Office</v>
      </c>
      <c r="L292" s="9">
        <f>IF(OR(RawWorking[[#This Row],[ShipDate]]="",RawWorking[[#This Row],[DeliveryDate]]=""),"",RawWorking[[#This Row],[DeliveryDate]]-RawWorking[[#This Row],[ShipDate]])</f>
        <v>4</v>
      </c>
      <c r="M292" s="9">
        <f>IF(COUNTIF(INDEX(RawWorking[OrderID],1):RawWorking[[#This Row],[OrderID]],RawWorking[[#This Row],[OrderID]])=1,1,0)</f>
        <v>1</v>
      </c>
      <c r="N292" s="4">
        <f>IFERROR(RawWorking[[#This Row],[LineAmount]]/RawWorking[[#This Row],[Quantity]],"")</f>
        <v>101.44</v>
      </c>
    </row>
    <row r="293" spans="1:14">
      <c r="A293">
        <v>50292</v>
      </c>
      <c r="B293">
        <v>30163</v>
      </c>
      <c r="C293" s="2">
        <v>45797</v>
      </c>
      <c r="D293">
        <v>2578</v>
      </c>
      <c r="E293">
        <v>1001</v>
      </c>
      <c r="F293">
        <v>2</v>
      </c>
      <c r="G293">
        <v>406.08</v>
      </c>
      <c r="H293" s="2">
        <v>45798</v>
      </c>
      <c r="I293" s="2">
        <v>45807</v>
      </c>
      <c r="J293" t="s">
        <v>9</v>
      </c>
      <c r="K293" s="2" t="str">
        <f>IFERROR(INDEX(Product_lookup[Category],MATCH(RawWorking[[#This Row],[ProductID]],Product_lookup[ProductID],0)),"")</f>
        <v>Electronics</v>
      </c>
      <c r="L293" s="9">
        <f>IF(OR(RawWorking[[#This Row],[ShipDate]]="",RawWorking[[#This Row],[DeliveryDate]]=""),"",RawWorking[[#This Row],[DeliveryDate]]-RawWorking[[#This Row],[ShipDate]])</f>
        <v>9</v>
      </c>
      <c r="M293" s="9">
        <f>IF(COUNTIF(INDEX(RawWorking[OrderID],1):RawWorking[[#This Row],[OrderID]],RawWorking[[#This Row],[OrderID]])=1,1,0)</f>
        <v>1</v>
      </c>
      <c r="N293" s="4">
        <f>IFERROR(RawWorking[[#This Row],[LineAmount]]/RawWorking[[#This Row],[Quantity]],"")</f>
        <v>203.04</v>
      </c>
    </row>
    <row r="294" spans="1:14">
      <c r="A294">
        <v>50293</v>
      </c>
      <c r="B294">
        <v>30164</v>
      </c>
      <c r="C294" s="2">
        <v>45916</v>
      </c>
      <c r="D294">
        <v>2084</v>
      </c>
      <c r="E294">
        <v>1009</v>
      </c>
      <c r="F294">
        <v>1</v>
      </c>
      <c r="G294">
        <v>40.28</v>
      </c>
      <c r="H294" s="2">
        <v>45917</v>
      </c>
      <c r="I294" s="2">
        <v>45926</v>
      </c>
      <c r="J294" t="s">
        <v>9</v>
      </c>
      <c r="K294" s="2" t="str">
        <f>IFERROR(INDEX(Product_lookup[Category],MATCH(RawWorking[[#This Row],[ProductID]],Product_lookup[ProductID],0)),"")</f>
        <v>Home</v>
      </c>
      <c r="L294" s="9">
        <f>IF(OR(RawWorking[[#This Row],[ShipDate]]="",RawWorking[[#This Row],[DeliveryDate]]=""),"",RawWorking[[#This Row],[DeliveryDate]]-RawWorking[[#This Row],[ShipDate]])</f>
        <v>9</v>
      </c>
      <c r="M294" s="9">
        <f>IF(COUNTIF(INDEX(RawWorking[OrderID],1):RawWorking[[#This Row],[OrderID]],RawWorking[[#This Row],[OrderID]])=1,1,0)</f>
        <v>1</v>
      </c>
      <c r="N294" s="4">
        <f>IFERROR(RawWorking[[#This Row],[LineAmount]]/RawWorking[[#This Row],[Quantity]],"")</f>
        <v>40.28</v>
      </c>
    </row>
    <row r="295" spans="1:14">
      <c r="A295">
        <v>50294</v>
      </c>
      <c r="B295">
        <v>30164</v>
      </c>
      <c r="C295" s="2">
        <v>45916</v>
      </c>
      <c r="D295">
        <v>2084</v>
      </c>
      <c r="E295">
        <v>1007</v>
      </c>
      <c r="F295">
        <v>2</v>
      </c>
      <c r="G295">
        <v>399.62</v>
      </c>
      <c r="H295" s="2">
        <v>45917</v>
      </c>
      <c r="I295" s="2">
        <v>45919</v>
      </c>
      <c r="J295" t="s">
        <v>9</v>
      </c>
      <c r="K295" s="2" t="str">
        <f>IFERROR(INDEX(Product_lookup[Category],MATCH(RawWorking[[#This Row],[ProductID]],Product_lookup[ProductID],0)),"")</f>
        <v>Home</v>
      </c>
      <c r="L295" s="9">
        <f>IF(OR(RawWorking[[#This Row],[ShipDate]]="",RawWorking[[#This Row],[DeliveryDate]]=""),"",RawWorking[[#This Row],[DeliveryDate]]-RawWorking[[#This Row],[ShipDate]])</f>
        <v>2</v>
      </c>
      <c r="M295" s="9">
        <f>IF(COUNTIF(INDEX(RawWorking[OrderID],1):RawWorking[[#This Row],[OrderID]],RawWorking[[#This Row],[OrderID]])=1,1,0)</f>
        <v>0</v>
      </c>
      <c r="N295" s="4">
        <f>IFERROR(RawWorking[[#This Row],[LineAmount]]/RawWorking[[#This Row],[Quantity]],"")</f>
        <v>199.81</v>
      </c>
    </row>
    <row r="296" spans="1:14">
      <c r="A296">
        <v>50295</v>
      </c>
      <c r="B296">
        <v>30165</v>
      </c>
      <c r="C296" s="2">
        <v>45941</v>
      </c>
      <c r="D296">
        <v>2586</v>
      </c>
      <c r="E296">
        <v>1001</v>
      </c>
      <c r="F296">
        <v>1</v>
      </c>
      <c r="G296">
        <v>203.04</v>
      </c>
      <c r="H296" s="2">
        <v>45942</v>
      </c>
      <c r="I296" s="2">
        <v>45950</v>
      </c>
      <c r="J296" t="s">
        <v>9</v>
      </c>
      <c r="K296" s="2" t="str">
        <f>IFERROR(INDEX(Product_lookup[Category],MATCH(RawWorking[[#This Row],[ProductID]],Product_lookup[ProductID],0)),"")</f>
        <v>Electronics</v>
      </c>
      <c r="L296" s="9">
        <f>IF(OR(RawWorking[[#This Row],[ShipDate]]="",RawWorking[[#This Row],[DeliveryDate]]=""),"",RawWorking[[#This Row],[DeliveryDate]]-RawWorking[[#This Row],[ShipDate]])</f>
        <v>8</v>
      </c>
      <c r="M296" s="9">
        <f>IF(COUNTIF(INDEX(RawWorking[OrderID],1):RawWorking[[#This Row],[OrderID]],RawWorking[[#This Row],[OrderID]])=1,1,0)</f>
        <v>1</v>
      </c>
      <c r="N296" s="4">
        <f>IFERROR(RawWorking[[#This Row],[LineAmount]]/RawWorking[[#This Row],[Quantity]],"")</f>
        <v>203.04</v>
      </c>
    </row>
    <row r="297" spans="1:14">
      <c r="A297">
        <v>50296</v>
      </c>
      <c r="B297">
        <v>30165</v>
      </c>
      <c r="C297" s="2">
        <v>45941</v>
      </c>
      <c r="D297">
        <v>2586</v>
      </c>
      <c r="E297">
        <v>1016</v>
      </c>
      <c r="F297">
        <v>5</v>
      </c>
      <c r="G297">
        <v>326.3</v>
      </c>
      <c r="H297" s="2">
        <v>45943</v>
      </c>
      <c r="I297" s="2">
        <v>45946</v>
      </c>
      <c r="J297" t="s">
        <v>9</v>
      </c>
      <c r="K297" s="2" t="str">
        <f>IFERROR(INDEX(Product_lookup[Category],MATCH(RawWorking[[#This Row],[ProductID]],Product_lookup[ProductID],0)),"")</f>
        <v>Sports</v>
      </c>
      <c r="L297" s="9">
        <f>IF(OR(RawWorking[[#This Row],[ShipDate]]="",RawWorking[[#This Row],[DeliveryDate]]=""),"",RawWorking[[#This Row],[DeliveryDate]]-RawWorking[[#This Row],[ShipDate]])</f>
        <v>3</v>
      </c>
      <c r="M297" s="9">
        <f>IF(COUNTIF(INDEX(RawWorking[OrderID],1):RawWorking[[#This Row],[OrderID]],RawWorking[[#This Row],[OrderID]])=1,1,0)</f>
        <v>0</v>
      </c>
      <c r="N297" s="4">
        <f>IFERROR(RawWorking[[#This Row],[LineAmount]]/RawWorking[[#This Row],[Quantity]],"")</f>
        <v>65.260000000000005</v>
      </c>
    </row>
    <row r="298" spans="1:14">
      <c r="A298">
        <v>50297</v>
      </c>
      <c r="B298">
        <v>30166</v>
      </c>
      <c r="C298" s="2">
        <v>45659</v>
      </c>
      <c r="D298">
        <v>2559</v>
      </c>
      <c r="E298">
        <v>1010</v>
      </c>
      <c r="F298">
        <v>5</v>
      </c>
      <c r="G298">
        <v>607.5</v>
      </c>
      <c r="H298" s="2">
        <v>45661</v>
      </c>
      <c r="I298" s="2">
        <v>45667</v>
      </c>
      <c r="J298" t="s">
        <v>9</v>
      </c>
      <c r="K298" s="2" t="str">
        <f>IFERROR(INDEX(Product_lookup[Category],MATCH(RawWorking[[#This Row],[ProductID]],Product_lookup[ProductID],0)),"")</f>
        <v>Office</v>
      </c>
      <c r="L298" s="9">
        <f>IF(OR(RawWorking[[#This Row],[ShipDate]]="",RawWorking[[#This Row],[DeliveryDate]]=""),"",RawWorking[[#This Row],[DeliveryDate]]-RawWorking[[#This Row],[ShipDate]])</f>
        <v>6</v>
      </c>
      <c r="M298" s="9">
        <f>IF(COUNTIF(INDEX(RawWorking[OrderID],1):RawWorking[[#This Row],[OrderID]],RawWorking[[#This Row],[OrderID]])=1,1,0)</f>
        <v>1</v>
      </c>
      <c r="N298" s="4">
        <f>IFERROR(RawWorking[[#This Row],[LineAmount]]/RawWorking[[#This Row],[Quantity]],"")</f>
        <v>121.5</v>
      </c>
    </row>
    <row r="299" spans="1:14">
      <c r="A299">
        <v>50298</v>
      </c>
      <c r="B299">
        <v>30167</v>
      </c>
      <c r="C299" s="2">
        <v>45799</v>
      </c>
      <c r="D299">
        <v>2495</v>
      </c>
      <c r="E299">
        <v>1013</v>
      </c>
      <c r="F299">
        <v>3</v>
      </c>
      <c r="G299">
        <v>510.75</v>
      </c>
      <c r="H299" s="2">
        <v>45800</v>
      </c>
      <c r="I299" s="2">
        <v>45805</v>
      </c>
      <c r="J299" t="s">
        <v>9</v>
      </c>
      <c r="K299" s="2" t="str">
        <f>IFERROR(INDEX(Product_lookup[Category],MATCH(RawWorking[[#This Row],[ProductID]],Product_lookup[ProductID],0)),"")</f>
        <v>Office</v>
      </c>
      <c r="L299" s="9">
        <f>IF(OR(RawWorking[[#This Row],[ShipDate]]="",RawWorking[[#This Row],[DeliveryDate]]=""),"",RawWorking[[#This Row],[DeliveryDate]]-RawWorking[[#This Row],[ShipDate]])</f>
        <v>5</v>
      </c>
      <c r="M299" s="9">
        <f>IF(COUNTIF(INDEX(RawWorking[OrderID],1):RawWorking[[#This Row],[OrderID]],RawWorking[[#This Row],[OrderID]])=1,1,0)</f>
        <v>1</v>
      </c>
      <c r="N299" s="4">
        <f>IFERROR(RawWorking[[#This Row],[LineAmount]]/RawWorking[[#This Row],[Quantity]],"")</f>
        <v>170.25</v>
      </c>
    </row>
    <row r="300" spans="1:14">
      <c r="A300">
        <v>50299</v>
      </c>
      <c r="B300">
        <v>30167</v>
      </c>
      <c r="C300" s="2">
        <v>45799</v>
      </c>
      <c r="D300">
        <v>2495</v>
      </c>
      <c r="E300">
        <v>1010</v>
      </c>
      <c r="F300">
        <v>2</v>
      </c>
      <c r="G300">
        <v>243</v>
      </c>
      <c r="H300" s="2">
        <v>45801</v>
      </c>
      <c r="I300" s="2">
        <v>45803</v>
      </c>
      <c r="J300" t="s">
        <v>9</v>
      </c>
      <c r="K300" s="2" t="str">
        <f>IFERROR(INDEX(Product_lookup[Category],MATCH(RawWorking[[#This Row],[ProductID]],Product_lookup[ProductID],0)),"")</f>
        <v>Office</v>
      </c>
      <c r="L300" s="9">
        <f>IF(OR(RawWorking[[#This Row],[ShipDate]]="",RawWorking[[#This Row],[DeliveryDate]]=""),"",RawWorking[[#This Row],[DeliveryDate]]-RawWorking[[#This Row],[ShipDate]])</f>
        <v>2</v>
      </c>
      <c r="M300" s="9">
        <f>IF(COUNTIF(INDEX(RawWorking[OrderID],1):RawWorking[[#This Row],[OrderID]],RawWorking[[#This Row],[OrderID]])=1,1,0)</f>
        <v>0</v>
      </c>
      <c r="N300" s="4">
        <f>IFERROR(RawWorking[[#This Row],[LineAmount]]/RawWorking[[#This Row],[Quantity]],"")</f>
        <v>121.5</v>
      </c>
    </row>
    <row r="301" spans="1:14">
      <c r="A301">
        <v>50300</v>
      </c>
      <c r="B301">
        <v>30167</v>
      </c>
      <c r="C301" s="2">
        <v>45799</v>
      </c>
      <c r="D301">
        <v>2495</v>
      </c>
      <c r="E301">
        <v>1015</v>
      </c>
      <c r="F301">
        <v>1</v>
      </c>
      <c r="G301">
        <v>119.74</v>
      </c>
      <c r="H301" s="2">
        <v>45800</v>
      </c>
      <c r="I301" s="2">
        <v>45805</v>
      </c>
      <c r="J301" t="s">
        <v>9</v>
      </c>
      <c r="K301" s="2" t="str">
        <f>IFERROR(INDEX(Product_lookup[Category],MATCH(RawWorking[[#This Row],[ProductID]],Product_lookup[ProductID],0)),"")</f>
        <v>Sports</v>
      </c>
      <c r="L301" s="9">
        <f>IF(OR(RawWorking[[#This Row],[ShipDate]]="",RawWorking[[#This Row],[DeliveryDate]]=""),"",RawWorking[[#This Row],[DeliveryDate]]-RawWorking[[#This Row],[ShipDate]])</f>
        <v>5</v>
      </c>
      <c r="M301" s="9">
        <f>IF(COUNTIF(INDEX(RawWorking[OrderID],1):RawWorking[[#This Row],[OrderID]],RawWorking[[#This Row],[OrderID]])=1,1,0)</f>
        <v>0</v>
      </c>
      <c r="N301" s="4">
        <f>IFERROR(RawWorking[[#This Row],[LineAmount]]/RawWorking[[#This Row],[Quantity]],"")</f>
        <v>119.74</v>
      </c>
    </row>
    <row r="302" spans="1:14">
      <c r="A302">
        <v>50301</v>
      </c>
      <c r="B302">
        <v>30168</v>
      </c>
      <c r="C302" s="2">
        <v>45816</v>
      </c>
      <c r="D302">
        <v>2075</v>
      </c>
      <c r="E302">
        <v>1006</v>
      </c>
      <c r="F302">
        <v>2</v>
      </c>
      <c r="G302">
        <v>507.72</v>
      </c>
      <c r="H302" s="2">
        <v>45878</v>
      </c>
      <c r="I302" s="2">
        <v>45887</v>
      </c>
      <c r="J302" t="s">
        <v>9</v>
      </c>
      <c r="K302" s="2" t="str">
        <f>IFERROR(INDEX(Product_lookup[Category],MATCH(RawWorking[[#This Row],[ProductID]],Product_lookup[ProductID],0)),"")</f>
        <v>Home</v>
      </c>
      <c r="L302" s="9">
        <f>IF(OR(RawWorking[[#This Row],[ShipDate]]="",RawWorking[[#This Row],[DeliveryDate]]=""),"",RawWorking[[#This Row],[DeliveryDate]]-RawWorking[[#This Row],[ShipDate]])</f>
        <v>9</v>
      </c>
      <c r="M302" s="9">
        <f>IF(COUNTIF(INDEX(RawWorking[OrderID],1):RawWorking[[#This Row],[OrderID]],RawWorking[[#This Row],[OrderID]])=1,1,0)</f>
        <v>1</v>
      </c>
      <c r="N302" s="4">
        <f>IFERROR(RawWorking[[#This Row],[LineAmount]]/RawWorking[[#This Row],[Quantity]],"")</f>
        <v>253.86</v>
      </c>
    </row>
    <row r="303" spans="1:14">
      <c r="A303">
        <v>50302</v>
      </c>
      <c r="B303">
        <v>30169</v>
      </c>
      <c r="C303" s="2">
        <v>45727</v>
      </c>
      <c r="D303">
        <v>2451</v>
      </c>
      <c r="E303">
        <v>1015</v>
      </c>
      <c r="F303">
        <v>1</v>
      </c>
      <c r="G303">
        <v>119.74</v>
      </c>
      <c r="H303" s="2">
        <v>45728</v>
      </c>
      <c r="I303" s="2">
        <v>45737</v>
      </c>
      <c r="J303" t="s">
        <v>9</v>
      </c>
      <c r="K303" s="2" t="str">
        <f>IFERROR(INDEX(Product_lookup[Category],MATCH(RawWorking[[#This Row],[ProductID]],Product_lookup[ProductID],0)),"")</f>
        <v>Sports</v>
      </c>
      <c r="L303" s="9">
        <f>IF(OR(RawWorking[[#This Row],[ShipDate]]="",RawWorking[[#This Row],[DeliveryDate]]=""),"",RawWorking[[#This Row],[DeliveryDate]]-RawWorking[[#This Row],[ShipDate]])</f>
        <v>9</v>
      </c>
      <c r="M303" s="9">
        <f>IF(COUNTIF(INDEX(RawWorking[OrderID],1):RawWorking[[#This Row],[OrderID]],RawWorking[[#This Row],[OrderID]])=1,1,0)</f>
        <v>1</v>
      </c>
      <c r="N303" s="4">
        <f>IFERROR(RawWorking[[#This Row],[LineAmount]]/RawWorking[[#This Row],[Quantity]],"")</f>
        <v>119.74</v>
      </c>
    </row>
    <row r="304" spans="1:14">
      <c r="A304">
        <v>50303</v>
      </c>
      <c r="B304">
        <v>30169</v>
      </c>
      <c r="C304" s="2">
        <v>45727</v>
      </c>
      <c r="D304">
        <v>2451</v>
      </c>
      <c r="E304">
        <v>1007</v>
      </c>
      <c r="F304">
        <v>1</v>
      </c>
      <c r="G304">
        <v>199.81</v>
      </c>
      <c r="H304" s="2">
        <v>45730</v>
      </c>
      <c r="I304" s="2">
        <v>45737</v>
      </c>
      <c r="J304" t="s">
        <v>9</v>
      </c>
      <c r="K304" s="2" t="str">
        <f>IFERROR(INDEX(Product_lookup[Category],MATCH(RawWorking[[#This Row],[ProductID]],Product_lookup[ProductID],0)),"")</f>
        <v>Home</v>
      </c>
      <c r="L304" s="9">
        <f>IF(OR(RawWorking[[#This Row],[ShipDate]]="",RawWorking[[#This Row],[DeliveryDate]]=""),"",RawWorking[[#This Row],[DeliveryDate]]-RawWorking[[#This Row],[ShipDate]])</f>
        <v>7</v>
      </c>
      <c r="M304" s="9">
        <f>IF(COUNTIF(INDEX(RawWorking[OrderID],1):RawWorking[[#This Row],[OrderID]],RawWorking[[#This Row],[OrderID]])=1,1,0)</f>
        <v>0</v>
      </c>
      <c r="N304" s="4">
        <f>IFERROR(RawWorking[[#This Row],[LineAmount]]/RawWorking[[#This Row],[Quantity]],"")</f>
        <v>199.81</v>
      </c>
    </row>
    <row r="305" spans="1:14">
      <c r="A305">
        <v>50304</v>
      </c>
      <c r="B305">
        <v>30170</v>
      </c>
      <c r="C305" s="2">
        <v>45880</v>
      </c>
      <c r="D305">
        <v>2349</v>
      </c>
      <c r="E305">
        <v>1011</v>
      </c>
      <c r="F305">
        <v>1</v>
      </c>
      <c r="G305">
        <v>101.44</v>
      </c>
      <c r="H305" s="2">
        <v>45883</v>
      </c>
      <c r="I305" s="2">
        <v>45890</v>
      </c>
      <c r="J305" t="s">
        <v>9</v>
      </c>
      <c r="K305" s="2" t="str">
        <f>IFERROR(INDEX(Product_lookup[Category],MATCH(RawWorking[[#This Row],[ProductID]],Product_lookup[ProductID],0)),"")</f>
        <v>Office</v>
      </c>
      <c r="L305" s="9">
        <f>IF(OR(RawWorking[[#This Row],[ShipDate]]="",RawWorking[[#This Row],[DeliveryDate]]=""),"",RawWorking[[#This Row],[DeliveryDate]]-RawWorking[[#This Row],[ShipDate]])</f>
        <v>7</v>
      </c>
      <c r="M305" s="9">
        <f>IF(COUNTIF(INDEX(RawWorking[OrderID],1):RawWorking[[#This Row],[OrderID]],RawWorking[[#This Row],[OrderID]])=1,1,0)</f>
        <v>1</v>
      </c>
      <c r="N305" s="4">
        <f>IFERROR(RawWorking[[#This Row],[LineAmount]]/RawWorking[[#This Row],[Quantity]],"")</f>
        <v>101.44</v>
      </c>
    </row>
    <row r="306" spans="1:14">
      <c r="A306">
        <v>50305</v>
      </c>
      <c r="B306">
        <v>30170</v>
      </c>
      <c r="C306" s="2">
        <v>45880</v>
      </c>
      <c r="D306">
        <v>2349</v>
      </c>
      <c r="E306">
        <v>1011</v>
      </c>
      <c r="F306">
        <v>2</v>
      </c>
      <c r="G306">
        <v>202.88</v>
      </c>
      <c r="H306" s="2">
        <v>45883</v>
      </c>
      <c r="I306" s="2">
        <v>45889</v>
      </c>
      <c r="J306" t="s">
        <v>9</v>
      </c>
      <c r="K306" s="2" t="str">
        <f>IFERROR(INDEX(Product_lookup[Category],MATCH(RawWorking[[#This Row],[ProductID]],Product_lookup[ProductID],0)),"")</f>
        <v>Office</v>
      </c>
      <c r="L306" s="9">
        <f>IF(OR(RawWorking[[#This Row],[ShipDate]]="",RawWorking[[#This Row],[DeliveryDate]]=""),"",RawWorking[[#This Row],[DeliveryDate]]-RawWorking[[#This Row],[ShipDate]])</f>
        <v>6</v>
      </c>
      <c r="M306" s="9">
        <f>IF(COUNTIF(INDEX(RawWorking[OrderID],1):RawWorking[[#This Row],[OrderID]],RawWorking[[#This Row],[OrderID]])=1,1,0)</f>
        <v>0</v>
      </c>
      <c r="N306" s="4">
        <f>IFERROR(RawWorking[[#This Row],[LineAmount]]/RawWorking[[#This Row],[Quantity]],"")</f>
        <v>101.44</v>
      </c>
    </row>
    <row r="307" spans="1:14">
      <c r="A307">
        <v>50306</v>
      </c>
      <c r="B307">
        <v>30171</v>
      </c>
      <c r="C307" s="2">
        <v>45755</v>
      </c>
      <c r="D307">
        <v>2354</v>
      </c>
      <c r="E307">
        <v>1005</v>
      </c>
      <c r="F307">
        <v>1</v>
      </c>
      <c r="G307">
        <v>31.73</v>
      </c>
      <c r="H307" s="2">
        <v>45758</v>
      </c>
      <c r="I307" s="2">
        <v>45768</v>
      </c>
      <c r="J307" t="s">
        <v>11</v>
      </c>
      <c r="K307" s="2" t="str">
        <f>IFERROR(INDEX(Product_lookup[Category],MATCH(RawWorking[[#This Row],[ProductID]],Product_lookup[ProductID],0)),"")</f>
        <v>Electronics</v>
      </c>
      <c r="L307" s="9">
        <f>IF(OR(RawWorking[[#This Row],[ShipDate]]="",RawWorking[[#This Row],[DeliveryDate]]=""),"",RawWorking[[#This Row],[DeliveryDate]]-RawWorking[[#This Row],[ShipDate]])</f>
        <v>10</v>
      </c>
      <c r="M307" s="9">
        <f>IF(COUNTIF(INDEX(RawWorking[OrderID],1):RawWorking[[#This Row],[OrderID]],RawWorking[[#This Row],[OrderID]])=1,1,0)</f>
        <v>1</v>
      </c>
      <c r="N307" s="4">
        <f>IFERROR(RawWorking[[#This Row],[LineAmount]]/RawWorking[[#This Row],[Quantity]],"")</f>
        <v>31.73</v>
      </c>
    </row>
    <row r="308" spans="1:14">
      <c r="A308">
        <v>50307</v>
      </c>
      <c r="B308">
        <v>30171</v>
      </c>
      <c r="C308" s="2">
        <v>45755</v>
      </c>
      <c r="D308">
        <v>2354</v>
      </c>
      <c r="E308">
        <v>1012</v>
      </c>
      <c r="F308">
        <v>1</v>
      </c>
      <c r="G308">
        <v>241.54</v>
      </c>
      <c r="H308" s="2">
        <v>45757</v>
      </c>
      <c r="I308" s="2">
        <v>45758</v>
      </c>
      <c r="J308" t="s">
        <v>11</v>
      </c>
      <c r="K308" s="2" t="str">
        <f>IFERROR(INDEX(Product_lookup[Category],MATCH(RawWorking[[#This Row],[ProductID]],Product_lookup[ProductID],0)),"")</f>
        <v>Office</v>
      </c>
      <c r="L308" s="9">
        <f>IF(OR(RawWorking[[#This Row],[ShipDate]]="",RawWorking[[#This Row],[DeliveryDate]]=""),"",RawWorking[[#This Row],[DeliveryDate]]-RawWorking[[#This Row],[ShipDate]])</f>
        <v>1</v>
      </c>
      <c r="M308" s="9">
        <f>IF(COUNTIF(INDEX(RawWorking[OrderID],1):RawWorking[[#This Row],[OrderID]],RawWorking[[#This Row],[OrderID]])=1,1,0)</f>
        <v>0</v>
      </c>
      <c r="N308" s="4">
        <f>IFERROR(RawWorking[[#This Row],[LineAmount]]/RawWorking[[#This Row],[Quantity]],"")</f>
        <v>241.54</v>
      </c>
    </row>
    <row r="309" spans="1:14">
      <c r="A309">
        <v>50308</v>
      </c>
      <c r="B309">
        <v>30171</v>
      </c>
      <c r="C309" s="2">
        <v>45755</v>
      </c>
      <c r="D309">
        <v>2354</v>
      </c>
      <c r="E309">
        <v>1004</v>
      </c>
      <c r="F309">
        <v>1</v>
      </c>
      <c r="G309">
        <v>183.74</v>
      </c>
      <c r="H309" s="2">
        <v>45758</v>
      </c>
      <c r="I309" s="2">
        <v>45763</v>
      </c>
      <c r="J309" t="s">
        <v>11</v>
      </c>
      <c r="K309" s="2" t="str">
        <f>IFERROR(INDEX(Product_lookup[Category],MATCH(RawWorking[[#This Row],[ProductID]],Product_lookup[ProductID],0)),"")</f>
        <v>Electronics</v>
      </c>
      <c r="L309" s="9">
        <f>IF(OR(RawWorking[[#This Row],[ShipDate]]="",RawWorking[[#This Row],[DeliveryDate]]=""),"",RawWorking[[#This Row],[DeliveryDate]]-RawWorking[[#This Row],[ShipDate]])</f>
        <v>5</v>
      </c>
      <c r="M309" s="9">
        <f>IF(COUNTIF(INDEX(RawWorking[OrderID],1):RawWorking[[#This Row],[OrderID]],RawWorking[[#This Row],[OrderID]])=1,1,0)</f>
        <v>0</v>
      </c>
      <c r="N309" s="4">
        <f>IFERROR(RawWorking[[#This Row],[LineAmount]]/RawWorking[[#This Row],[Quantity]],"")</f>
        <v>183.74</v>
      </c>
    </row>
    <row r="310" spans="1:14">
      <c r="A310">
        <v>50309</v>
      </c>
      <c r="B310">
        <v>30171</v>
      </c>
      <c r="C310" s="2">
        <v>45755</v>
      </c>
      <c r="D310">
        <v>2354</v>
      </c>
      <c r="E310">
        <v>1011</v>
      </c>
      <c r="F310">
        <v>1</v>
      </c>
      <c r="G310">
        <v>101.44</v>
      </c>
      <c r="H310" s="2">
        <v>45757</v>
      </c>
      <c r="I310" s="2">
        <v>45765</v>
      </c>
      <c r="J310" t="s">
        <v>11</v>
      </c>
      <c r="K310" s="2" t="str">
        <f>IFERROR(INDEX(Product_lookup[Category],MATCH(RawWorking[[#This Row],[ProductID]],Product_lookup[ProductID],0)),"")</f>
        <v>Office</v>
      </c>
      <c r="L310" s="9">
        <f>IF(OR(RawWorking[[#This Row],[ShipDate]]="",RawWorking[[#This Row],[DeliveryDate]]=""),"",RawWorking[[#This Row],[DeliveryDate]]-RawWorking[[#This Row],[ShipDate]])</f>
        <v>8</v>
      </c>
      <c r="M310" s="9">
        <f>IF(COUNTIF(INDEX(RawWorking[OrderID],1):RawWorking[[#This Row],[OrderID]],RawWorking[[#This Row],[OrderID]])=1,1,0)</f>
        <v>0</v>
      </c>
      <c r="N310" s="4">
        <f>IFERROR(RawWorking[[#This Row],[LineAmount]]/RawWorking[[#This Row],[Quantity]],"")</f>
        <v>101.44</v>
      </c>
    </row>
    <row r="311" spans="1:14">
      <c r="A311">
        <v>50310</v>
      </c>
      <c r="B311">
        <v>30172</v>
      </c>
      <c r="C311" s="2">
        <v>45982</v>
      </c>
      <c r="D311">
        <v>2248</v>
      </c>
      <c r="E311">
        <v>1009</v>
      </c>
      <c r="F311">
        <v>2</v>
      </c>
      <c r="G311">
        <v>80.56</v>
      </c>
      <c r="H311" s="2">
        <v>45984</v>
      </c>
      <c r="I311" s="2">
        <v>45986</v>
      </c>
      <c r="J311" t="s">
        <v>9</v>
      </c>
      <c r="K311" s="2" t="str">
        <f>IFERROR(INDEX(Product_lookup[Category],MATCH(RawWorking[[#This Row],[ProductID]],Product_lookup[ProductID],0)),"")</f>
        <v>Home</v>
      </c>
      <c r="L311" s="9">
        <f>IF(OR(RawWorking[[#This Row],[ShipDate]]="",RawWorking[[#This Row],[DeliveryDate]]=""),"",RawWorking[[#This Row],[DeliveryDate]]-RawWorking[[#This Row],[ShipDate]])</f>
        <v>2</v>
      </c>
      <c r="M311" s="9">
        <f>IF(COUNTIF(INDEX(RawWorking[OrderID],1):RawWorking[[#This Row],[OrderID]],RawWorking[[#This Row],[OrderID]])=1,1,0)</f>
        <v>1</v>
      </c>
      <c r="N311" s="4">
        <f>IFERROR(RawWorking[[#This Row],[LineAmount]]/RawWorking[[#This Row],[Quantity]],"")</f>
        <v>40.28</v>
      </c>
    </row>
    <row r="312" spans="1:14">
      <c r="A312">
        <v>50311</v>
      </c>
      <c r="B312">
        <v>30173</v>
      </c>
      <c r="C312" s="2">
        <v>45789</v>
      </c>
      <c r="D312">
        <v>2461</v>
      </c>
      <c r="E312">
        <v>1004</v>
      </c>
      <c r="F312">
        <v>1</v>
      </c>
      <c r="G312">
        <v>183.74</v>
      </c>
      <c r="H312" s="2">
        <v>45792</v>
      </c>
      <c r="I312" s="2">
        <v>45802</v>
      </c>
      <c r="J312" t="s">
        <v>9</v>
      </c>
      <c r="K312" s="2" t="str">
        <f>IFERROR(INDEX(Product_lookup[Category],MATCH(RawWorking[[#This Row],[ProductID]],Product_lookup[ProductID],0)),"")</f>
        <v>Electronics</v>
      </c>
      <c r="L312" s="9">
        <f>IF(OR(RawWorking[[#This Row],[ShipDate]]="",RawWorking[[#This Row],[DeliveryDate]]=""),"",RawWorking[[#This Row],[DeliveryDate]]-RawWorking[[#This Row],[ShipDate]])</f>
        <v>10</v>
      </c>
      <c r="M312" s="9">
        <f>IF(COUNTIF(INDEX(RawWorking[OrderID],1):RawWorking[[#This Row],[OrderID]],RawWorking[[#This Row],[OrderID]])=1,1,0)</f>
        <v>1</v>
      </c>
      <c r="N312" s="4">
        <f>IFERROR(RawWorking[[#This Row],[LineAmount]]/RawWorking[[#This Row],[Quantity]],"")</f>
        <v>183.74</v>
      </c>
    </row>
    <row r="313" spans="1:14">
      <c r="A313">
        <v>50312</v>
      </c>
      <c r="B313">
        <v>30174</v>
      </c>
      <c r="C313" s="2">
        <v>45971</v>
      </c>
      <c r="D313">
        <v>2052</v>
      </c>
      <c r="E313">
        <v>1013</v>
      </c>
      <c r="F313">
        <v>1</v>
      </c>
      <c r="G313">
        <v>170.25</v>
      </c>
      <c r="H313" s="2">
        <v>45973</v>
      </c>
      <c r="I313" s="2">
        <v>45978</v>
      </c>
      <c r="J313" t="s">
        <v>9</v>
      </c>
      <c r="K313" s="2" t="str">
        <f>IFERROR(INDEX(Product_lookup[Category],MATCH(RawWorking[[#This Row],[ProductID]],Product_lookup[ProductID],0)),"")</f>
        <v>Office</v>
      </c>
      <c r="L313" s="9">
        <f>IF(OR(RawWorking[[#This Row],[ShipDate]]="",RawWorking[[#This Row],[DeliveryDate]]=""),"",RawWorking[[#This Row],[DeliveryDate]]-RawWorking[[#This Row],[ShipDate]])</f>
        <v>5</v>
      </c>
      <c r="M313" s="9">
        <f>IF(COUNTIF(INDEX(RawWorking[OrderID],1):RawWorking[[#This Row],[OrderID]],RawWorking[[#This Row],[OrderID]])=1,1,0)</f>
        <v>1</v>
      </c>
      <c r="N313" s="4">
        <f>IFERROR(RawWorking[[#This Row],[LineAmount]]/RawWorking[[#This Row],[Quantity]],"")</f>
        <v>170.25</v>
      </c>
    </row>
    <row r="314" spans="1:14">
      <c r="A314">
        <v>50313</v>
      </c>
      <c r="B314">
        <v>30174</v>
      </c>
      <c r="C314" s="2">
        <v>45941</v>
      </c>
      <c r="D314">
        <v>2052</v>
      </c>
      <c r="E314">
        <v>1014</v>
      </c>
      <c r="F314">
        <v>2</v>
      </c>
      <c r="G314">
        <v>430.68</v>
      </c>
      <c r="H314" s="2">
        <v>45973</v>
      </c>
      <c r="I314" s="2">
        <v>45982</v>
      </c>
      <c r="J314" t="s">
        <v>9</v>
      </c>
      <c r="K314" s="2" t="str">
        <f>IFERROR(INDEX(Product_lookup[Category],MATCH(RawWorking[[#This Row],[ProductID]],Product_lookup[ProductID],0)),"")</f>
        <v>Sports</v>
      </c>
      <c r="L314" s="9">
        <f>IF(OR(RawWorking[[#This Row],[ShipDate]]="",RawWorking[[#This Row],[DeliveryDate]]=""),"",RawWorking[[#This Row],[DeliveryDate]]-RawWorking[[#This Row],[ShipDate]])</f>
        <v>9</v>
      </c>
      <c r="M314" s="9">
        <f>IF(COUNTIF(INDEX(RawWorking[OrderID],1):RawWorking[[#This Row],[OrderID]],RawWorking[[#This Row],[OrderID]])=1,1,0)</f>
        <v>0</v>
      </c>
      <c r="N314" s="4">
        <f>IFERROR(RawWorking[[#This Row],[LineAmount]]/RawWorking[[#This Row],[Quantity]],"")</f>
        <v>215.34</v>
      </c>
    </row>
    <row r="315" spans="1:14">
      <c r="A315">
        <v>50314</v>
      </c>
      <c r="B315">
        <v>30174</v>
      </c>
      <c r="C315" s="2">
        <v>45971</v>
      </c>
      <c r="D315">
        <v>2052</v>
      </c>
      <c r="E315">
        <v>1008</v>
      </c>
      <c r="F315">
        <v>1</v>
      </c>
      <c r="G315">
        <v>206.09</v>
      </c>
      <c r="H315" s="2">
        <v>45973</v>
      </c>
      <c r="I315" s="2">
        <v>45979</v>
      </c>
      <c r="J315" t="s">
        <v>9</v>
      </c>
      <c r="K315" s="2" t="str">
        <f>IFERROR(INDEX(Product_lookup[Category],MATCH(RawWorking[[#This Row],[ProductID]],Product_lookup[ProductID],0)),"")</f>
        <v>Home</v>
      </c>
      <c r="L315" s="9">
        <f>IF(OR(RawWorking[[#This Row],[ShipDate]]="",RawWorking[[#This Row],[DeliveryDate]]=""),"",RawWorking[[#This Row],[DeliveryDate]]-RawWorking[[#This Row],[ShipDate]])</f>
        <v>6</v>
      </c>
      <c r="M315" s="9">
        <f>IF(COUNTIF(INDEX(RawWorking[OrderID],1):RawWorking[[#This Row],[OrderID]],RawWorking[[#This Row],[OrderID]])=1,1,0)</f>
        <v>0</v>
      </c>
      <c r="N315" s="4">
        <f>IFERROR(RawWorking[[#This Row],[LineAmount]]/RawWorking[[#This Row],[Quantity]],"")</f>
        <v>206.09</v>
      </c>
    </row>
    <row r="316" spans="1:14">
      <c r="A316">
        <v>50315</v>
      </c>
      <c r="B316">
        <v>30175</v>
      </c>
      <c r="C316" s="2">
        <v>45690</v>
      </c>
      <c r="D316">
        <v>2164</v>
      </c>
      <c r="E316">
        <v>1011</v>
      </c>
      <c r="F316">
        <v>2</v>
      </c>
      <c r="G316">
        <v>202.88</v>
      </c>
      <c r="H316" s="2">
        <v>45693</v>
      </c>
      <c r="I316" s="2" t="s">
        <v>1421</v>
      </c>
      <c r="J316" t="s">
        <v>16</v>
      </c>
      <c r="K316" s="2" t="str">
        <f>IFERROR(INDEX(Product_lookup[Category],MATCH(RawWorking[[#This Row],[ProductID]],Product_lookup[ProductID],0)),"")</f>
        <v>Office</v>
      </c>
      <c r="L316" s="9" t="str">
        <f>IF(OR(RawWorking[[#This Row],[ShipDate]]="",RawWorking[[#This Row],[DeliveryDate]]=""),"",RawWorking[[#This Row],[DeliveryDate]]-RawWorking[[#This Row],[ShipDate]])</f>
        <v/>
      </c>
      <c r="M316" s="9">
        <f>IF(COUNTIF(INDEX(RawWorking[OrderID],1):RawWorking[[#This Row],[OrderID]],RawWorking[[#This Row],[OrderID]])=1,1,0)</f>
        <v>1</v>
      </c>
      <c r="N316" s="4">
        <f>IFERROR(RawWorking[[#This Row],[LineAmount]]/RawWorking[[#This Row],[Quantity]],"")</f>
        <v>101.44</v>
      </c>
    </row>
    <row r="317" spans="1:14">
      <c r="A317">
        <v>50316</v>
      </c>
      <c r="B317">
        <v>30175</v>
      </c>
      <c r="C317" s="2">
        <v>45690</v>
      </c>
      <c r="D317">
        <v>2164</v>
      </c>
      <c r="E317">
        <v>1006</v>
      </c>
      <c r="F317">
        <v>1</v>
      </c>
      <c r="G317">
        <v>253.86</v>
      </c>
      <c r="H317" s="2" t="s">
        <v>1421</v>
      </c>
      <c r="I317" s="2" t="s">
        <v>1421</v>
      </c>
      <c r="J317" t="s">
        <v>16</v>
      </c>
      <c r="K317" s="2" t="str">
        <f>IFERROR(INDEX(Product_lookup[Category],MATCH(RawWorking[[#This Row],[ProductID]],Product_lookup[ProductID],0)),"")</f>
        <v>Home</v>
      </c>
      <c r="L317" s="9" t="str">
        <f>IF(OR(RawWorking[[#This Row],[ShipDate]]="",RawWorking[[#This Row],[DeliveryDate]]=""),"",RawWorking[[#This Row],[DeliveryDate]]-RawWorking[[#This Row],[ShipDate]])</f>
        <v/>
      </c>
      <c r="M317" s="9">
        <f>IF(COUNTIF(INDEX(RawWorking[OrderID],1):RawWorking[[#This Row],[OrderID]],RawWorking[[#This Row],[OrderID]])=1,1,0)</f>
        <v>0</v>
      </c>
      <c r="N317" s="4">
        <f>IFERROR(RawWorking[[#This Row],[LineAmount]]/RawWorking[[#This Row],[Quantity]],"")</f>
        <v>253.86</v>
      </c>
    </row>
    <row r="318" spans="1:14">
      <c r="A318">
        <v>50317</v>
      </c>
      <c r="B318">
        <v>30176</v>
      </c>
      <c r="C318" s="2">
        <v>45820</v>
      </c>
      <c r="D318">
        <v>2528</v>
      </c>
      <c r="E318">
        <v>1010</v>
      </c>
      <c r="F318">
        <v>3</v>
      </c>
      <c r="G318">
        <v>364.5</v>
      </c>
      <c r="H318" s="2">
        <v>45821</v>
      </c>
      <c r="I318" s="2">
        <v>45830</v>
      </c>
      <c r="J318" t="s">
        <v>9</v>
      </c>
      <c r="K318" s="2" t="str">
        <f>IFERROR(INDEX(Product_lookup[Category],MATCH(RawWorking[[#This Row],[ProductID]],Product_lookup[ProductID],0)),"")</f>
        <v>Office</v>
      </c>
      <c r="L318" s="9">
        <f>IF(OR(RawWorking[[#This Row],[ShipDate]]="",RawWorking[[#This Row],[DeliveryDate]]=""),"",RawWorking[[#This Row],[DeliveryDate]]-RawWorking[[#This Row],[ShipDate]])</f>
        <v>9</v>
      </c>
      <c r="M318" s="9">
        <f>IF(COUNTIF(INDEX(RawWorking[OrderID],1):RawWorking[[#This Row],[OrderID]],RawWorking[[#This Row],[OrderID]])=1,1,0)</f>
        <v>1</v>
      </c>
      <c r="N318" s="4">
        <f>IFERROR(RawWorking[[#This Row],[LineAmount]]/RawWorking[[#This Row],[Quantity]],"")</f>
        <v>121.5</v>
      </c>
    </row>
    <row r="319" spans="1:14">
      <c r="A319">
        <v>50318</v>
      </c>
      <c r="B319">
        <v>30176</v>
      </c>
      <c r="C319" s="2">
        <v>45820</v>
      </c>
      <c r="D319">
        <v>2528</v>
      </c>
      <c r="E319">
        <v>1016</v>
      </c>
      <c r="F319">
        <v>1</v>
      </c>
      <c r="G319">
        <v>65.260000000000005</v>
      </c>
      <c r="H319" s="2">
        <v>45823</v>
      </c>
      <c r="I319" s="2">
        <v>45824</v>
      </c>
      <c r="J319" t="s">
        <v>9</v>
      </c>
      <c r="K319" s="2" t="str">
        <f>IFERROR(INDEX(Product_lookup[Category],MATCH(RawWorking[[#This Row],[ProductID]],Product_lookup[ProductID],0)),"")</f>
        <v>Sports</v>
      </c>
      <c r="L319" s="9">
        <f>IF(OR(RawWorking[[#This Row],[ShipDate]]="",RawWorking[[#This Row],[DeliveryDate]]=""),"",RawWorking[[#This Row],[DeliveryDate]]-RawWorking[[#This Row],[ShipDate]])</f>
        <v>1</v>
      </c>
      <c r="M319" s="9">
        <f>IF(COUNTIF(INDEX(RawWorking[OrderID],1):RawWorking[[#This Row],[OrderID]],RawWorking[[#This Row],[OrderID]])=1,1,0)</f>
        <v>0</v>
      </c>
      <c r="N319" s="4">
        <f>IFERROR(RawWorking[[#This Row],[LineAmount]]/RawWorking[[#This Row],[Quantity]],"")</f>
        <v>65.260000000000005</v>
      </c>
    </row>
    <row r="320" spans="1:14">
      <c r="A320">
        <v>50319</v>
      </c>
      <c r="B320">
        <v>30176</v>
      </c>
      <c r="C320" s="2">
        <v>45820</v>
      </c>
      <c r="D320">
        <v>2528</v>
      </c>
      <c r="E320">
        <v>1001</v>
      </c>
      <c r="F320">
        <v>2</v>
      </c>
      <c r="G320">
        <v>406.08</v>
      </c>
      <c r="H320" s="2">
        <v>45821</v>
      </c>
      <c r="I320" s="2">
        <v>45826</v>
      </c>
      <c r="J320" t="s">
        <v>9</v>
      </c>
      <c r="K320" s="2" t="str">
        <f>IFERROR(INDEX(Product_lookup[Category],MATCH(RawWorking[[#This Row],[ProductID]],Product_lookup[ProductID],0)),"")</f>
        <v>Electronics</v>
      </c>
      <c r="L320" s="9">
        <f>IF(OR(RawWorking[[#This Row],[ShipDate]]="",RawWorking[[#This Row],[DeliveryDate]]=""),"",RawWorking[[#This Row],[DeliveryDate]]-RawWorking[[#This Row],[ShipDate]])</f>
        <v>5</v>
      </c>
      <c r="M320" s="9">
        <f>IF(COUNTIF(INDEX(RawWorking[OrderID],1):RawWorking[[#This Row],[OrderID]],RawWorking[[#This Row],[OrderID]])=1,1,0)</f>
        <v>0</v>
      </c>
      <c r="N320" s="4">
        <f>IFERROR(RawWorking[[#This Row],[LineAmount]]/RawWorking[[#This Row],[Quantity]],"")</f>
        <v>203.04</v>
      </c>
    </row>
    <row r="321" spans="1:14">
      <c r="A321">
        <v>50320</v>
      </c>
      <c r="B321">
        <v>30177</v>
      </c>
      <c r="C321" s="2">
        <v>45666</v>
      </c>
      <c r="D321">
        <v>2093</v>
      </c>
      <c r="E321">
        <v>1015</v>
      </c>
      <c r="F321">
        <v>1</v>
      </c>
      <c r="G321">
        <v>119.74</v>
      </c>
      <c r="H321" s="2">
        <v>45669</v>
      </c>
      <c r="I321" s="2">
        <v>45677</v>
      </c>
      <c r="J321" t="s">
        <v>11</v>
      </c>
      <c r="K321" s="2" t="str">
        <f>IFERROR(INDEX(Product_lookup[Category],MATCH(RawWorking[[#This Row],[ProductID]],Product_lookup[ProductID],0)),"")</f>
        <v>Sports</v>
      </c>
      <c r="L321" s="9">
        <f>IF(OR(RawWorking[[#This Row],[ShipDate]]="",RawWorking[[#This Row],[DeliveryDate]]=""),"",RawWorking[[#This Row],[DeliveryDate]]-RawWorking[[#This Row],[ShipDate]])</f>
        <v>8</v>
      </c>
      <c r="M321" s="9">
        <f>IF(COUNTIF(INDEX(RawWorking[OrderID],1):RawWorking[[#This Row],[OrderID]],RawWorking[[#This Row],[OrderID]])=1,1,0)</f>
        <v>1</v>
      </c>
      <c r="N321" s="4">
        <f>IFERROR(RawWorking[[#This Row],[LineAmount]]/RawWorking[[#This Row],[Quantity]],"")</f>
        <v>119.74</v>
      </c>
    </row>
    <row r="322" spans="1:14">
      <c r="A322">
        <v>50321</v>
      </c>
      <c r="B322">
        <v>30177</v>
      </c>
      <c r="C322" s="2">
        <v>45666</v>
      </c>
      <c r="D322">
        <v>2093</v>
      </c>
      <c r="E322">
        <v>1008</v>
      </c>
      <c r="F322">
        <v>3</v>
      </c>
      <c r="G322">
        <v>618.27</v>
      </c>
      <c r="H322" s="2">
        <v>45668</v>
      </c>
      <c r="I322" s="2">
        <v>45672</v>
      </c>
      <c r="J322" t="s">
        <v>11</v>
      </c>
      <c r="K322" s="2" t="str">
        <f>IFERROR(INDEX(Product_lookup[Category],MATCH(RawWorking[[#This Row],[ProductID]],Product_lookup[ProductID],0)),"")</f>
        <v>Home</v>
      </c>
      <c r="L322" s="9">
        <f>IF(OR(RawWorking[[#This Row],[ShipDate]]="",RawWorking[[#This Row],[DeliveryDate]]=""),"",RawWorking[[#This Row],[DeliveryDate]]-RawWorking[[#This Row],[ShipDate]])</f>
        <v>4</v>
      </c>
      <c r="M322" s="9">
        <f>IF(COUNTIF(INDEX(RawWorking[OrderID],1):RawWorking[[#This Row],[OrderID]],RawWorking[[#This Row],[OrderID]])=1,1,0)</f>
        <v>0</v>
      </c>
      <c r="N322" s="4">
        <f>IFERROR(RawWorking[[#This Row],[LineAmount]]/RawWorking[[#This Row],[Quantity]],"")</f>
        <v>206.09</v>
      </c>
    </row>
    <row r="323" spans="1:14">
      <c r="A323">
        <v>50322</v>
      </c>
      <c r="B323">
        <v>30177</v>
      </c>
      <c r="C323" s="2">
        <v>45666</v>
      </c>
      <c r="D323">
        <v>2093</v>
      </c>
      <c r="E323">
        <v>1007</v>
      </c>
      <c r="F323">
        <v>1</v>
      </c>
      <c r="G323">
        <v>199.81</v>
      </c>
      <c r="H323" s="2">
        <v>45668</v>
      </c>
      <c r="I323" s="2">
        <v>45675</v>
      </c>
      <c r="J323" t="s">
        <v>11</v>
      </c>
      <c r="K323" s="2" t="str">
        <f>IFERROR(INDEX(Product_lookup[Category],MATCH(RawWorking[[#This Row],[ProductID]],Product_lookup[ProductID],0)),"")</f>
        <v>Home</v>
      </c>
      <c r="L323" s="9">
        <f>IF(OR(RawWorking[[#This Row],[ShipDate]]="",RawWorking[[#This Row],[DeliveryDate]]=""),"",RawWorking[[#This Row],[DeliveryDate]]-RawWorking[[#This Row],[ShipDate]])</f>
        <v>7</v>
      </c>
      <c r="M323" s="9">
        <f>IF(COUNTIF(INDEX(RawWorking[OrderID],1):RawWorking[[#This Row],[OrderID]],RawWorking[[#This Row],[OrderID]])=1,1,0)</f>
        <v>0</v>
      </c>
      <c r="N323" s="4">
        <f>IFERROR(RawWorking[[#This Row],[LineAmount]]/RawWorking[[#This Row],[Quantity]],"")</f>
        <v>199.81</v>
      </c>
    </row>
    <row r="324" spans="1:14">
      <c r="A324">
        <v>50323</v>
      </c>
      <c r="B324">
        <v>30177</v>
      </c>
      <c r="C324" s="2">
        <v>45666</v>
      </c>
      <c r="D324">
        <v>2093</v>
      </c>
      <c r="E324">
        <v>1012</v>
      </c>
      <c r="F324">
        <v>2</v>
      </c>
      <c r="G324">
        <v>483.08</v>
      </c>
      <c r="H324" s="2">
        <v>45668</v>
      </c>
      <c r="I324" s="2">
        <v>45673</v>
      </c>
      <c r="J324" t="s">
        <v>11</v>
      </c>
      <c r="K324" s="2" t="str">
        <f>IFERROR(INDEX(Product_lookup[Category],MATCH(RawWorking[[#This Row],[ProductID]],Product_lookup[ProductID],0)),"")</f>
        <v>Office</v>
      </c>
      <c r="L324" s="9">
        <f>IF(OR(RawWorking[[#This Row],[ShipDate]]="",RawWorking[[#This Row],[DeliveryDate]]=""),"",RawWorking[[#This Row],[DeliveryDate]]-RawWorking[[#This Row],[ShipDate]])</f>
        <v>5</v>
      </c>
      <c r="M324" s="9">
        <f>IF(COUNTIF(INDEX(RawWorking[OrderID],1):RawWorking[[#This Row],[OrderID]],RawWorking[[#This Row],[OrderID]])=1,1,0)</f>
        <v>0</v>
      </c>
      <c r="N324" s="4">
        <f>IFERROR(RawWorking[[#This Row],[LineAmount]]/RawWorking[[#This Row],[Quantity]],"")</f>
        <v>241.54</v>
      </c>
    </row>
    <row r="325" spans="1:14">
      <c r="A325">
        <v>50324</v>
      </c>
      <c r="B325">
        <v>30178</v>
      </c>
      <c r="C325" s="2">
        <v>45661</v>
      </c>
      <c r="D325">
        <v>2050</v>
      </c>
      <c r="E325">
        <v>1016</v>
      </c>
      <c r="F325">
        <v>1</v>
      </c>
      <c r="G325">
        <v>65.260000000000005</v>
      </c>
      <c r="H325" s="2">
        <v>45663</v>
      </c>
      <c r="I325" s="2">
        <v>45664</v>
      </c>
      <c r="J325" t="s">
        <v>9</v>
      </c>
      <c r="K325" s="2" t="str">
        <f>IFERROR(INDEX(Product_lookup[Category],MATCH(RawWorking[[#This Row],[ProductID]],Product_lookup[ProductID],0)),"")</f>
        <v>Sports</v>
      </c>
      <c r="L325" s="9">
        <f>IF(OR(RawWorking[[#This Row],[ShipDate]]="",RawWorking[[#This Row],[DeliveryDate]]=""),"",RawWorking[[#This Row],[DeliveryDate]]-RawWorking[[#This Row],[ShipDate]])</f>
        <v>1</v>
      </c>
      <c r="M325" s="9">
        <f>IF(COUNTIF(INDEX(RawWorking[OrderID],1):RawWorking[[#This Row],[OrderID]],RawWorking[[#This Row],[OrderID]])=1,1,0)</f>
        <v>1</v>
      </c>
      <c r="N325" s="4">
        <f>IFERROR(RawWorking[[#This Row],[LineAmount]]/RawWorking[[#This Row],[Quantity]],"")</f>
        <v>65.260000000000005</v>
      </c>
    </row>
    <row r="326" spans="1:14">
      <c r="A326">
        <v>50325</v>
      </c>
      <c r="B326">
        <v>30178</v>
      </c>
      <c r="C326" s="2">
        <v>45661</v>
      </c>
      <c r="D326">
        <v>2050</v>
      </c>
      <c r="E326">
        <v>1016</v>
      </c>
      <c r="F326">
        <v>1</v>
      </c>
      <c r="G326">
        <v>65.260000000000005</v>
      </c>
      <c r="H326" s="2">
        <v>45662</v>
      </c>
      <c r="I326" s="2">
        <v>45666</v>
      </c>
      <c r="J326" t="s">
        <v>9</v>
      </c>
      <c r="K326" s="2" t="str">
        <f>IFERROR(INDEX(Product_lookup[Category],MATCH(RawWorking[[#This Row],[ProductID]],Product_lookup[ProductID],0)),"")</f>
        <v>Sports</v>
      </c>
      <c r="L326" s="9">
        <f>IF(OR(RawWorking[[#This Row],[ShipDate]]="",RawWorking[[#This Row],[DeliveryDate]]=""),"",RawWorking[[#This Row],[DeliveryDate]]-RawWorking[[#This Row],[ShipDate]])</f>
        <v>4</v>
      </c>
      <c r="M326" s="9">
        <f>IF(COUNTIF(INDEX(RawWorking[OrderID],1):RawWorking[[#This Row],[OrderID]],RawWorking[[#This Row],[OrderID]])=1,1,0)</f>
        <v>0</v>
      </c>
      <c r="N326" s="4">
        <f>IFERROR(RawWorking[[#This Row],[LineAmount]]/RawWorking[[#This Row],[Quantity]],"")</f>
        <v>65.260000000000005</v>
      </c>
    </row>
    <row r="327" spans="1:14">
      <c r="A327">
        <v>50326</v>
      </c>
      <c r="B327">
        <v>30178</v>
      </c>
      <c r="C327" s="2">
        <v>45661</v>
      </c>
      <c r="D327">
        <v>2050</v>
      </c>
      <c r="E327">
        <v>1010</v>
      </c>
      <c r="F327">
        <v>1</v>
      </c>
      <c r="G327">
        <v>121.5</v>
      </c>
      <c r="H327" s="2">
        <v>45663</v>
      </c>
      <c r="I327" s="2">
        <v>45931</v>
      </c>
      <c r="J327" t="s">
        <v>9</v>
      </c>
      <c r="K327" s="2" t="str">
        <f>IFERROR(INDEX(Product_lookup[Category],MATCH(RawWorking[[#This Row],[ProductID]],Product_lookup[ProductID],0)),"")</f>
        <v>Office</v>
      </c>
      <c r="L327" s="9">
        <f>IF(OR(RawWorking[[#This Row],[ShipDate]]="",RawWorking[[#This Row],[DeliveryDate]]=""),"",RawWorking[[#This Row],[DeliveryDate]]-RawWorking[[#This Row],[ShipDate]])</f>
        <v>268</v>
      </c>
      <c r="M327" s="9">
        <f>IF(COUNTIF(INDEX(RawWorking[OrderID],1):RawWorking[[#This Row],[OrderID]],RawWorking[[#This Row],[OrderID]])=1,1,0)</f>
        <v>0</v>
      </c>
      <c r="N327" s="4">
        <f>IFERROR(RawWorking[[#This Row],[LineAmount]]/RawWorking[[#This Row],[Quantity]],"")</f>
        <v>121.5</v>
      </c>
    </row>
    <row r="328" spans="1:14">
      <c r="A328">
        <v>50327</v>
      </c>
      <c r="B328">
        <v>30179</v>
      </c>
      <c r="C328" s="2">
        <v>45717</v>
      </c>
      <c r="D328">
        <v>2550</v>
      </c>
      <c r="E328">
        <v>1004</v>
      </c>
      <c r="F328">
        <v>1</v>
      </c>
      <c r="G328">
        <v>183.74</v>
      </c>
      <c r="H328" s="2">
        <v>45718</v>
      </c>
      <c r="I328" s="2">
        <v>45728</v>
      </c>
      <c r="J328" t="s">
        <v>9</v>
      </c>
      <c r="K328" s="2" t="str">
        <f>IFERROR(INDEX(Product_lookup[Category],MATCH(RawWorking[[#This Row],[ProductID]],Product_lookup[ProductID],0)),"")</f>
        <v>Electronics</v>
      </c>
      <c r="L328" s="9">
        <f>IF(OR(RawWorking[[#This Row],[ShipDate]]="",RawWorking[[#This Row],[DeliveryDate]]=""),"",RawWorking[[#This Row],[DeliveryDate]]-RawWorking[[#This Row],[ShipDate]])</f>
        <v>10</v>
      </c>
      <c r="M328" s="9">
        <f>IF(COUNTIF(INDEX(RawWorking[OrderID],1):RawWorking[[#This Row],[OrderID]],RawWorking[[#This Row],[OrderID]])=1,1,0)</f>
        <v>1</v>
      </c>
      <c r="N328" s="4">
        <f>IFERROR(RawWorking[[#This Row],[LineAmount]]/RawWorking[[#This Row],[Quantity]],"")</f>
        <v>183.74</v>
      </c>
    </row>
    <row r="329" spans="1:14">
      <c r="A329">
        <v>50328</v>
      </c>
      <c r="B329">
        <v>30179</v>
      </c>
      <c r="C329" s="2">
        <v>45717</v>
      </c>
      <c r="D329">
        <v>2550</v>
      </c>
      <c r="E329">
        <v>1014</v>
      </c>
      <c r="F329">
        <v>1</v>
      </c>
      <c r="G329">
        <v>215.34</v>
      </c>
      <c r="H329" s="2">
        <v>45718</v>
      </c>
      <c r="I329" s="2">
        <v>45719</v>
      </c>
      <c r="J329" t="s">
        <v>9</v>
      </c>
      <c r="K329" s="2" t="str">
        <f>IFERROR(INDEX(Product_lookup[Category],MATCH(RawWorking[[#This Row],[ProductID]],Product_lookup[ProductID],0)),"")</f>
        <v>Sports</v>
      </c>
      <c r="L329" s="9">
        <f>IF(OR(RawWorking[[#This Row],[ShipDate]]="",RawWorking[[#This Row],[DeliveryDate]]=""),"",RawWorking[[#This Row],[DeliveryDate]]-RawWorking[[#This Row],[ShipDate]])</f>
        <v>1</v>
      </c>
      <c r="M329" s="9">
        <f>IF(COUNTIF(INDEX(RawWorking[OrderID],1):RawWorking[[#This Row],[OrderID]],RawWorking[[#This Row],[OrderID]])=1,1,0)</f>
        <v>0</v>
      </c>
      <c r="N329" s="4">
        <f>IFERROR(RawWorking[[#This Row],[LineAmount]]/RawWorking[[#This Row],[Quantity]],"")</f>
        <v>215.34</v>
      </c>
    </row>
    <row r="330" spans="1:14">
      <c r="A330">
        <v>50329</v>
      </c>
      <c r="B330">
        <v>30180</v>
      </c>
      <c r="C330" s="2">
        <v>45830</v>
      </c>
      <c r="D330">
        <v>2138</v>
      </c>
      <c r="E330">
        <v>1012</v>
      </c>
      <c r="F330">
        <v>1</v>
      </c>
      <c r="G330">
        <v>241.54</v>
      </c>
      <c r="H330" s="2" t="s">
        <v>1421</v>
      </c>
      <c r="I330" s="2" t="s">
        <v>1421</v>
      </c>
      <c r="J330" t="s">
        <v>12</v>
      </c>
      <c r="K330" s="2" t="str">
        <f>IFERROR(INDEX(Product_lookup[Category],MATCH(RawWorking[[#This Row],[ProductID]],Product_lookup[ProductID],0)),"")</f>
        <v>Office</v>
      </c>
      <c r="L330" s="9" t="str">
        <f>IF(OR(RawWorking[[#This Row],[ShipDate]]="",RawWorking[[#This Row],[DeliveryDate]]=""),"",RawWorking[[#This Row],[DeliveryDate]]-RawWorking[[#This Row],[ShipDate]])</f>
        <v/>
      </c>
      <c r="M330" s="9">
        <f>IF(COUNTIF(INDEX(RawWorking[OrderID],1):RawWorking[[#This Row],[OrderID]],RawWorking[[#This Row],[OrderID]])=1,1,0)</f>
        <v>1</v>
      </c>
      <c r="N330" s="4">
        <f>IFERROR(RawWorking[[#This Row],[LineAmount]]/RawWorking[[#This Row],[Quantity]],"")</f>
        <v>241.54</v>
      </c>
    </row>
    <row r="331" spans="1:14">
      <c r="A331">
        <v>50330</v>
      </c>
      <c r="B331">
        <v>30180</v>
      </c>
      <c r="C331" s="2">
        <v>45830</v>
      </c>
      <c r="D331">
        <v>2138</v>
      </c>
      <c r="E331">
        <v>1013</v>
      </c>
      <c r="F331">
        <v>1</v>
      </c>
      <c r="G331">
        <v>170.25</v>
      </c>
      <c r="H331" s="2" t="s">
        <v>1421</v>
      </c>
      <c r="I331" s="2" t="s">
        <v>1421</v>
      </c>
      <c r="J331" t="s">
        <v>12</v>
      </c>
      <c r="K331" s="2" t="str">
        <f>IFERROR(INDEX(Product_lookup[Category],MATCH(RawWorking[[#This Row],[ProductID]],Product_lookup[ProductID],0)),"")</f>
        <v>Office</v>
      </c>
      <c r="L331" s="9" t="str">
        <f>IF(OR(RawWorking[[#This Row],[ShipDate]]="",RawWorking[[#This Row],[DeliveryDate]]=""),"",RawWorking[[#This Row],[DeliveryDate]]-RawWorking[[#This Row],[ShipDate]])</f>
        <v/>
      </c>
      <c r="M331" s="9">
        <f>IF(COUNTIF(INDEX(RawWorking[OrderID],1):RawWorking[[#This Row],[OrderID]],RawWorking[[#This Row],[OrderID]])=1,1,0)</f>
        <v>0</v>
      </c>
      <c r="N331" s="4">
        <f>IFERROR(RawWorking[[#This Row],[LineAmount]]/RawWorking[[#This Row],[Quantity]],"")</f>
        <v>170.25</v>
      </c>
    </row>
    <row r="332" spans="1:14">
      <c r="A332">
        <v>50331</v>
      </c>
      <c r="B332">
        <v>30180</v>
      </c>
      <c r="C332" s="2">
        <v>45830</v>
      </c>
      <c r="D332">
        <v>2138</v>
      </c>
      <c r="E332">
        <v>1012</v>
      </c>
      <c r="F332">
        <v>1</v>
      </c>
      <c r="G332">
        <v>241.54</v>
      </c>
      <c r="H332" s="2" t="s">
        <v>1421</v>
      </c>
      <c r="I332" s="2" t="s">
        <v>1421</v>
      </c>
      <c r="J332" t="s">
        <v>12</v>
      </c>
      <c r="K332" s="2" t="str">
        <f>IFERROR(INDEX(Product_lookup[Category],MATCH(RawWorking[[#This Row],[ProductID]],Product_lookup[ProductID],0)),"")</f>
        <v>Office</v>
      </c>
      <c r="L332" s="9" t="str">
        <f>IF(OR(RawWorking[[#This Row],[ShipDate]]="",RawWorking[[#This Row],[DeliveryDate]]=""),"",RawWorking[[#This Row],[DeliveryDate]]-RawWorking[[#This Row],[ShipDate]])</f>
        <v/>
      </c>
      <c r="M332" s="9">
        <f>IF(COUNTIF(INDEX(RawWorking[OrderID],1):RawWorking[[#This Row],[OrderID]],RawWorking[[#This Row],[OrderID]])=1,1,0)</f>
        <v>0</v>
      </c>
      <c r="N332" s="4">
        <f>IFERROR(RawWorking[[#This Row],[LineAmount]]/RawWorking[[#This Row],[Quantity]],"")</f>
        <v>241.54</v>
      </c>
    </row>
    <row r="333" spans="1:14">
      <c r="A333">
        <v>50332</v>
      </c>
      <c r="B333">
        <v>30181</v>
      </c>
      <c r="C333" s="2">
        <v>45726</v>
      </c>
      <c r="D333">
        <v>2047</v>
      </c>
      <c r="E333">
        <v>1007</v>
      </c>
      <c r="F333">
        <v>1</v>
      </c>
      <c r="G333">
        <v>199.81</v>
      </c>
      <c r="H333" s="2">
        <v>45787</v>
      </c>
      <c r="I333" s="2">
        <v>45938</v>
      </c>
      <c r="J333" t="s">
        <v>9</v>
      </c>
      <c r="K333" s="2" t="str">
        <f>IFERROR(INDEX(Product_lookup[Category],MATCH(RawWorking[[#This Row],[ProductID]],Product_lookup[ProductID],0)),"")</f>
        <v>Home</v>
      </c>
      <c r="L333" s="9">
        <f>IF(OR(RawWorking[[#This Row],[ShipDate]]="",RawWorking[[#This Row],[DeliveryDate]]=""),"",RawWorking[[#This Row],[DeliveryDate]]-RawWorking[[#This Row],[ShipDate]])</f>
        <v>151</v>
      </c>
      <c r="M333" s="9">
        <f>IF(COUNTIF(INDEX(RawWorking[OrderID],1):RawWorking[[#This Row],[OrderID]],RawWorking[[#This Row],[OrderID]])=1,1,0)</f>
        <v>1</v>
      </c>
      <c r="N333" s="4">
        <f>IFERROR(RawWorking[[#This Row],[LineAmount]]/RawWorking[[#This Row],[Quantity]],"")</f>
        <v>199.81</v>
      </c>
    </row>
    <row r="334" spans="1:14">
      <c r="A334">
        <v>50333</v>
      </c>
      <c r="B334">
        <v>30181</v>
      </c>
      <c r="C334" s="2">
        <v>45726</v>
      </c>
      <c r="D334">
        <v>2047</v>
      </c>
      <c r="E334">
        <v>1012</v>
      </c>
      <c r="F334">
        <v>1</v>
      </c>
      <c r="G334">
        <v>241.54</v>
      </c>
      <c r="H334" s="2">
        <v>45757</v>
      </c>
      <c r="I334" s="2">
        <v>45939</v>
      </c>
      <c r="J334" t="s">
        <v>9</v>
      </c>
      <c r="K334" s="2" t="str">
        <f>IFERROR(INDEX(Product_lookup[Category],MATCH(RawWorking[[#This Row],[ProductID]],Product_lookup[ProductID],0)),"")</f>
        <v>Office</v>
      </c>
      <c r="L334" s="9">
        <f>IF(OR(RawWorking[[#This Row],[ShipDate]]="",RawWorking[[#This Row],[DeliveryDate]]=""),"",RawWorking[[#This Row],[DeliveryDate]]-RawWorking[[#This Row],[ShipDate]])</f>
        <v>182</v>
      </c>
      <c r="M334" s="9">
        <f>IF(COUNTIF(INDEX(RawWorking[OrderID],1):RawWorking[[#This Row],[OrderID]],RawWorking[[#This Row],[OrderID]])=1,1,0)</f>
        <v>0</v>
      </c>
      <c r="N334" s="4">
        <f>IFERROR(RawWorking[[#This Row],[LineAmount]]/RawWorking[[#This Row],[Quantity]],"")</f>
        <v>241.54</v>
      </c>
    </row>
    <row r="335" spans="1:14">
      <c r="A335">
        <v>50334</v>
      </c>
      <c r="B335">
        <v>30182</v>
      </c>
      <c r="C335" s="2">
        <v>45690</v>
      </c>
      <c r="D335">
        <v>2567</v>
      </c>
      <c r="E335">
        <v>1013</v>
      </c>
      <c r="F335">
        <v>1</v>
      </c>
      <c r="G335">
        <v>170.25</v>
      </c>
      <c r="H335" s="2">
        <v>45693</v>
      </c>
      <c r="I335" s="2">
        <v>45702</v>
      </c>
      <c r="J335" t="s">
        <v>9</v>
      </c>
      <c r="K335" s="2" t="str">
        <f>IFERROR(INDEX(Product_lookup[Category],MATCH(RawWorking[[#This Row],[ProductID]],Product_lookup[ProductID],0)),"")</f>
        <v>Office</v>
      </c>
      <c r="L335" s="9">
        <f>IF(OR(RawWorking[[#This Row],[ShipDate]]="",RawWorking[[#This Row],[DeliveryDate]]=""),"",RawWorking[[#This Row],[DeliveryDate]]-RawWorking[[#This Row],[ShipDate]])</f>
        <v>9</v>
      </c>
      <c r="M335" s="9">
        <f>IF(COUNTIF(INDEX(RawWorking[OrderID],1):RawWorking[[#This Row],[OrderID]],RawWorking[[#This Row],[OrderID]])=1,1,0)</f>
        <v>1</v>
      </c>
      <c r="N335" s="4">
        <f>IFERROR(RawWorking[[#This Row],[LineAmount]]/RawWorking[[#This Row],[Quantity]],"")</f>
        <v>170.25</v>
      </c>
    </row>
    <row r="336" spans="1:14">
      <c r="A336">
        <v>50335</v>
      </c>
      <c r="B336">
        <v>30182</v>
      </c>
      <c r="C336" s="2">
        <v>45690</v>
      </c>
      <c r="D336">
        <v>2567</v>
      </c>
      <c r="E336">
        <v>1015</v>
      </c>
      <c r="F336">
        <v>1</v>
      </c>
      <c r="G336">
        <v>119.74</v>
      </c>
      <c r="H336" s="2">
        <v>45691</v>
      </c>
      <c r="I336" s="2">
        <v>45779</v>
      </c>
      <c r="J336" t="s">
        <v>9</v>
      </c>
      <c r="K336" s="2" t="str">
        <f>IFERROR(INDEX(Product_lookup[Category],MATCH(RawWorking[[#This Row],[ProductID]],Product_lookup[ProductID],0)),"")</f>
        <v>Sports</v>
      </c>
      <c r="L336" s="9">
        <f>IF(OR(RawWorking[[#This Row],[ShipDate]]="",RawWorking[[#This Row],[DeliveryDate]]=""),"",RawWorking[[#This Row],[DeliveryDate]]-RawWorking[[#This Row],[ShipDate]])</f>
        <v>88</v>
      </c>
      <c r="M336" s="9">
        <f>IF(COUNTIF(INDEX(RawWorking[OrderID],1):RawWorking[[#This Row],[OrderID]],RawWorking[[#This Row],[OrderID]])=1,1,0)</f>
        <v>0</v>
      </c>
      <c r="N336" s="4">
        <f>IFERROR(RawWorking[[#This Row],[LineAmount]]/RawWorking[[#This Row],[Quantity]],"")</f>
        <v>119.74</v>
      </c>
    </row>
    <row r="337" spans="1:14">
      <c r="A337">
        <v>50336</v>
      </c>
      <c r="B337">
        <v>30183</v>
      </c>
      <c r="C337" s="2">
        <v>45765</v>
      </c>
      <c r="D337">
        <v>2564</v>
      </c>
      <c r="E337">
        <v>1004</v>
      </c>
      <c r="F337">
        <v>3</v>
      </c>
      <c r="G337">
        <v>551.22</v>
      </c>
      <c r="H337" s="2">
        <v>45768</v>
      </c>
      <c r="I337" s="2">
        <v>45778</v>
      </c>
      <c r="J337" t="s">
        <v>9</v>
      </c>
      <c r="K337" s="2" t="str">
        <f>IFERROR(INDEX(Product_lookup[Category],MATCH(RawWorking[[#This Row],[ProductID]],Product_lookup[ProductID],0)),"")</f>
        <v>Electronics</v>
      </c>
      <c r="L337" s="9">
        <f>IF(OR(RawWorking[[#This Row],[ShipDate]]="",RawWorking[[#This Row],[DeliveryDate]]=""),"",RawWorking[[#This Row],[DeliveryDate]]-RawWorking[[#This Row],[ShipDate]])</f>
        <v>10</v>
      </c>
      <c r="M337" s="9">
        <f>IF(COUNTIF(INDEX(RawWorking[OrderID],1):RawWorking[[#This Row],[OrderID]],RawWorking[[#This Row],[OrderID]])=1,1,0)</f>
        <v>1</v>
      </c>
      <c r="N337" s="4">
        <f>IFERROR(RawWorking[[#This Row],[LineAmount]]/RawWorking[[#This Row],[Quantity]],"")</f>
        <v>183.74</v>
      </c>
    </row>
    <row r="338" spans="1:14">
      <c r="A338">
        <v>50337</v>
      </c>
      <c r="B338">
        <v>30183</v>
      </c>
      <c r="C338" s="2">
        <v>45765</v>
      </c>
      <c r="D338">
        <v>2564</v>
      </c>
      <c r="E338">
        <v>1005</v>
      </c>
      <c r="F338">
        <v>5</v>
      </c>
      <c r="G338">
        <v>158.65</v>
      </c>
      <c r="H338" s="2">
        <v>45767</v>
      </c>
      <c r="I338" s="2">
        <v>45777</v>
      </c>
      <c r="J338" t="s">
        <v>9</v>
      </c>
      <c r="K338" s="2" t="str">
        <f>IFERROR(INDEX(Product_lookup[Category],MATCH(RawWorking[[#This Row],[ProductID]],Product_lookup[ProductID],0)),"")</f>
        <v>Electronics</v>
      </c>
      <c r="L338" s="9">
        <f>IF(OR(RawWorking[[#This Row],[ShipDate]]="",RawWorking[[#This Row],[DeliveryDate]]=""),"",RawWorking[[#This Row],[DeliveryDate]]-RawWorking[[#This Row],[ShipDate]])</f>
        <v>10</v>
      </c>
      <c r="M338" s="9">
        <f>IF(COUNTIF(INDEX(RawWorking[OrderID],1):RawWorking[[#This Row],[OrderID]],RawWorking[[#This Row],[OrderID]])=1,1,0)</f>
        <v>0</v>
      </c>
      <c r="N338" s="4">
        <f>IFERROR(RawWorking[[#This Row],[LineAmount]]/RawWorking[[#This Row],[Quantity]],"")</f>
        <v>31.73</v>
      </c>
    </row>
    <row r="339" spans="1:14">
      <c r="A339">
        <v>50338</v>
      </c>
      <c r="B339">
        <v>30184</v>
      </c>
      <c r="C339" s="2">
        <v>45787</v>
      </c>
      <c r="D339">
        <v>2100</v>
      </c>
      <c r="E339">
        <v>1011</v>
      </c>
      <c r="F339">
        <v>1</v>
      </c>
      <c r="G339">
        <v>101.44</v>
      </c>
      <c r="H339" s="2">
        <v>45790</v>
      </c>
      <c r="I339" s="2">
        <v>45800</v>
      </c>
      <c r="J339" t="s">
        <v>9</v>
      </c>
      <c r="K339" s="2" t="str">
        <f>IFERROR(INDEX(Product_lookup[Category],MATCH(RawWorking[[#This Row],[ProductID]],Product_lookup[ProductID],0)),"")</f>
        <v>Office</v>
      </c>
      <c r="L339" s="9">
        <f>IF(OR(RawWorking[[#This Row],[ShipDate]]="",RawWorking[[#This Row],[DeliveryDate]]=""),"",RawWorking[[#This Row],[DeliveryDate]]-RawWorking[[#This Row],[ShipDate]])</f>
        <v>10</v>
      </c>
      <c r="M339" s="9">
        <f>IF(COUNTIF(INDEX(RawWorking[OrderID],1):RawWorking[[#This Row],[OrderID]],RawWorking[[#This Row],[OrderID]])=1,1,0)</f>
        <v>1</v>
      </c>
      <c r="N339" s="4">
        <f>IFERROR(RawWorking[[#This Row],[LineAmount]]/RawWorking[[#This Row],[Quantity]],"")</f>
        <v>101.44</v>
      </c>
    </row>
    <row r="340" spans="1:14">
      <c r="A340">
        <v>50339</v>
      </c>
      <c r="B340">
        <v>30185</v>
      </c>
      <c r="C340" s="2">
        <v>45769</v>
      </c>
      <c r="D340">
        <v>2572</v>
      </c>
      <c r="E340">
        <v>1005</v>
      </c>
      <c r="F340">
        <v>1</v>
      </c>
      <c r="G340">
        <v>31.73</v>
      </c>
      <c r="H340" s="2" t="s">
        <v>1421</v>
      </c>
      <c r="I340" s="2" t="s">
        <v>1421</v>
      </c>
      <c r="J340" t="s">
        <v>12</v>
      </c>
      <c r="K340" s="2" t="str">
        <f>IFERROR(INDEX(Product_lookup[Category],MATCH(RawWorking[[#This Row],[ProductID]],Product_lookup[ProductID],0)),"")</f>
        <v>Electronics</v>
      </c>
      <c r="L340" s="9" t="str">
        <f>IF(OR(RawWorking[[#This Row],[ShipDate]]="",RawWorking[[#This Row],[DeliveryDate]]=""),"",RawWorking[[#This Row],[DeliveryDate]]-RawWorking[[#This Row],[ShipDate]])</f>
        <v/>
      </c>
      <c r="M340" s="9">
        <f>IF(COUNTIF(INDEX(RawWorking[OrderID],1):RawWorking[[#This Row],[OrderID]],RawWorking[[#This Row],[OrderID]])=1,1,0)</f>
        <v>1</v>
      </c>
      <c r="N340" s="4">
        <f>IFERROR(RawWorking[[#This Row],[LineAmount]]/RawWorking[[#This Row],[Quantity]],"")</f>
        <v>31.73</v>
      </c>
    </row>
    <row r="341" spans="1:14">
      <c r="A341">
        <v>50340</v>
      </c>
      <c r="B341">
        <v>30185</v>
      </c>
      <c r="C341" s="2">
        <v>45769</v>
      </c>
      <c r="D341">
        <v>2572</v>
      </c>
      <c r="E341">
        <v>1007</v>
      </c>
      <c r="F341">
        <v>3</v>
      </c>
      <c r="G341">
        <v>599.42999999999995</v>
      </c>
      <c r="H341" s="2" t="s">
        <v>1421</v>
      </c>
      <c r="I341" s="2" t="s">
        <v>1421</v>
      </c>
      <c r="J341" t="s">
        <v>12</v>
      </c>
      <c r="K341" s="2" t="str">
        <f>IFERROR(INDEX(Product_lookup[Category],MATCH(RawWorking[[#This Row],[ProductID]],Product_lookup[ProductID],0)),"")</f>
        <v>Home</v>
      </c>
      <c r="L341" s="9" t="str">
        <f>IF(OR(RawWorking[[#This Row],[ShipDate]]="",RawWorking[[#This Row],[DeliveryDate]]=""),"",RawWorking[[#This Row],[DeliveryDate]]-RawWorking[[#This Row],[ShipDate]])</f>
        <v/>
      </c>
      <c r="M341" s="9">
        <f>IF(COUNTIF(INDEX(RawWorking[OrderID],1):RawWorking[[#This Row],[OrderID]],RawWorking[[#This Row],[OrderID]])=1,1,0)</f>
        <v>0</v>
      </c>
      <c r="N341" s="4">
        <f>IFERROR(RawWorking[[#This Row],[LineAmount]]/RawWorking[[#This Row],[Quantity]],"")</f>
        <v>199.80999999999997</v>
      </c>
    </row>
    <row r="342" spans="1:14">
      <c r="A342">
        <v>50341</v>
      </c>
      <c r="B342">
        <v>30186</v>
      </c>
      <c r="C342" s="2">
        <v>45929</v>
      </c>
      <c r="D342">
        <v>2522</v>
      </c>
      <c r="E342">
        <v>1002</v>
      </c>
      <c r="F342">
        <v>1</v>
      </c>
      <c r="G342">
        <v>118.6</v>
      </c>
      <c r="H342" s="2">
        <v>45931</v>
      </c>
      <c r="I342" s="2">
        <v>45932</v>
      </c>
      <c r="J342" t="s">
        <v>9</v>
      </c>
      <c r="K342" s="2" t="str">
        <f>IFERROR(INDEX(Product_lookup[Category],MATCH(RawWorking[[#This Row],[ProductID]],Product_lookup[ProductID],0)),"")</f>
        <v>Electronics</v>
      </c>
      <c r="L342" s="9">
        <f>IF(OR(RawWorking[[#This Row],[ShipDate]]="",RawWorking[[#This Row],[DeliveryDate]]=""),"",RawWorking[[#This Row],[DeliveryDate]]-RawWorking[[#This Row],[ShipDate]])</f>
        <v>1</v>
      </c>
      <c r="M342" s="9">
        <f>IF(COUNTIF(INDEX(RawWorking[OrderID],1):RawWorking[[#This Row],[OrderID]],RawWorking[[#This Row],[OrderID]])=1,1,0)</f>
        <v>1</v>
      </c>
      <c r="N342" s="4">
        <f>IFERROR(RawWorking[[#This Row],[LineAmount]]/RawWorking[[#This Row],[Quantity]],"")</f>
        <v>118.6</v>
      </c>
    </row>
    <row r="343" spans="1:14">
      <c r="A343">
        <v>50342</v>
      </c>
      <c r="B343">
        <v>30186</v>
      </c>
      <c r="C343" s="2">
        <v>45929</v>
      </c>
      <c r="D343">
        <v>2522</v>
      </c>
      <c r="E343">
        <v>1002</v>
      </c>
      <c r="F343">
        <v>1</v>
      </c>
      <c r="G343">
        <v>118.6</v>
      </c>
      <c r="H343" s="2">
        <v>45930</v>
      </c>
      <c r="I343" s="2">
        <v>45932</v>
      </c>
      <c r="J343" t="s">
        <v>9</v>
      </c>
      <c r="K343" s="2" t="str">
        <f>IFERROR(INDEX(Product_lookup[Category],MATCH(RawWorking[[#This Row],[ProductID]],Product_lookup[ProductID],0)),"")</f>
        <v>Electronics</v>
      </c>
      <c r="L343" s="9">
        <f>IF(OR(RawWorking[[#This Row],[ShipDate]]="",RawWorking[[#This Row],[DeliveryDate]]=""),"",RawWorking[[#This Row],[DeliveryDate]]-RawWorking[[#This Row],[ShipDate]])</f>
        <v>2</v>
      </c>
      <c r="M343" s="9">
        <f>IF(COUNTIF(INDEX(RawWorking[OrderID],1):RawWorking[[#This Row],[OrderID]],RawWorking[[#This Row],[OrderID]])=1,1,0)</f>
        <v>0</v>
      </c>
      <c r="N343" s="4">
        <f>IFERROR(RawWorking[[#This Row],[LineAmount]]/RawWorking[[#This Row],[Quantity]],"")</f>
        <v>118.6</v>
      </c>
    </row>
    <row r="344" spans="1:14">
      <c r="A344">
        <v>50343</v>
      </c>
      <c r="B344">
        <v>30187</v>
      </c>
      <c r="C344" s="2">
        <v>45849</v>
      </c>
      <c r="D344">
        <v>2040</v>
      </c>
      <c r="E344">
        <v>1011</v>
      </c>
      <c r="F344">
        <v>2</v>
      </c>
      <c r="G344">
        <v>202.88</v>
      </c>
      <c r="H344" s="2">
        <v>45971</v>
      </c>
      <c r="I344" s="2">
        <v>45974</v>
      </c>
      <c r="J344" t="s">
        <v>9</v>
      </c>
      <c r="K344" s="2" t="str">
        <f>IFERROR(INDEX(Product_lookup[Category],MATCH(RawWorking[[#This Row],[ProductID]],Product_lookup[ProductID],0)),"")</f>
        <v>Office</v>
      </c>
      <c r="L344" s="9">
        <f>IF(OR(RawWorking[[#This Row],[ShipDate]]="",RawWorking[[#This Row],[DeliveryDate]]=""),"",RawWorking[[#This Row],[DeliveryDate]]-RawWorking[[#This Row],[ShipDate]])</f>
        <v>3</v>
      </c>
      <c r="M344" s="9">
        <f>IF(COUNTIF(INDEX(RawWorking[OrderID],1):RawWorking[[#This Row],[OrderID]],RawWorking[[#This Row],[OrderID]])=1,1,0)</f>
        <v>1</v>
      </c>
      <c r="N344" s="4">
        <f>IFERROR(RawWorking[[#This Row],[LineAmount]]/RawWorking[[#This Row],[Quantity]],"")</f>
        <v>101.44</v>
      </c>
    </row>
    <row r="345" spans="1:14">
      <c r="A345">
        <v>50344</v>
      </c>
      <c r="B345">
        <v>30187</v>
      </c>
      <c r="C345" s="2">
        <v>45968</v>
      </c>
      <c r="D345">
        <v>2040</v>
      </c>
      <c r="E345">
        <v>1016</v>
      </c>
      <c r="F345">
        <v>1</v>
      </c>
      <c r="G345">
        <v>65.260000000000005</v>
      </c>
      <c r="H345" s="2">
        <v>45971</v>
      </c>
      <c r="I345" s="2">
        <v>45976</v>
      </c>
      <c r="J345" t="s">
        <v>9</v>
      </c>
      <c r="K345" s="2" t="str">
        <f>IFERROR(INDEX(Product_lookup[Category],MATCH(RawWorking[[#This Row],[ProductID]],Product_lookup[ProductID],0)),"")</f>
        <v>Sports</v>
      </c>
      <c r="L345" s="9">
        <f>IF(OR(RawWorking[[#This Row],[ShipDate]]="",RawWorking[[#This Row],[DeliveryDate]]=""),"",RawWorking[[#This Row],[DeliveryDate]]-RawWorking[[#This Row],[ShipDate]])</f>
        <v>5</v>
      </c>
      <c r="M345" s="9">
        <f>IF(COUNTIF(INDEX(RawWorking[OrderID],1):RawWorking[[#This Row],[OrderID]],RawWorking[[#This Row],[OrderID]])=1,1,0)</f>
        <v>0</v>
      </c>
      <c r="N345" s="4">
        <f>IFERROR(RawWorking[[#This Row],[LineAmount]]/RawWorking[[#This Row],[Quantity]],"")</f>
        <v>65.260000000000005</v>
      </c>
    </row>
    <row r="346" spans="1:14">
      <c r="A346">
        <v>50345</v>
      </c>
      <c r="B346">
        <v>30188</v>
      </c>
      <c r="C346" s="2">
        <v>45698</v>
      </c>
      <c r="D346">
        <v>2532</v>
      </c>
      <c r="E346">
        <v>1005</v>
      </c>
      <c r="F346">
        <v>1</v>
      </c>
      <c r="G346">
        <v>31.73</v>
      </c>
      <c r="H346" s="2">
        <v>45701</v>
      </c>
      <c r="I346" s="2">
        <v>45708</v>
      </c>
      <c r="J346" t="s">
        <v>9</v>
      </c>
      <c r="K346" s="2" t="str">
        <f>IFERROR(INDEX(Product_lookup[Category],MATCH(RawWorking[[#This Row],[ProductID]],Product_lookup[ProductID],0)),"")</f>
        <v>Electronics</v>
      </c>
      <c r="L346" s="9">
        <f>IF(OR(RawWorking[[#This Row],[ShipDate]]="",RawWorking[[#This Row],[DeliveryDate]]=""),"",RawWorking[[#This Row],[DeliveryDate]]-RawWorking[[#This Row],[ShipDate]])</f>
        <v>7</v>
      </c>
      <c r="M346" s="9">
        <f>IF(COUNTIF(INDEX(RawWorking[OrderID],1):RawWorking[[#This Row],[OrderID]],RawWorking[[#This Row],[OrderID]])=1,1,0)</f>
        <v>1</v>
      </c>
      <c r="N346" s="4">
        <f>IFERROR(RawWorking[[#This Row],[LineAmount]]/RawWorking[[#This Row],[Quantity]],"")</f>
        <v>31.73</v>
      </c>
    </row>
    <row r="347" spans="1:14">
      <c r="A347">
        <v>50346</v>
      </c>
      <c r="B347">
        <v>30188</v>
      </c>
      <c r="C347" s="2">
        <v>45698</v>
      </c>
      <c r="D347">
        <v>2532</v>
      </c>
      <c r="E347">
        <v>1011</v>
      </c>
      <c r="F347">
        <v>1</v>
      </c>
      <c r="G347">
        <v>101.44</v>
      </c>
      <c r="H347" s="2">
        <v>45701</v>
      </c>
      <c r="I347" s="2">
        <v>45704</v>
      </c>
      <c r="J347" t="s">
        <v>9</v>
      </c>
      <c r="K347" s="2" t="str">
        <f>IFERROR(INDEX(Product_lookup[Category],MATCH(RawWorking[[#This Row],[ProductID]],Product_lookup[ProductID],0)),"")</f>
        <v>Office</v>
      </c>
      <c r="L347" s="9">
        <f>IF(OR(RawWorking[[#This Row],[ShipDate]]="",RawWorking[[#This Row],[DeliveryDate]]=""),"",RawWorking[[#This Row],[DeliveryDate]]-RawWorking[[#This Row],[ShipDate]])</f>
        <v>3</v>
      </c>
      <c r="M347" s="9">
        <f>IF(COUNTIF(INDEX(RawWorking[OrderID],1):RawWorking[[#This Row],[OrderID]],RawWorking[[#This Row],[OrderID]])=1,1,0)</f>
        <v>0</v>
      </c>
      <c r="N347" s="4">
        <f>IFERROR(RawWorking[[#This Row],[LineAmount]]/RawWorking[[#This Row],[Quantity]],"")</f>
        <v>101.44</v>
      </c>
    </row>
    <row r="348" spans="1:14">
      <c r="A348">
        <v>50347</v>
      </c>
      <c r="B348">
        <v>30189</v>
      </c>
      <c r="C348" s="2">
        <v>45985</v>
      </c>
      <c r="D348">
        <v>2327</v>
      </c>
      <c r="E348">
        <v>1010</v>
      </c>
      <c r="F348">
        <v>1</v>
      </c>
      <c r="G348">
        <v>121.5</v>
      </c>
      <c r="H348" s="2">
        <v>45986</v>
      </c>
      <c r="I348" s="2">
        <v>45995</v>
      </c>
      <c r="J348" t="s">
        <v>9</v>
      </c>
      <c r="K348" s="2" t="str">
        <f>IFERROR(INDEX(Product_lookup[Category],MATCH(RawWorking[[#This Row],[ProductID]],Product_lookup[ProductID],0)),"")</f>
        <v>Office</v>
      </c>
      <c r="L348" s="9">
        <f>IF(OR(RawWorking[[#This Row],[ShipDate]]="",RawWorking[[#This Row],[DeliveryDate]]=""),"",RawWorking[[#This Row],[DeliveryDate]]-RawWorking[[#This Row],[ShipDate]])</f>
        <v>9</v>
      </c>
      <c r="M348" s="9">
        <f>IF(COUNTIF(INDEX(RawWorking[OrderID],1):RawWorking[[#This Row],[OrderID]],RawWorking[[#This Row],[OrderID]])=1,1,0)</f>
        <v>1</v>
      </c>
      <c r="N348" s="4">
        <f>IFERROR(RawWorking[[#This Row],[LineAmount]]/RawWorking[[#This Row],[Quantity]],"")</f>
        <v>121.5</v>
      </c>
    </row>
    <row r="349" spans="1:14">
      <c r="A349">
        <v>50348</v>
      </c>
      <c r="B349">
        <v>30190</v>
      </c>
      <c r="C349" s="2">
        <v>45883</v>
      </c>
      <c r="D349">
        <v>2345</v>
      </c>
      <c r="E349">
        <v>1016</v>
      </c>
      <c r="F349">
        <v>1</v>
      </c>
      <c r="G349">
        <v>65.260000000000005</v>
      </c>
      <c r="H349" s="2">
        <v>45884</v>
      </c>
      <c r="I349" s="2">
        <v>45886</v>
      </c>
      <c r="J349" t="s">
        <v>9</v>
      </c>
      <c r="K349" s="2" t="str">
        <f>IFERROR(INDEX(Product_lookup[Category],MATCH(RawWorking[[#This Row],[ProductID]],Product_lookup[ProductID],0)),"")</f>
        <v>Sports</v>
      </c>
      <c r="L349" s="9">
        <f>IF(OR(RawWorking[[#This Row],[ShipDate]]="",RawWorking[[#This Row],[DeliveryDate]]=""),"",RawWorking[[#This Row],[DeliveryDate]]-RawWorking[[#This Row],[ShipDate]])</f>
        <v>2</v>
      </c>
      <c r="M349" s="9">
        <f>IF(COUNTIF(INDEX(RawWorking[OrderID],1):RawWorking[[#This Row],[OrderID]],RawWorking[[#This Row],[OrderID]])=1,1,0)</f>
        <v>1</v>
      </c>
      <c r="N349" s="4">
        <f>IFERROR(RawWorking[[#This Row],[LineAmount]]/RawWorking[[#This Row],[Quantity]],"")</f>
        <v>65.260000000000005</v>
      </c>
    </row>
    <row r="350" spans="1:14">
      <c r="A350">
        <v>50349</v>
      </c>
      <c r="B350">
        <v>30191</v>
      </c>
      <c r="C350" s="2">
        <v>45747</v>
      </c>
      <c r="D350">
        <v>2577</v>
      </c>
      <c r="E350">
        <v>1001</v>
      </c>
      <c r="F350">
        <v>3</v>
      </c>
      <c r="G350">
        <v>609.12</v>
      </c>
      <c r="H350" s="2">
        <v>45749</v>
      </c>
      <c r="I350" s="2">
        <v>45758</v>
      </c>
      <c r="J350" t="s">
        <v>9</v>
      </c>
      <c r="K350" s="2" t="str">
        <f>IFERROR(INDEX(Product_lookup[Category],MATCH(RawWorking[[#This Row],[ProductID]],Product_lookup[ProductID],0)),"")</f>
        <v>Electronics</v>
      </c>
      <c r="L350" s="9">
        <f>IF(OR(RawWorking[[#This Row],[ShipDate]]="",RawWorking[[#This Row],[DeliveryDate]]=""),"",RawWorking[[#This Row],[DeliveryDate]]-RawWorking[[#This Row],[ShipDate]])</f>
        <v>9</v>
      </c>
      <c r="M350" s="9">
        <f>IF(COUNTIF(INDEX(RawWorking[OrderID],1):RawWorking[[#This Row],[OrderID]],RawWorking[[#This Row],[OrderID]])=1,1,0)</f>
        <v>1</v>
      </c>
      <c r="N350" s="4">
        <f>IFERROR(RawWorking[[#This Row],[LineAmount]]/RawWorking[[#This Row],[Quantity]],"")</f>
        <v>203.04</v>
      </c>
    </row>
    <row r="351" spans="1:14">
      <c r="A351">
        <v>50350</v>
      </c>
      <c r="B351">
        <v>30191</v>
      </c>
      <c r="C351" s="2">
        <v>45747</v>
      </c>
      <c r="D351">
        <v>2577</v>
      </c>
      <c r="E351">
        <v>1012</v>
      </c>
      <c r="F351">
        <v>1</v>
      </c>
      <c r="G351">
        <v>241.54</v>
      </c>
      <c r="H351" s="2">
        <v>45749</v>
      </c>
      <c r="I351" s="2">
        <v>45755</v>
      </c>
      <c r="J351" t="s">
        <v>9</v>
      </c>
      <c r="K351" s="2" t="str">
        <f>IFERROR(INDEX(Product_lookup[Category],MATCH(RawWorking[[#This Row],[ProductID]],Product_lookup[ProductID],0)),"")</f>
        <v>Office</v>
      </c>
      <c r="L351" s="9">
        <f>IF(OR(RawWorking[[#This Row],[ShipDate]]="",RawWorking[[#This Row],[DeliveryDate]]=""),"",RawWorking[[#This Row],[DeliveryDate]]-RawWorking[[#This Row],[ShipDate]])</f>
        <v>6</v>
      </c>
      <c r="M351" s="9">
        <f>IF(COUNTIF(INDEX(RawWorking[OrderID],1):RawWorking[[#This Row],[OrderID]],RawWorking[[#This Row],[OrderID]])=1,1,0)</f>
        <v>0</v>
      </c>
      <c r="N351" s="4">
        <f>IFERROR(RawWorking[[#This Row],[LineAmount]]/RawWorking[[#This Row],[Quantity]],"")</f>
        <v>241.54</v>
      </c>
    </row>
    <row r="352" spans="1:14">
      <c r="A352">
        <v>50351</v>
      </c>
      <c r="B352">
        <v>30192</v>
      </c>
      <c r="C352" s="2">
        <v>45920</v>
      </c>
      <c r="D352">
        <v>2340</v>
      </c>
      <c r="E352">
        <v>1014</v>
      </c>
      <c r="F352">
        <v>1</v>
      </c>
      <c r="G352">
        <v>215.34</v>
      </c>
      <c r="H352" s="2">
        <v>45921</v>
      </c>
      <c r="I352" s="2">
        <v>45922</v>
      </c>
      <c r="J352" t="s">
        <v>9</v>
      </c>
      <c r="K352" s="2" t="str">
        <f>IFERROR(INDEX(Product_lookup[Category],MATCH(RawWorking[[#This Row],[ProductID]],Product_lookup[ProductID],0)),"")</f>
        <v>Sports</v>
      </c>
      <c r="L352" s="9">
        <f>IF(OR(RawWorking[[#This Row],[ShipDate]]="",RawWorking[[#This Row],[DeliveryDate]]=""),"",RawWorking[[#This Row],[DeliveryDate]]-RawWorking[[#This Row],[ShipDate]])</f>
        <v>1</v>
      </c>
      <c r="M352" s="9">
        <f>IF(COUNTIF(INDEX(RawWorking[OrderID],1):RawWorking[[#This Row],[OrderID]],RawWorking[[#This Row],[OrderID]])=1,1,0)</f>
        <v>1</v>
      </c>
      <c r="N352" s="4">
        <f>IFERROR(RawWorking[[#This Row],[LineAmount]]/RawWorking[[#This Row],[Quantity]],"")</f>
        <v>215.34</v>
      </c>
    </row>
    <row r="353" spans="1:14">
      <c r="A353">
        <v>50352</v>
      </c>
      <c r="B353">
        <v>30193</v>
      </c>
      <c r="C353" s="2">
        <v>46001</v>
      </c>
      <c r="D353">
        <v>2598</v>
      </c>
      <c r="E353">
        <v>1001</v>
      </c>
      <c r="F353">
        <v>2</v>
      </c>
      <c r="G353">
        <v>406.08</v>
      </c>
      <c r="H353" s="2">
        <v>46002</v>
      </c>
      <c r="I353" s="2">
        <v>46008</v>
      </c>
      <c r="J353" t="s">
        <v>9</v>
      </c>
      <c r="K353" s="2" t="str">
        <f>IFERROR(INDEX(Product_lookup[Category],MATCH(RawWorking[[#This Row],[ProductID]],Product_lookup[ProductID],0)),"")</f>
        <v>Electronics</v>
      </c>
      <c r="L353" s="9">
        <f>IF(OR(RawWorking[[#This Row],[ShipDate]]="",RawWorking[[#This Row],[DeliveryDate]]=""),"",RawWorking[[#This Row],[DeliveryDate]]-RawWorking[[#This Row],[ShipDate]])</f>
        <v>6</v>
      </c>
      <c r="M353" s="9">
        <f>IF(COUNTIF(INDEX(RawWorking[OrderID],1):RawWorking[[#This Row],[OrderID]],RawWorking[[#This Row],[OrderID]])=1,1,0)</f>
        <v>1</v>
      </c>
      <c r="N353" s="4">
        <f>IFERROR(RawWorking[[#This Row],[LineAmount]]/RawWorking[[#This Row],[Quantity]],"")</f>
        <v>203.04</v>
      </c>
    </row>
    <row r="354" spans="1:14">
      <c r="A354">
        <v>50353</v>
      </c>
      <c r="B354">
        <v>30193</v>
      </c>
      <c r="C354" s="2">
        <v>46001</v>
      </c>
      <c r="D354">
        <v>2598</v>
      </c>
      <c r="E354">
        <v>1016</v>
      </c>
      <c r="F354">
        <v>1</v>
      </c>
      <c r="G354">
        <v>65.260000000000005</v>
      </c>
      <c r="H354" s="2">
        <v>46003</v>
      </c>
      <c r="I354" s="2">
        <v>46009</v>
      </c>
      <c r="J354" t="s">
        <v>9</v>
      </c>
      <c r="K354" s="2" t="str">
        <f>IFERROR(INDEX(Product_lookup[Category],MATCH(RawWorking[[#This Row],[ProductID]],Product_lookup[ProductID],0)),"")</f>
        <v>Sports</v>
      </c>
      <c r="L354" s="9">
        <f>IF(OR(RawWorking[[#This Row],[ShipDate]]="",RawWorking[[#This Row],[DeliveryDate]]=""),"",RawWorking[[#This Row],[DeliveryDate]]-RawWorking[[#This Row],[ShipDate]])</f>
        <v>6</v>
      </c>
      <c r="M354" s="9">
        <f>IF(COUNTIF(INDEX(RawWorking[OrderID],1):RawWorking[[#This Row],[OrderID]],RawWorking[[#This Row],[OrderID]])=1,1,0)</f>
        <v>0</v>
      </c>
      <c r="N354" s="4">
        <f>IFERROR(RawWorking[[#This Row],[LineAmount]]/RawWorking[[#This Row],[Quantity]],"")</f>
        <v>65.260000000000005</v>
      </c>
    </row>
    <row r="355" spans="1:14">
      <c r="A355">
        <v>50354</v>
      </c>
      <c r="B355">
        <v>30193</v>
      </c>
      <c r="C355" s="2">
        <v>45942</v>
      </c>
      <c r="D355">
        <v>2598</v>
      </c>
      <c r="E355">
        <v>1009</v>
      </c>
      <c r="F355">
        <v>1</v>
      </c>
      <c r="G355">
        <v>40.28</v>
      </c>
      <c r="H355" s="2">
        <v>46004</v>
      </c>
      <c r="I355" s="2">
        <v>46009</v>
      </c>
      <c r="J355" t="s">
        <v>9</v>
      </c>
      <c r="K355" s="2" t="str">
        <f>IFERROR(INDEX(Product_lookup[Category],MATCH(RawWorking[[#This Row],[ProductID]],Product_lookup[ProductID],0)),"")</f>
        <v>Home</v>
      </c>
      <c r="L355" s="9">
        <f>IF(OR(RawWorking[[#This Row],[ShipDate]]="",RawWorking[[#This Row],[DeliveryDate]]=""),"",RawWorking[[#This Row],[DeliveryDate]]-RawWorking[[#This Row],[ShipDate]])</f>
        <v>5</v>
      </c>
      <c r="M355" s="9">
        <f>IF(COUNTIF(INDEX(RawWorking[OrderID],1):RawWorking[[#This Row],[OrderID]],RawWorking[[#This Row],[OrderID]])=1,1,0)</f>
        <v>0</v>
      </c>
      <c r="N355" s="4">
        <f>IFERROR(RawWorking[[#This Row],[LineAmount]]/RawWorking[[#This Row],[Quantity]],"")</f>
        <v>40.28</v>
      </c>
    </row>
    <row r="356" spans="1:14">
      <c r="A356">
        <v>50355</v>
      </c>
      <c r="B356">
        <v>30194</v>
      </c>
      <c r="C356" s="2">
        <v>45789</v>
      </c>
      <c r="D356">
        <v>2593</v>
      </c>
      <c r="E356">
        <v>1002</v>
      </c>
      <c r="F356">
        <v>4</v>
      </c>
      <c r="G356">
        <v>474.4</v>
      </c>
      <c r="H356" s="2">
        <v>45790</v>
      </c>
      <c r="I356" s="2">
        <v>45791</v>
      </c>
      <c r="J356" t="s">
        <v>9</v>
      </c>
      <c r="K356" s="2" t="str">
        <f>IFERROR(INDEX(Product_lookup[Category],MATCH(RawWorking[[#This Row],[ProductID]],Product_lookup[ProductID],0)),"")</f>
        <v>Electronics</v>
      </c>
      <c r="L356" s="9">
        <f>IF(OR(RawWorking[[#This Row],[ShipDate]]="",RawWorking[[#This Row],[DeliveryDate]]=""),"",RawWorking[[#This Row],[DeliveryDate]]-RawWorking[[#This Row],[ShipDate]])</f>
        <v>1</v>
      </c>
      <c r="M356" s="9">
        <f>IF(COUNTIF(INDEX(RawWorking[OrderID],1):RawWorking[[#This Row],[OrderID]],RawWorking[[#This Row],[OrderID]])=1,1,0)</f>
        <v>1</v>
      </c>
      <c r="N356" s="4">
        <f>IFERROR(RawWorking[[#This Row],[LineAmount]]/RawWorking[[#This Row],[Quantity]],"")</f>
        <v>118.6</v>
      </c>
    </row>
    <row r="357" spans="1:14">
      <c r="A357">
        <v>50356</v>
      </c>
      <c r="B357">
        <v>30195</v>
      </c>
      <c r="C357" s="2">
        <v>45833</v>
      </c>
      <c r="D357">
        <v>2598</v>
      </c>
      <c r="E357">
        <v>1013</v>
      </c>
      <c r="F357">
        <v>1</v>
      </c>
      <c r="G357">
        <v>170.25</v>
      </c>
      <c r="H357" s="2">
        <v>45835</v>
      </c>
      <c r="I357" s="2">
        <v>45841</v>
      </c>
      <c r="J357" t="s">
        <v>9</v>
      </c>
      <c r="K357" s="2" t="str">
        <f>IFERROR(INDEX(Product_lookup[Category],MATCH(RawWorking[[#This Row],[ProductID]],Product_lookup[ProductID],0)),"")</f>
        <v>Office</v>
      </c>
      <c r="L357" s="9">
        <f>IF(OR(RawWorking[[#This Row],[ShipDate]]="",RawWorking[[#This Row],[DeliveryDate]]=""),"",RawWorking[[#This Row],[DeliveryDate]]-RawWorking[[#This Row],[ShipDate]])</f>
        <v>6</v>
      </c>
      <c r="M357" s="9">
        <f>IF(COUNTIF(INDEX(RawWorking[OrderID],1):RawWorking[[#This Row],[OrderID]],RawWorking[[#This Row],[OrderID]])=1,1,0)</f>
        <v>1</v>
      </c>
      <c r="N357" s="4">
        <f>IFERROR(RawWorking[[#This Row],[LineAmount]]/RawWorking[[#This Row],[Quantity]],"")</f>
        <v>170.25</v>
      </c>
    </row>
    <row r="358" spans="1:14">
      <c r="A358">
        <v>50357</v>
      </c>
      <c r="B358">
        <v>30195</v>
      </c>
      <c r="C358" s="2">
        <v>45833</v>
      </c>
      <c r="D358">
        <v>2598</v>
      </c>
      <c r="E358">
        <v>1005</v>
      </c>
      <c r="F358">
        <v>1</v>
      </c>
      <c r="G358">
        <v>31.73</v>
      </c>
      <c r="H358" s="2">
        <v>45834</v>
      </c>
      <c r="I358" s="2">
        <v>45837</v>
      </c>
      <c r="J358" t="s">
        <v>9</v>
      </c>
      <c r="K358" s="2" t="str">
        <f>IFERROR(INDEX(Product_lookup[Category],MATCH(RawWorking[[#This Row],[ProductID]],Product_lookup[ProductID],0)),"")</f>
        <v>Electronics</v>
      </c>
      <c r="L358" s="9">
        <f>IF(OR(RawWorking[[#This Row],[ShipDate]]="",RawWorking[[#This Row],[DeliveryDate]]=""),"",RawWorking[[#This Row],[DeliveryDate]]-RawWorking[[#This Row],[ShipDate]])</f>
        <v>3</v>
      </c>
      <c r="M358" s="9">
        <f>IF(COUNTIF(INDEX(RawWorking[OrderID],1):RawWorking[[#This Row],[OrderID]],RawWorking[[#This Row],[OrderID]])=1,1,0)</f>
        <v>0</v>
      </c>
      <c r="N358" s="4">
        <f>IFERROR(RawWorking[[#This Row],[LineAmount]]/RawWorking[[#This Row],[Quantity]],"")</f>
        <v>31.73</v>
      </c>
    </row>
    <row r="359" spans="1:14">
      <c r="A359">
        <v>50358</v>
      </c>
      <c r="B359">
        <v>30195</v>
      </c>
      <c r="C359" s="2">
        <v>45833</v>
      </c>
      <c r="D359">
        <v>2598</v>
      </c>
      <c r="E359">
        <v>1008</v>
      </c>
      <c r="F359">
        <v>1</v>
      </c>
      <c r="G359">
        <v>206.09</v>
      </c>
      <c r="H359" s="2">
        <v>45835</v>
      </c>
      <c r="I359" s="2">
        <v>45837</v>
      </c>
      <c r="J359" t="s">
        <v>9</v>
      </c>
      <c r="K359" s="2" t="str">
        <f>IFERROR(INDEX(Product_lookup[Category],MATCH(RawWorking[[#This Row],[ProductID]],Product_lookup[ProductID],0)),"")</f>
        <v>Home</v>
      </c>
      <c r="L359" s="9">
        <f>IF(OR(RawWorking[[#This Row],[ShipDate]]="",RawWorking[[#This Row],[DeliveryDate]]=""),"",RawWorking[[#This Row],[DeliveryDate]]-RawWorking[[#This Row],[ShipDate]])</f>
        <v>2</v>
      </c>
      <c r="M359" s="9">
        <f>IF(COUNTIF(INDEX(RawWorking[OrderID],1):RawWorking[[#This Row],[OrderID]],RawWorking[[#This Row],[OrderID]])=1,1,0)</f>
        <v>0</v>
      </c>
      <c r="N359" s="4">
        <f>IFERROR(RawWorking[[#This Row],[LineAmount]]/RawWorking[[#This Row],[Quantity]],"")</f>
        <v>206.09</v>
      </c>
    </row>
    <row r="360" spans="1:14">
      <c r="A360">
        <v>50359</v>
      </c>
      <c r="B360">
        <v>30195</v>
      </c>
      <c r="C360" s="2">
        <v>45833</v>
      </c>
      <c r="D360">
        <v>2598</v>
      </c>
      <c r="E360">
        <v>1002</v>
      </c>
      <c r="F360">
        <v>3</v>
      </c>
      <c r="G360">
        <v>355.8</v>
      </c>
      <c r="H360" s="2">
        <v>45834</v>
      </c>
      <c r="I360" s="2">
        <v>45838</v>
      </c>
      <c r="J360" t="s">
        <v>9</v>
      </c>
      <c r="K360" s="2" t="str">
        <f>IFERROR(INDEX(Product_lookup[Category],MATCH(RawWorking[[#This Row],[ProductID]],Product_lookup[ProductID],0)),"")</f>
        <v>Electronics</v>
      </c>
      <c r="L360" s="9">
        <f>IF(OR(RawWorking[[#This Row],[ShipDate]]="",RawWorking[[#This Row],[DeliveryDate]]=""),"",RawWorking[[#This Row],[DeliveryDate]]-RawWorking[[#This Row],[ShipDate]])</f>
        <v>4</v>
      </c>
      <c r="M360" s="9">
        <f>IF(COUNTIF(INDEX(RawWorking[OrderID],1):RawWorking[[#This Row],[OrderID]],RawWorking[[#This Row],[OrderID]])=1,1,0)</f>
        <v>0</v>
      </c>
      <c r="N360" s="4">
        <f>IFERROR(RawWorking[[#This Row],[LineAmount]]/RawWorking[[#This Row],[Quantity]],"")</f>
        <v>118.60000000000001</v>
      </c>
    </row>
    <row r="361" spans="1:14">
      <c r="A361">
        <v>50360</v>
      </c>
      <c r="B361">
        <v>30196</v>
      </c>
      <c r="C361" s="2">
        <v>45669</v>
      </c>
      <c r="D361">
        <v>2587</v>
      </c>
      <c r="E361">
        <v>1004</v>
      </c>
      <c r="F361">
        <v>1</v>
      </c>
      <c r="G361">
        <v>183.74</v>
      </c>
      <c r="H361" s="2">
        <v>45728</v>
      </c>
      <c r="I361" s="2">
        <v>46000</v>
      </c>
      <c r="J361" t="s">
        <v>11</v>
      </c>
      <c r="K361" s="2" t="str">
        <f>IFERROR(INDEX(Product_lookup[Category],MATCH(RawWorking[[#This Row],[ProductID]],Product_lookup[ProductID],0)),"")</f>
        <v>Electronics</v>
      </c>
      <c r="L361" s="9">
        <f>IF(OR(RawWorking[[#This Row],[ShipDate]]="",RawWorking[[#This Row],[DeliveryDate]]=""),"",RawWorking[[#This Row],[DeliveryDate]]-RawWorking[[#This Row],[ShipDate]])</f>
        <v>272</v>
      </c>
      <c r="M361" s="9">
        <f>IF(COUNTIF(INDEX(RawWorking[OrderID],1):RawWorking[[#This Row],[OrderID]],RawWorking[[#This Row],[OrderID]])=1,1,0)</f>
        <v>1</v>
      </c>
      <c r="N361" s="4">
        <f>IFERROR(RawWorking[[#This Row],[LineAmount]]/RawWorking[[#This Row],[Quantity]],"")</f>
        <v>183.74</v>
      </c>
    </row>
    <row r="362" spans="1:14">
      <c r="A362">
        <v>50361</v>
      </c>
      <c r="B362">
        <v>30197</v>
      </c>
      <c r="C362" s="2">
        <v>45852</v>
      </c>
      <c r="D362">
        <v>2196</v>
      </c>
      <c r="E362">
        <v>1011</v>
      </c>
      <c r="F362">
        <v>5</v>
      </c>
      <c r="G362">
        <v>507.2</v>
      </c>
      <c r="H362" s="2">
        <v>45853</v>
      </c>
      <c r="I362" s="2">
        <v>45862</v>
      </c>
      <c r="J362" t="s">
        <v>9</v>
      </c>
      <c r="K362" s="2" t="str">
        <f>IFERROR(INDEX(Product_lookup[Category],MATCH(RawWorking[[#This Row],[ProductID]],Product_lookup[ProductID],0)),"")</f>
        <v>Office</v>
      </c>
      <c r="L362" s="9">
        <f>IF(OR(RawWorking[[#This Row],[ShipDate]]="",RawWorking[[#This Row],[DeliveryDate]]=""),"",RawWorking[[#This Row],[DeliveryDate]]-RawWorking[[#This Row],[ShipDate]])</f>
        <v>9</v>
      </c>
      <c r="M362" s="9">
        <f>IF(COUNTIF(INDEX(RawWorking[OrderID],1):RawWorking[[#This Row],[OrderID]],RawWorking[[#This Row],[OrderID]])=1,1,0)</f>
        <v>1</v>
      </c>
      <c r="N362" s="4">
        <f>IFERROR(RawWorking[[#This Row],[LineAmount]]/RawWorking[[#This Row],[Quantity]],"")</f>
        <v>101.44</v>
      </c>
    </row>
    <row r="363" spans="1:14">
      <c r="A363">
        <v>50362</v>
      </c>
      <c r="B363">
        <v>30198</v>
      </c>
      <c r="C363" s="2">
        <v>45956</v>
      </c>
      <c r="D363">
        <v>2429</v>
      </c>
      <c r="E363">
        <v>1007</v>
      </c>
      <c r="F363">
        <v>1</v>
      </c>
      <c r="G363">
        <v>199.81</v>
      </c>
      <c r="H363" s="2">
        <v>45959</v>
      </c>
      <c r="I363" s="2">
        <v>45968</v>
      </c>
      <c r="J363" t="s">
        <v>9</v>
      </c>
      <c r="K363" s="2" t="str">
        <f>IFERROR(INDEX(Product_lookup[Category],MATCH(RawWorking[[#This Row],[ProductID]],Product_lookup[ProductID],0)),"")</f>
        <v>Home</v>
      </c>
      <c r="L363" s="9">
        <f>IF(OR(RawWorking[[#This Row],[ShipDate]]="",RawWorking[[#This Row],[DeliveryDate]]=""),"",RawWorking[[#This Row],[DeliveryDate]]-RawWorking[[#This Row],[ShipDate]])</f>
        <v>9</v>
      </c>
      <c r="M363" s="9">
        <f>IF(COUNTIF(INDEX(RawWorking[OrderID],1):RawWorking[[#This Row],[OrderID]],RawWorking[[#This Row],[OrderID]])=1,1,0)</f>
        <v>1</v>
      </c>
      <c r="N363" s="4">
        <f>IFERROR(RawWorking[[#This Row],[LineAmount]]/RawWorking[[#This Row],[Quantity]],"")</f>
        <v>199.81</v>
      </c>
    </row>
    <row r="364" spans="1:14">
      <c r="A364">
        <v>50363</v>
      </c>
      <c r="B364">
        <v>30199</v>
      </c>
      <c r="C364" s="2">
        <v>45728</v>
      </c>
      <c r="D364">
        <v>2421</v>
      </c>
      <c r="E364">
        <v>1016</v>
      </c>
      <c r="F364">
        <v>1</v>
      </c>
      <c r="G364">
        <v>65.260000000000005</v>
      </c>
      <c r="H364" s="2">
        <v>45997</v>
      </c>
      <c r="I364" s="2">
        <v>46001</v>
      </c>
      <c r="J364" t="s">
        <v>9</v>
      </c>
      <c r="K364" s="2" t="str">
        <f>IFERROR(INDEX(Product_lookup[Category],MATCH(RawWorking[[#This Row],[ProductID]],Product_lookup[ProductID],0)),"")</f>
        <v>Sports</v>
      </c>
      <c r="L364" s="9">
        <f>IF(OR(RawWorking[[#This Row],[ShipDate]]="",RawWorking[[#This Row],[DeliveryDate]]=""),"",RawWorking[[#This Row],[DeliveryDate]]-RawWorking[[#This Row],[ShipDate]])</f>
        <v>4</v>
      </c>
      <c r="M364" s="9">
        <f>IF(COUNTIF(INDEX(RawWorking[OrderID],1):RawWorking[[#This Row],[OrderID]],RawWorking[[#This Row],[OrderID]])=1,1,0)</f>
        <v>1</v>
      </c>
      <c r="N364" s="4">
        <f>IFERROR(RawWorking[[#This Row],[LineAmount]]/RawWorking[[#This Row],[Quantity]],"")</f>
        <v>65.260000000000005</v>
      </c>
    </row>
    <row r="365" spans="1:14">
      <c r="A365">
        <v>50364</v>
      </c>
      <c r="B365">
        <v>30200</v>
      </c>
      <c r="C365" s="2">
        <v>45678</v>
      </c>
      <c r="D365">
        <v>2064</v>
      </c>
      <c r="E365">
        <v>1007</v>
      </c>
      <c r="F365">
        <v>2</v>
      </c>
      <c r="G365">
        <v>399.62</v>
      </c>
      <c r="H365" s="2">
        <v>45681</v>
      </c>
      <c r="I365" s="2">
        <v>45688</v>
      </c>
      <c r="J365" t="s">
        <v>9</v>
      </c>
      <c r="K365" s="2" t="str">
        <f>IFERROR(INDEX(Product_lookup[Category],MATCH(RawWorking[[#This Row],[ProductID]],Product_lookup[ProductID],0)),"")</f>
        <v>Home</v>
      </c>
      <c r="L365" s="9">
        <f>IF(OR(RawWorking[[#This Row],[ShipDate]]="",RawWorking[[#This Row],[DeliveryDate]]=""),"",RawWorking[[#This Row],[DeliveryDate]]-RawWorking[[#This Row],[ShipDate]])</f>
        <v>7</v>
      </c>
      <c r="M365" s="9">
        <f>IF(COUNTIF(INDEX(RawWorking[OrderID],1):RawWorking[[#This Row],[OrderID]],RawWorking[[#This Row],[OrderID]])=1,1,0)</f>
        <v>1</v>
      </c>
      <c r="N365" s="4">
        <f>IFERROR(RawWorking[[#This Row],[LineAmount]]/RawWorking[[#This Row],[Quantity]],"")</f>
        <v>199.81</v>
      </c>
    </row>
    <row r="366" spans="1:14">
      <c r="A366">
        <v>50365</v>
      </c>
      <c r="B366">
        <v>30200</v>
      </c>
      <c r="C366" s="2">
        <v>45678</v>
      </c>
      <c r="D366">
        <v>2064</v>
      </c>
      <c r="E366">
        <v>1011</v>
      </c>
      <c r="F366">
        <v>1</v>
      </c>
      <c r="G366">
        <v>101.44</v>
      </c>
      <c r="H366" s="2">
        <v>45681</v>
      </c>
      <c r="I366" s="2">
        <v>45684</v>
      </c>
      <c r="J366" t="s">
        <v>9</v>
      </c>
      <c r="K366" s="2" t="str">
        <f>IFERROR(INDEX(Product_lookup[Category],MATCH(RawWorking[[#This Row],[ProductID]],Product_lookup[ProductID],0)),"")</f>
        <v>Office</v>
      </c>
      <c r="L366" s="9">
        <f>IF(OR(RawWorking[[#This Row],[ShipDate]]="",RawWorking[[#This Row],[DeliveryDate]]=""),"",RawWorking[[#This Row],[DeliveryDate]]-RawWorking[[#This Row],[ShipDate]])</f>
        <v>3</v>
      </c>
      <c r="M366" s="9">
        <f>IF(COUNTIF(INDEX(RawWorking[OrderID],1):RawWorking[[#This Row],[OrderID]],RawWorking[[#This Row],[OrderID]])=1,1,0)</f>
        <v>0</v>
      </c>
      <c r="N366" s="4">
        <f>IFERROR(RawWorking[[#This Row],[LineAmount]]/RawWorking[[#This Row],[Quantity]],"")</f>
        <v>101.44</v>
      </c>
    </row>
    <row r="367" spans="1:14">
      <c r="A367">
        <v>50366</v>
      </c>
      <c r="B367">
        <v>30201</v>
      </c>
      <c r="C367" s="2">
        <v>45759</v>
      </c>
      <c r="D367">
        <v>2490</v>
      </c>
      <c r="E367">
        <v>1011</v>
      </c>
      <c r="F367">
        <v>2</v>
      </c>
      <c r="G367">
        <v>202.88</v>
      </c>
      <c r="H367" s="2">
        <v>45850</v>
      </c>
      <c r="I367" s="2">
        <v>45999</v>
      </c>
      <c r="J367" t="s">
        <v>9</v>
      </c>
      <c r="K367" s="2" t="str">
        <f>IFERROR(INDEX(Product_lookup[Category],MATCH(RawWorking[[#This Row],[ProductID]],Product_lookup[ProductID],0)),"")</f>
        <v>Office</v>
      </c>
      <c r="L367" s="9">
        <f>IF(OR(RawWorking[[#This Row],[ShipDate]]="",RawWorking[[#This Row],[DeliveryDate]]=""),"",RawWorking[[#This Row],[DeliveryDate]]-RawWorking[[#This Row],[ShipDate]])</f>
        <v>149</v>
      </c>
      <c r="M367" s="9">
        <f>IF(COUNTIF(INDEX(RawWorking[OrderID],1):RawWorking[[#This Row],[OrderID]],RawWorking[[#This Row],[OrderID]])=1,1,0)</f>
        <v>1</v>
      </c>
      <c r="N367" s="4">
        <f>IFERROR(RawWorking[[#This Row],[LineAmount]]/RawWorking[[#This Row],[Quantity]],"")</f>
        <v>101.44</v>
      </c>
    </row>
    <row r="368" spans="1:14">
      <c r="A368">
        <v>50367</v>
      </c>
      <c r="B368">
        <v>30202</v>
      </c>
      <c r="C368" s="2">
        <v>45859</v>
      </c>
      <c r="D368">
        <v>2178</v>
      </c>
      <c r="E368">
        <v>1011</v>
      </c>
      <c r="F368">
        <v>1</v>
      </c>
      <c r="G368">
        <v>101.44</v>
      </c>
      <c r="H368" s="2">
        <v>45862</v>
      </c>
      <c r="I368" s="2">
        <v>45866</v>
      </c>
      <c r="J368" t="s">
        <v>9</v>
      </c>
      <c r="K368" s="2" t="str">
        <f>IFERROR(INDEX(Product_lookup[Category],MATCH(RawWorking[[#This Row],[ProductID]],Product_lookup[ProductID],0)),"")</f>
        <v>Office</v>
      </c>
      <c r="L368" s="9">
        <f>IF(OR(RawWorking[[#This Row],[ShipDate]]="",RawWorking[[#This Row],[DeliveryDate]]=""),"",RawWorking[[#This Row],[DeliveryDate]]-RawWorking[[#This Row],[ShipDate]])</f>
        <v>4</v>
      </c>
      <c r="M368" s="9">
        <f>IF(COUNTIF(INDEX(RawWorking[OrderID],1):RawWorking[[#This Row],[OrderID]],RawWorking[[#This Row],[OrderID]])=1,1,0)</f>
        <v>1</v>
      </c>
      <c r="N368" s="4">
        <f>IFERROR(RawWorking[[#This Row],[LineAmount]]/RawWorking[[#This Row],[Quantity]],"")</f>
        <v>101.44</v>
      </c>
    </row>
    <row r="369" spans="1:14">
      <c r="A369">
        <v>50368</v>
      </c>
      <c r="B369">
        <v>30203</v>
      </c>
      <c r="C369" s="2">
        <v>45825</v>
      </c>
      <c r="D369">
        <v>2560</v>
      </c>
      <c r="E369">
        <v>1009</v>
      </c>
      <c r="F369">
        <v>1</v>
      </c>
      <c r="G369">
        <v>40.28</v>
      </c>
      <c r="H369" s="2">
        <v>45828</v>
      </c>
      <c r="I369" s="2">
        <v>45835</v>
      </c>
      <c r="J369" t="s">
        <v>9</v>
      </c>
      <c r="K369" s="2" t="str">
        <f>IFERROR(INDEX(Product_lookup[Category],MATCH(RawWorking[[#This Row],[ProductID]],Product_lookup[ProductID],0)),"")</f>
        <v>Home</v>
      </c>
      <c r="L369" s="9">
        <f>IF(OR(RawWorking[[#This Row],[ShipDate]]="",RawWorking[[#This Row],[DeliveryDate]]=""),"",RawWorking[[#This Row],[DeliveryDate]]-RawWorking[[#This Row],[ShipDate]])</f>
        <v>7</v>
      </c>
      <c r="M369" s="9">
        <f>IF(COUNTIF(INDEX(RawWorking[OrderID],1):RawWorking[[#This Row],[OrderID]],RawWorking[[#This Row],[OrderID]])=1,1,0)</f>
        <v>1</v>
      </c>
      <c r="N369" s="4">
        <f>IFERROR(RawWorking[[#This Row],[LineAmount]]/RawWorking[[#This Row],[Quantity]],"")</f>
        <v>40.28</v>
      </c>
    </row>
    <row r="370" spans="1:14">
      <c r="A370">
        <v>50369</v>
      </c>
      <c r="B370">
        <v>30204</v>
      </c>
      <c r="C370" s="2">
        <v>45839</v>
      </c>
      <c r="D370">
        <v>2496</v>
      </c>
      <c r="E370">
        <v>1008</v>
      </c>
      <c r="F370">
        <v>1</v>
      </c>
      <c r="G370">
        <v>206.09</v>
      </c>
      <c r="H370" s="2">
        <v>45841</v>
      </c>
      <c r="I370" s="2">
        <v>45846</v>
      </c>
      <c r="J370" t="s">
        <v>9</v>
      </c>
      <c r="K370" s="2" t="str">
        <f>IFERROR(INDEX(Product_lookup[Category],MATCH(RawWorking[[#This Row],[ProductID]],Product_lookup[ProductID],0)),"")</f>
        <v>Home</v>
      </c>
      <c r="L370" s="9">
        <f>IF(OR(RawWorking[[#This Row],[ShipDate]]="",RawWorking[[#This Row],[DeliveryDate]]=""),"",RawWorking[[#This Row],[DeliveryDate]]-RawWorking[[#This Row],[ShipDate]])</f>
        <v>5</v>
      </c>
      <c r="M370" s="9">
        <f>IF(COUNTIF(INDEX(RawWorking[OrderID],1):RawWorking[[#This Row],[OrderID]],RawWorking[[#This Row],[OrderID]])=1,1,0)</f>
        <v>1</v>
      </c>
      <c r="N370" s="4">
        <f>IFERROR(RawWorking[[#This Row],[LineAmount]]/RawWorking[[#This Row],[Quantity]],"")</f>
        <v>206.09</v>
      </c>
    </row>
    <row r="371" spans="1:14">
      <c r="A371">
        <v>50370</v>
      </c>
      <c r="B371">
        <v>30204</v>
      </c>
      <c r="C371" s="2">
        <v>45839</v>
      </c>
      <c r="D371">
        <v>2496</v>
      </c>
      <c r="E371">
        <v>1009</v>
      </c>
      <c r="F371">
        <v>1</v>
      </c>
      <c r="G371">
        <v>40.28</v>
      </c>
      <c r="H371" s="2">
        <v>45842</v>
      </c>
      <c r="I371" s="2">
        <v>45846</v>
      </c>
      <c r="J371" t="s">
        <v>9</v>
      </c>
      <c r="K371" s="2" t="str">
        <f>IFERROR(INDEX(Product_lookup[Category],MATCH(RawWorking[[#This Row],[ProductID]],Product_lookup[ProductID],0)),"")</f>
        <v>Home</v>
      </c>
      <c r="L371" s="9">
        <f>IF(OR(RawWorking[[#This Row],[ShipDate]]="",RawWorking[[#This Row],[DeliveryDate]]=""),"",RawWorking[[#This Row],[DeliveryDate]]-RawWorking[[#This Row],[ShipDate]])</f>
        <v>4</v>
      </c>
      <c r="M371" s="9">
        <f>IF(COUNTIF(INDEX(RawWorking[OrderID],1):RawWorking[[#This Row],[OrderID]],RawWorking[[#This Row],[OrderID]])=1,1,0)</f>
        <v>0</v>
      </c>
      <c r="N371" s="4">
        <f>IFERROR(RawWorking[[#This Row],[LineAmount]]/RawWorking[[#This Row],[Quantity]],"")</f>
        <v>40.28</v>
      </c>
    </row>
    <row r="372" spans="1:14">
      <c r="A372">
        <v>50371</v>
      </c>
      <c r="B372">
        <v>30204</v>
      </c>
      <c r="C372" s="2">
        <v>45839</v>
      </c>
      <c r="D372">
        <v>2496</v>
      </c>
      <c r="E372">
        <v>1010</v>
      </c>
      <c r="F372">
        <v>2</v>
      </c>
      <c r="G372">
        <v>243</v>
      </c>
      <c r="H372" s="2">
        <v>45841</v>
      </c>
      <c r="I372" s="2">
        <v>45842</v>
      </c>
      <c r="J372" t="s">
        <v>9</v>
      </c>
      <c r="K372" s="2" t="str">
        <f>IFERROR(INDEX(Product_lookup[Category],MATCH(RawWorking[[#This Row],[ProductID]],Product_lookup[ProductID],0)),"")</f>
        <v>Office</v>
      </c>
      <c r="L372" s="9">
        <f>IF(OR(RawWorking[[#This Row],[ShipDate]]="",RawWorking[[#This Row],[DeliveryDate]]=""),"",RawWorking[[#This Row],[DeliveryDate]]-RawWorking[[#This Row],[ShipDate]])</f>
        <v>1</v>
      </c>
      <c r="M372" s="9">
        <f>IF(COUNTIF(INDEX(RawWorking[OrderID],1):RawWorking[[#This Row],[OrderID]],RawWorking[[#This Row],[OrderID]])=1,1,0)</f>
        <v>0</v>
      </c>
      <c r="N372" s="4">
        <f>IFERROR(RawWorking[[#This Row],[LineAmount]]/RawWorking[[#This Row],[Quantity]],"")</f>
        <v>121.5</v>
      </c>
    </row>
    <row r="373" spans="1:14">
      <c r="A373">
        <v>50372</v>
      </c>
      <c r="B373">
        <v>30205</v>
      </c>
      <c r="C373" s="2">
        <v>45830</v>
      </c>
      <c r="D373">
        <v>2231</v>
      </c>
      <c r="E373">
        <v>1010</v>
      </c>
      <c r="F373">
        <v>1</v>
      </c>
      <c r="G373">
        <v>121.5</v>
      </c>
      <c r="H373" s="2">
        <v>45832</v>
      </c>
      <c r="I373" s="2">
        <v>45834</v>
      </c>
      <c r="J373" t="s">
        <v>11</v>
      </c>
      <c r="K373" s="2" t="str">
        <f>IFERROR(INDEX(Product_lookup[Category],MATCH(RawWorking[[#This Row],[ProductID]],Product_lookup[ProductID],0)),"")</f>
        <v>Office</v>
      </c>
      <c r="L373" s="9">
        <f>IF(OR(RawWorking[[#This Row],[ShipDate]]="",RawWorking[[#This Row],[DeliveryDate]]=""),"",RawWorking[[#This Row],[DeliveryDate]]-RawWorking[[#This Row],[ShipDate]])</f>
        <v>2</v>
      </c>
      <c r="M373" s="9">
        <f>IF(COUNTIF(INDEX(RawWorking[OrderID],1):RawWorking[[#This Row],[OrderID]],RawWorking[[#This Row],[OrderID]])=1,1,0)</f>
        <v>1</v>
      </c>
      <c r="N373" s="4">
        <f>IFERROR(RawWorking[[#This Row],[LineAmount]]/RawWorking[[#This Row],[Quantity]],"")</f>
        <v>121.5</v>
      </c>
    </row>
    <row r="374" spans="1:14">
      <c r="A374">
        <v>50373</v>
      </c>
      <c r="B374">
        <v>30205</v>
      </c>
      <c r="C374" s="2">
        <v>45830</v>
      </c>
      <c r="D374">
        <v>2231</v>
      </c>
      <c r="E374">
        <v>1010</v>
      </c>
      <c r="F374">
        <v>2</v>
      </c>
      <c r="G374">
        <v>243</v>
      </c>
      <c r="H374" s="2">
        <v>45833</v>
      </c>
      <c r="I374" s="2">
        <v>45842</v>
      </c>
      <c r="J374" t="s">
        <v>11</v>
      </c>
      <c r="K374" s="2" t="str">
        <f>IFERROR(INDEX(Product_lookup[Category],MATCH(RawWorking[[#This Row],[ProductID]],Product_lookup[ProductID],0)),"")</f>
        <v>Office</v>
      </c>
      <c r="L374" s="9">
        <f>IF(OR(RawWorking[[#This Row],[ShipDate]]="",RawWorking[[#This Row],[DeliveryDate]]=""),"",RawWorking[[#This Row],[DeliveryDate]]-RawWorking[[#This Row],[ShipDate]])</f>
        <v>9</v>
      </c>
      <c r="M374" s="9">
        <f>IF(COUNTIF(INDEX(RawWorking[OrderID],1):RawWorking[[#This Row],[OrderID]],RawWorking[[#This Row],[OrderID]])=1,1,0)</f>
        <v>0</v>
      </c>
      <c r="N374" s="4">
        <f>IFERROR(RawWorking[[#This Row],[LineAmount]]/RawWorking[[#This Row],[Quantity]],"")</f>
        <v>121.5</v>
      </c>
    </row>
    <row r="375" spans="1:14">
      <c r="A375">
        <v>50374</v>
      </c>
      <c r="B375">
        <v>30205</v>
      </c>
      <c r="C375" s="2">
        <v>45830</v>
      </c>
      <c r="D375">
        <v>2231</v>
      </c>
      <c r="E375">
        <v>1007</v>
      </c>
      <c r="F375">
        <v>1</v>
      </c>
      <c r="G375">
        <v>199.81</v>
      </c>
      <c r="H375" s="2">
        <v>45833</v>
      </c>
      <c r="I375" s="2">
        <v>45838</v>
      </c>
      <c r="J375" t="s">
        <v>11</v>
      </c>
      <c r="K375" s="2" t="str">
        <f>IFERROR(INDEX(Product_lookup[Category],MATCH(RawWorking[[#This Row],[ProductID]],Product_lookup[ProductID],0)),"")</f>
        <v>Home</v>
      </c>
      <c r="L375" s="9">
        <f>IF(OR(RawWorking[[#This Row],[ShipDate]]="",RawWorking[[#This Row],[DeliveryDate]]=""),"",RawWorking[[#This Row],[DeliveryDate]]-RawWorking[[#This Row],[ShipDate]])</f>
        <v>5</v>
      </c>
      <c r="M375" s="9">
        <f>IF(COUNTIF(INDEX(RawWorking[OrderID],1):RawWorking[[#This Row],[OrderID]],RawWorking[[#This Row],[OrderID]])=1,1,0)</f>
        <v>0</v>
      </c>
      <c r="N375" s="4">
        <f>IFERROR(RawWorking[[#This Row],[LineAmount]]/RawWorking[[#This Row],[Quantity]],"")</f>
        <v>199.81</v>
      </c>
    </row>
    <row r="376" spans="1:14">
      <c r="A376">
        <v>50375</v>
      </c>
      <c r="B376">
        <v>30205</v>
      </c>
      <c r="C376" s="2">
        <v>45830</v>
      </c>
      <c r="D376">
        <v>2231</v>
      </c>
      <c r="E376">
        <v>1016</v>
      </c>
      <c r="F376">
        <v>3</v>
      </c>
      <c r="G376">
        <v>195.78</v>
      </c>
      <c r="H376" s="2">
        <v>45833</v>
      </c>
      <c r="I376" s="2">
        <v>45841</v>
      </c>
      <c r="J376" t="s">
        <v>11</v>
      </c>
      <c r="K376" s="2" t="str">
        <f>IFERROR(INDEX(Product_lookup[Category],MATCH(RawWorking[[#This Row],[ProductID]],Product_lookup[ProductID],0)),"")</f>
        <v>Sports</v>
      </c>
      <c r="L376" s="9">
        <f>IF(OR(RawWorking[[#This Row],[ShipDate]]="",RawWorking[[#This Row],[DeliveryDate]]=""),"",RawWorking[[#This Row],[DeliveryDate]]-RawWorking[[#This Row],[ShipDate]])</f>
        <v>8</v>
      </c>
      <c r="M376" s="9">
        <f>IF(COUNTIF(INDEX(RawWorking[OrderID],1):RawWorking[[#This Row],[OrderID]],RawWorking[[#This Row],[OrderID]])=1,1,0)</f>
        <v>0</v>
      </c>
      <c r="N376" s="4">
        <f>IFERROR(RawWorking[[#This Row],[LineAmount]]/RawWorking[[#This Row],[Quantity]],"")</f>
        <v>65.260000000000005</v>
      </c>
    </row>
    <row r="377" spans="1:14">
      <c r="A377">
        <v>50376</v>
      </c>
      <c r="B377">
        <v>30206</v>
      </c>
      <c r="C377" s="2">
        <v>45759</v>
      </c>
      <c r="D377">
        <v>2325</v>
      </c>
      <c r="E377">
        <v>1009</v>
      </c>
      <c r="F377">
        <v>2</v>
      </c>
      <c r="G377">
        <v>80.56</v>
      </c>
      <c r="H377" s="2">
        <v>45762</v>
      </c>
      <c r="I377" s="2">
        <v>45764</v>
      </c>
      <c r="J377" t="s">
        <v>9</v>
      </c>
      <c r="K377" s="2" t="str">
        <f>IFERROR(INDEX(Product_lookup[Category],MATCH(RawWorking[[#This Row],[ProductID]],Product_lookup[ProductID],0)),"")</f>
        <v>Home</v>
      </c>
      <c r="L377" s="9">
        <f>IF(OR(RawWorking[[#This Row],[ShipDate]]="",RawWorking[[#This Row],[DeliveryDate]]=""),"",RawWorking[[#This Row],[DeliveryDate]]-RawWorking[[#This Row],[ShipDate]])</f>
        <v>2</v>
      </c>
      <c r="M377" s="9">
        <f>IF(COUNTIF(INDEX(RawWorking[OrderID],1):RawWorking[[#This Row],[OrderID]],RawWorking[[#This Row],[OrderID]])=1,1,0)</f>
        <v>1</v>
      </c>
      <c r="N377" s="4">
        <f>IFERROR(RawWorking[[#This Row],[LineAmount]]/RawWorking[[#This Row],[Quantity]],"")</f>
        <v>40.28</v>
      </c>
    </row>
    <row r="378" spans="1:14">
      <c r="A378">
        <v>50377</v>
      </c>
      <c r="B378">
        <v>30206</v>
      </c>
      <c r="C378" s="2">
        <v>45759</v>
      </c>
      <c r="D378">
        <v>2325</v>
      </c>
      <c r="E378">
        <v>1010</v>
      </c>
      <c r="F378">
        <v>4</v>
      </c>
      <c r="G378">
        <v>486</v>
      </c>
      <c r="H378" s="2">
        <v>45760</v>
      </c>
      <c r="I378" s="2">
        <v>45768</v>
      </c>
      <c r="J378" t="s">
        <v>9</v>
      </c>
      <c r="K378" s="2" t="str">
        <f>IFERROR(INDEX(Product_lookup[Category],MATCH(RawWorking[[#This Row],[ProductID]],Product_lookup[ProductID],0)),"")</f>
        <v>Office</v>
      </c>
      <c r="L378" s="9">
        <f>IF(OR(RawWorking[[#This Row],[ShipDate]]="",RawWorking[[#This Row],[DeliveryDate]]=""),"",RawWorking[[#This Row],[DeliveryDate]]-RawWorking[[#This Row],[ShipDate]])</f>
        <v>8</v>
      </c>
      <c r="M378" s="9">
        <f>IF(COUNTIF(INDEX(RawWorking[OrderID],1):RawWorking[[#This Row],[OrderID]],RawWorking[[#This Row],[OrderID]])=1,1,0)</f>
        <v>0</v>
      </c>
      <c r="N378" s="4">
        <f>IFERROR(RawWorking[[#This Row],[LineAmount]]/RawWorking[[#This Row],[Quantity]],"")</f>
        <v>121.5</v>
      </c>
    </row>
    <row r="379" spans="1:14">
      <c r="A379">
        <v>50378</v>
      </c>
      <c r="B379">
        <v>30207</v>
      </c>
      <c r="C379" s="2">
        <v>45791</v>
      </c>
      <c r="D379">
        <v>2125</v>
      </c>
      <c r="E379">
        <v>1013</v>
      </c>
      <c r="F379">
        <v>1</v>
      </c>
      <c r="G379">
        <v>170.25</v>
      </c>
      <c r="H379" s="2">
        <v>45794</v>
      </c>
      <c r="I379" s="2">
        <v>45800</v>
      </c>
      <c r="J379" t="s">
        <v>9</v>
      </c>
      <c r="K379" s="2" t="str">
        <f>IFERROR(INDEX(Product_lookup[Category],MATCH(RawWorking[[#This Row],[ProductID]],Product_lookup[ProductID],0)),"")</f>
        <v>Office</v>
      </c>
      <c r="L379" s="9">
        <f>IF(OR(RawWorking[[#This Row],[ShipDate]]="",RawWorking[[#This Row],[DeliveryDate]]=""),"",RawWorking[[#This Row],[DeliveryDate]]-RawWorking[[#This Row],[ShipDate]])</f>
        <v>6</v>
      </c>
      <c r="M379" s="9">
        <f>IF(COUNTIF(INDEX(RawWorking[OrderID],1):RawWorking[[#This Row],[OrderID]],RawWorking[[#This Row],[OrderID]])=1,1,0)</f>
        <v>1</v>
      </c>
      <c r="N379" s="4">
        <f>IFERROR(RawWorking[[#This Row],[LineAmount]]/RawWorking[[#This Row],[Quantity]],"")</f>
        <v>170.25</v>
      </c>
    </row>
    <row r="380" spans="1:14">
      <c r="A380">
        <v>50379</v>
      </c>
      <c r="B380">
        <v>30207</v>
      </c>
      <c r="C380" s="2">
        <v>45791</v>
      </c>
      <c r="D380">
        <v>2125</v>
      </c>
      <c r="E380">
        <v>1013</v>
      </c>
      <c r="F380">
        <v>2</v>
      </c>
      <c r="G380">
        <v>340.5</v>
      </c>
      <c r="H380" s="2">
        <v>45793</v>
      </c>
      <c r="I380" s="2">
        <v>45799</v>
      </c>
      <c r="J380" t="s">
        <v>9</v>
      </c>
      <c r="K380" s="2" t="str">
        <f>IFERROR(INDEX(Product_lookup[Category],MATCH(RawWorking[[#This Row],[ProductID]],Product_lookup[ProductID],0)),"")</f>
        <v>Office</v>
      </c>
      <c r="L380" s="9">
        <f>IF(OR(RawWorking[[#This Row],[ShipDate]]="",RawWorking[[#This Row],[DeliveryDate]]=""),"",RawWorking[[#This Row],[DeliveryDate]]-RawWorking[[#This Row],[ShipDate]])</f>
        <v>6</v>
      </c>
      <c r="M380" s="9">
        <f>IF(COUNTIF(INDEX(RawWorking[OrderID],1):RawWorking[[#This Row],[OrderID]],RawWorking[[#This Row],[OrderID]])=1,1,0)</f>
        <v>0</v>
      </c>
      <c r="N380" s="4">
        <f>IFERROR(RawWorking[[#This Row],[LineAmount]]/RawWorking[[#This Row],[Quantity]],"")</f>
        <v>170.25</v>
      </c>
    </row>
    <row r="381" spans="1:14">
      <c r="A381">
        <v>50380</v>
      </c>
      <c r="B381">
        <v>30208</v>
      </c>
      <c r="C381" s="2">
        <v>45922</v>
      </c>
      <c r="D381">
        <v>2354</v>
      </c>
      <c r="E381">
        <v>1005</v>
      </c>
      <c r="F381">
        <v>2</v>
      </c>
      <c r="G381">
        <v>63.46</v>
      </c>
      <c r="H381" s="2">
        <v>45925</v>
      </c>
      <c r="I381" s="2">
        <v>45930</v>
      </c>
      <c r="J381" t="s">
        <v>11</v>
      </c>
      <c r="K381" s="2" t="str">
        <f>IFERROR(INDEX(Product_lookup[Category],MATCH(RawWorking[[#This Row],[ProductID]],Product_lookup[ProductID],0)),"")</f>
        <v>Electronics</v>
      </c>
      <c r="L381" s="9">
        <f>IF(OR(RawWorking[[#This Row],[ShipDate]]="",RawWorking[[#This Row],[DeliveryDate]]=""),"",RawWorking[[#This Row],[DeliveryDate]]-RawWorking[[#This Row],[ShipDate]])</f>
        <v>5</v>
      </c>
      <c r="M381" s="9">
        <f>IF(COUNTIF(INDEX(RawWorking[OrderID],1):RawWorking[[#This Row],[OrderID]],RawWorking[[#This Row],[OrderID]])=1,1,0)</f>
        <v>1</v>
      </c>
      <c r="N381" s="4">
        <f>IFERROR(RawWorking[[#This Row],[LineAmount]]/RawWorking[[#This Row],[Quantity]],"")</f>
        <v>31.73</v>
      </c>
    </row>
    <row r="382" spans="1:14">
      <c r="A382">
        <v>50381</v>
      </c>
      <c r="B382">
        <v>30209</v>
      </c>
      <c r="C382" s="2">
        <v>45782</v>
      </c>
      <c r="D382">
        <v>2298</v>
      </c>
      <c r="E382">
        <v>1003</v>
      </c>
      <c r="F382">
        <v>1</v>
      </c>
      <c r="G382">
        <v>224.37</v>
      </c>
      <c r="H382" s="2">
        <v>45783</v>
      </c>
      <c r="I382" s="2">
        <v>45874</v>
      </c>
      <c r="J382" t="s">
        <v>9</v>
      </c>
      <c r="K382" s="2" t="str">
        <f>IFERROR(INDEX(Product_lookup[Category],MATCH(RawWorking[[#This Row],[ProductID]],Product_lookup[ProductID],0)),"")</f>
        <v>Electronics</v>
      </c>
      <c r="L382" s="9">
        <f>IF(OR(RawWorking[[#This Row],[ShipDate]]="",RawWorking[[#This Row],[DeliveryDate]]=""),"",RawWorking[[#This Row],[DeliveryDate]]-RawWorking[[#This Row],[ShipDate]])</f>
        <v>91</v>
      </c>
      <c r="M382" s="9">
        <f>IF(COUNTIF(INDEX(RawWorking[OrderID],1):RawWorking[[#This Row],[OrderID]],RawWorking[[#This Row],[OrderID]])=1,1,0)</f>
        <v>1</v>
      </c>
      <c r="N382" s="4">
        <f>IFERROR(RawWorking[[#This Row],[LineAmount]]/RawWorking[[#This Row],[Quantity]],"")</f>
        <v>224.37</v>
      </c>
    </row>
    <row r="383" spans="1:14">
      <c r="A383">
        <v>50382</v>
      </c>
      <c r="B383">
        <v>30210</v>
      </c>
      <c r="C383" s="2">
        <v>45959</v>
      </c>
      <c r="D383">
        <v>2355</v>
      </c>
      <c r="E383">
        <v>1009</v>
      </c>
      <c r="F383">
        <v>2</v>
      </c>
      <c r="G383">
        <v>80.56</v>
      </c>
      <c r="H383" s="2" t="s">
        <v>1421</v>
      </c>
      <c r="I383" s="2" t="s">
        <v>1421</v>
      </c>
      <c r="J383" t="s">
        <v>12</v>
      </c>
      <c r="K383" s="2" t="str">
        <f>IFERROR(INDEX(Product_lookup[Category],MATCH(RawWorking[[#This Row],[ProductID]],Product_lookup[ProductID],0)),"")</f>
        <v>Home</v>
      </c>
      <c r="L383" s="9" t="str">
        <f>IF(OR(RawWorking[[#This Row],[ShipDate]]="",RawWorking[[#This Row],[DeliveryDate]]=""),"",RawWorking[[#This Row],[DeliveryDate]]-RawWorking[[#This Row],[ShipDate]])</f>
        <v/>
      </c>
      <c r="M383" s="9">
        <f>IF(COUNTIF(INDEX(RawWorking[OrderID],1):RawWorking[[#This Row],[OrderID]],RawWorking[[#This Row],[OrderID]])=1,1,0)</f>
        <v>1</v>
      </c>
      <c r="N383" s="4">
        <f>IFERROR(RawWorking[[#This Row],[LineAmount]]/RawWorking[[#This Row],[Quantity]],"")</f>
        <v>40.28</v>
      </c>
    </row>
    <row r="384" spans="1:14">
      <c r="A384">
        <v>50383</v>
      </c>
      <c r="B384">
        <v>30210</v>
      </c>
      <c r="C384" s="2">
        <v>45959</v>
      </c>
      <c r="D384">
        <v>2355</v>
      </c>
      <c r="E384">
        <v>1016</v>
      </c>
      <c r="F384">
        <v>2</v>
      </c>
      <c r="G384">
        <v>130.52000000000001</v>
      </c>
      <c r="H384" s="2" t="s">
        <v>1421</v>
      </c>
      <c r="I384" s="2" t="s">
        <v>1421</v>
      </c>
      <c r="J384" t="s">
        <v>12</v>
      </c>
      <c r="K384" s="2" t="str">
        <f>IFERROR(INDEX(Product_lookup[Category],MATCH(RawWorking[[#This Row],[ProductID]],Product_lookup[ProductID],0)),"")</f>
        <v>Sports</v>
      </c>
      <c r="L384" s="9" t="str">
        <f>IF(OR(RawWorking[[#This Row],[ShipDate]]="",RawWorking[[#This Row],[DeliveryDate]]=""),"",RawWorking[[#This Row],[DeliveryDate]]-RawWorking[[#This Row],[ShipDate]])</f>
        <v/>
      </c>
      <c r="M384" s="9">
        <f>IF(COUNTIF(INDEX(RawWorking[OrderID],1):RawWorking[[#This Row],[OrderID]],RawWorking[[#This Row],[OrderID]])=1,1,0)</f>
        <v>0</v>
      </c>
      <c r="N384" s="4">
        <f>IFERROR(RawWorking[[#This Row],[LineAmount]]/RawWorking[[#This Row],[Quantity]],"")</f>
        <v>65.260000000000005</v>
      </c>
    </row>
    <row r="385" spans="1:14">
      <c r="A385">
        <v>50384</v>
      </c>
      <c r="B385">
        <v>30211</v>
      </c>
      <c r="C385" s="2">
        <v>45691</v>
      </c>
      <c r="D385">
        <v>2220</v>
      </c>
      <c r="E385">
        <v>1009</v>
      </c>
      <c r="F385">
        <v>1</v>
      </c>
      <c r="G385">
        <v>40.28</v>
      </c>
      <c r="H385" s="2">
        <v>45694</v>
      </c>
      <c r="I385" s="2">
        <v>45871</v>
      </c>
      <c r="J385" t="s">
        <v>9</v>
      </c>
      <c r="K385" s="2" t="str">
        <f>IFERROR(INDEX(Product_lookup[Category],MATCH(RawWorking[[#This Row],[ProductID]],Product_lookup[ProductID],0)),"")</f>
        <v>Home</v>
      </c>
      <c r="L385" s="9">
        <f>IF(OR(RawWorking[[#This Row],[ShipDate]]="",RawWorking[[#This Row],[DeliveryDate]]=""),"",RawWorking[[#This Row],[DeliveryDate]]-RawWorking[[#This Row],[ShipDate]])</f>
        <v>177</v>
      </c>
      <c r="M385" s="9">
        <f>IF(COUNTIF(INDEX(RawWorking[OrderID],1):RawWorking[[#This Row],[OrderID]],RawWorking[[#This Row],[OrderID]])=1,1,0)</f>
        <v>1</v>
      </c>
      <c r="N385" s="4">
        <f>IFERROR(RawWorking[[#This Row],[LineAmount]]/RawWorking[[#This Row],[Quantity]],"")</f>
        <v>40.28</v>
      </c>
    </row>
    <row r="386" spans="1:14">
      <c r="A386">
        <v>50385</v>
      </c>
      <c r="B386">
        <v>30212</v>
      </c>
      <c r="C386" s="2">
        <v>45660</v>
      </c>
      <c r="D386">
        <v>2576</v>
      </c>
      <c r="E386">
        <v>1005</v>
      </c>
      <c r="F386">
        <v>1</v>
      </c>
      <c r="G386">
        <v>31.73</v>
      </c>
      <c r="H386" s="2">
        <v>45720</v>
      </c>
      <c r="I386" s="2">
        <v>45730</v>
      </c>
      <c r="J386" t="s">
        <v>9</v>
      </c>
      <c r="K386" s="2" t="str">
        <f>IFERROR(INDEX(Product_lookup[Category],MATCH(RawWorking[[#This Row],[ProductID]],Product_lookup[ProductID],0)),"")</f>
        <v>Electronics</v>
      </c>
      <c r="L386" s="9">
        <f>IF(OR(RawWorking[[#This Row],[ShipDate]]="",RawWorking[[#This Row],[DeliveryDate]]=""),"",RawWorking[[#This Row],[DeliveryDate]]-RawWorking[[#This Row],[ShipDate]])</f>
        <v>10</v>
      </c>
      <c r="M386" s="9">
        <f>IF(COUNTIF(INDEX(RawWorking[OrderID],1):RawWorking[[#This Row],[OrderID]],RawWorking[[#This Row],[OrderID]])=1,1,0)</f>
        <v>1</v>
      </c>
      <c r="N386" s="4">
        <f>IFERROR(RawWorking[[#This Row],[LineAmount]]/RawWorking[[#This Row],[Quantity]],"")</f>
        <v>31.73</v>
      </c>
    </row>
    <row r="387" spans="1:14">
      <c r="A387">
        <v>50386</v>
      </c>
      <c r="B387">
        <v>30212</v>
      </c>
      <c r="C387" s="2">
        <v>45717</v>
      </c>
      <c r="D387">
        <v>2576</v>
      </c>
      <c r="E387">
        <v>1004</v>
      </c>
      <c r="F387">
        <v>1</v>
      </c>
      <c r="G387">
        <v>183.74</v>
      </c>
      <c r="H387" s="2">
        <v>45720</v>
      </c>
      <c r="I387" s="2">
        <v>45729</v>
      </c>
      <c r="J387" t="s">
        <v>9</v>
      </c>
      <c r="K387" s="2" t="str">
        <f>IFERROR(INDEX(Product_lookup[Category],MATCH(RawWorking[[#This Row],[ProductID]],Product_lookup[ProductID],0)),"")</f>
        <v>Electronics</v>
      </c>
      <c r="L387" s="9">
        <f>IF(OR(RawWorking[[#This Row],[ShipDate]]="",RawWorking[[#This Row],[DeliveryDate]]=""),"",RawWorking[[#This Row],[DeliveryDate]]-RawWorking[[#This Row],[ShipDate]])</f>
        <v>9</v>
      </c>
      <c r="M387" s="9">
        <f>IF(COUNTIF(INDEX(RawWorking[OrderID],1):RawWorking[[#This Row],[OrderID]],RawWorking[[#This Row],[OrderID]])=1,1,0)</f>
        <v>0</v>
      </c>
      <c r="N387" s="4">
        <f>IFERROR(RawWorking[[#This Row],[LineAmount]]/RawWorking[[#This Row],[Quantity]],"")</f>
        <v>183.74</v>
      </c>
    </row>
    <row r="388" spans="1:14">
      <c r="A388">
        <v>50387</v>
      </c>
      <c r="B388">
        <v>30212</v>
      </c>
      <c r="C388" s="2">
        <v>45717</v>
      </c>
      <c r="D388">
        <v>2576</v>
      </c>
      <c r="E388">
        <v>1008</v>
      </c>
      <c r="F388">
        <v>1</v>
      </c>
      <c r="G388">
        <v>206.09</v>
      </c>
      <c r="H388" s="2">
        <v>45718</v>
      </c>
      <c r="I388" s="2">
        <v>45721</v>
      </c>
      <c r="J388" t="s">
        <v>9</v>
      </c>
      <c r="K388" s="2" t="str">
        <f>IFERROR(INDEX(Product_lookup[Category],MATCH(RawWorking[[#This Row],[ProductID]],Product_lookup[ProductID],0)),"")</f>
        <v>Home</v>
      </c>
      <c r="L388" s="9">
        <f>IF(OR(RawWorking[[#This Row],[ShipDate]]="",RawWorking[[#This Row],[DeliveryDate]]=""),"",RawWorking[[#This Row],[DeliveryDate]]-RawWorking[[#This Row],[ShipDate]])</f>
        <v>3</v>
      </c>
      <c r="M388" s="9">
        <f>IF(COUNTIF(INDEX(RawWorking[OrderID],1):RawWorking[[#This Row],[OrderID]],RawWorking[[#This Row],[OrderID]])=1,1,0)</f>
        <v>0</v>
      </c>
      <c r="N388" s="4">
        <f>IFERROR(RawWorking[[#This Row],[LineAmount]]/RawWorking[[#This Row],[Quantity]],"")</f>
        <v>206.09</v>
      </c>
    </row>
    <row r="389" spans="1:14">
      <c r="A389">
        <v>50388</v>
      </c>
      <c r="B389">
        <v>30213</v>
      </c>
      <c r="C389" s="2">
        <v>45761</v>
      </c>
      <c r="D389">
        <v>2249</v>
      </c>
      <c r="E389">
        <v>1008</v>
      </c>
      <c r="F389">
        <v>3</v>
      </c>
      <c r="G389">
        <v>618.27</v>
      </c>
      <c r="H389" s="2">
        <v>45764</v>
      </c>
      <c r="I389" s="2">
        <v>45767</v>
      </c>
      <c r="J389" t="s">
        <v>9</v>
      </c>
      <c r="K389" s="2" t="str">
        <f>IFERROR(INDEX(Product_lookup[Category],MATCH(RawWorking[[#This Row],[ProductID]],Product_lookup[ProductID],0)),"")</f>
        <v>Home</v>
      </c>
      <c r="L389" s="9">
        <f>IF(OR(RawWorking[[#This Row],[ShipDate]]="",RawWorking[[#This Row],[DeliveryDate]]=""),"",RawWorking[[#This Row],[DeliveryDate]]-RawWorking[[#This Row],[ShipDate]])</f>
        <v>3</v>
      </c>
      <c r="M389" s="9">
        <f>IF(COUNTIF(INDEX(RawWorking[OrderID],1):RawWorking[[#This Row],[OrderID]],RawWorking[[#This Row],[OrderID]])=1,1,0)</f>
        <v>1</v>
      </c>
      <c r="N389" s="4">
        <f>IFERROR(RawWorking[[#This Row],[LineAmount]]/RawWorking[[#This Row],[Quantity]],"")</f>
        <v>206.09</v>
      </c>
    </row>
    <row r="390" spans="1:14">
      <c r="A390">
        <v>50389</v>
      </c>
      <c r="B390">
        <v>30213</v>
      </c>
      <c r="C390" s="2">
        <v>45761</v>
      </c>
      <c r="D390">
        <v>2249</v>
      </c>
      <c r="E390">
        <v>1008</v>
      </c>
      <c r="F390">
        <v>1</v>
      </c>
      <c r="G390">
        <v>206.09</v>
      </c>
      <c r="H390" s="2">
        <v>45763</v>
      </c>
      <c r="I390" s="2">
        <v>45771</v>
      </c>
      <c r="J390" t="s">
        <v>9</v>
      </c>
      <c r="K390" s="2" t="str">
        <f>IFERROR(INDEX(Product_lookup[Category],MATCH(RawWorking[[#This Row],[ProductID]],Product_lookup[ProductID],0)),"")</f>
        <v>Home</v>
      </c>
      <c r="L390" s="9">
        <f>IF(OR(RawWorking[[#This Row],[ShipDate]]="",RawWorking[[#This Row],[DeliveryDate]]=""),"",RawWorking[[#This Row],[DeliveryDate]]-RawWorking[[#This Row],[ShipDate]])</f>
        <v>8</v>
      </c>
      <c r="M390" s="9">
        <f>IF(COUNTIF(INDEX(RawWorking[OrderID],1):RawWorking[[#This Row],[OrderID]],RawWorking[[#This Row],[OrderID]])=1,1,0)</f>
        <v>0</v>
      </c>
      <c r="N390" s="4">
        <f>IFERROR(RawWorking[[#This Row],[LineAmount]]/RawWorking[[#This Row],[Quantity]],"")</f>
        <v>206.09</v>
      </c>
    </row>
    <row r="391" spans="1:14">
      <c r="A391">
        <v>50390</v>
      </c>
      <c r="B391">
        <v>30214</v>
      </c>
      <c r="C391" s="2">
        <v>45938</v>
      </c>
      <c r="D391">
        <v>2054</v>
      </c>
      <c r="E391">
        <v>1011</v>
      </c>
      <c r="F391">
        <v>1</v>
      </c>
      <c r="G391">
        <v>101.44</v>
      </c>
      <c r="H391" s="2">
        <v>45941</v>
      </c>
      <c r="I391" s="2">
        <v>45945</v>
      </c>
      <c r="J391" t="s">
        <v>9</v>
      </c>
      <c r="K391" s="2" t="str">
        <f>IFERROR(INDEX(Product_lookup[Category],MATCH(RawWorking[[#This Row],[ProductID]],Product_lookup[ProductID],0)),"")</f>
        <v>Office</v>
      </c>
      <c r="L391" s="9">
        <f>IF(OR(RawWorking[[#This Row],[ShipDate]]="",RawWorking[[#This Row],[DeliveryDate]]=""),"",RawWorking[[#This Row],[DeliveryDate]]-RawWorking[[#This Row],[ShipDate]])</f>
        <v>4</v>
      </c>
      <c r="M391" s="9">
        <f>IF(COUNTIF(INDEX(RawWorking[OrderID],1):RawWorking[[#This Row],[OrderID]],RawWorking[[#This Row],[OrderID]])=1,1,0)</f>
        <v>1</v>
      </c>
      <c r="N391" s="4">
        <f>IFERROR(RawWorking[[#This Row],[LineAmount]]/RawWorking[[#This Row],[Quantity]],"")</f>
        <v>101.44</v>
      </c>
    </row>
    <row r="392" spans="1:14">
      <c r="A392">
        <v>50391</v>
      </c>
      <c r="B392">
        <v>30214</v>
      </c>
      <c r="C392" s="2">
        <v>45938</v>
      </c>
      <c r="D392">
        <v>2054</v>
      </c>
      <c r="E392">
        <v>1016</v>
      </c>
      <c r="F392">
        <v>1</v>
      </c>
      <c r="G392">
        <v>65.260000000000005</v>
      </c>
      <c r="H392" s="2">
        <v>45940</v>
      </c>
      <c r="I392" s="2">
        <v>45948</v>
      </c>
      <c r="J392" t="s">
        <v>9</v>
      </c>
      <c r="K392" s="2" t="str">
        <f>IFERROR(INDEX(Product_lookup[Category],MATCH(RawWorking[[#This Row],[ProductID]],Product_lookup[ProductID],0)),"")</f>
        <v>Sports</v>
      </c>
      <c r="L392" s="9">
        <f>IF(OR(RawWorking[[#This Row],[ShipDate]]="",RawWorking[[#This Row],[DeliveryDate]]=""),"",RawWorking[[#This Row],[DeliveryDate]]-RawWorking[[#This Row],[ShipDate]])</f>
        <v>8</v>
      </c>
      <c r="M392" s="9">
        <f>IF(COUNTIF(INDEX(RawWorking[OrderID],1):RawWorking[[#This Row],[OrderID]],RawWorking[[#This Row],[OrderID]])=1,1,0)</f>
        <v>0</v>
      </c>
      <c r="N392" s="4">
        <f>IFERROR(RawWorking[[#This Row],[LineAmount]]/RawWorking[[#This Row],[Quantity]],"")</f>
        <v>65.260000000000005</v>
      </c>
    </row>
    <row r="393" spans="1:14">
      <c r="A393">
        <v>50392</v>
      </c>
      <c r="B393">
        <v>30215</v>
      </c>
      <c r="C393" s="2">
        <v>46014</v>
      </c>
      <c r="D393">
        <v>2103</v>
      </c>
      <c r="E393">
        <v>1005</v>
      </c>
      <c r="F393">
        <v>2</v>
      </c>
      <c r="G393">
        <v>63.46</v>
      </c>
      <c r="H393" s="2">
        <v>46016</v>
      </c>
      <c r="I393" s="2">
        <v>46017</v>
      </c>
      <c r="J393" t="s">
        <v>9</v>
      </c>
      <c r="K393" s="2" t="str">
        <f>IFERROR(INDEX(Product_lookup[Category],MATCH(RawWorking[[#This Row],[ProductID]],Product_lookup[ProductID],0)),"")</f>
        <v>Electronics</v>
      </c>
      <c r="L393" s="9">
        <f>IF(OR(RawWorking[[#This Row],[ShipDate]]="",RawWorking[[#This Row],[DeliveryDate]]=""),"",RawWorking[[#This Row],[DeliveryDate]]-RawWorking[[#This Row],[ShipDate]])</f>
        <v>1</v>
      </c>
      <c r="M393" s="9">
        <f>IF(COUNTIF(INDEX(RawWorking[OrderID],1):RawWorking[[#This Row],[OrderID]],RawWorking[[#This Row],[OrderID]])=1,1,0)</f>
        <v>1</v>
      </c>
      <c r="N393" s="4">
        <f>IFERROR(RawWorking[[#This Row],[LineAmount]]/RawWorking[[#This Row],[Quantity]],"")</f>
        <v>31.73</v>
      </c>
    </row>
    <row r="394" spans="1:14">
      <c r="A394">
        <v>50393</v>
      </c>
      <c r="B394">
        <v>30216</v>
      </c>
      <c r="C394" s="2">
        <v>45854</v>
      </c>
      <c r="D394">
        <v>2006</v>
      </c>
      <c r="E394">
        <v>1006</v>
      </c>
      <c r="F394">
        <v>2</v>
      </c>
      <c r="G394">
        <v>507.72</v>
      </c>
      <c r="H394" s="2">
        <v>45856</v>
      </c>
      <c r="I394" s="2">
        <v>45860</v>
      </c>
      <c r="J394" t="s">
        <v>11</v>
      </c>
      <c r="K394" s="2" t="str">
        <f>IFERROR(INDEX(Product_lookup[Category],MATCH(RawWorking[[#This Row],[ProductID]],Product_lookup[ProductID],0)),"")</f>
        <v>Home</v>
      </c>
      <c r="L394" s="9">
        <f>IF(OR(RawWorking[[#This Row],[ShipDate]]="",RawWorking[[#This Row],[DeliveryDate]]=""),"",RawWorking[[#This Row],[DeliveryDate]]-RawWorking[[#This Row],[ShipDate]])</f>
        <v>4</v>
      </c>
      <c r="M394" s="9">
        <f>IF(COUNTIF(INDEX(RawWorking[OrderID],1):RawWorking[[#This Row],[OrderID]],RawWorking[[#This Row],[OrderID]])=1,1,0)</f>
        <v>1</v>
      </c>
      <c r="N394" s="4">
        <f>IFERROR(RawWorking[[#This Row],[LineAmount]]/RawWorking[[#This Row],[Quantity]],"")</f>
        <v>253.86</v>
      </c>
    </row>
    <row r="395" spans="1:14">
      <c r="A395">
        <v>50394</v>
      </c>
      <c r="B395">
        <v>30216</v>
      </c>
      <c r="C395" s="2">
        <v>45854</v>
      </c>
      <c r="D395">
        <v>2006</v>
      </c>
      <c r="E395">
        <v>1014</v>
      </c>
      <c r="F395">
        <v>4</v>
      </c>
      <c r="G395">
        <v>861.36</v>
      </c>
      <c r="H395" s="2">
        <v>45856</v>
      </c>
      <c r="I395" s="2">
        <v>45865</v>
      </c>
      <c r="J395" t="s">
        <v>11</v>
      </c>
      <c r="K395" s="2" t="str">
        <f>IFERROR(INDEX(Product_lookup[Category],MATCH(RawWorking[[#This Row],[ProductID]],Product_lookup[ProductID],0)),"")</f>
        <v>Sports</v>
      </c>
      <c r="L395" s="9">
        <f>IF(OR(RawWorking[[#This Row],[ShipDate]]="",RawWorking[[#This Row],[DeliveryDate]]=""),"",RawWorking[[#This Row],[DeliveryDate]]-RawWorking[[#This Row],[ShipDate]])</f>
        <v>9</v>
      </c>
      <c r="M395" s="9">
        <f>IF(COUNTIF(INDEX(RawWorking[OrderID],1):RawWorking[[#This Row],[OrderID]],RawWorking[[#This Row],[OrderID]])=1,1,0)</f>
        <v>0</v>
      </c>
      <c r="N395" s="4">
        <f>IFERROR(RawWorking[[#This Row],[LineAmount]]/RawWorking[[#This Row],[Quantity]],"")</f>
        <v>215.34</v>
      </c>
    </row>
    <row r="396" spans="1:14">
      <c r="A396">
        <v>50395</v>
      </c>
      <c r="B396">
        <v>30216</v>
      </c>
      <c r="C396" s="2">
        <v>45854</v>
      </c>
      <c r="D396">
        <v>2006</v>
      </c>
      <c r="E396">
        <v>1016</v>
      </c>
      <c r="F396">
        <v>1</v>
      </c>
      <c r="G396">
        <v>65.260000000000005</v>
      </c>
      <c r="H396" s="2">
        <v>45857</v>
      </c>
      <c r="I396" s="2">
        <v>45866</v>
      </c>
      <c r="J396" t="s">
        <v>11</v>
      </c>
      <c r="K396" s="2" t="str">
        <f>IFERROR(INDEX(Product_lookup[Category],MATCH(RawWorking[[#This Row],[ProductID]],Product_lookup[ProductID],0)),"")</f>
        <v>Sports</v>
      </c>
      <c r="L396" s="9">
        <f>IF(OR(RawWorking[[#This Row],[ShipDate]]="",RawWorking[[#This Row],[DeliveryDate]]=""),"",RawWorking[[#This Row],[DeliveryDate]]-RawWorking[[#This Row],[ShipDate]])</f>
        <v>9</v>
      </c>
      <c r="M396" s="9">
        <f>IF(COUNTIF(INDEX(RawWorking[OrderID],1):RawWorking[[#This Row],[OrderID]],RawWorking[[#This Row],[OrderID]])=1,1,0)</f>
        <v>0</v>
      </c>
      <c r="N396" s="4">
        <f>IFERROR(RawWorking[[#This Row],[LineAmount]]/RawWorking[[#This Row],[Quantity]],"")</f>
        <v>65.260000000000005</v>
      </c>
    </row>
    <row r="397" spans="1:14">
      <c r="A397">
        <v>50396</v>
      </c>
      <c r="B397">
        <v>30217</v>
      </c>
      <c r="C397" s="2">
        <v>45856</v>
      </c>
      <c r="D397">
        <v>2489</v>
      </c>
      <c r="E397">
        <v>1010</v>
      </c>
      <c r="F397">
        <v>2</v>
      </c>
      <c r="G397">
        <v>243</v>
      </c>
      <c r="H397" s="2">
        <v>45859</v>
      </c>
      <c r="I397" s="2">
        <v>45863</v>
      </c>
      <c r="J397" t="s">
        <v>9</v>
      </c>
      <c r="K397" s="2" t="str">
        <f>IFERROR(INDEX(Product_lookup[Category],MATCH(RawWorking[[#This Row],[ProductID]],Product_lookup[ProductID],0)),"")</f>
        <v>Office</v>
      </c>
      <c r="L397" s="9">
        <f>IF(OR(RawWorking[[#This Row],[ShipDate]]="",RawWorking[[#This Row],[DeliveryDate]]=""),"",RawWorking[[#This Row],[DeliveryDate]]-RawWorking[[#This Row],[ShipDate]])</f>
        <v>4</v>
      </c>
      <c r="M397" s="9">
        <f>IF(COUNTIF(INDEX(RawWorking[OrderID],1):RawWorking[[#This Row],[OrderID]],RawWorking[[#This Row],[OrderID]])=1,1,0)</f>
        <v>1</v>
      </c>
      <c r="N397" s="4">
        <f>IFERROR(RawWorking[[#This Row],[LineAmount]]/RawWorking[[#This Row],[Quantity]],"")</f>
        <v>121.5</v>
      </c>
    </row>
    <row r="398" spans="1:14">
      <c r="A398">
        <v>50397</v>
      </c>
      <c r="B398">
        <v>30218</v>
      </c>
      <c r="C398" s="2">
        <v>45953</v>
      </c>
      <c r="D398">
        <v>2329</v>
      </c>
      <c r="E398">
        <v>1002</v>
      </c>
      <c r="F398">
        <v>4</v>
      </c>
      <c r="G398">
        <v>474.4</v>
      </c>
      <c r="H398" s="2">
        <v>45954</v>
      </c>
      <c r="I398" s="2">
        <v>45958</v>
      </c>
      <c r="J398" t="s">
        <v>9</v>
      </c>
      <c r="K398" s="2" t="str">
        <f>IFERROR(INDEX(Product_lookup[Category],MATCH(RawWorking[[#This Row],[ProductID]],Product_lookup[ProductID],0)),"")</f>
        <v>Electronics</v>
      </c>
      <c r="L398" s="9">
        <f>IF(OR(RawWorking[[#This Row],[ShipDate]]="",RawWorking[[#This Row],[DeliveryDate]]=""),"",RawWorking[[#This Row],[DeliveryDate]]-RawWorking[[#This Row],[ShipDate]])</f>
        <v>4</v>
      </c>
      <c r="M398" s="9">
        <f>IF(COUNTIF(INDEX(RawWorking[OrderID],1):RawWorking[[#This Row],[OrderID]],RawWorking[[#This Row],[OrderID]])=1,1,0)</f>
        <v>1</v>
      </c>
      <c r="N398" s="4">
        <f>IFERROR(RawWorking[[#This Row],[LineAmount]]/RawWorking[[#This Row],[Quantity]],"")</f>
        <v>118.6</v>
      </c>
    </row>
    <row r="399" spans="1:14">
      <c r="A399">
        <v>50398</v>
      </c>
      <c r="B399">
        <v>30218</v>
      </c>
      <c r="C399" s="2">
        <v>45953</v>
      </c>
      <c r="D399">
        <v>2329</v>
      </c>
      <c r="E399">
        <v>1003</v>
      </c>
      <c r="F399">
        <v>4</v>
      </c>
      <c r="G399">
        <v>897.48</v>
      </c>
      <c r="H399" s="2">
        <v>45956</v>
      </c>
      <c r="I399" s="2">
        <v>45957</v>
      </c>
      <c r="J399" t="s">
        <v>9</v>
      </c>
      <c r="K399" s="2" t="str">
        <f>IFERROR(INDEX(Product_lookup[Category],MATCH(RawWorking[[#This Row],[ProductID]],Product_lookup[ProductID],0)),"")</f>
        <v>Electronics</v>
      </c>
      <c r="L399" s="9">
        <f>IF(OR(RawWorking[[#This Row],[ShipDate]]="",RawWorking[[#This Row],[DeliveryDate]]=""),"",RawWorking[[#This Row],[DeliveryDate]]-RawWorking[[#This Row],[ShipDate]])</f>
        <v>1</v>
      </c>
      <c r="M399" s="9">
        <f>IF(COUNTIF(INDEX(RawWorking[OrderID],1):RawWorking[[#This Row],[OrderID]],RawWorking[[#This Row],[OrderID]])=1,1,0)</f>
        <v>0</v>
      </c>
      <c r="N399" s="4">
        <f>IFERROR(RawWorking[[#This Row],[LineAmount]]/RawWorking[[#This Row],[Quantity]],"")</f>
        <v>224.37</v>
      </c>
    </row>
    <row r="400" spans="1:14">
      <c r="A400">
        <v>50399</v>
      </c>
      <c r="B400">
        <v>30218</v>
      </c>
      <c r="C400" s="2">
        <v>45953</v>
      </c>
      <c r="D400">
        <v>2329</v>
      </c>
      <c r="E400">
        <v>1008</v>
      </c>
      <c r="F400">
        <v>2</v>
      </c>
      <c r="G400">
        <v>412.18</v>
      </c>
      <c r="H400" s="2">
        <v>45956</v>
      </c>
      <c r="I400" s="2">
        <v>45959</v>
      </c>
      <c r="J400" t="s">
        <v>9</v>
      </c>
      <c r="K400" s="2" t="str">
        <f>IFERROR(INDEX(Product_lookup[Category],MATCH(RawWorking[[#This Row],[ProductID]],Product_lookup[ProductID],0)),"")</f>
        <v>Home</v>
      </c>
      <c r="L400" s="9">
        <f>IF(OR(RawWorking[[#This Row],[ShipDate]]="",RawWorking[[#This Row],[DeliveryDate]]=""),"",RawWorking[[#This Row],[DeliveryDate]]-RawWorking[[#This Row],[ShipDate]])</f>
        <v>3</v>
      </c>
      <c r="M400" s="9">
        <f>IF(COUNTIF(INDEX(RawWorking[OrderID],1):RawWorking[[#This Row],[OrderID]],RawWorking[[#This Row],[OrderID]])=1,1,0)</f>
        <v>0</v>
      </c>
      <c r="N400" s="4">
        <f>IFERROR(RawWorking[[#This Row],[LineAmount]]/RawWorking[[#This Row],[Quantity]],"")</f>
        <v>206.09</v>
      </c>
    </row>
    <row r="401" spans="1:14">
      <c r="A401">
        <v>50400</v>
      </c>
      <c r="B401">
        <v>30219</v>
      </c>
      <c r="C401" s="2">
        <v>45936</v>
      </c>
      <c r="D401">
        <v>2548</v>
      </c>
      <c r="E401">
        <v>1002</v>
      </c>
      <c r="F401">
        <v>1</v>
      </c>
      <c r="G401">
        <v>118.6</v>
      </c>
      <c r="H401" s="2">
        <v>45939</v>
      </c>
      <c r="I401" s="2">
        <v>45942</v>
      </c>
      <c r="J401" t="s">
        <v>9</v>
      </c>
      <c r="K401" s="2" t="str">
        <f>IFERROR(INDEX(Product_lookup[Category],MATCH(RawWorking[[#This Row],[ProductID]],Product_lookup[ProductID],0)),"")</f>
        <v>Electronics</v>
      </c>
      <c r="L401" s="9">
        <f>IF(OR(RawWorking[[#This Row],[ShipDate]]="",RawWorking[[#This Row],[DeliveryDate]]=""),"",RawWorking[[#This Row],[DeliveryDate]]-RawWorking[[#This Row],[ShipDate]])</f>
        <v>3</v>
      </c>
      <c r="M401" s="9">
        <f>IF(COUNTIF(INDEX(RawWorking[OrderID],1):RawWorking[[#This Row],[OrderID]],RawWorking[[#This Row],[OrderID]])=1,1,0)</f>
        <v>1</v>
      </c>
      <c r="N401" s="4">
        <f>IFERROR(RawWorking[[#This Row],[LineAmount]]/RawWorking[[#This Row],[Quantity]],"")</f>
        <v>118.6</v>
      </c>
    </row>
    <row r="402" spans="1:14">
      <c r="A402">
        <v>50401</v>
      </c>
      <c r="B402">
        <v>30220</v>
      </c>
      <c r="C402" s="2">
        <v>45879</v>
      </c>
      <c r="D402">
        <v>2180</v>
      </c>
      <c r="E402">
        <v>1006</v>
      </c>
      <c r="F402">
        <v>1</v>
      </c>
      <c r="G402">
        <v>253.86</v>
      </c>
      <c r="H402" s="2">
        <v>45881</v>
      </c>
      <c r="I402" s="2">
        <v>45886</v>
      </c>
      <c r="J402" t="s">
        <v>9</v>
      </c>
      <c r="K402" s="2" t="str">
        <f>IFERROR(INDEX(Product_lookup[Category],MATCH(RawWorking[[#This Row],[ProductID]],Product_lookup[ProductID],0)),"")</f>
        <v>Home</v>
      </c>
      <c r="L402" s="9">
        <f>IF(OR(RawWorking[[#This Row],[ShipDate]]="",RawWorking[[#This Row],[DeliveryDate]]=""),"",RawWorking[[#This Row],[DeliveryDate]]-RawWorking[[#This Row],[ShipDate]])</f>
        <v>5</v>
      </c>
      <c r="M402" s="9">
        <f>IF(COUNTIF(INDEX(RawWorking[OrderID],1):RawWorking[[#This Row],[OrderID]],RawWorking[[#This Row],[OrderID]])=1,1,0)</f>
        <v>1</v>
      </c>
      <c r="N402" s="4">
        <f>IFERROR(RawWorking[[#This Row],[LineAmount]]/RawWorking[[#This Row],[Quantity]],"")</f>
        <v>253.86</v>
      </c>
    </row>
    <row r="403" spans="1:14">
      <c r="A403">
        <v>50402</v>
      </c>
      <c r="B403">
        <v>30221</v>
      </c>
      <c r="C403" s="2">
        <v>45871</v>
      </c>
      <c r="D403">
        <v>2038</v>
      </c>
      <c r="E403">
        <v>1013</v>
      </c>
      <c r="F403">
        <v>1</v>
      </c>
      <c r="G403">
        <v>170.25</v>
      </c>
      <c r="H403" s="2">
        <v>45873</v>
      </c>
      <c r="I403" s="2">
        <v>45882</v>
      </c>
      <c r="J403" t="s">
        <v>11</v>
      </c>
      <c r="K403" s="2" t="str">
        <f>IFERROR(INDEX(Product_lookup[Category],MATCH(RawWorking[[#This Row],[ProductID]],Product_lookup[ProductID],0)),"")</f>
        <v>Office</v>
      </c>
      <c r="L403" s="9">
        <f>IF(OR(RawWorking[[#This Row],[ShipDate]]="",RawWorking[[#This Row],[DeliveryDate]]=""),"",RawWorking[[#This Row],[DeliveryDate]]-RawWorking[[#This Row],[ShipDate]])</f>
        <v>9</v>
      </c>
      <c r="M403" s="9">
        <f>IF(COUNTIF(INDEX(RawWorking[OrderID],1):RawWorking[[#This Row],[OrderID]],RawWorking[[#This Row],[OrderID]])=1,1,0)</f>
        <v>1</v>
      </c>
      <c r="N403" s="4">
        <f>IFERROR(RawWorking[[#This Row],[LineAmount]]/RawWorking[[#This Row],[Quantity]],"")</f>
        <v>170.25</v>
      </c>
    </row>
    <row r="404" spans="1:14">
      <c r="A404">
        <v>50403</v>
      </c>
      <c r="B404">
        <v>30222</v>
      </c>
      <c r="C404" s="2">
        <v>45764</v>
      </c>
      <c r="D404">
        <v>2508</v>
      </c>
      <c r="E404">
        <v>1010</v>
      </c>
      <c r="F404">
        <v>1</v>
      </c>
      <c r="G404">
        <v>121.5</v>
      </c>
      <c r="H404" s="2">
        <v>45767</v>
      </c>
      <c r="I404" s="2">
        <v>45768</v>
      </c>
      <c r="J404" t="s">
        <v>9</v>
      </c>
      <c r="K404" s="2" t="str">
        <f>IFERROR(INDEX(Product_lookup[Category],MATCH(RawWorking[[#This Row],[ProductID]],Product_lookup[ProductID],0)),"")</f>
        <v>Office</v>
      </c>
      <c r="L404" s="9">
        <f>IF(OR(RawWorking[[#This Row],[ShipDate]]="",RawWorking[[#This Row],[DeliveryDate]]=""),"",RawWorking[[#This Row],[DeliveryDate]]-RawWorking[[#This Row],[ShipDate]])</f>
        <v>1</v>
      </c>
      <c r="M404" s="9">
        <f>IF(COUNTIF(INDEX(RawWorking[OrderID],1):RawWorking[[#This Row],[OrderID]],RawWorking[[#This Row],[OrderID]])=1,1,0)</f>
        <v>1</v>
      </c>
      <c r="N404" s="4">
        <f>IFERROR(RawWorking[[#This Row],[LineAmount]]/RawWorking[[#This Row],[Quantity]],"")</f>
        <v>121.5</v>
      </c>
    </row>
    <row r="405" spans="1:14">
      <c r="A405">
        <v>50404</v>
      </c>
      <c r="B405">
        <v>30223</v>
      </c>
      <c r="C405" s="2">
        <v>45721</v>
      </c>
      <c r="D405">
        <v>2039</v>
      </c>
      <c r="E405">
        <v>1004</v>
      </c>
      <c r="F405">
        <v>3</v>
      </c>
      <c r="G405">
        <v>551.22</v>
      </c>
      <c r="H405" s="2">
        <v>45781</v>
      </c>
      <c r="I405" s="2">
        <v>45783</v>
      </c>
      <c r="J405" t="s">
        <v>9</v>
      </c>
      <c r="K405" s="2" t="str">
        <f>IFERROR(INDEX(Product_lookup[Category],MATCH(RawWorking[[#This Row],[ProductID]],Product_lookup[ProductID],0)),"")</f>
        <v>Electronics</v>
      </c>
      <c r="L405" s="9">
        <f>IF(OR(RawWorking[[#This Row],[ShipDate]]="",RawWorking[[#This Row],[DeliveryDate]]=""),"",RawWorking[[#This Row],[DeliveryDate]]-RawWorking[[#This Row],[ShipDate]])</f>
        <v>2</v>
      </c>
      <c r="M405" s="9">
        <f>IF(COUNTIF(INDEX(RawWorking[OrderID],1):RawWorking[[#This Row],[OrderID]],RawWorking[[#This Row],[OrderID]])=1,1,0)</f>
        <v>1</v>
      </c>
      <c r="N405" s="4">
        <f>IFERROR(RawWorking[[#This Row],[LineAmount]]/RawWorking[[#This Row],[Quantity]],"")</f>
        <v>183.74</v>
      </c>
    </row>
    <row r="406" spans="1:14">
      <c r="A406">
        <v>50405</v>
      </c>
      <c r="B406">
        <v>30223</v>
      </c>
      <c r="C406" s="2">
        <v>45780</v>
      </c>
      <c r="D406">
        <v>2039</v>
      </c>
      <c r="E406">
        <v>1011</v>
      </c>
      <c r="F406">
        <v>2</v>
      </c>
      <c r="G406">
        <v>202.88</v>
      </c>
      <c r="H406" s="2">
        <v>45782</v>
      </c>
      <c r="I406" s="2">
        <v>45784</v>
      </c>
      <c r="J406" t="s">
        <v>9</v>
      </c>
      <c r="K406" s="2" t="str">
        <f>IFERROR(INDEX(Product_lookup[Category],MATCH(RawWorking[[#This Row],[ProductID]],Product_lookup[ProductID],0)),"")</f>
        <v>Office</v>
      </c>
      <c r="L406" s="9">
        <f>IF(OR(RawWorking[[#This Row],[ShipDate]]="",RawWorking[[#This Row],[DeliveryDate]]=""),"",RawWorking[[#This Row],[DeliveryDate]]-RawWorking[[#This Row],[ShipDate]])</f>
        <v>2</v>
      </c>
      <c r="M406" s="9">
        <f>IF(COUNTIF(INDEX(RawWorking[OrderID],1):RawWorking[[#This Row],[OrderID]],RawWorking[[#This Row],[OrderID]])=1,1,0)</f>
        <v>0</v>
      </c>
      <c r="N406" s="4">
        <f>IFERROR(RawWorking[[#This Row],[LineAmount]]/RawWorking[[#This Row],[Quantity]],"")</f>
        <v>101.44</v>
      </c>
    </row>
    <row r="407" spans="1:14">
      <c r="A407">
        <v>50406</v>
      </c>
      <c r="B407">
        <v>30224</v>
      </c>
      <c r="C407" s="2">
        <v>45700</v>
      </c>
      <c r="D407">
        <v>2292</v>
      </c>
      <c r="E407">
        <v>1016</v>
      </c>
      <c r="F407">
        <v>1</v>
      </c>
      <c r="G407">
        <v>65.260000000000005</v>
      </c>
      <c r="H407" s="2">
        <v>45702</v>
      </c>
      <c r="I407" s="2">
        <v>45712</v>
      </c>
      <c r="J407" t="s">
        <v>9</v>
      </c>
      <c r="K407" s="2" t="str">
        <f>IFERROR(INDEX(Product_lookup[Category],MATCH(RawWorking[[#This Row],[ProductID]],Product_lookup[ProductID],0)),"")</f>
        <v>Sports</v>
      </c>
      <c r="L407" s="9">
        <f>IF(OR(RawWorking[[#This Row],[ShipDate]]="",RawWorking[[#This Row],[DeliveryDate]]=""),"",RawWorking[[#This Row],[DeliveryDate]]-RawWorking[[#This Row],[ShipDate]])</f>
        <v>10</v>
      </c>
      <c r="M407" s="9">
        <f>IF(COUNTIF(INDEX(RawWorking[OrderID],1):RawWorking[[#This Row],[OrderID]],RawWorking[[#This Row],[OrderID]])=1,1,0)</f>
        <v>1</v>
      </c>
      <c r="N407" s="4">
        <f>IFERROR(RawWorking[[#This Row],[LineAmount]]/RawWorking[[#This Row],[Quantity]],"")</f>
        <v>65.260000000000005</v>
      </c>
    </row>
    <row r="408" spans="1:14">
      <c r="A408">
        <v>50407</v>
      </c>
      <c r="B408">
        <v>30224</v>
      </c>
      <c r="C408" s="2">
        <v>45700</v>
      </c>
      <c r="D408">
        <v>2292</v>
      </c>
      <c r="E408">
        <v>1005</v>
      </c>
      <c r="F408">
        <v>1</v>
      </c>
      <c r="G408">
        <v>31.73</v>
      </c>
      <c r="H408" s="2">
        <v>45701</v>
      </c>
      <c r="I408" s="2">
        <v>45706</v>
      </c>
      <c r="J408" t="s">
        <v>9</v>
      </c>
      <c r="K408" s="2" t="str">
        <f>IFERROR(INDEX(Product_lookup[Category],MATCH(RawWorking[[#This Row],[ProductID]],Product_lookup[ProductID],0)),"")</f>
        <v>Electronics</v>
      </c>
      <c r="L408" s="9">
        <f>IF(OR(RawWorking[[#This Row],[ShipDate]]="",RawWorking[[#This Row],[DeliveryDate]]=""),"",RawWorking[[#This Row],[DeliveryDate]]-RawWorking[[#This Row],[ShipDate]])</f>
        <v>5</v>
      </c>
      <c r="M408" s="9">
        <f>IF(COUNTIF(INDEX(RawWorking[OrderID],1):RawWorking[[#This Row],[OrderID]],RawWorking[[#This Row],[OrderID]])=1,1,0)</f>
        <v>0</v>
      </c>
      <c r="N408" s="4">
        <f>IFERROR(RawWorking[[#This Row],[LineAmount]]/RawWorking[[#This Row],[Quantity]],"")</f>
        <v>31.73</v>
      </c>
    </row>
    <row r="409" spans="1:14">
      <c r="A409">
        <v>50408</v>
      </c>
      <c r="B409">
        <v>30224</v>
      </c>
      <c r="C409" s="2">
        <v>45700</v>
      </c>
      <c r="D409">
        <v>2292</v>
      </c>
      <c r="E409">
        <v>1015</v>
      </c>
      <c r="F409">
        <v>4</v>
      </c>
      <c r="G409">
        <v>478.96</v>
      </c>
      <c r="H409" s="2">
        <v>45702</v>
      </c>
      <c r="I409" s="2">
        <v>45705</v>
      </c>
      <c r="J409" t="s">
        <v>9</v>
      </c>
      <c r="K409" s="2" t="str">
        <f>IFERROR(INDEX(Product_lookup[Category],MATCH(RawWorking[[#This Row],[ProductID]],Product_lookup[ProductID],0)),"")</f>
        <v>Sports</v>
      </c>
      <c r="L409" s="9">
        <f>IF(OR(RawWorking[[#This Row],[ShipDate]]="",RawWorking[[#This Row],[DeliveryDate]]=""),"",RawWorking[[#This Row],[DeliveryDate]]-RawWorking[[#This Row],[ShipDate]])</f>
        <v>3</v>
      </c>
      <c r="M409" s="9">
        <f>IF(COUNTIF(INDEX(RawWorking[OrderID],1):RawWorking[[#This Row],[OrderID]],RawWorking[[#This Row],[OrderID]])=1,1,0)</f>
        <v>0</v>
      </c>
      <c r="N409" s="4">
        <f>IFERROR(RawWorking[[#This Row],[LineAmount]]/RawWorking[[#This Row],[Quantity]],"")</f>
        <v>119.74</v>
      </c>
    </row>
    <row r="410" spans="1:14">
      <c r="A410">
        <v>50409</v>
      </c>
      <c r="B410">
        <v>30224</v>
      </c>
      <c r="C410" s="2">
        <v>45700</v>
      </c>
      <c r="D410">
        <v>2292</v>
      </c>
      <c r="E410">
        <v>1009</v>
      </c>
      <c r="F410">
        <v>1</v>
      </c>
      <c r="G410">
        <v>40.28</v>
      </c>
      <c r="H410" s="2">
        <v>45703</v>
      </c>
      <c r="I410" s="2">
        <v>45713</v>
      </c>
      <c r="J410" t="s">
        <v>9</v>
      </c>
      <c r="K410" s="2" t="str">
        <f>IFERROR(INDEX(Product_lookup[Category],MATCH(RawWorking[[#This Row],[ProductID]],Product_lookup[ProductID],0)),"")</f>
        <v>Home</v>
      </c>
      <c r="L410" s="9">
        <f>IF(OR(RawWorking[[#This Row],[ShipDate]]="",RawWorking[[#This Row],[DeliveryDate]]=""),"",RawWorking[[#This Row],[DeliveryDate]]-RawWorking[[#This Row],[ShipDate]])</f>
        <v>10</v>
      </c>
      <c r="M410" s="9">
        <f>IF(COUNTIF(INDEX(RawWorking[OrderID],1):RawWorking[[#This Row],[OrderID]],RawWorking[[#This Row],[OrderID]])=1,1,0)</f>
        <v>0</v>
      </c>
      <c r="N410" s="4">
        <f>IFERROR(RawWorking[[#This Row],[LineAmount]]/RawWorking[[#This Row],[Quantity]],"")</f>
        <v>40.28</v>
      </c>
    </row>
    <row r="411" spans="1:14">
      <c r="A411">
        <v>50410</v>
      </c>
      <c r="B411">
        <v>30225</v>
      </c>
      <c r="C411" s="2">
        <v>45708</v>
      </c>
      <c r="D411">
        <v>2198</v>
      </c>
      <c r="E411">
        <v>1011</v>
      </c>
      <c r="F411">
        <v>1</v>
      </c>
      <c r="G411">
        <v>101.44</v>
      </c>
      <c r="H411" s="2">
        <v>45710</v>
      </c>
      <c r="I411" s="2" t="s">
        <v>1421</v>
      </c>
      <c r="J411" t="s">
        <v>16</v>
      </c>
      <c r="K411" s="2" t="str">
        <f>IFERROR(INDEX(Product_lookup[Category],MATCH(RawWorking[[#This Row],[ProductID]],Product_lookup[ProductID],0)),"")</f>
        <v>Office</v>
      </c>
      <c r="L411" s="9" t="str">
        <f>IF(OR(RawWorking[[#This Row],[ShipDate]]="",RawWorking[[#This Row],[DeliveryDate]]=""),"",RawWorking[[#This Row],[DeliveryDate]]-RawWorking[[#This Row],[ShipDate]])</f>
        <v/>
      </c>
      <c r="M411" s="9">
        <f>IF(COUNTIF(INDEX(RawWorking[OrderID],1):RawWorking[[#This Row],[OrderID]],RawWorking[[#This Row],[OrderID]])=1,1,0)</f>
        <v>1</v>
      </c>
      <c r="N411" s="4">
        <f>IFERROR(RawWorking[[#This Row],[LineAmount]]/RawWorking[[#This Row],[Quantity]],"")</f>
        <v>101.44</v>
      </c>
    </row>
    <row r="412" spans="1:14">
      <c r="A412">
        <v>50411</v>
      </c>
      <c r="B412">
        <v>30225</v>
      </c>
      <c r="C412" s="2">
        <v>45708</v>
      </c>
      <c r="D412">
        <v>2198</v>
      </c>
      <c r="E412">
        <v>1015</v>
      </c>
      <c r="F412">
        <v>2</v>
      </c>
      <c r="G412">
        <v>239.48</v>
      </c>
      <c r="H412" s="2" t="s">
        <v>1421</v>
      </c>
      <c r="I412" s="2" t="s">
        <v>1421</v>
      </c>
      <c r="J412" t="s">
        <v>16</v>
      </c>
      <c r="K412" s="2" t="str">
        <f>IFERROR(INDEX(Product_lookup[Category],MATCH(RawWorking[[#This Row],[ProductID]],Product_lookup[ProductID],0)),"")</f>
        <v>Sports</v>
      </c>
      <c r="L412" s="9" t="str">
        <f>IF(OR(RawWorking[[#This Row],[ShipDate]]="",RawWorking[[#This Row],[DeliveryDate]]=""),"",RawWorking[[#This Row],[DeliveryDate]]-RawWorking[[#This Row],[ShipDate]])</f>
        <v/>
      </c>
      <c r="M412" s="9">
        <f>IF(COUNTIF(INDEX(RawWorking[OrderID],1):RawWorking[[#This Row],[OrderID]],RawWorking[[#This Row],[OrderID]])=1,1,0)</f>
        <v>0</v>
      </c>
      <c r="N412" s="4">
        <f>IFERROR(RawWorking[[#This Row],[LineAmount]]/RawWorking[[#This Row],[Quantity]],"")</f>
        <v>119.74</v>
      </c>
    </row>
    <row r="413" spans="1:14">
      <c r="A413">
        <v>50412</v>
      </c>
      <c r="B413">
        <v>30226</v>
      </c>
      <c r="C413" s="2">
        <v>45980</v>
      </c>
      <c r="D413">
        <v>2191</v>
      </c>
      <c r="E413">
        <v>1011</v>
      </c>
      <c r="F413">
        <v>3</v>
      </c>
      <c r="G413">
        <v>304.32</v>
      </c>
      <c r="H413" s="2">
        <v>45982</v>
      </c>
      <c r="I413" s="2">
        <v>45984</v>
      </c>
      <c r="J413" t="s">
        <v>9</v>
      </c>
      <c r="K413" s="2" t="str">
        <f>IFERROR(INDEX(Product_lookup[Category],MATCH(RawWorking[[#This Row],[ProductID]],Product_lookup[ProductID],0)),"")</f>
        <v>Office</v>
      </c>
      <c r="L413" s="9">
        <f>IF(OR(RawWorking[[#This Row],[ShipDate]]="",RawWorking[[#This Row],[DeliveryDate]]=""),"",RawWorking[[#This Row],[DeliveryDate]]-RawWorking[[#This Row],[ShipDate]])</f>
        <v>2</v>
      </c>
      <c r="M413" s="9">
        <f>IF(COUNTIF(INDEX(RawWorking[OrderID],1):RawWorking[[#This Row],[OrderID]],RawWorking[[#This Row],[OrderID]])=1,1,0)</f>
        <v>1</v>
      </c>
      <c r="N413" s="4">
        <f>IFERROR(RawWorking[[#This Row],[LineAmount]]/RawWorking[[#This Row],[Quantity]],"")</f>
        <v>101.44</v>
      </c>
    </row>
    <row r="414" spans="1:14">
      <c r="A414">
        <v>50413</v>
      </c>
      <c r="B414">
        <v>30227</v>
      </c>
      <c r="C414" s="2">
        <v>45714</v>
      </c>
      <c r="D414">
        <v>2303</v>
      </c>
      <c r="E414">
        <v>1007</v>
      </c>
      <c r="F414">
        <v>1</v>
      </c>
      <c r="G414">
        <v>199.81</v>
      </c>
      <c r="H414" s="2">
        <v>45716</v>
      </c>
      <c r="I414" s="2">
        <v>45719</v>
      </c>
      <c r="J414" t="s">
        <v>9</v>
      </c>
      <c r="K414" s="2" t="str">
        <f>IFERROR(INDEX(Product_lookup[Category],MATCH(RawWorking[[#This Row],[ProductID]],Product_lookup[ProductID],0)),"")</f>
        <v>Home</v>
      </c>
      <c r="L414" s="9">
        <f>IF(OR(RawWorking[[#This Row],[ShipDate]]="",RawWorking[[#This Row],[DeliveryDate]]=""),"",RawWorking[[#This Row],[DeliveryDate]]-RawWorking[[#This Row],[ShipDate]])</f>
        <v>3</v>
      </c>
      <c r="M414" s="9">
        <f>IF(COUNTIF(INDEX(RawWorking[OrderID],1):RawWorking[[#This Row],[OrderID]],RawWorking[[#This Row],[OrderID]])=1,1,0)</f>
        <v>1</v>
      </c>
      <c r="N414" s="4">
        <f>IFERROR(RawWorking[[#This Row],[LineAmount]]/RawWorking[[#This Row],[Quantity]],"")</f>
        <v>199.81</v>
      </c>
    </row>
    <row r="415" spans="1:14">
      <c r="A415">
        <v>50414</v>
      </c>
      <c r="B415">
        <v>30227</v>
      </c>
      <c r="C415" s="2">
        <v>45714</v>
      </c>
      <c r="D415">
        <v>2303</v>
      </c>
      <c r="E415">
        <v>1006</v>
      </c>
      <c r="F415">
        <v>2</v>
      </c>
      <c r="G415">
        <v>507.72</v>
      </c>
      <c r="H415" s="2">
        <v>45717</v>
      </c>
      <c r="I415" s="2">
        <v>45718</v>
      </c>
      <c r="J415" t="s">
        <v>9</v>
      </c>
      <c r="K415" s="2" t="str">
        <f>IFERROR(INDEX(Product_lookup[Category],MATCH(RawWorking[[#This Row],[ProductID]],Product_lookup[ProductID],0)),"")</f>
        <v>Home</v>
      </c>
      <c r="L415" s="9">
        <f>IF(OR(RawWorking[[#This Row],[ShipDate]]="",RawWorking[[#This Row],[DeliveryDate]]=""),"",RawWorking[[#This Row],[DeliveryDate]]-RawWorking[[#This Row],[ShipDate]])</f>
        <v>1</v>
      </c>
      <c r="M415" s="9">
        <f>IF(COUNTIF(INDEX(RawWorking[OrderID],1):RawWorking[[#This Row],[OrderID]],RawWorking[[#This Row],[OrderID]])=1,1,0)</f>
        <v>0</v>
      </c>
      <c r="N415" s="4">
        <f>IFERROR(RawWorking[[#This Row],[LineAmount]]/RawWorking[[#This Row],[Quantity]],"")</f>
        <v>253.86</v>
      </c>
    </row>
    <row r="416" spans="1:14">
      <c r="A416">
        <v>50415</v>
      </c>
      <c r="B416">
        <v>30228</v>
      </c>
      <c r="C416" s="2">
        <v>46020</v>
      </c>
      <c r="D416">
        <v>2416</v>
      </c>
      <c r="E416">
        <v>1011</v>
      </c>
      <c r="F416">
        <v>1</v>
      </c>
      <c r="G416">
        <v>101.44</v>
      </c>
      <c r="H416" s="2">
        <v>46021</v>
      </c>
      <c r="I416" s="2" t="s">
        <v>1421</v>
      </c>
      <c r="J416" t="s">
        <v>16</v>
      </c>
      <c r="K416" s="2" t="str">
        <f>IFERROR(INDEX(Product_lookup[Category],MATCH(RawWorking[[#This Row],[ProductID]],Product_lookup[ProductID],0)),"")</f>
        <v>Office</v>
      </c>
      <c r="L416" s="9" t="str">
        <f>IF(OR(RawWorking[[#This Row],[ShipDate]]="",RawWorking[[#This Row],[DeliveryDate]]=""),"",RawWorking[[#This Row],[DeliveryDate]]-RawWorking[[#This Row],[ShipDate]])</f>
        <v/>
      </c>
      <c r="M416" s="9">
        <f>IF(COUNTIF(INDEX(RawWorking[OrderID],1):RawWorking[[#This Row],[OrderID]],RawWorking[[#This Row],[OrderID]])=1,1,0)</f>
        <v>1</v>
      </c>
      <c r="N416" s="4">
        <f>IFERROR(RawWorking[[#This Row],[LineAmount]]/RawWorking[[#This Row],[Quantity]],"")</f>
        <v>101.44</v>
      </c>
    </row>
    <row r="417" spans="1:14">
      <c r="A417">
        <v>50416</v>
      </c>
      <c r="B417">
        <v>30228</v>
      </c>
      <c r="C417" s="2">
        <v>46020</v>
      </c>
      <c r="D417">
        <v>2416</v>
      </c>
      <c r="E417">
        <v>1004</v>
      </c>
      <c r="F417">
        <v>2</v>
      </c>
      <c r="G417">
        <v>367.48</v>
      </c>
      <c r="H417" s="2">
        <v>46021</v>
      </c>
      <c r="I417" s="2" t="s">
        <v>1421</v>
      </c>
      <c r="J417" t="s">
        <v>16</v>
      </c>
      <c r="K417" s="2" t="str">
        <f>IFERROR(INDEX(Product_lookup[Category],MATCH(RawWorking[[#This Row],[ProductID]],Product_lookup[ProductID],0)),"")</f>
        <v>Electronics</v>
      </c>
      <c r="L417" s="9" t="str">
        <f>IF(OR(RawWorking[[#This Row],[ShipDate]]="",RawWorking[[#This Row],[DeliveryDate]]=""),"",RawWorking[[#This Row],[DeliveryDate]]-RawWorking[[#This Row],[ShipDate]])</f>
        <v/>
      </c>
      <c r="M417" s="9">
        <f>IF(COUNTIF(INDEX(RawWorking[OrderID],1):RawWorking[[#This Row],[OrderID]],RawWorking[[#This Row],[OrderID]])=1,1,0)</f>
        <v>0</v>
      </c>
      <c r="N417" s="4">
        <f>IFERROR(RawWorking[[#This Row],[LineAmount]]/RawWorking[[#This Row],[Quantity]],"")</f>
        <v>183.74</v>
      </c>
    </row>
    <row r="418" spans="1:14">
      <c r="A418">
        <v>50417</v>
      </c>
      <c r="B418">
        <v>30228</v>
      </c>
      <c r="C418" s="2">
        <v>46020</v>
      </c>
      <c r="D418">
        <v>2416</v>
      </c>
      <c r="E418">
        <v>1005</v>
      </c>
      <c r="F418">
        <v>4</v>
      </c>
      <c r="G418">
        <v>126.92</v>
      </c>
      <c r="H418" s="2" t="s">
        <v>1421</v>
      </c>
      <c r="I418" s="2" t="s">
        <v>1421</v>
      </c>
      <c r="J418" t="s">
        <v>16</v>
      </c>
      <c r="K418" s="2" t="str">
        <f>IFERROR(INDEX(Product_lookup[Category],MATCH(RawWorking[[#This Row],[ProductID]],Product_lookup[ProductID],0)),"")</f>
        <v>Electronics</v>
      </c>
      <c r="L418" s="9" t="str">
        <f>IF(OR(RawWorking[[#This Row],[ShipDate]]="",RawWorking[[#This Row],[DeliveryDate]]=""),"",RawWorking[[#This Row],[DeliveryDate]]-RawWorking[[#This Row],[ShipDate]])</f>
        <v/>
      </c>
      <c r="M418" s="9">
        <f>IF(COUNTIF(INDEX(RawWorking[OrderID],1):RawWorking[[#This Row],[OrderID]],RawWorking[[#This Row],[OrderID]])=1,1,0)</f>
        <v>0</v>
      </c>
      <c r="N418" s="4">
        <f>IFERROR(RawWorking[[#This Row],[LineAmount]]/RawWorking[[#This Row],[Quantity]],"")</f>
        <v>31.73</v>
      </c>
    </row>
    <row r="419" spans="1:14">
      <c r="A419">
        <v>50418</v>
      </c>
      <c r="B419">
        <v>30228</v>
      </c>
      <c r="C419" s="2">
        <v>46020</v>
      </c>
      <c r="D419">
        <v>2416</v>
      </c>
      <c r="E419">
        <v>1008</v>
      </c>
      <c r="F419">
        <v>1</v>
      </c>
      <c r="G419">
        <v>206.09</v>
      </c>
      <c r="H419" s="2">
        <v>46022</v>
      </c>
      <c r="I419" s="2" t="s">
        <v>1421</v>
      </c>
      <c r="J419" t="s">
        <v>16</v>
      </c>
      <c r="K419" s="2" t="str">
        <f>IFERROR(INDEX(Product_lookup[Category],MATCH(RawWorking[[#This Row],[ProductID]],Product_lookup[ProductID],0)),"")</f>
        <v>Home</v>
      </c>
      <c r="L419" s="9" t="str">
        <f>IF(OR(RawWorking[[#This Row],[ShipDate]]="",RawWorking[[#This Row],[DeliveryDate]]=""),"",RawWorking[[#This Row],[DeliveryDate]]-RawWorking[[#This Row],[ShipDate]])</f>
        <v/>
      </c>
      <c r="M419" s="9">
        <f>IF(COUNTIF(INDEX(RawWorking[OrderID],1):RawWorking[[#This Row],[OrderID]],RawWorking[[#This Row],[OrderID]])=1,1,0)</f>
        <v>0</v>
      </c>
      <c r="N419" s="4">
        <f>IFERROR(RawWorking[[#This Row],[LineAmount]]/RawWorking[[#This Row],[Quantity]],"")</f>
        <v>206.09</v>
      </c>
    </row>
    <row r="420" spans="1:14">
      <c r="A420">
        <v>50419</v>
      </c>
      <c r="B420">
        <v>30229</v>
      </c>
      <c r="C420" s="2">
        <v>45826</v>
      </c>
      <c r="D420">
        <v>2393</v>
      </c>
      <c r="E420">
        <v>1009</v>
      </c>
      <c r="F420">
        <v>1</v>
      </c>
      <c r="G420">
        <v>40.28</v>
      </c>
      <c r="H420" s="2">
        <v>45828</v>
      </c>
      <c r="I420" s="2">
        <v>45835</v>
      </c>
      <c r="J420" t="s">
        <v>9</v>
      </c>
      <c r="K420" s="2" t="str">
        <f>IFERROR(INDEX(Product_lookup[Category],MATCH(RawWorking[[#This Row],[ProductID]],Product_lookup[ProductID],0)),"")</f>
        <v>Home</v>
      </c>
      <c r="L420" s="9">
        <f>IF(OR(RawWorking[[#This Row],[ShipDate]]="",RawWorking[[#This Row],[DeliveryDate]]=""),"",RawWorking[[#This Row],[DeliveryDate]]-RawWorking[[#This Row],[ShipDate]])</f>
        <v>7</v>
      </c>
      <c r="M420" s="9">
        <f>IF(COUNTIF(INDEX(RawWorking[OrderID],1):RawWorking[[#This Row],[OrderID]],RawWorking[[#This Row],[OrderID]])=1,1,0)</f>
        <v>1</v>
      </c>
      <c r="N420" s="4">
        <f>IFERROR(RawWorking[[#This Row],[LineAmount]]/RawWorking[[#This Row],[Quantity]],"")</f>
        <v>40.28</v>
      </c>
    </row>
    <row r="421" spans="1:14">
      <c r="A421">
        <v>50420</v>
      </c>
      <c r="B421">
        <v>30230</v>
      </c>
      <c r="C421" s="2">
        <v>45936</v>
      </c>
      <c r="D421">
        <v>2338</v>
      </c>
      <c r="E421">
        <v>1001</v>
      </c>
      <c r="F421">
        <v>3</v>
      </c>
      <c r="G421">
        <v>609.12</v>
      </c>
      <c r="H421" s="2">
        <v>45938</v>
      </c>
      <c r="I421" s="2">
        <v>45948</v>
      </c>
      <c r="J421" t="s">
        <v>9</v>
      </c>
      <c r="K421" s="2" t="str">
        <f>IFERROR(INDEX(Product_lookup[Category],MATCH(RawWorking[[#This Row],[ProductID]],Product_lookup[ProductID],0)),"")</f>
        <v>Electronics</v>
      </c>
      <c r="L421" s="9">
        <f>IF(OR(RawWorking[[#This Row],[ShipDate]]="",RawWorking[[#This Row],[DeliveryDate]]=""),"",RawWorking[[#This Row],[DeliveryDate]]-RawWorking[[#This Row],[ShipDate]])</f>
        <v>10</v>
      </c>
      <c r="M421" s="9">
        <f>IF(COUNTIF(INDEX(RawWorking[OrderID],1):RawWorking[[#This Row],[OrderID]],RawWorking[[#This Row],[OrderID]])=1,1,0)</f>
        <v>1</v>
      </c>
      <c r="N421" s="4">
        <f>IFERROR(RawWorking[[#This Row],[LineAmount]]/RawWorking[[#This Row],[Quantity]],"")</f>
        <v>203.04</v>
      </c>
    </row>
    <row r="422" spans="1:14">
      <c r="A422">
        <v>50421</v>
      </c>
      <c r="B422">
        <v>30230</v>
      </c>
      <c r="C422" s="2">
        <v>45818</v>
      </c>
      <c r="D422">
        <v>2338</v>
      </c>
      <c r="E422">
        <v>1009</v>
      </c>
      <c r="F422">
        <v>1</v>
      </c>
      <c r="G422">
        <v>40.28</v>
      </c>
      <c r="H422" s="2">
        <v>45939</v>
      </c>
      <c r="I422" s="2">
        <v>45943</v>
      </c>
      <c r="J422" t="s">
        <v>9</v>
      </c>
      <c r="K422" s="2" t="str">
        <f>IFERROR(INDEX(Product_lookup[Category],MATCH(RawWorking[[#This Row],[ProductID]],Product_lookup[ProductID],0)),"")</f>
        <v>Home</v>
      </c>
      <c r="L422" s="9">
        <f>IF(OR(RawWorking[[#This Row],[ShipDate]]="",RawWorking[[#This Row],[DeliveryDate]]=""),"",RawWorking[[#This Row],[DeliveryDate]]-RawWorking[[#This Row],[ShipDate]])</f>
        <v>4</v>
      </c>
      <c r="M422" s="9">
        <f>IF(COUNTIF(INDEX(RawWorking[OrderID],1):RawWorking[[#This Row],[OrderID]],RawWorking[[#This Row],[OrderID]])=1,1,0)</f>
        <v>0</v>
      </c>
      <c r="N422" s="4">
        <f>IFERROR(RawWorking[[#This Row],[LineAmount]]/RawWorking[[#This Row],[Quantity]],"")</f>
        <v>40.28</v>
      </c>
    </row>
    <row r="423" spans="1:14">
      <c r="A423">
        <v>50422</v>
      </c>
      <c r="B423">
        <v>30231</v>
      </c>
      <c r="C423" s="2">
        <v>45775</v>
      </c>
      <c r="D423">
        <v>2369</v>
      </c>
      <c r="E423">
        <v>1002</v>
      </c>
      <c r="F423">
        <v>2</v>
      </c>
      <c r="G423">
        <v>237.2</v>
      </c>
      <c r="H423" s="2">
        <v>45776</v>
      </c>
      <c r="I423" s="2">
        <v>45781</v>
      </c>
      <c r="J423" t="s">
        <v>9</v>
      </c>
      <c r="K423" s="2" t="str">
        <f>IFERROR(INDEX(Product_lookup[Category],MATCH(RawWorking[[#This Row],[ProductID]],Product_lookup[ProductID],0)),"")</f>
        <v>Electronics</v>
      </c>
      <c r="L423" s="9">
        <f>IF(OR(RawWorking[[#This Row],[ShipDate]]="",RawWorking[[#This Row],[DeliveryDate]]=""),"",RawWorking[[#This Row],[DeliveryDate]]-RawWorking[[#This Row],[ShipDate]])</f>
        <v>5</v>
      </c>
      <c r="M423" s="9">
        <f>IF(COUNTIF(INDEX(RawWorking[OrderID],1):RawWorking[[#This Row],[OrderID]],RawWorking[[#This Row],[OrderID]])=1,1,0)</f>
        <v>1</v>
      </c>
      <c r="N423" s="4">
        <f>IFERROR(RawWorking[[#This Row],[LineAmount]]/RawWorking[[#This Row],[Quantity]],"")</f>
        <v>118.6</v>
      </c>
    </row>
    <row r="424" spans="1:14">
      <c r="A424">
        <v>50423</v>
      </c>
      <c r="B424">
        <v>30231</v>
      </c>
      <c r="C424" s="2">
        <v>45775</v>
      </c>
      <c r="D424">
        <v>2369</v>
      </c>
      <c r="E424">
        <v>1004</v>
      </c>
      <c r="F424">
        <v>3</v>
      </c>
      <c r="G424">
        <v>551.22</v>
      </c>
      <c r="H424" s="2">
        <v>45776</v>
      </c>
      <c r="I424" s="2">
        <v>45778</v>
      </c>
      <c r="J424" t="s">
        <v>9</v>
      </c>
      <c r="K424" s="2" t="str">
        <f>IFERROR(INDEX(Product_lookup[Category],MATCH(RawWorking[[#This Row],[ProductID]],Product_lookup[ProductID],0)),"")</f>
        <v>Electronics</v>
      </c>
      <c r="L424" s="9">
        <f>IF(OR(RawWorking[[#This Row],[ShipDate]]="",RawWorking[[#This Row],[DeliveryDate]]=""),"",RawWorking[[#This Row],[DeliveryDate]]-RawWorking[[#This Row],[ShipDate]])</f>
        <v>2</v>
      </c>
      <c r="M424" s="9">
        <f>IF(COUNTIF(INDEX(RawWorking[OrderID],1):RawWorking[[#This Row],[OrderID]],RawWorking[[#This Row],[OrderID]])=1,1,0)</f>
        <v>0</v>
      </c>
      <c r="N424" s="4">
        <f>IFERROR(RawWorking[[#This Row],[LineAmount]]/RawWorking[[#This Row],[Quantity]],"")</f>
        <v>183.74</v>
      </c>
    </row>
    <row r="425" spans="1:14">
      <c r="A425">
        <v>50424</v>
      </c>
      <c r="B425">
        <v>30232</v>
      </c>
      <c r="C425" s="2">
        <v>45866</v>
      </c>
      <c r="D425">
        <v>2477</v>
      </c>
      <c r="E425">
        <v>1013</v>
      </c>
      <c r="F425">
        <v>1</v>
      </c>
      <c r="G425">
        <v>170.25</v>
      </c>
      <c r="H425" s="2">
        <v>45869</v>
      </c>
      <c r="I425" s="2">
        <v>45873</v>
      </c>
      <c r="J425" t="s">
        <v>9</v>
      </c>
      <c r="K425" s="2" t="str">
        <f>IFERROR(INDEX(Product_lookup[Category],MATCH(RawWorking[[#This Row],[ProductID]],Product_lookup[ProductID],0)),"")</f>
        <v>Office</v>
      </c>
      <c r="L425" s="9">
        <f>IF(OR(RawWorking[[#This Row],[ShipDate]]="",RawWorking[[#This Row],[DeliveryDate]]=""),"",RawWorking[[#This Row],[DeliveryDate]]-RawWorking[[#This Row],[ShipDate]])</f>
        <v>4</v>
      </c>
      <c r="M425" s="9">
        <f>IF(COUNTIF(INDEX(RawWorking[OrderID],1):RawWorking[[#This Row],[OrderID]],RawWorking[[#This Row],[OrderID]])=1,1,0)</f>
        <v>1</v>
      </c>
      <c r="N425" s="4">
        <f>IFERROR(RawWorking[[#This Row],[LineAmount]]/RawWorking[[#This Row],[Quantity]],"")</f>
        <v>170.25</v>
      </c>
    </row>
    <row r="426" spans="1:14">
      <c r="A426">
        <v>50425</v>
      </c>
      <c r="B426">
        <v>30233</v>
      </c>
      <c r="C426" s="2">
        <v>45852</v>
      </c>
      <c r="D426">
        <v>2515</v>
      </c>
      <c r="E426">
        <v>1010</v>
      </c>
      <c r="F426">
        <v>1</v>
      </c>
      <c r="G426">
        <v>121.5</v>
      </c>
      <c r="H426" s="2" t="s">
        <v>1421</v>
      </c>
      <c r="I426" s="2" t="s">
        <v>1421</v>
      </c>
      <c r="J426" t="s">
        <v>12</v>
      </c>
      <c r="K426" s="2" t="str">
        <f>IFERROR(INDEX(Product_lookup[Category],MATCH(RawWorking[[#This Row],[ProductID]],Product_lookup[ProductID],0)),"")</f>
        <v>Office</v>
      </c>
      <c r="L426" s="9" t="str">
        <f>IF(OR(RawWorking[[#This Row],[ShipDate]]="",RawWorking[[#This Row],[DeliveryDate]]=""),"",RawWorking[[#This Row],[DeliveryDate]]-RawWorking[[#This Row],[ShipDate]])</f>
        <v/>
      </c>
      <c r="M426" s="9">
        <f>IF(COUNTIF(INDEX(RawWorking[OrderID],1):RawWorking[[#This Row],[OrderID]],RawWorking[[#This Row],[OrderID]])=1,1,0)</f>
        <v>1</v>
      </c>
      <c r="N426" s="4">
        <f>IFERROR(RawWorking[[#This Row],[LineAmount]]/RawWorking[[#This Row],[Quantity]],"")</f>
        <v>121.5</v>
      </c>
    </row>
    <row r="427" spans="1:14">
      <c r="A427">
        <v>50426</v>
      </c>
      <c r="B427">
        <v>30234</v>
      </c>
      <c r="C427" s="2">
        <v>45740</v>
      </c>
      <c r="D427">
        <v>2121</v>
      </c>
      <c r="E427">
        <v>1010</v>
      </c>
      <c r="F427">
        <v>2</v>
      </c>
      <c r="G427">
        <v>243</v>
      </c>
      <c r="H427" s="2">
        <v>45741</v>
      </c>
      <c r="I427" s="2">
        <v>45742</v>
      </c>
      <c r="J427" t="s">
        <v>9</v>
      </c>
      <c r="K427" s="2" t="str">
        <f>IFERROR(INDEX(Product_lookup[Category],MATCH(RawWorking[[#This Row],[ProductID]],Product_lookup[ProductID],0)),"")</f>
        <v>Office</v>
      </c>
      <c r="L427" s="9">
        <f>IF(OR(RawWorking[[#This Row],[ShipDate]]="",RawWorking[[#This Row],[DeliveryDate]]=""),"",RawWorking[[#This Row],[DeliveryDate]]-RawWorking[[#This Row],[ShipDate]])</f>
        <v>1</v>
      </c>
      <c r="M427" s="9">
        <f>IF(COUNTIF(INDEX(RawWorking[OrderID],1):RawWorking[[#This Row],[OrderID]],RawWorking[[#This Row],[OrderID]])=1,1,0)</f>
        <v>1</v>
      </c>
      <c r="N427" s="4">
        <f>IFERROR(RawWorking[[#This Row],[LineAmount]]/RawWorking[[#This Row],[Quantity]],"")</f>
        <v>121.5</v>
      </c>
    </row>
    <row r="428" spans="1:14">
      <c r="A428">
        <v>50427</v>
      </c>
      <c r="B428">
        <v>30235</v>
      </c>
      <c r="C428" s="2">
        <v>45670</v>
      </c>
      <c r="D428">
        <v>2377</v>
      </c>
      <c r="E428">
        <v>1008</v>
      </c>
      <c r="F428">
        <v>3</v>
      </c>
      <c r="G428">
        <v>618.27</v>
      </c>
      <c r="H428" s="2">
        <v>45672</v>
      </c>
      <c r="I428" s="2">
        <v>45674</v>
      </c>
      <c r="J428" t="s">
        <v>9</v>
      </c>
      <c r="K428" s="2" t="str">
        <f>IFERROR(INDEX(Product_lookup[Category],MATCH(RawWorking[[#This Row],[ProductID]],Product_lookup[ProductID],0)),"")</f>
        <v>Home</v>
      </c>
      <c r="L428" s="9">
        <f>IF(OR(RawWorking[[#This Row],[ShipDate]]="",RawWorking[[#This Row],[DeliveryDate]]=""),"",RawWorking[[#This Row],[DeliveryDate]]-RawWorking[[#This Row],[ShipDate]])</f>
        <v>2</v>
      </c>
      <c r="M428" s="9">
        <f>IF(COUNTIF(INDEX(RawWorking[OrderID],1):RawWorking[[#This Row],[OrderID]],RawWorking[[#This Row],[OrderID]])=1,1,0)</f>
        <v>1</v>
      </c>
      <c r="N428" s="4">
        <f>IFERROR(RawWorking[[#This Row],[LineAmount]]/RawWorking[[#This Row],[Quantity]],"")</f>
        <v>206.09</v>
      </c>
    </row>
    <row r="429" spans="1:14">
      <c r="A429">
        <v>50428</v>
      </c>
      <c r="B429">
        <v>30235</v>
      </c>
      <c r="C429" s="2">
        <v>45670</v>
      </c>
      <c r="D429">
        <v>2377</v>
      </c>
      <c r="E429">
        <v>1005</v>
      </c>
      <c r="F429">
        <v>1</v>
      </c>
      <c r="G429">
        <v>31.73</v>
      </c>
      <c r="H429" s="2">
        <v>45671</v>
      </c>
      <c r="I429" s="2">
        <v>45680</v>
      </c>
      <c r="J429" t="s">
        <v>9</v>
      </c>
      <c r="K429" s="2" t="str">
        <f>IFERROR(INDEX(Product_lookup[Category],MATCH(RawWorking[[#This Row],[ProductID]],Product_lookup[ProductID],0)),"")</f>
        <v>Electronics</v>
      </c>
      <c r="L429" s="9">
        <f>IF(OR(RawWorking[[#This Row],[ShipDate]]="",RawWorking[[#This Row],[DeliveryDate]]=""),"",RawWorking[[#This Row],[DeliveryDate]]-RawWorking[[#This Row],[ShipDate]])</f>
        <v>9</v>
      </c>
      <c r="M429" s="9">
        <f>IF(COUNTIF(INDEX(RawWorking[OrderID],1):RawWorking[[#This Row],[OrderID]],RawWorking[[#This Row],[OrderID]])=1,1,0)</f>
        <v>0</v>
      </c>
      <c r="N429" s="4">
        <f>IFERROR(RawWorking[[#This Row],[LineAmount]]/RawWorking[[#This Row],[Quantity]],"")</f>
        <v>31.73</v>
      </c>
    </row>
    <row r="430" spans="1:14">
      <c r="A430">
        <v>50429</v>
      </c>
      <c r="B430">
        <v>30236</v>
      </c>
      <c r="C430" s="2">
        <v>45755</v>
      </c>
      <c r="D430">
        <v>2490</v>
      </c>
      <c r="E430">
        <v>1012</v>
      </c>
      <c r="F430">
        <v>3</v>
      </c>
      <c r="G430">
        <v>724.62</v>
      </c>
      <c r="H430" s="2">
        <v>45758</v>
      </c>
      <c r="I430" s="2">
        <v>45759</v>
      </c>
      <c r="J430" t="s">
        <v>9</v>
      </c>
      <c r="K430" s="2" t="str">
        <f>IFERROR(INDEX(Product_lookup[Category],MATCH(RawWorking[[#This Row],[ProductID]],Product_lookup[ProductID],0)),"")</f>
        <v>Office</v>
      </c>
      <c r="L430" s="9">
        <f>IF(OR(RawWorking[[#This Row],[ShipDate]]="",RawWorking[[#This Row],[DeliveryDate]]=""),"",RawWorking[[#This Row],[DeliveryDate]]-RawWorking[[#This Row],[ShipDate]])</f>
        <v>1</v>
      </c>
      <c r="M430" s="9">
        <f>IF(COUNTIF(INDEX(RawWorking[OrderID],1):RawWorking[[#This Row],[OrderID]],RawWorking[[#This Row],[OrderID]])=1,1,0)</f>
        <v>1</v>
      </c>
      <c r="N430" s="4">
        <f>IFERROR(RawWorking[[#This Row],[LineAmount]]/RawWorking[[#This Row],[Quantity]],"")</f>
        <v>241.54</v>
      </c>
    </row>
    <row r="431" spans="1:14">
      <c r="A431">
        <v>50430</v>
      </c>
      <c r="B431">
        <v>30236</v>
      </c>
      <c r="C431" s="2">
        <v>45755</v>
      </c>
      <c r="D431">
        <v>2490</v>
      </c>
      <c r="E431">
        <v>1014</v>
      </c>
      <c r="F431">
        <v>1</v>
      </c>
      <c r="G431">
        <v>215.34</v>
      </c>
      <c r="H431" s="2">
        <v>45756</v>
      </c>
      <c r="I431" s="2">
        <v>45762</v>
      </c>
      <c r="J431" t="s">
        <v>9</v>
      </c>
      <c r="K431" s="2" t="str">
        <f>IFERROR(INDEX(Product_lookup[Category],MATCH(RawWorking[[#This Row],[ProductID]],Product_lookup[ProductID],0)),"")</f>
        <v>Sports</v>
      </c>
      <c r="L431" s="9">
        <f>IF(OR(RawWorking[[#This Row],[ShipDate]]="",RawWorking[[#This Row],[DeliveryDate]]=""),"",RawWorking[[#This Row],[DeliveryDate]]-RawWorking[[#This Row],[ShipDate]])</f>
        <v>6</v>
      </c>
      <c r="M431" s="9">
        <f>IF(COUNTIF(INDEX(RawWorking[OrderID],1):RawWorking[[#This Row],[OrderID]],RawWorking[[#This Row],[OrderID]])=1,1,0)</f>
        <v>0</v>
      </c>
      <c r="N431" s="4">
        <f>IFERROR(RawWorking[[#This Row],[LineAmount]]/RawWorking[[#This Row],[Quantity]],"")</f>
        <v>215.34</v>
      </c>
    </row>
    <row r="432" spans="1:14">
      <c r="A432">
        <v>50431</v>
      </c>
      <c r="B432">
        <v>30237</v>
      </c>
      <c r="C432" s="2">
        <v>45927</v>
      </c>
      <c r="D432">
        <v>2563</v>
      </c>
      <c r="E432">
        <v>1007</v>
      </c>
      <c r="F432">
        <v>2</v>
      </c>
      <c r="G432">
        <v>399.62</v>
      </c>
      <c r="H432" s="2" t="s">
        <v>1421</v>
      </c>
      <c r="I432" s="2" t="s">
        <v>1421</v>
      </c>
      <c r="J432" t="s">
        <v>12</v>
      </c>
      <c r="K432" s="2" t="str">
        <f>IFERROR(INDEX(Product_lookup[Category],MATCH(RawWorking[[#This Row],[ProductID]],Product_lookup[ProductID],0)),"")</f>
        <v>Home</v>
      </c>
      <c r="L432" s="9" t="str">
        <f>IF(OR(RawWorking[[#This Row],[ShipDate]]="",RawWorking[[#This Row],[DeliveryDate]]=""),"",RawWorking[[#This Row],[DeliveryDate]]-RawWorking[[#This Row],[ShipDate]])</f>
        <v/>
      </c>
      <c r="M432" s="9">
        <f>IF(COUNTIF(INDEX(RawWorking[OrderID],1):RawWorking[[#This Row],[OrderID]],RawWorking[[#This Row],[OrderID]])=1,1,0)</f>
        <v>1</v>
      </c>
      <c r="N432" s="4">
        <f>IFERROR(RawWorking[[#This Row],[LineAmount]]/RawWorking[[#This Row],[Quantity]],"")</f>
        <v>199.81</v>
      </c>
    </row>
    <row r="433" spans="1:14">
      <c r="A433">
        <v>50432</v>
      </c>
      <c r="B433">
        <v>30238</v>
      </c>
      <c r="C433" s="2">
        <v>45731</v>
      </c>
      <c r="D433">
        <v>2254</v>
      </c>
      <c r="E433">
        <v>1003</v>
      </c>
      <c r="F433">
        <v>1</v>
      </c>
      <c r="G433">
        <v>224.37</v>
      </c>
      <c r="H433" s="2">
        <v>45733</v>
      </c>
      <c r="I433" s="2">
        <v>45737</v>
      </c>
      <c r="J433" t="s">
        <v>9</v>
      </c>
      <c r="K433" s="2" t="str">
        <f>IFERROR(INDEX(Product_lookup[Category],MATCH(RawWorking[[#This Row],[ProductID]],Product_lookup[ProductID],0)),"")</f>
        <v>Electronics</v>
      </c>
      <c r="L433" s="9">
        <f>IF(OR(RawWorking[[#This Row],[ShipDate]]="",RawWorking[[#This Row],[DeliveryDate]]=""),"",RawWorking[[#This Row],[DeliveryDate]]-RawWorking[[#This Row],[ShipDate]])</f>
        <v>4</v>
      </c>
      <c r="M433" s="9">
        <f>IF(COUNTIF(INDEX(RawWorking[OrderID],1):RawWorking[[#This Row],[OrderID]],RawWorking[[#This Row],[OrderID]])=1,1,0)</f>
        <v>1</v>
      </c>
      <c r="N433" s="4">
        <f>IFERROR(RawWorking[[#This Row],[LineAmount]]/RawWorking[[#This Row],[Quantity]],"")</f>
        <v>224.37</v>
      </c>
    </row>
    <row r="434" spans="1:14">
      <c r="A434">
        <v>50433</v>
      </c>
      <c r="B434">
        <v>30238</v>
      </c>
      <c r="C434" s="2">
        <v>45731</v>
      </c>
      <c r="D434">
        <v>2254</v>
      </c>
      <c r="E434">
        <v>1015</v>
      </c>
      <c r="F434">
        <v>1</v>
      </c>
      <c r="G434">
        <v>119.74</v>
      </c>
      <c r="H434" s="2">
        <v>45733</v>
      </c>
      <c r="I434" s="2">
        <v>45740</v>
      </c>
      <c r="J434" t="s">
        <v>9</v>
      </c>
      <c r="K434" s="2" t="str">
        <f>IFERROR(INDEX(Product_lookup[Category],MATCH(RawWorking[[#This Row],[ProductID]],Product_lookup[ProductID],0)),"")</f>
        <v>Sports</v>
      </c>
      <c r="L434" s="9">
        <f>IF(OR(RawWorking[[#This Row],[ShipDate]]="",RawWorking[[#This Row],[DeliveryDate]]=""),"",RawWorking[[#This Row],[DeliveryDate]]-RawWorking[[#This Row],[ShipDate]])</f>
        <v>7</v>
      </c>
      <c r="M434" s="9">
        <f>IF(COUNTIF(INDEX(RawWorking[OrderID],1):RawWorking[[#This Row],[OrderID]],RawWorking[[#This Row],[OrderID]])=1,1,0)</f>
        <v>0</v>
      </c>
      <c r="N434" s="4">
        <f>IFERROR(RawWorking[[#This Row],[LineAmount]]/RawWorking[[#This Row],[Quantity]],"")</f>
        <v>119.74</v>
      </c>
    </row>
    <row r="435" spans="1:14">
      <c r="A435">
        <v>50434</v>
      </c>
      <c r="B435">
        <v>30239</v>
      </c>
      <c r="C435" s="2">
        <v>45734</v>
      </c>
      <c r="D435">
        <v>2541</v>
      </c>
      <c r="E435">
        <v>1003</v>
      </c>
      <c r="F435">
        <v>1</v>
      </c>
      <c r="G435">
        <v>224.37</v>
      </c>
      <c r="H435" s="2">
        <v>45737</v>
      </c>
      <c r="I435" s="2">
        <v>45738</v>
      </c>
      <c r="J435" t="s">
        <v>9</v>
      </c>
      <c r="K435" s="2" t="str">
        <f>IFERROR(INDEX(Product_lookup[Category],MATCH(RawWorking[[#This Row],[ProductID]],Product_lookup[ProductID],0)),"")</f>
        <v>Electronics</v>
      </c>
      <c r="L435" s="9">
        <f>IF(OR(RawWorking[[#This Row],[ShipDate]]="",RawWorking[[#This Row],[DeliveryDate]]=""),"",RawWorking[[#This Row],[DeliveryDate]]-RawWorking[[#This Row],[ShipDate]])</f>
        <v>1</v>
      </c>
      <c r="M435" s="9">
        <f>IF(COUNTIF(INDEX(RawWorking[OrderID],1):RawWorking[[#This Row],[OrderID]],RawWorking[[#This Row],[OrderID]])=1,1,0)</f>
        <v>1</v>
      </c>
      <c r="N435" s="4">
        <f>IFERROR(RawWorking[[#This Row],[LineAmount]]/RawWorking[[#This Row],[Quantity]],"")</f>
        <v>224.37</v>
      </c>
    </row>
    <row r="436" spans="1:14">
      <c r="A436">
        <v>50435</v>
      </c>
      <c r="B436">
        <v>30239</v>
      </c>
      <c r="C436" s="2">
        <v>45734</v>
      </c>
      <c r="D436">
        <v>2541</v>
      </c>
      <c r="E436">
        <v>1004</v>
      </c>
      <c r="F436">
        <v>1</v>
      </c>
      <c r="G436">
        <v>183.74</v>
      </c>
      <c r="H436" s="2">
        <v>45735</v>
      </c>
      <c r="I436" s="2">
        <v>45737</v>
      </c>
      <c r="J436" t="s">
        <v>9</v>
      </c>
      <c r="K436" s="2" t="str">
        <f>IFERROR(INDEX(Product_lookup[Category],MATCH(RawWorking[[#This Row],[ProductID]],Product_lookup[ProductID],0)),"")</f>
        <v>Electronics</v>
      </c>
      <c r="L436" s="9">
        <f>IF(OR(RawWorking[[#This Row],[ShipDate]]="",RawWorking[[#This Row],[DeliveryDate]]=""),"",RawWorking[[#This Row],[DeliveryDate]]-RawWorking[[#This Row],[ShipDate]])</f>
        <v>2</v>
      </c>
      <c r="M436" s="9">
        <f>IF(COUNTIF(INDEX(RawWorking[OrderID],1):RawWorking[[#This Row],[OrderID]],RawWorking[[#This Row],[OrderID]])=1,1,0)</f>
        <v>0</v>
      </c>
      <c r="N436" s="4">
        <f>IFERROR(RawWorking[[#This Row],[LineAmount]]/RawWorking[[#This Row],[Quantity]],"")</f>
        <v>183.74</v>
      </c>
    </row>
    <row r="437" spans="1:14">
      <c r="A437">
        <v>50436</v>
      </c>
      <c r="B437">
        <v>30240</v>
      </c>
      <c r="C437" s="2">
        <v>45674</v>
      </c>
      <c r="D437">
        <v>2064</v>
      </c>
      <c r="E437">
        <v>1007</v>
      </c>
      <c r="F437">
        <v>5</v>
      </c>
      <c r="G437">
        <v>999.05</v>
      </c>
      <c r="H437" s="2" t="s">
        <v>1421</v>
      </c>
      <c r="I437" s="2" t="s">
        <v>1421</v>
      </c>
      <c r="J437" t="s">
        <v>16</v>
      </c>
      <c r="K437" s="2" t="str">
        <f>IFERROR(INDEX(Product_lookup[Category],MATCH(RawWorking[[#This Row],[ProductID]],Product_lookup[ProductID],0)),"")</f>
        <v>Home</v>
      </c>
      <c r="L437" s="9" t="str">
        <f>IF(OR(RawWorking[[#This Row],[ShipDate]]="",RawWorking[[#This Row],[DeliveryDate]]=""),"",RawWorking[[#This Row],[DeliveryDate]]-RawWorking[[#This Row],[ShipDate]])</f>
        <v/>
      </c>
      <c r="M437" s="9">
        <f>IF(COUNTIF(INDEX(RawWorking[OrderID],1):RawWorking[[#This Row],[OrderID]],RawWorking[[#This Row],[OrderID]])=1,1,0)</f>
        <v>1</v>
      </c>
      <c r="N437" s="4">
        <f>IFERROR(RawWorking[[#This Row],[LineAmount]]/RawWorking[[#This Row],[Quantity]],"")</f>
        <v>199.81</v>
      </c>
    </row>
    <row r="438" spans="1:14">
      <c r="A438">
        <v>50437</v>
      </c>
      <c r="B438">
        <v>30241</v>
      </c>
      <c r="C438" s="2">
        <v>45958</v>
      </c>
      <c r="D438">
        <v>2154</v>
      </c>
      <c r="E438">
        <v>1015</v>
      </c>
      <c r="F438">
        <v>2</v>
      </c>
      <c r="G438">
        <v>239.48</v>
      </c>
      <c r="H438" s="2">
        <v>45959</v>
      </c>
      <c r="I438" s="2">
        <v>45964</v>
      </c>
      <c r="J438" t="s">
        <v>9</v>
      </c>
      <c r="K438" s="2" t="str">
        <f>IFERROR(INDEX(Product_lookup[Category],MATCH(RawWorking[[#This Row],[ProductID]],Product_lookup[ProductID],0)),"")</f>
        <v>Sports</v>
      </c>
      <c r="L438" s="9">
        <f>IF(OR(RawWorking[[#This Row],[ShipDate]]="",RawWorking[[#This Row],[DeliveryDate]]=""),"",RawWorking[[#This Row],[DeliveryDate]]-RawWorking[[#This Row],[ShipDate]])</f>
        <v>5</v>
      </c>
      <c r="M438" s="9">
        <f>IF(COUNTIF(INDEX(RawWorking[OrderID],1):RawWorking[[#This Row],[OrderID]],RawWorking[[#This Row],[OrderID]])=1,1,0)</f>
        <v>1</v>
      </c>
      <c r="N438" s="4">
        <f>IFERROR(RawWorking[[#This Row],[LineAmount]]/RawWorking[[#This Row],[Quantity]],"")</f>
        <v>119.74</v>
      </c>
    </row>
    <row r="439" spans="1:14">
      <c r="A439">
        <v>50438</v>
      </c>
      <c r="B439">
        <v>30242</v>
      </c>
      <c r="C439" s="2">
        <v>45993</v>
      </c>
      <c r="D439">
        <v>2120</v>
      </c>
      <c r="E439">
        <v>1016</v>
      </c>
      <c r="F439">
        <v>4</v>
      </c>
      <c r="G439">
        <v>261.04000000000002</v>
      </c>
      <c r="H439" s="2">
        <v>45995</v>
      </c>
      <c r="I439" s="2">
        <v>46005</v>
      </c>
      <c r="J439" t="s">
        <v>9</v>
      </c>
      <c r="K439" s="2" t="str">
        <f>IFERROR(INDEX(Product_lookup[Category],MATCH(RawWorking[[#This Row],[ProductID]],Product_lookup[ProductID],0)),"")</f>
        <v>Sports</v>
      </c>
      <c r="L439" s="9">
        <f>IF(OR(RawWorking[[#This Row],[ShipDate]]="",RawWorking[[#This Row],[DeliveryDate]]=""),"",RawWorking[[#This Row],[DeliveryDate]]-RawWorking[[#This Row],[ShipDate]])</f>
        <v>10</v>
      </c>
      <c r="M439" s="9">
        <f>IF(COUNTIF(INDEX(RawWorking[OrderID],1):RawWorking[[#This Row],[OrderID]],RawWorking[[#This Row],[OrderID]])=1,1,0)</f>
        <v>1</v>
      </c>
      <c r="N439" s="4">
        <f>IFERROR(RawWorking[[#This Row],[LineAmount]]/RawWorking[[#This Row],[Quantity]],"")</f>
        <v>65.260000000000005</v>
      </c>
    </row>
    <row r="440" spans="1:14">
      <c r="A440">
        <v>50439</v>
      </c>
      <c r="B440">
        <v>30242</v>
      </c>
      <c r="C440" s="2">
        <v>45700</v>
      </c>
      <c r="D440">
        <v>2120</v>
      </c>
      <c r="E440">
        <v>1003</v>
      </c>
      <c r="F440">
        <v>1</v>
      </c>
      <c r="G440">
        <v>224.37</v>
      </c>
      <c r="H440" s="2">
        <v>45996</v>
      </c>
      <c r="I440" s="2">
        <v>46003</v>
      </c>
      <c r="J440" t="s">
        <v>9</v>
      </c>
      <c r="K440" s="2" t="str">
        <f>IFERROR(INDEX(Product_lookup[Category],MATCH(RawWorking[[#This Row],[ProductID]],Product_lookup[ProductID],0)),"")</f>
        <v>Electronics</v>
      </c>
      <c r="L440" s="9">
        <f>IF(OR(RawWorking[[#This Row],[ShipDate]]="",RawWorking[[#This Row],[DeliveryDate]]=""),"",RawWorking[[#This Row],[DeliveryDate]]-RawWorking[[#This Row],[ShipDate]])</f>
        <v>7</v>
      </c>
      <c r="M440" s="9">
        <f>IF(COUNTIF(INDEX(RawWorking[OrderID],1):RawWorking[[#This Row],[OrderID]],RawWorking[[#This Row],[OrderID]])=1,1,0)</f>
        <v>0</v>
      </c>
      <c r="N440" s="4">
        <f>IFERROR(RawWorking[[#This Row],[LineAmount]]/RawWorking[[#This Row],[Quantity]],"")</f>
        <v>224.37</v>
      </c>
    </row>
    <row r="441" spans="1:14">
      <c r="A441">
        <v>50440</v>
      </c>
      <c r="B441">
        <v>30242</v>
      </c>
      <c r="C441" s="2">
        <v>45993</v>
      </c>
      <c r="D441">
        <v>2120</v>
      </c>
      <c r="E441">
        <v>1015</v>
      </c>
      <c r="F441">
        <v>2</v>
      </c>
      <c r="G441">
        <v>239.48</v>
      </c>
      <c r="H441" s="2">
        <v>45994</v>
      </c>
      <c r="I441" s="2">
        <v>46004</v>
      </c>
      <c r="J441" t="s">
        <v>9</v>
      </c>
      <c r="K441" s="2" t="str">
        <f>IFERROR(INDEX(Product_lookup[Category],MATCH(RawWorking[[#This Row],[ProductID]],Product_lookup[ProductID],0)),"")</f>
        <v>Sports</v>
      </c>
      <c r="L441" s="9">
        <f>IF(OR(RawWorking[[#This Row],[ShipDate]]="",RawWorking[[#This Row],[DeliveryDate]]=""),"",RawWorking[[#This Row],[DeliveryDate]]-RawWorking[[#This Row],[ShipDate]])</f>
        <v>10</v>
      </c>
      <c r="M441" s="9">
        <f>IF(COUNTIF(INDEX(RawWorking[OrderID],1):RawWorking[[#This Row],[OrderID]],RawWorking[[#This Row],[OrderID]])=1,1,0)</f>
        <v>0</v>
      </c>
      <c r="N441" s="4">
        <f>IFERROR(RawWorking[[#This Row],[LineAmount]]/RawWorking[[#This Row],[Quantity]],"")</f>
        <v>119.74</v>
      </c>
    </row>
    <row r="442" spans="1:14">
      <c r="A442">
        <v>50441</v>
      </c>
      <c r="B442">
        <v>30243</v>
      </c>
      <c r="C442" s="2">
        <v>45763</v>
      </c>
      <c r="D442">
        <v>2057</v>
      </c>
      <c r="E442">
        <v>1014</v>
      </c>
      <c r="F442">
        <v>1</v>
      </c>
      <c r="G442">
        <v>215.34</v>
      </c>
      <c r="H442" s="2">
        <v>45766</v>
      </c>
      <c r="I442" s="2">
        <v>45772</v>
      </c>
      <c r="J442" t="s">
        <v>9</v>
      </c>
      <c r="K442" s="2" t="str">
        <f>IFERROR(INDEX(Product_lookup[Category],MATCH(RawWorking[[#This Row],[ProductID]],Product_lookup[ProductID],0)),"")</f>
        <v>Sports</v>
      </c>
      <c r="L442" s="9">
        <f>IF(OR(RawWorking[[#This Row],[ShipDate]]="",RawWorking[[#This Row],[DeliveryDate]]=""),"",RawWorking[[#This Row],[DeliveryDate]]-RawWorking[[#This Row],[ShipDate]])</f>
        <v>6</v>
      </c>
      <c r="M442" s="9">
        <f>IF(COUNTIF(INDEX(RawWorking[OrderID],1):RawWorking[[#This Row],[OrderID]],RawWorking[[#This Row],[OrderID]])=1,1,0)</f>
        <v>1</v>
      </c>
      <c r="N442" s="4">
        <f>IFERROR(RawWorking[[#This Row],[LineAmount]]/RawWorking[[#This Row],[Quantity]],"")</f>
        <v>215.34</v>
      </c>
    </row>
    <row r="443" spans="1:14">
      <c r="A443">
        <v>50442</v>
      </c>
      <c r="B443">
        <v>30243</v>
      </c>
      <c r="C443" s="2">
        <v>45763</v>
      </c>
      <c r="D443">
        <v>2057</v>
      </c>
      <c r="E443">
        <v>1015</v>
      </c>
      <c r="F443">
        <v>3</v>
      </c>
      <c r="G443">
        <v>359.22</v>
      </c>
      <c r="H443" s="2">
        <v>45765</v>
      </c>
      <c r="I443" s="2">
        <v>45773</v>
      </c>
      <c r="J443" t="s">
        <v>9</v>
      </c>
      <c r="K443" s="2" t="str">
        <f>IFERROR(INDEX(Product_lookup[Category],MATCH(RawWorking[[#This Row],[ProductID]],Product_lookup[ProductID],0)),"")</f>
        <v>Sports</v>
      </c>
      <c r="L443" s="9">
        <f>IF(OR(RawWorking[[#This Row],[ShipDate]]="",RawWorking[[#This Row],[DeliveryDate]]=""),"",RawWorking[[#This Row],[DeliveryDate]]-RawWorking[[#This Row],[ShipDate]])</f>
        <v>8</v>
      </c>
      <c r="M443" s="9">
        <f>IF(COUNTIF(INDEX(RawWorking[OrderID],1):RawWorking[[#This Row],[OrderID]],RawWorking[[#This Row],[OrderID]])=1,1,0)</f>
        <v>0</v>
      </c>
      <c r="N443" s="4">
        <f>IFERROR(RawWorking[[#This Row],[LineAmount]]/RawWorking[[#This Row],[Quantity]],"")</f>
        <v>119.74000000000001</v>
      </c>
    </row>
    <row r="444" spans="1:14">
      <c r="A444">
        <v>50443</v>
      </c>
      <c r="B444">
        <v>30244</v>
      </c>
      <c r="C444" s="2">
        <v>45827</v>
      </c>
      <c r="D444">
        <v>2578</v>
      </c>
      <c r="E444">
        <v>1015</v>
      </c>
      <c r="F444">
        <v>2</v>
      </c>
      <c r="G444">
        <v>239.48</v>
      </c>
      <c r="H444" s="2">
        <v>45828</v>
      </c>
      <c r="I444" s="2">
        <v>45832</v>
      </c>
      <c r="J444" t="s">
        <v>9</v>
      </c>
      <c r="K444" s="2" t="str">
        <f>IFERROR(INDEX(Product_lookup[Category],MATCH(RawWorking[[#This Row],[ProductID]],Product_lookup[ProductID],0)),"")</f>
        <v>Sports</v>
      </c>
      <c r="L444" s="9">
        <f>IF(OR(RawWorking[[#This Row],[ShipDate]]="",RawWorking[[#This Row],[DeliveryDate]]=""),"",RawWorking[[#This Row],[DeliveryDate]]-RawWorking[[#This Row],[ShipDate]])</f>
        <v>4</v>
      </c>
      <c r="M444" s="9">
        <f>IF(COUNTIF(INDEX(RawWorking[OrderID],1):RawWorking[[#This Row],[OrderID]],RawWorking[[#This Row],[OrderID]])=1,1,0)</f>
        <v>1</v>
      </c>
      <c r="N444" s="4">
        <f>IFERROR(RawWorking[[#This Row],[LineAmount]]/RawWorking[[#This Row],[Quantity]],"")</f>
        <v>119.74</v>
      </c>
    </row>
    <row r="445" spans="1:14">
      <c r="A445">
        <v>50444</v>
      </c>
      <c r="B445">
        <v>30245</v>
      </c>
      <c r="C445" s="2">
        <v>45835</v>
      </c>
      <c r="D445">
        <v>2316</v>
      </c>
      <c r="E445">
        <v>1013</v>
      </c>
      <c r="F445">
        <v>1</v>
      </c>
      <c r="G445">
        <v>170.25</v>
      </c>
      <c r="H445" s="2">
        <v>45836</v>
      </c>
      <c r="I445" s="2">
        <v>45844</v>
      </c>
      <c r="J445" t="s">
        <v>9</v>
      </c>
      <c r="K445" s="2" t="str">
        <f>IFERROR(INDEX(Product_lookup[Category],MATCH(RawWorking[[#This Row],[ProductID]],Product_lookup[ProductID],0)),"")</f>
        <v>Office</v>
      </c>
      <c r="L445" s="9">
        <f>IF(OR(RawWorking[[#This Row],[ShipDate]]="",RawWorking[[#This Row],[DeliveryDate]]=""),"",RawWorking[[#This Row],[DeliveryDate]]-RawWorking[[#This Row],[ShipDate]])</f>
        <v>8</v>
      </c>
      <c r="M445" s="9">
        <f>IF(COUNTIF(INDEX(RawWorking[OrderID],1):RawWorking[[#This Row],[OrderID]],RawWorking[[#This Row],[OrderID]])=1,1,0)</f>
        <v>1</v>
      </c>
      <c r="N445" s="4">
        <f>IFERROR(RawWorking[[#This Row],[LineAmount]]/RawWorking[[#This Row],[Quantity]],"")</f>
        <v>170.25</v>
      </c>
    </row>
    <row r="446" spans="1:14">
      <c r="A446">
        <v>50445</v>
      </c>
      <c r="B446">
        <v>30246</v>
      </c>
      <c r="C446" s="2">
        <v>45695</v>
      </c>
      <c r="D446">
        <v>2261</v>
      </c>
      <c r="E446">
        <v>1007</v>
      </c>
      <c r="F446">
        <v>1</v>
      </c>
      <c r="G446">
        <v>199.81</v>
      </c>
      <c r="H446" s="2" t="s">
        <v>1421</v>
      </c>
      <c r="I446" s="2" t="s">
        <v>1421</v>
      </c>
      <c r="J446" t="s">
        <v>16</v>
      </c>
      <c r="K446" s="2" t="str">
        <f>IFERROR(INDEX(Product_lookup[Category],MATCH(RawWorking[[#This Row],[ProductID]],Product_lookup[ProductID],0)),"")</f>
        <v>Home</v>
      </c>
      <c r="L446" s="9" t="str">
        <f>IF(OR(RawWorking[[#This Row],[ShipDate]]="",RawWorking[[#This Row],[DeliveryDate]]=""),"",RawWorking[[#This Row],[DeliveryDate]]-RawWorking[[#This Row],[ShipDate]])</f>
        <v/>
      </c>
      <c r="M446" s="9">
        <f>IF(COUNTIF(INDEX(RawWorking[OrderID],1):RawWorking[[#This Row],[OrderID]],RawWorking[[#This Row],[OrderID]])=1,1,0)</f>
        <v>1</v>
      </c>
      <c r="N446" s="4">
        <f>IFERROR(RawWorking[[#This Row],[LineAmount]]/RawWorking[[#This Row],[Quantity]],"")</f>
        <v>199.81</v>
      </c>
    </row>
    <row r="447" spans="1:14">
      <c r="A447">
        <v>50446</v>
      </c>
      <c r="B447">
        <v>30246</v>
      </c>
      <c r="C447" s="2">
        <v>45695</v>
      </c>
      <c r="D447">
        <v>2261</v>
      </c>
      <c r="E447">
        <v>1002</v>
      </c>
      <c r="F447">
        <v>1</v>
      </c>
      <c r="G447">
        <v>118.6</v>
      </c>
      <c r="H447" s="2" t="s">
        <v>1421</v>
      </c>
      <c r="I447" s="2" t="s">
        <v>1421</v>
      </c>
      <c r="J447" t="s">
        <v>16</v>
      </c>
      <c r="K447" s="2" t="str">
        <f>IFERROR(INDEX(Product_lookup[Category],MATCH(RawWorking[[#This Row],[ProductID]],Product_lookup[ProductID],0)),"")</f>
        <v>Electronics</v>
      </c>
      <c r="L447" s="9" t="str">
        <f>IF(OR(RawWorking[[#This Row],[ShipDate]]="",RawWorking[[#This Row],[DeliveryDate]]=""),"",RawWorking[[#This Row],[DeliveryDate]]-RawWorking[[#This Row],[ShipDate]])</f>
        <v/>
      </c>
      <c r="M447" s="9">
        <f>IF(COUNTIF(INDEX(RawWorking[OrderID],1):RawWorking[[#This Row],[OrderID]],RawWorking[[#This Row],[OrderID]])=1,1,0)</f>
        <v>0</v>
      </c>
      <c r="N447" s="4">
        <f>IFERROR(RawWorking[[#This Row],[LineAmount]]/RawWorking[[#This Row],[Quantity]],"")</f>
        <v>118.6</v>
      </c>
    </row>
    <row r="448" spans="1:14">
      <c r="A448">
        <v>50447</v>
      </c>
      <c r="B448">
        <v>30247</v>
      </c>
      <c r="C448" s="2">
        <v>45959</v>
      </c>
      <c r="D448">
        <v>2066</v>
      </c>
      <c r="E448">
        <v>1002</v>
      </c>
      <c r="F448">
        <v>1</v>
      </c>
      <c r="G448">
        <v>118.6</v>
      </c>
      <c r="H448" s="2">
        <v>45961</v>
      </c>
      <c r="I448" s="2">
        <v>45967</v>
      </c>
      <c r="J448" t="s">
        <v>9</v>
      </c>
      <c r="K448" s="2" t="str">
        <f>IFERROR(INDEX(Product_lookup[Category],MATCH(RawWorking[[#This Row],[ProductID]],Product_lookup[ProductID],0)),"")</f>
        <v>Electronics</v>
      </c>
      <c r="L448" s="9">
        <f>IF(OR(RawWorking[[#This Row],[ShipDate]]="",RawWorking[[#This Row],[DeliveryDate]]=""),"",RawWorking[[#This Row],[DeliveryDate]]-RawWorking[[#This Row],[ShipDate]])</f>
        <v>6</v>
      </c>
      <c r="M448" s="9">
        <f>IF(COUNTIF(INDEX(RawWorking[OrderID],1):RawWorking[[#This Row],[OrderID]],RawWorking[[#This Row],[OrderID]])=1,1,0)</f>
        <v>1</v>
      </c>
      <c r="N448" s="4">
        <f>IFERROR(RawWorking[[#This Row],[LineAmount]]/RawWorking[[#This Row],[Quantity]],"")</f>
        <v>118.6</v>
      </c>
    </row>
    <row r="449" spans="1:14">
      <c r="A449">
        <v>50448</v>
      </c>
      <c r="B449">
        <v>30247</v>
      </c>
      <c r="C449" s="2">
        <v>45959</v>
      </c>
      <c r="D449">
        <v>2066</v>
      </c>
      <c r="E449">
        <v>1003</v>
      </c>
      <c r="F449">
        <v>2</v>
      </c>
      <c r="G449">
        <v>448.74</v>
      </c>
      <c r="H449" s="2">
        <v>45962</v>
      </c>
      <c r="I449" s="2">
        <v>45963</v>
      </c>
      <c r="J449" t="s">
        <v>9</v>
      </c>
      <c r="K449" s="2" t="str">
        <f>IFERROR(INDEX(Product_lookup[Category],MATCH(RawWorking[[#This Row],[ProductID]],Product_lookup[ProductID],0)),"")</f>
        <v>Electronics</v>
      </c>
      <c r="L449" s="9">
        <f>IF(OR(RawWorking[[#This Row],[ShipDate]]="",RawWorking[[#This Row],[DeliveryDate]]=""),"",RawWorking[[#This Row],[DeliveryDate]]-RawWorking[[#This Row],[ShipDate]])</f>
        <v>1</v>
      </c>
      <c r="M449" s="9">
        <f>IF(COUNTIF(INDEX(RawWorking[OrderID],1):RawWorking[[#This Row],[OrderID]],RawWorking[[#This Row],[OrderID]])=1,1,0)</f>
        <v>0</v>
      </c>
      <c r="N449" s="4">
        <f>IFERROR(RawWorking[[#This Row],[LineAmount]]/RawWorking[[#This Row],[Quantity]],"")</f>
        <v>224.37</v>
      </c>
    </row>
    <row r="450" spans="1:14">
      <c r="A450">
        <v>50449</v>
      </c>
      <c r="B450">
        <v>30248</v>
      </c>
      <c r="C450" s="2">
        <v>45790</v>
      </c>
      <c r="D450">
        <v>2484</v>
      </c>
      <c r="E450">
        <v>1014</v>
      </c>
      <c r="F450">
        <v>3</v>
      </c>
      <c r="G450">
        <v>646.02</v>
      </c>
      <c r="H450" s="2">
        <v>45791</v>
      </c>
      <c r="I450" s="2">
        <v>45799</v>
      </c>
      <c r="J450" t="s">
        <v>9</v>
      </c>
      <c r="K450" s="2" t="str">
        <f>IFERROR(INDEX(Product_lookup[Category],MATCH(RawWorking[[#This Row],[ProductID]],Product_lookup[ProductID],0)),"")</f>
        <v>Sports</v>
      </c>
      <c r="L450" s="9">
        <f>IF(OR(RawWorking[[#This Row],[ShipDate]]="",RawWorking[[#This Row],[DeliveryDate]]=""),"",RawWorking[[#This Row],[DeliveryDate]]-RawWorking[[#This Row],[ShipDate]])</f>
        <v>8</v>
      </c>
      <c r="M450" s="9">
        <f>IF(COUNTIF(INDEX(RawWorking[OrderID],1):RawWorking[[#This Row],[OrderID]],RawWorking[[#This Row],[OrderID]])=1,1,0)</f>
        <v>1</v>
      </c>
      <c r="N450" s="4">
        <f>IFERROR(RawWorking[[#This Row],[LineAmount]]/RawWorking[[#This Row],[Quantity]],"")</f>
        <v>215.34</v>
      </c>
    </row>
    <row r="451" spans="1:14">
      <c r="A451">
        <v>50450</v>
      </c>
      <c r="B451">
        <v>30249</v>
      </c>
      <c r="C451" s="2">
        <v>45893</v>
      </c>
      <c r="D451">
        <v>2185</v>
      </c>
      <c r="E451">
        <v>1014</v>
      </c>
      <c r="F451">
        <v>3</v>
      </c>
      <c r="G451">
        <v>646.02</v>
      </c>
      <c r="H451" s="2" t="s">
        <v>1421</v>
      </c>
      <c r="I451" s="2" t="s">
        <v>1421</v>
      </c>
      <c r="J451" t="s">
        <v>16</v>
      </c>
      <c r="K451" s="2" t="str">
        <f>IFERROR(INDEX(Product_lookup[Category],MATCH(RawWorking[[#This Row],[ProductID]],Product_lookup[ProductID],0)),"")</f>
        <v>Sports</v>
      </c>
      <c r="L451" s="9" t="str">
        <f>IF(OR(RawWorking[[#This Row],[ShipDate]]="",RawWorking[[#This Row],[DeliveryDate]]=""),"",RawWorking[[#This Row],[DeliveryDate]]-RawWorking[[#This Row],[ShipDate]])</f>
        <v/>
      </c>
      <c r="M451" s="9">
        <f>IF(COUNTIF(INDEX(RawWorking[OrderID],1):RawWorking[[#This Row],[OrderID]],RawWorking[[#This Row],[OrderID]])=1,1,0)</f>
        <v>1</v>
      </c>
      <c r="N451" s="4">
        <f>IFERROR(RawWorking[[#This Row],[LineAmount]]/RawWorking[[#This Row],[Quantity]],"")</f>
        <v>215.34</v>
      </c>
    </row>
    <row r="452" spans="1:14">
      <c r="A452">
        <v>50451</v>
      </c>
      <c r="B452">
        <v>30250</v>
      </c>
      <c r="C452" s="2">
        <v>45692</v>
      </c>
      <c r="D452">
        <v>2392</v>
      </c>
      <c r="E452">
        <v>1013</v>
      </c>
      <c r="F452">
        <v>4</v>
      </c>
      <c r="G452">
        <v>681</v>
      </c>
      <c r="H452" s="2">
        <v>45694</v>
      </c>
      <c r="I452" s="2">
        <v>45699</v>
      </c>
      <c r="J452" t="s">
        <v>9</v>
      </c>
      <c r="K452" s="2" t="str">
        <f>IFERROR(INDEX(Product_lookup[Category],MATCH(RawWorking[[#This Row],[ProductID]],Product_lookup[ProductID],0)),"")</f>
        <v>Office</v>
      </c>
      <c r="L452" s="9">
        <f>IF(OR(RawWorking[[#This Row],[ShipDate]]="",RawWorking[[#This Row],[DeliveryDate]]=""),"",RawWorking[[#This Row],[DeliveryDate]]-RawWorking[[#This Row],[ShipDate]])</f>
        <v>5</v>
      </c>
      <c r="M452" s="9">
        <f>IF(COUNTIF(INDEX(RawWorking[OrderID],1):RawWorking[[#This Row],[OrderID]],RawWorking[[#This Row],[OrderID]])=1,1,0)</f>
        <v>1</v>
      </c>
      <c r="N452" s="4">
        <f>IFERROR(RawWorking[[#This Row],[LineAmount]]/RawWorking[[#This Row],[Quantity]],"")</f>
        <v>170.25</v>
      </c>
    </row>
    <row r="453" spans="1:14">
      <c r="A453">
        <v>50452</v>
      </c>
      <c r="B453">
        <v>30251</v>
      </c>
      <c r="C453" s="2">
        <v>45679</v>
      </c>
      <c r="D453">
        <v>2385</v>
      </c>
      <c r="E453">
        <v>1005</v>
      </c>
      <c r="F453">
        <v>2</v>
      </c>
      <c r="G453">
        <v>63.46</v>
      </c>
      <c r="H453" s="2">
        <v>45681</v>
      </c>
      <c r="I453" s="2">
        <v>45683</v>
      </c>
      <c r="J453" t="s">
        <v>9</v>
      </c>
      <c r="K453" s="2" t="str">
        <f>IFERROR(INDEX(Product_lookup[Category],MATCH(RawWorking[[#This Row],[ProductID]],Product_lookup[ProductID],0)),"")</f>
        <v>Electronics</v>
      </c>
      <c r="L453" s="9">
        <f>IF(OR(RawWorking[[#This Row],[ShipDate]]="",RawWorking[[#This Row],[DeliveryDate]]=""),"",RawWorking[[#This Row],[DeliveryDate]]-RawWorking[[#This Row],[ShipDate]])</f>
        <v>2</v>
      </c>
      <c r="M453" s="9">
        <f>IF(COUNTIF(INDEX(RawWorking[OrderID],1):RawWorking[[#This Row],[OrderID]],RawWorking[[#This Row],[OrderID]])=1,1,0)</f>
        <v>1</v>
      </c>
      <c r="N453" s="4">
        <f>IFERROR(RawWorking[[#This Row],[LineAmount]]/RawWorking[[#This Row],[Quantity]],"")</f>
        <v>31.73</v>
      </c>
    </row>
    <row r="454" spans="1:14">
      <c r="A454">
        <v>50453</v>
      </c>
      <c r="B454">
        <v>30252</v>
      </c>
      <c r="C454" s="2">
        <v>45767</v>
      </c>
      <c r="D454">
        <v>2357</v>
      </c>
      <c r="E454">
        <v>1013</v>
      </c>
      <c r="F454">
        <v>1</v>
      </c>
      <c r="G454">
        <v>170.25</v>
      </c>
      <c r="H454" s="2">
        <v>45770</v>
      </c>
      <c r="I454" s="2">
        <v>45775</v>
      </c>
      <c r="J454" t="s">
        <v>9</v>
      </c>
      <c r="K454" s="2" t="str">
        <f>IFERROR(INDEX(Product_lookup[Category],MATCH(RawWorking[[#This Row],[ProductID]],Product_lookup[ProductID],0)),"")</f>
        <v>Office</v>
      </c>
      <c r="L454" s="9">
        <f>IF(OR(RawWorking[[#This Row],[ShipDate]]="",RawWorking[[#This Row],[DeliveryDate]]=""),"",RawWorking[[#This Row],[DeliveryDate]]-RawWorking[[#This Row],[ShipDate]])</f>
        <v>5</v>
      </c>
      <c r="M454" s="9">
        <f>IF(COUNTIF(INDEX(RawWorking[OrderID],1):RawWorking[[#This Row],[OrderID]],RawWorking[[#This Row],[OrderID]])=1,1,0)</f>
        <v>1</v>
      </c>
      <c r="N454" s="4">
        <f>IFERROR(RawWorking[[#This Row],[LineAmount]]/RawWorking[[#This Row],[Quantity]],"")</f>
        <v>170.25</v>
      </c>
    </row>
    <row r="455" spans="1:14">
      <c r="A455">
        <v>50454</v>
      </c>
      <c r="B455">
        <v>30253</v>
      </c>
      <c r="C455" s="2">
        <v>45733</v>
      </c>
      <c r="D455">
        <v>2542</v>
      </c>
      <c r="E455">
        <v>1008</v>
      </c>
      <c r="F455">
        <v>1</v>
      </c>
      <c r="G455">
        <v>206.09</v>
      </c>
      <c r="H455" s="2">
        <v>45734</v>
      </c>
      <c r="I455" s="2">
        <v>45736</v>
      </c>
      <c r="J455" t="s">
        <v>9</v>
      </c>
      <c r="K455" s="2" t="str">
        <f>IFERROR(INDEX(Product_lookup[Category],MATCH(RawWorking[[#This Row],[ProductID]],Product_lookup[ProductID],0)),"")</f>
        <v>Home</v>
      </c>
      <c r="L455" s="9">
        <f>IF(OR(RawWorking[[#This Row],[ShipDate]]="",RawWorking[[#This Row],[DeliveryDate]]=""),"",RawWorking[[#This Row],[DeliveryDate]]-RawWorking[[#This Row],[ShipDate]])</f>
        <v>2</v>
      </c>
      <c r="M455" s="9">
        <f>IF(COUNTIF(INDEX(RawWorking[OrderID],1):RawWorking[[#This Row],[OrderID]],RawWorking[[#This Row],[OrderID]])=1,1,0)</f>
        <v>1</v>
      </c>
      <c r="N455" s="4">
        <f>IFERROR(RawWorking[[#This Row],[LineAmount]]/RawWorking[[#This Row],[Quantity]],"")</f>
        <v>206.09</v>
      </c>
    </row>
    <row r="456" spans="1:14">
      <c r="A456">
        <v>50455</v>
      </c>
      <c r="B456">
        <v>30254</v>
      </c>
      <c r="C456" s="2">
        <v>45895</v>
      </c>
      <c r="D456">
        <v>2004</v>
      </c>
      <c r="E456">
        <v>1010</v>
      </c>
      <c r="F456">
        <v>1</v>
      </c>
      <c r="G456">
        <v>121.5</v>
      </c>
      <c r="H456" s="2">
        <v>45898</v>
      </c>
      <c r="I456" s="2">
        <v>45901</v>
      </c>
      <c r="J456" t="s">
        <v>9</v>
      </c>
      <c r="K456" s="2" t="str">
        <f>IFERROR(INDEX(Product_lookup[Category],MATCH(RawWorking[[#This Row],[ProductID]],Product_lookup[ProductID],0)),"")</f>
        <v>Office</v>
      </c>
      <c r="L456" s="9">
        <f>IF(OR(RawWorking[[#This Row],[ShipDate]]="",RawWorking[[#This Row],[DeliveryDate]]=""),"",RawWorking[[#This Row],[DeliveryDate]]-RawWorking[[#This Row],[ShipDate]])</f>
        <v>3</v>
      </c>
      <c r="M456" s="9">
        <f>IF(COUNTIF(INDEX(RawWorking[OrderID],1):RawWorking[[#This Row],[OrderID]],RawWorking[[#This Row],[OrderID]])=1,1,0)</f>
        <v>1</v>
      </c>
      <c r="N456" s="4">
        <f>IFERROR(RawWorking[[#This Row],[LineAmount]]/RawWorking[[#This Row],[Quantity]],"")</f>
        <v>121.5</v>
      </c>
    </row>
    <row r="457" spans="1:14">
      <c r="A457">
        <v>50456</v>
      </c>
      <c r="B457">
        <v>30255</v>
      </c>
      <c r="C457" s="2">
        <v>45678</v>
      </c>
      <c r="D457">
        <v>2475</v>
      </c>
      <c r="E457">
        <v>1014</v>
      </c>
      <c r="F457">
        <v>1</v>
      </c>
      <c r="G457">
        <v>215.34</v>
      </c>
      <c r="H457" s="2">
        <v>45681</v>
      </c>
      <c r="I457" s="2">
        <v>45688</v>
      </c>
      <c r="J457" t="s">
        <v>9</v>
      </c>
      <c r="K457" s="2" t="str">
        <f>IFERROR(INDEX(Product_lookup[Category],MATCH(RawWorking[[#This Row],[ProductID]],Product_lookup[ProductID],0)),"")</f>
        <v>Sports</v>
      </c>
      <c r="L457" s="9">
        <f>IF(OR(RawWorking[[#This Row],[ShipDate]]="",RawWorking[[#This Row],[DeliveryDate]]=""),"",RawWorking[[#This Row],[DeliveryDate]]-RawWorking[[#This Row],[ShipDate]])</f>
        <v>7</v>
      </c>
      <c r="M457" s="9">
        <f>IF(COUNTIF(INDEX(RawWorking[OrderID],1):RawWorking[[#This Row],[OrderID]],RawWorking[[#This Row],[OrderID]])=1,1,0)</f>
        <v>1</v>
      </c>
      <c r="N457" s="4">
        <f>IFERROR(RawWorking[[#This Row],[LineAmount]]/RawWorking[[#This Row],[Quantity]],"")</f>
        <v>215.34</v>
      </c>
    </row>
    <row r="458" spans="1:14">
      <c r="A458">
        <v>50457</v>
      </c>
      <c r="B458">
        <v>30256</v>
      </c>
      <c r="C458" s="2">
        <v>45694</v>
      </c>
      <c r="D458">
        <v>2545</v>
      </c>
      <c r="E458">
        <v>1008</v>
      </c>
      <c r="F458">
        <v>4</v>
      </c>
      <c r="G458">
        <v>824.36</v>
      </c>
      <c r="H458" s="2">
        <v>45811</v>
      </c>
      <c r="I458" s="2">
        <v>45818</v>
      </c>
      <c r="J458" t="s">
        <v>9</v>
      </c>
      <c r="K458" s="2" t="str">
        <f>IFERROR(INDEX(Product_lookup[Category],MATCH(RawWorking[[#This Row],[ProductID]],Product_lookup[ProductID],0)),"")</f>
        <v>Home</v>
      </c>
      <c r="L458" s="9">
        <f>IF(OR(RawWorking[[#This Row],[ShipDate]]="",RawWorking[[#This Row],[DeliveryDate]]=""),"",RawWorking[[#This Row],[DeliveryDate]]-RawWorking[[#This Row],[ShipDate]])</f>
        <v>7</v>
      </c>
      <c r="M458" s="9">
        <f>IF(COUNTIF(INDEX(RawWorking[OrderID],1):RawWorking[[#This Row],[OrderID]],RawWorking[[#This Row],[OrderID]])=1,1,0)</f>
        <v>1</v>
      </c>
      <c r="N458" s="4">
        <f>IFERROR(RawWorking[[#This Row],[LineAmount]]/RawWorking[[#This Row],[Quantity]],"")</f>
        <v>206.09</v>
      </c>
    </row>
    <row r="459" spans="1:14">
      <c r="A459">
        <v>50458</v>
      </c>
      <c r="B459">
        <v>30256</v>
      </c>
      <c r="C459" s="2">
        <v>45810</v>
      </c>
      <c r="D459">
        <v>2545</v>
      </c>
      <c r="E459">
        <v>1008</v>
      </c>
      <c r="F459">
        <v>1</v>
      </c>
      <c r="G459">
        <v>206.09</v>
      </c>
      <c r="H459" s="2">
        <v>45811</v>
      </c>
      <c r="I459" s="2">
        <v>45812</v>
      </c>
      <c r="J459" t="s">
        <v>9</v>
      </c>
      <c r="K459" s="2" t="str">
        <f>IFERROR(INDEX(Product_lookup[Category],MATCH(RawWorking[[#This Row],[ProductID]],Product_lookup[ProductID],0)),"")</f>
        <v>Home</v>
      </c>
      <c r="L459" s="9">
        <f>IF(OR(RawWorking[[#This Row],[ShipDate]]="",RawWorking[[#This Row],[DeliveryDate]]=""),"",RawWorking[[#This Row],[DeliveryDate]]-RawWorking[[#This Row],[ShipDate]])</f>
        <v>1</v>
      </c>
      <c r="M459" s="9">
        <f>IF(COUNTIF(INDEX(RawWorking[OrderID],1):RawWorking[[#This Row],[OrderID]],RawWorking[[#This Row],[OrderID]])=1,1,0)</f>
        <v>0</v>
      </c>
      <c r="N459" s="4">
        <f>IFERROR(RawWorking[[#This Row],[LineAmount]]/RawWorking[[#This Row],[Quantity]],"")</f>
        <v>206.09</v>
      </c>
    </row>
    <row r="460" spans="1:14">
      <c r="A460">
        <v>50459</v>
      </c>
      <c r="B460">
        <v>30256</v>
      </c>
      <c r="C460" s="2">
        <v>45810</v>
      </c>
      <c r="D460">
        <v>2545</v>
      </c>
      <c r="E460">
        <v>1015</v>
      </c>
      <c r="F460">
        <v>2</v>
      </c>
      <c r="G460">
        <v>239.48</v>
      </c>
      <c r="H460" s="2">
        <v>45811</v>
      </c>
      <c r="I460" s="2">
        <v>45816</v>
      </c>
      <c r="J460" t="s">
        <v>9</v>
      </c>
      <c r="K460" s="2" t="str">
        <f>IFERROR(INDEX(Product_lookup[Category],MATCH(RawWorking[[#This Row],[ProductID]],Product_lookup[ProductID],0)),"")</f>
        <v>Sports</v>
      </c>
      <c r="L460" s="9">
        <f>IF(OR(RawWorking[[#This Row],[ShipDate]]="",RawWorking[[#This Row],[DeliveryDate]]=""),"",RawWorking[[#This Row],[DeliveryDate]]-RawWorking[[#This Row],[ShipDate]])</f>
        <v>5</v>
      </c>
      <c r="M460" s="9">
        <f>IF(COUNTIF(INDEX(RawWorking[OrderID],1):RawWorking[[#This Row],[OrderID]],RawWorking[[#This Row],[OrderID]])=1,1,0)</f>
        <v>0</v>
      </c>
      <c r="N460" s="4">
        <f>IFERROR(RawWorking[[#This Row],[LineAmount]]/RawWorking[[#This Row],[Quantity]],"")</f>
        <v>119.74</v>
      </c>
    </row>
    <row r="461" spans="1:14">
      <c r="A461">
        <v>50460</v>
      </c>
      <c r="B461">
        <v>30257</v>
      </c>
      <c r="C461" s="2">
        <v>45702</v>
      </c>
      <c r="D461">
        <v>2355</v>
      </c>
      <c r="E461">
        <v>1007</v>
      </c>
      <c r="F461">
        <v>2</v>
      </c>
      <c r="G461">
        <v>399.62</v>
      </c>
      <c r="H461" s="2">
        <v>45703</v>
      </c>
      <c r="I461" s="2">
        <v>45712</v>
      </c>
      <c r="J461" t="s">
        <v>9</v>
      </c>
      <c r="K461" s="2" t="str">
        <f>IFERROR(INDEX(Product_lookup[Category],MATCH(RawWorking[[#This Row],[ProductID]],Product_lookup[ProductID],0)),"")</f>
        <v>Home</v>
      </c>
      <c r="L461" s="9">
        <f>IF(OR(RawWorking[[#This Row],[ShipDate]]="",RawWorking[[#This Row],[DeliveryDate]]=""),"",RawWorking[[#This Row],[DeliveryDate]]-RawWorking[[#This Row],[ShipDate]])</f>
        <v>9</v>
      </c>
      <c r="M461" s="9">
        <f>IF(COUNTIF(INDEX(RawWorking[OrderID],1):RawWorking[[#This Row],[OrderID]],RawWorking[[#This Row],[OrderID]])=1,1,0)</f>
        <v>1</v>
      </c>
      <c r="N461" s="4">
        <f>IFERROR(RawWorking[[#This Row],[LineAmount]]/RawWorking[[#This Row],[Quantity]],"")</f>
        <v>199.81</v>
      </c>
    </row>
    <row r="462" spans="1:14">
      <c r="A462">
        <v>50461</v>
      </c>
      <c r="B462">
        <v>30257</v>
      </c>
      <c r="C462" s="2">
        <v>45702</v>
      </c>
      <c r="D462">
        <v>2355</v>
      </c>
      <c r="E462">
        <v>1004</v>
      </c>
      <c r="F462">
        <v>1</v>
      </c>
      <c r="G462">
        <v>183.74</v>
      </c>
      <c r="H462" s="2">
        <v>45703</v>
      </c>
      <c r="I462" s="2">
        <v>45713</v>
      </c>
      <c r="J462" t="s">
        <v>9</v>
      </c>
      <c r="K462" s="2" t="str">
        <f>IFERROR(INDEX(Product_lookup[Category],MATCH(RawWorking[[#This Row],[ProductID]],Product_lookup[ProductID],0)),"")</f>
        <v>Electronics</v>
      </c>
      <c r="L462" s="9">
        <f>IF(OR(RawWorking[[#This Row],[ShipDate]]="",RawWorking[[#This Row],[DeliveryDate]]=""),"",RawWorking[[#This Row],[DeliveryDate]]-RawWorking[[#This Row],[ShipDate]])</f>
        <v>10</v>
      </c>
      <c r="M462" s="9">
        <f>IF(COUNTIF(INDEX(RawWorking[OrderID],1):RawWorking[[#This Row],[OrderID]],RawWorking[[#This Row],[OrderID]])=1,1,0)</f>
        <v>0</v>
      </c>
      <c r="N462" s="4">
        <f>IFERROR(RawWorking[[#This Row],[LineAmount]]/RawWorking[[#This Row],[Quantity]],"")</f>
        <v>183.74</v>
      </c>
    </row>
    <row r="463" spans="1:14">
      <c r="A463">
        <v>50462</v>
      </c>
      <c r="B463">
        <v>30257</v>
      </c>
      <c r="C463" s="2">
        <v>45702</v>
      </c>
      <c r="D463">
        <v>2355</v>
      </c>
      <c r="E463">
        <v>1002</v>
      </c>
      <c r="F463">
        <v>1</v>
      </c>
      <c r="G463">
        <v>118.6</v>
      </c>
      <c r="H463" s="2">
        <v>45703</v>
      </c>
      <c r="I463" s="2">
        <v>45708</v>
      </c>
      <c r="J463" t="s">
        <v>9</v>
      </c>
      <c r="K463" s="2" t="str">
        <f>IFERROR(INDEX(Product_lookup[Category],MATCH(RawWorking[[#This Row],[ProductID]],Product_lookup[ProductID],0)),"")</f>
        <v>Electronics</v>
      </c>
      <c r="L463" s="9">
        <f>IF(OR(RawWorking[[#This Row],[ShipDate]]="",RawWorking[[#This Row],[DeliveryDate]]=""),"",RawWorking[[#This Row],[DeliveryDate]]-RawWorking[[#This Row],[ShipDate]])</f>
        <v>5</v>
      </c>
      <c r="M463" s="9">
        <f>IF(COUNTIF(INDEX(RawWorking[OrderID],1):RawWorking[[#This Row],[OrderID]],RawWorking[[#This Row],[OrderID]])=1,1,0)</f>
        <v>0</v>
      </c>
      <c r="N463" s="4">
        <f>IFERROR(RawWorking[[#This Row],[LineAmount]]/RawWorking[[#This Row],[Quantity]],"")</f>
        <v>118.6</v>
      </c>
    </row>
    <row r="464" spans="1:14">
      <c r="A464">
        <v>50463</v>
      </c>
      <c r="B464">
        <v>30258</v>
      </c>
      <c r="C464" s="2">
        <v>45680</v>
      </c>
      <c r="D464">
        <v>2430</v>
      </c>
      <c r="E464">
        <v>1001</v>
      </c>
      <c r="F464">
        <v>1</v>
      </c>
      <c r="G464">
        <v>203.04</v>
      </c>
      <c r="H464" s="2">
        <v>45681</v>
      </c>
      <c r="I464" s="2">
        <v>45691</v>
      </c>
      <c r="J464" t="s">
        <v>9</v>
      </c>
      <c r="K464" s="2" t="str">
        <f>IFERROR(INDEX(Product_lookup[Category],MATCH(RawWorking[[#This Row],[ProductID]],Product_lookup[ProductID],0)),"")</f>
        <v>Electronics</v>
      </c>
      <c r="L464" s="9">
        <f>IF(OR(RawWorking[[#This Row],[ShipDate]]="",RawWorking[[#This Row],[DeliveryDate]]=""),"",RawWorking[[#This Row],[DeliveryDate]]-RawWorking[[#This Row],[ShipDate]])</f>
        <v>10</v>
      </c>
      <c r="M464" s="9">
        <f>IF(COUNTIF(INDEX(RawWorking[OrderID],1):RawWorking[[#This Row],[OrderID]],RawWorking[[#This Row],[OrderID]])=1,1,0)</f>
        <v>1</v>
      </c>
      <c r="N464" s="4">
        <f>IFERROR(RawWorking[[#This Row],[LineAmount]]/RawWorking[[#This Row],[Quantity]],"")</f>
        <v>203.04</v>
      </c>
    </row>
    <row r="465" spans="1:14">
      <c r="A465">
        <v>50464</v>
      </c>
      <c r="B465">
        <v>30258</v>
      </c>
      <c r="C465" s="2">
        <v>45680</v>
      </c>
      <c r="D465">
        <v>2430</v>
      </c>
      <c r="E465">
        <v>1008</v>
      </c>
      <c r="F465">
        <v>1</v>
      </c>
      <c r="G465">
        <v>206.09</v>
      </c>
      <c r="H465" s="2">
        <v>45683</v>
      </c>
      <c r="I465" s="2">
        <v>45692</v>
      </c>
      <c r="J465" t="s">
        <v>9</v>
      </c>
      <c r="K465" s="2" t="str">
        <f>IFERROR(INDEX(Product_lookup[Category],MATCH(RawWorking[[#This Row],[ProductID]],Product_lookup[ProductID],0)),"")</f>
        <v>Home</v>
      </c>
      <c r="L465" s="9">
        <f>IF(OR(RawWorking[[#This Row],[ShipDate]]="",RawWorking[[#This Row],[DeliveryDate]]=""),"",RawWorking[[#This Row],[DeliveryDate]]-RawWorking[[#This Row],[ShipDate]])</f>
        <v>9</v>
      </c>
      <c r="M465" s="9">
        <f>IF(COUNTIF(INDEX(RawWorking[OrderID],1):RawWorking[[#This Row],[OrderID]],RawWorking[[#This Row],[OrderID]])=1,1,0)</f>
        <v>0</v>
      </c>
      <c r="N465" s="4">
        <f>IFERROR(RawWorking[[#This Row],[LineAmount]]/RawWorking[[#This Row],[Quantity]],"")</f>
        <v>206.09</v>
      </c>
    </row>
    <row r="466" spans="1:14">
      <c r="A466">
        <v>50465</v>
      </c>
      <c r="B466">
        <v>30258</v>
      </c>
      <c r="C466" s="2">
        <v>45680</v>
      </c>
      <c r="D466">
        <v>2430</v>
      </c>
      <c r="E466">
        <v>1007</v>
      </c>
      <c r="F466">
        <v>1</v>
      </c>
      <c r="G466">
        <v>199.81</v>
      </c>
      <c r="H466" s="2">
        <v>45683</v>
      </c>
      <c r="I466" s="2">
        <v>45689</v>
      </c>
      <c r="J466" t="s">
        <v>9</v>
      </c>
      <c r="K466" s="2" t="str">
        <f>IFERROR(INDEX(Product_lookup[Category],MATCH(RawWorking[[#This Row],[ProductID]],Product_lookup[ProductID],0)),"")</f>
        <v>Home</v>
      </c>
      <c r="L466" s="9">
        <f>IF(OR(RawWorking[[#This Row],[ShipDate]]="",RawWorking[[#This Row],[DeliveryDate]]=""),"",RawWorking[[#This Row],[DeliveryDate]]-RawWorking[[#This Row],[ShipDate]])</f>
        <v>6</v>
      </c>
      <c r="M466" s="9">
        <f>IF(COUNTIF(INDEX(RawWorking[OrderID],1):RawWorking[[#This Row],[OrderID]],RawWorking[[#This Row],[OrderID]])=1,1,0)</f>
        <v>0</v>
      </c>
      <c r="N466" s="4">
        <f>IFERROR(RawWorking[[#This Row],[LineAmount]]/RawWorking[[#This Row],[Quantity]],"")</f>
        <v>199.81</v>
      </c>
    </row>
    <row r="467" spans="1:14">
      <c r="A467">
        <v>50466</v>
      </c>
      <c r="B467">
        <v>30259</v>
      </c>
      <c r="C467" s="2">
        <v>45838</v>
      </c>
      <c r="D467">
        <v>2069</v>
      </c>
      <c r="E467">
        <v>1002</v>
      </c>
      <c r="F467">
        <v>1</v>
      </c>
      <c r="G467">
        <v>118.6</v>
      </c>
      <c r="H467" s="2">
        <v>45841</v>
      </c>
      <c r="I467" s="2">
        <v>45845</v>
      </c>
      <c r="J467" t="s">
        <v>9</v>
      </c>
      <c r="K467" s="2" t="str">
        <f>IFERROR(INDEX(Product_lookup[Category],MATCH(RawWorking[[#This Row],[ProductID]],Product_lookup[ProductID],0)),"")</f>
        <v>Electronics</v>
      </c>
      <c r="L467" s="9">
        <f>IF(OR(RawWorking[[#This Row],[ShipDate]]="",RawWorking[[#This Row],[DeliveryDate]]=""),"",RawWorking[[#This Row],[DeliveryDate]]-RawWorking[[#This Row],[ShipDate]])</f>
        <v>4</v>
      </c>
      <c r="M467" s="9">
        <f>IF(COUNTIF(INDEX(RawWorking[OrderID],1):RawWorking[[#This Row],[OrderID]],RawWorking[[#This Row],[OrderID]])=1,1,0)</f>
        <v>1</v>
      </c>
      <c r="N467" s="4">
        <f>IFERROR(RawWorking[[#This Row],[LineAmount]]/RawWorking[[#This Row],[Quantity]],"")</f>
        <v>118.6</v>
      </c>
    </row>
    <row r="468" spans="1:14">
      <c r="A468">
        <v>50467</v>
      </c>
      <c r="B468">
        <v>30259</v>
      </c>
      <c r="C468" s="2">
        <v>45838</v>
      </c>
      <c r="D468">
        <v>2069</v>
      </c>
      <c r="E468">
        <v>1015</v>
      </c>
      <c r="F468">
        <v>2</v>
      </c>
      <c r="G468">
        <v>239.48</v>
      </c>
      <c r="H468" s="2">
        <v>45840</v>
      </c>
      <c r="I468" s="2">
        <v>45842</v>
      </c>
      <c r="J468" t="s">
        <v>9</v>
      </c>
      <c r="K468" s="2" t="str">
        <f>IFERROR(INDEX(Product_lookup[Category],MATCH(RawWorking[[#This Row],[ProductID]],Product_lookup[ProductID],0)),"")</f>
        <v>Sports</v>
      </c>
      <c r="L468" s="9">
        <f>IF(OR(RawWorking[[#This Row],[ShipDate]]="",RawWorking[[#This Row],[DeliveryDate]]=""),"",RawWorking[[#This Row],[DeliveryDate]]-RawWorking[[#This Row],[ShipDate]])</f>
        <v>2</v>
      </c>
      <c r="M468" s="9">
        <f>IF(COUNTIF(INDEX(RawWorking[OrderID],1):RawWorking[[#This Row],[OrderID]],RawWorking[[#This Row],[OrderID]])=1,1,0)</f>
        <v>0</v>
      </c>
      <c r="N468" s="4">
        <f>IFERROR(RawWorking[[#This Row],[LineAmount]]/RawWorking[[#This Row],[Quantity]],"")</f>
        <v>119.74</v>
      </c>
    </row>
    <row r="469" spans="1:14">
      <c r="A469">
        <v>50468</v>
      </c>
      <c r="B469">
        <v>30259</v>
      </c>
      <c r="C469" s="2">
        <v>45838</v>
      </c>
      <c r="D469">
        <v>2069</v>
      </c>
      <c r="E469">
        <v>1002</v>
      </c>
      <c r="F469">
        <v>1</v>
      </c>
      <c r="G469">
        <v>118.6</v>
      </c>
      <c r="H469" s="2">
        <v>45839</v>
      </c>
      <c r="I469" s="2">
        <v>45841</v>
      </c>
      <c r="J469" t="s">
        <v>9</v>
      </c>
      <c r="K469" s="2" t="str">
        <f>IFERROR(INDEX(Product_lookup[Category],MATCH(RawWorking[[#This Row],[ProductID]],Product_lookup[ProductID],0)),"")</f>
        <v>Electronics</v>
      </c>
      <c r="L469" s="9">
        <f>IF(OR(RawWorking[[#This Row],[ShipDate]]="",RawWorking[[#This Row],[DeliveryDate]]=""),"",RawWorking[[#This Row],[DeliveryDate]]-RawWorking[[#This Row],[ShipDate]])</f>
        <v>2</v>
      </c>
      <c r="M469" s="9">
        <f>IF(COUNTIF(INDEX(RawWorking[OrderID],1):RawWorking[[#This Row],[OrderID]],RawWorking[[#This Row],[OrderID]])=1,1,0)</f>
        <v>0</v>
      </c>
      <c r="N469" s="4">
        <f>IFERROR(RawWorking[[#This Row],[LineAmount]]/RawWorking[[#This Row],[Quantity]],"")</f>
        <v>118.6</v>
      </c>
    </row>
    <row r="470" spans="1:14">
      <c r="A470">
        <v>50469</v>
      </c>
      <c r="B470">
        <v>30259</v>
      </c>
      <c r="C470" s="2">
        <v>45838</v>
      </c>
      <c r="D470">
        <v>2069</v>
      </c>
      <c r="E470">
        <v>1008</v>
      </c>
      <c r="F470">
        <v>1</v>
      </c>
      <c r="G470">
        <v>206.09</v>
      </c>
      <c r="H470" s="2">
        <v>45841</v>
      </c>
      <c r="I470" s="2">
        <v>45850</v>
      </c>
      <c r="J470" t="s">
        <v>9</v>
      </c>
      <c r="K470" s="2" t="str">
        <f>IFERROR(INDEX(Product_lookup[Category],MATCH(RawWorking[[#This Row],[ProductID]],Product_lookup[ProductID],0)),"")</f>
        <v>Home</v>
      </c>
      <c r="L470" s="9">
        <f>IF(OR(RawWorking[[#This Row],[ShipDate]]="",RawWorking[[#This Row],[DeliveryDate]]=""),"",RawWorking[[#This Row],[DeliveryDate]]-RawWorking[[#This Row],[ShipDate]])</f>
        <v>9</v>
      </c>
      <c r="M470" s="9">
        <f>IF(COUNTIF(INDEX(RawWorking[OrderID],1):RawWorking[[#This Row],[OrderID]],RawWorking[[#This Row],[OrderID]])=1,1,0)</f>
        <v>0</v>
      </c>
      <c r="N470" s="4">
        <f>IFERROR(RawWorking[[#This Row],[LineAmount]]/RawWorking[[#This Row],[Quantity]],"")</f>
        <v>206.09</v>
      </c>
    </row>
    <row r="471" spans="1:14">
      <c r="A471">
        <v>50470</v>
      </c>
      <c r="B471">
        <v>30260</v>
      </c>
      <c r="C471" s="2">
        <v>45669</v>
      </c>
      <c r="D471">
        <v>2046</v>
      </c>
      <c r="E471">
        <v>1008</v>
      </c>
      <c r="F471">
        <v>1</v>
      </c>
      <c r="G471">
        <v>206.09</v>
      </c>
      <c r="H471" s="2">
        <v>45671</v>
      </c>
      <c r="I471" s="2">
        <v>45676</v>
      </c>
      <c r="J471" t="s">
        <v>9</v>
      </c>
      <c r="K471" s="2" t="str">
        <f>IFERROR(INDEX(Product_lookup[Category],MATCH(RawWorking[[#This Row],[ProductID]],Product_lookup[ProductID],0)),"")</f>
        <v>Home</v>
      </c>
      <c r="L471" s="9">
        <f>IF(OR(RawWorking[[#This Row],[ShipDate]]="",RawWorking[[#This Row],[DeliveryDate]]=""),"",RawWorking[[#This Row],[DeliveryDate]]-RawWorking[[#This Row],[ShipDate]])</f>
        <v>5</v>
      </c>
      <c r="M471" s="9">
        <f>IF(COUNTIF(INDEX(RawWorking[OrderID],1):RawWorking[[#This Row],[OrderID]],RawWorking[[#This Row],[OrderID]])=1,1,0)</f>
        <v>1</v>
      </c>
      <c r="N471" s="4">
        <f>IFERROR(RawWorking[[#This Row],[LineAmount]]/RawWorking[[#This Row],[Quantity]],"")</f>
        <v>206.09</v>
      </c>
    </row>
    <row r="472" spans="1:14">
      <c r="A472">
        <v>50471</v>
      </c>
      <c r="B472">
        <v>30261</v>
      </c>
      <c r="C472" s="2">
        <v>45815</v>
      </c>
      <c r="D472">
        <v>2553</v>
      </c>
      <c r="E472">
        <v>1002</v>
      </c>
      <c r="F472">
        <v>4</v>
      </c>
      <c r="G472">
        <v>474.4</v>
      </c>
      <c r="H472" s="2">
        <v>45818</v>
      </c>
      <c r="I472" s="2">
        <v>45828</v>
      </c>
      <c r="J472" t="s">
        <v>9</v>
      </c>
      <c r="K472" s="2" t="str">
        <f>IFERROR(INDEX(Product_lookup[Category],MATCH(RawWorking[[#This Row],[ProductID]],Product_lookup[ProductID],0)),"")</f>
        <v>Electronics</v>
      </c>
      <c r="L472" s="9">
        <f>IF(OR(RawWorking[[#This Row],[ShipDate]]="",RawWorking[[#This Row],[DeliveryDate]]=""),"",RawWorking[[#This Row],[DeliveryDate]]-RawWorking[[#This Row],[ShipDate]])</f>
        <v>10</v>
      </c>
      <c r="M472" s="9">
        <f>IF(COUNTIF(INDEX(RawWorking[OrderID],1):RawWorking[[#This Row],[OrderID]],RawWorking[[#This Row],[OrderID]])=1,1,0)</f>
        <v>1</v>
      </c>
      <c r="N472" s="4">
        <f>IFERROR(RawWorking[[#This Row],[LineAmount]]/RawWorking[[#This Row],[Quantity]],"")</f>
        <v>118.6</v>
      </c>
    </row>
    <row r="473" spans="1:14">
      <c r="A473">
        <v>50472</v>
      </c>
      <c r="B473">
        <v>30261</v>
      </c>
      <c r="C473" s="2">
        <v>45815</v>
      </c>
      <c r="D473">
        <v>2553</v>
      </c>
      <c r="E473">
        <v>1005</v>
      </c>
      <c r="F473">
        <v>1</v>
      </c>
      <c r="G473">
        <v>31.73</v>
      </c>
      <c r="H473" s="2">
        <v>45818</v>
      </c>
      <c r="I473" s="2">
        <v>45822</v>
      </c>
      <c r="J473" t="s">
        <v>9</v>
      </c>
      <c r="K473" s="2" t="str">
        <f>IFERROR(INDEX(Product_lookup[Category],MATCH(RawWorking[[#This Row],[ProductID]],Product_lookup[ProductID],0)),"")</f>
        <v>Electronics</v>
      </c>
      <c r="L473" s="9">
        <f>IF(OR(RawWorking[[#This Row],[ShipDate]]="",RawWorking[[#This Row],[DeliveryDate]]=""),"",RawWorking[[#This Row],[DeliveryDate]]-RawWorking[[#This Row],[ShipDate]])</f>
        <v>4</v>
      </c>
      <c r="M473" s="9">
        <f>IF(COUNTIF(INDEX(RawWorking[OrderID],1):RawWorking[[#This Row],[OrderID]],RawWorking[[#This Row],[OrderID]])=1,1,0)</f>
        <v>0</v>
      </c>
      <c r="N473" s="4">
        <f>IFERROR(RawWorking[[#This Row],[LineAmount]]/RawWorking[[#This Row],[Quantity]],"")</f>
        <v>31.73</v>
      </c>
    </row>
    <row r="474" spans="1:14">
      <c r="A474">
        <v>50473</v>
      </c>
      <c r="B474">
        <v>30262</v>
      </c>
      <c r="C474" s="2">
        <v>45756</v>
      </c>
      <c r="D474">
        <v>2516</v>
      </c>
      <c r="E474">
        <v>1008</v>
      </c>
      <c r="F474">
        <v>1</v>
      </c>
      <c r="G474">
        <v>206.09</v>
      </c>
      <c r="H474" s="2">
        <v>45758</v>
      </c>
      <c r="I474" s="2">
        <v>45761</v>
      </c>
      <c r="J474" t="s">
        <v>11</v>
      </c>
      <c r="K474" s="2" t="str">
        <f>IFERROR(INDEX(Product_lookup[Category],MATCH(RawWorking[[#This Row],[ProductID]],Product_lookup[ProductID],0)),"")</f>
        <v>Home</v>
      </c>
      <c r="L474" s="9">
        <f>IF(OR(RawWorking[[#This Row],[ShipDate]]="",RawWorking[[#This Row],[DeliveryDate]]=""),"",RawWorking[[#This Row],[DeliveryDate]]-RawWorking[[#This Row],[ShipDate]])</f>
        <v>3</v>
      </c>
      <c r="M474" s="9">
        <f>IF(COUNTIF(INDEX(RawWorking[OrderID],1):RawWorking[[#This Row],[OrderID]],RawWorking[[#This Row],[OrderID]])=1,1,0)</f>
        <v>1</v>
      </c>
      <c r="N474" s="4">
        <f>IFERROR(RawWorking[[#This Row],[LineAmount]]/RawWorking[[#This Row],[Quantity]],"")</f>
        <v>206.09</v>
      </c>
    </row>
    <row r="475" spans="1:14">
      <c r="A475">
        <v>50474</v>
      </c>
      <c r="B475">
        <v>30262</v>
      </c>
      <c r="C475" s="2">
        <v>45756</v>
      </c>
      <c r="E475">
        <v>1011</v>
      </c>
      <c r="F475">
        <v>1</v>
      </c>
      <c r="G475">
        <v>101.44</v>
      </c>
      <c r="H475" s="2">
        <v>45758</v>
      </c>
      <c r="I475" s="2">
        <v>45762</v>
      </c>
      <c r="J475" t="s">
        <v>11</v>
      </c>
      <c r="K475" s="2" t="str">
        <f>IFERROR(INDEX(Product_lookup[Category],MATCH(RawWorking[[#This Row],[ProductID]],Product_lookup[ProductID],0)),"")</f>
        <v>Office</v>
      </c>
      <c r="L475" s="9">
        <f>IF(OR(RawWorking[[#This Row],[ShipDate]]="",RawWorking[[#This Row],[DeliveryDate]]=""),"",RawWorking[[#This Row],[DeliveryDate]]-RawWorking[[#This Row],[ShipDate]])</f>
        <v>4</v>
      </c>
      <c r="M475" s="9">
        <f>IF(COUNTIF(INDEX(RawWorking[OrderID],1):RawWorking[[#This Row],[OrderID]],RawWorking[[#This Row],[OrderID]])=1,1,0)</f>
        <v>0</v>
      </c>
      <c r="N475" s="4">
        <f>IFERROR(RawWorking[[#This Row],[LineAmount]]/RawWorking[[#This Row],[Quantity]],"")</f>
        <v>101.44</v>
      </c>
    </row>
    <row r="476" spans="1:14">
      <c r="A476">
        <v>50475</v>
      </c>
      <c r="B476">
        <v>30263</v>
      </c>
      <c r="C476" s="2">
        <v>45775</v>
      </c>
      <c r="D476">
        <v>2592</v>
      </c>
      <c r="E476">
        <v>1011</v>
      </c>
      <c r="F476">
        <v>1</v>
      </c>
      <c r="G476">
        <v>101.44</v>
      </c>
      <c r="H476" s="2">
        <v>45777</v>
      </c>
      <c r="I476" s="2">
        <v>45778</v>
      </c>
      <c r="J476" t="s">
        <v>9</v>
      </c>
      <c r="K476" s="2" t="str">
        <f>IFERROR(INDEX(Product_lookup[Category],MATCH(RawWorking[[#This Row],[ProductID]],Product_lookup[ProductID],0)),"")</f>
        <v>Office</v>
      </c>
      <c r="L476" s="9">
        <f>IF(OR(RawWorking[[#This Row],[ShipDate]]="",RawWorking[[#This Row],[DeliveryDate]]=""),"",RawWorking[[#This Row],[DeliveryDate]]-RawWorking[[#This Row],[ShipDate]])</f>
        <v>1</v>
      </c>
      <c r="M476" s="9">
        <f>IF(COUNTIF(INDEX(RawWorking[OrderID],1):RawWorking[[#This Row],[OrderID]],RawWorking[[#This Row],[OrderID]])=1,1,0)</f>
        <v>1</v>
      </c>
      <c r="N476" s="4">
        <f>IFERROR(RawWorking[[#This Row],[LineAmount]]/RawWorking[[#This Row],[Quantity]],"")</f>
        <v>101.44</v>
      </c>
    </row>
    <row r="477" spans="1:14">
      <c r="A477">
        <v>50476</v>
      </c>
      <c r="B477">
        <v>30264</v>
      </c>
      <c r="C477" s="2">
        <v>45769</v>
      </c>
      <c r="D477">
        <v>2243</v>
      </c>
      <c r="E477">
        <v>1005</v>
      </c>
      <c r="F477">
        <v>1</v>
      </c>
      <c r="G477">
        <v>31.73</v>
      </c>
      <c r="H477" s="2">
        <v>45770</v>
      </c>
      <c r="I477" s="2">
        <v>45779</v>
      </c>
      <c r="J477" t="s">
        <v>9</v>
      </c>
      <c r="K477" s="2" t="str">
        <f>IFERROR(INDEX(Product_lookup[Category],MATCH(RawWorking[[#This Row],[ProductID]],Product_lookup[ProductID],0)),"")</f>
        <v>Electronics</v>
      </c>
      <c r="L477" s="9">
        <f>IF(OR(RawWorking[[#This Row],[ShipDate]]="",RawWorking[[#This Row],[DeliveryDate]]=""),"",RawWorking[[#This Row],[DeliveryDate]]-RawWorking[[#This Row],[ShipDate]])</f>
        <v>9</v>
      </c>
      <c r="M477" s="9">
        <f>IF(COUNTIF(INDEX(RawWorking[OrderID],1):RawWorking[[#This Row],[OrderID]],RawWorking[[#This Row],[OrderID]])=1,1,0)</f>
        <v>1</v>
      </c>
      <c r="N477" s="4">
        <f>IFERROR(RawWorking[[#This Row],[LineAmount]]/RawWorking[[#This Row],[Quantity]],"")</f>
        <v>31.73</v>
      </c>
    </row>
    <row r="478" spans="1:14">
      <c r="A478">
        <v>50477</v>
      </c>
      <c r="B478">
        <v>30264</v>
      </c>
      <c r="C478" s="2">
        <v>45769</v>
      </c>
      <c r="D478">
        <v>2243</v>
      </c>
      <c r="E478">
        <v>1008</v>
      </c>
      <c r="F478">
        <v>1</v>
      </c>
      <c r="G478">
        <v>206.09</v>
      </c>
      <c r="H478" s="2">
        <v>45770</v>
      </c>
      <c r="I478" s="2">
        <v>45778</v>
      </c>
      <c r="J478" t="s">
        <v>9</v>
      </c>
      <c r="K478" s="2" t="str">
        <f>IFERROR(INDEX(Product_lookup[Category],MATCH(RawWorking[[#This Row],[ProductID]],Product_lookup[ProductID],0)),"")</f>
        <v>Home</v>
      </c>
      <c r="L478" s="9">
        <f>IF(OR(RawWorking[[#This Row],[ShipDate]]="",RawWorking[[#This Row],[DeliveryDate]]=""),"",RawWorking[[#This Row],[DeliveryDate]]-RawWorking[[#This Row],[ShipDate]])</f>
        <v>8</v>
      </c>
      <c r="M478" s="9">
        <f>IF(COUNTIF(INDEX(RawWorking[OrderID],1):RawWorking[[#This Row],[OrderID]],RawWorking[[#This Row],[OrderID]])=1,1,0)</f>
        <v>0</v>
      </c>
      <c r="N478" s="4">
        <f>IFERROR(RawWorking[[#This Row],[LineAmount]]/RawWorking[[#This Row],[Quantity]],"")</f>
        <v>206.09</v>
      </c>
    </row>
    <row r="479" spans="1:14">
      <c r="A479">
        <v>50478</v>
      </c>
      <c r="B479">
        <v>30265</v>
      </c>
      <c r="C479" s="2">
        <v>45726</v>
      </c>
      <c r="D479">
        <v>2424</v>
      </c>
      <c r="E479">
        <v>1002</v>
      </c>
      <c r="F479">
        <v>3</v>
      </c>
      <c r="G479">
        <v>355.8</v>
      </c>
      <c r="H479" s="2">
        <v>45936</v>
      </c>
      <c r="I479" s="2">
        <v>45946</v>
      </c>
      <c r="J479" t="s">
        <v>9</v>
      </c>
      <c r="K479" s="2" t="str">
        <f>IFERROR(INDEX(Product_lookup[Category],MATCH(RawWorking[[#This Row],[ProductID]],Product_lookup[ProductID],0)),"")</f>
        <v>Electronics</v>
      </c>
      <c r="L479" s="9">
        <f>IF(OR(RawWorking[[#This Row],[ShipDate]]="",RawWorking[[#This Row],[DeliveryDate]]=""),"",RawWorking[[#This Row],[DeliveryDate]]-RawWorking[[#This Row],[ShipDate]])</f>
        <v>10</v>
      </c>
      <c r="M479" s="9">
        <f>IF(COUNTIF(INDEX(RawWorking[OrderID],1):RawWorking[[#This Row],[OrderID]],RawWorking[[#This Row],[OrderID]])=1,1,0)</f>
        <v>1</v>
      </c>
      <c r="N479" s="4">
        <f>IFERROR(RawWorking[[#This Row],[LineAmount]]/RawWorking[[#This Row],[Quantity]],"")</f>
        <v>118.60000000000001</v>
      </c>
    </row>
    <row r="480" spans="1:14">
      <c r="A480">
        <v>50479</v>
      </c>
      <c r="B480">
        <v>30266</v>
      </c>
      <c r="C480" s="2">
        <v>45724</v>
      </c>
      <c r="D480">
        <v>2571</v>
      </c>
      <c r="E480">
        <v>1006</v>
      </c>
      <c r="F480">
        <v>1</v>
      </c>
      <c r="G480">
        <v>253.86</v>
      </c>
      <c r="H480" s="2">
        <v>45726</v>
      </c>
      <c r="I480" s="2">
        <v>45733</v>
      </c>
      <c r="J480" t="s">
        <v>11</v>
      </c>
      <c r="K480" s="2" t="str">
        <f>IFERROR(INDEX(Product_lookup[Category],MATCH(RawWorking[[#This Row],[ProductID]],Product_lookup[ProductID],0)),"")</f>
        <v>Home</v>
      </c>
      <c r="L480" s="9">
        <f>IF(OR(RawWorking[[#This Row],[ShipDate]]="",RawWorking[[#This Row],[DeliveryDate]]=""),"",RawWorking[[#This Row],[DeliveryDate]]-RawWorking[[#This Row],[ShipDate]])</f>
        <v>7</v>
      </c>
      <c r="M480" s="9">
        <f>IF(COUNTIF(INDEX(RawWorking[OrderID],1):RawWorking[[#This Row],[OrderID]],RawWorking[[#This Row],[OrderID]])=1,1,0)</f>
        <v>1</v>
      </c>
      <c r="N480" s="4">
        <f>IFERROR(RawWorking[[#This Row],[LineAmount]]/RawWorking[[#This Row],[Quantity]],"")</f>
        <v>253.86</v>
      </c>
    </row>
    <row r="481" spans="1:14">
      <c r="A481">
        <v>50480</v>
      </c>
      <c r="B481">
        <v>30266</v>
      </c>
      <c r="C481" s="2">
        <v>45724</v>
      </c>
      <c r="D481">
        <v>2571</v>
      </c>
      <c r="E481">
        <v>1014</v>
      </c>
      <c r="F481">
        <v>1</v>
      </c>
      <c r="G481">
        <v>215.34</v>
      </c>
      <c r="H481" s="2">
        <v>45727</v>
      </c>
      <c r="I481" s="2">
        <v>45729</v>
      </c>
      <c r="J481" t="s">
        <v>11</v>
      </c>
      <c r="K481" s="2" t="str">
        <f>IFERROR(INDEX(Product_lookup[Category],MATCH(RawWorking[[#This Row],[ProductID]],Product_lookup[ProductID],0)),"")</f>
        <v>Sports</v>
      </c>
      <c r="L481" s="9">
        <f>IF(OR(RawWorking[[#This Row],[ShipDate]]="",RawWorking[[#This Row],[DeliveryDate]]=""),"",RawWorking[[#This Row],[DeliveryDate]]-RawWorking[[#This Row],[ShipDate]])</f>
        <v>2</v>
      </c>
      <c r="M481" s="9">
        <f>IF(COUNTIF(INDEX(RawWorking[OrderID],1):RawWorking[[#This Row],[OrderID]],RawWorking[[#This Row],[OrderID]])=1,1,0)</f>
        <v>0</v>
      </c>
      <c r="N481" s="4">
        <f>IFERROR(RawWorking[[#This Row],[LineAmount]]/RawWorking[[#This Row],[Quantity]],"")</f>
        <v>215.34</v>
      </c>
    </row>
    <row r="482" spans="1:14">
      <c r="A482">
        <v>50481</v>
      </c>
      <c r="B482">
        <v>30267</v>
      </c>
      <c r="C482" s="2">
        <v>45759</v>
      </c>
      <c r="D482">
        <v>2570</v>
      </c>
      <c r="E482">
        <v>1012</v>
      </c>
      <c r="F482">
        <v>1</v>
      </c>
      <c r="G482">
        <v>241.54</v>
      </c>
      <c r="H482" s="2">
        <v>45997</v>
      </c>
      <c r="I482" s="2">
        <v>45998</v>
      </c>
      <c r="J482" t="s">
        <v>9</v>
      </c>
      <c r="K482" s="2" t="str">
        <f>IFERROR(INDEX(Product_lookup[Category],MATCH(RawWorking[[#This Row],[ProductID]],Product_lookup[ProductID],0)),"")</f>
        <v>Office</v>
      </c>
      <c r="L482" s="9">
        <f>IF(OR(RawWorking[[#This Row],[ShipDate]]="",RawWorking[[#This Row],[DeliveryDate]]=""),"",RawWorking[[#This Row],[DeliveryDate]]-RawWorking[[#This Row],[ShipDate]])</f>
        <v>1</v>
      </c>
      <c r="M482" s="9">
        <f>IF(COUNTIF(INDEX(RawWorking[OrderID],1):RawWorking[[#This Row],[OrderID]],RawWorking[[#This Row],[OrderID]])=1,1,0)</f>
        <v>1</v>
      </c>
      <c r="N482" s="4">
        <f>IFERROR(RawWorking[[#This Row],[LineAmount]]/RawWorking[[#This Row],[Quantity]],"")</f>
        <v>241.54</v>
      </c>
    </row>
    <row r="483" spans="1:14">
      <c r="A483">
        <v>50482</v>
      </c>
      <c r="B483">
        <v>30267</v>
      </c>
      <c r="C483" s="2">
        <v>45995</v>
      </c>
      <c r="D483">
        <v>2570</v>
      </c>
      <c r="E483">
        <v>1013</v>
      </c>
      <c r="F483">
        <v>2</v>
      </c>
      <c r="G483">
        <v>340.5</v>
      </c>
      <c r="H483" s="2">
        <v>45998</v>
      </c>
      <c r="I483" s="2">
        <v>46004</v>
      </c>
      <c r="J483" t="s">
        <v>9</v>
      </c>
      <c r="K483" s="2" t="str">
        <f>IFERROR(INDEX(Product_lookup[Category],MATCH(RawWorking[[#This Row],[ProductID]],Product_lookup[ProductID],0)),"")</f>
        <v>Office</v>
      </c>
      <c r="L483" s="9">
        <f>IF(OR(RawWorking[[#This Row],[ShipDate]]="",RawWorking[[#This Row],[DeliveryDate]]=""),"",RawWorking[[#This Row],[DeliveryDate]]-RawWorking[[#This Row],[ShipDate]])</f>
        <v>6</v>
      </c>
      <c r="M483" s="9">
        <f>IF(COUNTIF(INDEX(RawWorking[OrderID],1):RawWorking[[#This Row],[OrderID]],RawWorking[[#This Row],[OrderID]])=1,1,0)</f>
        <v>0</v>
      </c>
      <c r="N483" s="4">
        <f>IFERROR(RawWorking[[#This Row],[LineAmount]]/RawWorking[[#This Row],[Quantity]],"")</f>
        <v>170.25</v>
      </c>
    </row>
    <row r="484" spans="1:14">
      <c r="A484">
        <v>50483</v>
      </c>
      <c r="B484">
        <v>30268</v>
      </c>
      <c r="C484" s="2">
        <v>45688</v>
      </c>
      <c r="D484">
        <v>2538</v>
      </c>
      <c r="E484">
        <v>1014</v>
      </c>
      <c r="F484">
        <v>3</v>
      </c>
      <c r="G484">
        <v>646.02</v>
      </c>
      <c r="H484" s="2">
        <v>45689</v>
      </c>
      <c r="I484" s="2">
        <v>45749</v>
      </c>
      <c r="J484" t="s">
        <v>9</v>
      </c>
      <c r="K484" s="2" t="str">
        <f>IFERROR(INDEX(Product_lookup[Category],MATCH(RawWorking[[#This Row],[ProductID]],Product_lookup[ProductID],0)),"")</f>
        <v>Sports</v>
      </c>
      <c r="L484" s="9">
        <f>IF(OR(RawWorking[[#This Row],[ShipDate]]="",RawWorking[[#This Row],[DeliveryDate]]=""),"",RawWorking[[#This Row],[DeliveryDate]]-RawWorking[[#This Row],[ShipDate]])</f>
        <v>60</v>
      </c>
      <c r="M484" s="9">
        <f>IF(COUNTIF(INDEX(RawWorking[OrderID],1):RawWorking[[#This Row],[OrderID]],RawWorking[[#This Row],[OrderID]])=1,1,0)</f>
        <v>1</v>
      </c>
      <c r="N484" s="4">
        <f>IFERROR(RawWorking[[#This Row],[LineAmount]]/RawWorking[[#This Row],[Quantity]],"")</f>
        <v>215.34</v>
      </c>
    </row>
    <row r="485" spans="1:14">
      <c r="A485">
        <v>50484</v>
      </c>
      <c r="B485">
        <v>30268</v>
      </c>
      <c r="C485" s="2">
        <v>45688</v>
      </c>
      <c r="D485">
        <v>2538</v>
      </c>
      <c r="E485">
        <v>1014</v>
      </c>
      <c r="F485">
        <v>1</v>
      </c>
      <c r="G485">
        <v>215.34</v>
      </c>
      <c r="H485" s="2">
        <v>45690</v>
      </c>
      <c r="I485" s="2">
        <v>45695</v>
      </c>
      <c r="J485" t="s">
        <v>9</v>
      </c>
      <c r="K485" s="2" t="str">
        <f>IFERROR(INDEX(Product_lookup[Category],MATCH(RawWorking[[#This Row],[ProductID]],Product_lookup[ProductID],0)),"")</f>
        <v>Sports</v>
      </c>
      <c r="L485" s="9">
        <f>IF(OR(RawWorking[[#This Row],[ShipDate]]="",RawWorking[[#This Row],[DeliveryDate]]=""),"",RawWorking[[#This Row],[DeliveryDate]]-RawWorking[[#This Row],[ShipDate]])</f>
        <v>5</v>
      </c>
      <c r="M485" s="9">
        <f>IF(COUNTIF(INDEX(RawWorking[OrderID],1):RawWorking[[#This Row],[OrderID]],RawWorking[[#This Row],[OrderID]])=1,1,0)</f>
        <v>0</v>
      </c>
      <c r="N485" s="4">
        <f>IFERROR(RawWorking[[#This Row],[LineAmount]]/RawWorking[[#This Row],[Quantity]],"")</f>
        <v>215.34</v>
      </c>
    </row>
    <row r="486" spans="1:14">
      <c r="A486">
        <v>50485</v>
      </c>
      <c r="B486">
        <v>30269</v>
      </c>
      <c r="C486" s="2">
        <v>45659</v>
      </c>
      <c r="D486">
        <v>2153</v>
      </c>
      <c r="E486">
        <v>1006</v>
      </c>
      <c r="F486">
        <v>1</v>
      </c>
      <c r="G486">
        <v>253.86</v>
      </c>
      <c r="H486" s="2">
        <v>45662</v>
      </c>
      <c r="I486" s="2">
        <v>45671</v>
      </c>
      <c r="J486" t="s">
        <v>9</v>
      </c>
      <c r="K486" s="2" t="str">
        <f>IFERROR(INDEX(Product_lookup[Category],MATCH(RawWorking[[#This Row],[ProductID]],Product_lookup[ProductID],0)),"")</f>
        <v>Home</v>
      </c>
      <c r="L486" s="9">
        <f>IF(OR(RawWorking[[#This Row],[ShipDate]]="",RawWorking[[#This Row],[DeliveryDate]]=""),"",RawWorking[[#This Row],[DeliveryDate]]-RawWorking[[#This Row],[ShipDate]])</f>
        <v>9</v>
      </c>
      <c r="M486" s="9">
        <f>IF(COUNTIF(INDEX(RawWorking[OrderID],1):RawWorking[[#This Row],[OrderID]],RawWorking[[#This Row],[OrderID]])=1,1,0)</f>
        <v>1</v>
      </c>
      <c r="N486" s="4">
        <f>IFERROR(RawWorking[[#This Row],[LineAmount]]/RawWorking[[#This Row],[Quantity]],"")</f>
        <v>253.86</v>
      </c>
    </row>
    <row r="487" spans="1:14">
      <c r="A487">
        <v>50486</v>
      </c>
      <c r="B487">
        <v>30269</v>
      </c>
      <c r="C487" s="2">
        <v>45659</v>
      </c>
      <c r="D487">
        <v>2153</v>
      </c>
      <c r="E487">
        <v>1016</v>
      </c>
      <c r="F487">
        <v>1</v>
      </c>
      <c r="G487">
        <v>65.260000000000005</v>
      </c>
      <c r="H487" s="2">
        <v>45662</v>
      </c>
      <c r="I487" s="2">
        <v>45962</v>
      </c>
      <c r="J487" t="s">
        <v>9</v>
      </c>
      <c r="K487" s="2" t="str">
        <f>IFERROR(INDEX(Product_lookup[Category],MATCH(RawWorking[[#This Row],[ProductID]],Product_lookup[ProductID],0)),"")</f>
        <v>Sports</v>
      </c>
      <c r="L487" s="9">
        <f>IF(OR(RawWorking[[#This Row],[ShipDate]]="",RawWorking[[#This Row],[DeliveryDate]]=""),"",RawWorking[[#This Row],[DeliveryDate]]-RawWorking[[#This Row],[ShipDate]])</f>
        <v>300</v>
      </c>
      <c r="M487" s="9">
        <f>IF(COUNTIF(INDEX(RawWorking[OrderID],1):RawWorking[[#This Row],[OrderID]],RawWorking[[#This Row],[OrderID]])=1,1,0)</f>
        <v>0</v>
      </c>
      <c r="N487" s="4">
        <f>IFERROR(RawWorking[[#This Row],[LineAmount]]/RawWorking[[#This Row],[Quantity]],"")</f>
        <v>65.260000000000005</v>
      </c>
    </row>
    <row r="488" spans="1:14">
      <c r="A488">
        <v>50487</v>
      </c>
      <c r="B488">
        <v>30270</v>
      </c>
      <c r="C488" s="2">
        <v>45679</v>
      </c>
      <c r="D488">
        <v>2247</v>
      </c>
      <c r="E488">
        <v>1010</v>
      </c>
      <c r="F488">
        <v>2</v>
      </c>
      <c r="G488">
        <v>243</v>
      </c>
      <c r="H488" s="2" t="s">
        <v>1421</v>
      </c>
      <c r="I488" s="2" t="s">
        <v>1421</v>
      </c>
      <c r="J488" t="s">
        <v>16</v>
      </c>
      <c r="K488" s="2" t="str">
        <f>IFERROR(INDEX(Product_lookup[Category],MATCH(RawWorking[[#This Row],[ProductID]],Product_lookup[ProductID],0)),"")</f>
        <v>Office</v>
      </c>
      <c r="L488" s="9" t="str">
        <f>IF(OR(RawWorking[[#This Row],[ShipDate]]="",RawWorking[[#This Row],[DeliveryDate]]=""),"",RawWorking[[#This Row],[DeliveryDate]]-RawWorking[[#This Row],[ShipDate]])</f>
        <v/>
      </c>
      <c r="M488" s="9">
        <f>IF(COUNTIF(INDEX(RawWorking[OrderID],1):RawWorking[[#This Row],[OrderID]],RawWorking[[#This Row],[OrderID]])=1,1,0)</f>
        <v>1</v>
      </c>
      <c r="N488" s="4">
        <f>IFERROR(RawWorking[[#This Row],[LineAmount]]/RawWorking[[#This Row],[Quantity]],"")</f>
        <v>121.5</v>
      </c>
    </row>
    <row r="489" spans="1:14">
      <c r="A489">
        <v>50488</v>
      </c>
      <c r="B489">
        <v>30271</v>
      </c>
      <c r="C489" s="2">
        <v>45904</v>
      </c>
      <c r="D489">
        <v>2148</v>
      </c>
      <c r="E489">
        <v>1002</v>
      </c>
      <c r="F489">
        <v>1</v>
      </c>
      <c r="G489">
        <v>118.6</v>
      </c>
      <c r="H489" s="2" t="s">
        <v>1421</v>
      </c>
      <c r="I489" s="2" t="s">
        <v>1421</v>
      </c>
      <c r="J489" t="s">
        <v>16</v>
      </c>
      <c r="K489" s="2" t="str">
        <f>IFERROR(INDEX(Product_lookup[Category],MATCH(RawWorking[[#This Row],[ProductID]],Product_lookup[ProductID],0)),"")</f>
        <v>Electronics</v>
      </c>
      <c r="L489" s="9" t="str">
        <f>IF(OR(RawWorking[[#This Row],[ShipDate]]="",RawWorking[[#This Row],[DeliveryDate]]=""),"",RawWorking[[#This Row],[DeliveryDate]]-RawWorking[[#This Row],[ShipDate]])</f>
        <v/>
      </c>
      <c r="M489" s="9">
        <f>IF(COUNTIF(INDEX(RawWorking[OrderID],1):RawWorking[[#This Row],[OrderID]],RawWorking[[#This Row],[OrderID]])=1,1,0)</f>
        <v>1</v>
      </c>
      <c r="N489" s="4">
        <f>IFERROR(RawWorking[[#This Row],[LineAmount]]/RawWorking[[#This Row],[Quantity]],"")</f>
        <v>118.6</v>
      </c>
    </row>
    <row r="490" spans="1:14">
      <c r="A490">
        <v>50489</v>
      </c>
      <c r="B490">
        <v>30272</v>
      </c>
      <c r="C490" s="2">
        <v>45745</v>
      </c>
      <c r="D490">
        <v>2427</v>
      </c>
      <c r="E490">
        <v>1005</v>
      </c>
      <c r="F490">
        <v>3</v>
      </c>
      <c r="G490">
        <v>95.19</v>
      </c>
      <c r="H490" s="2">
        <v>45748</v>
      </c>
      <c r="I490" s="2">
        <v>45757</v>
      </c>
      <c r="J490" t="s">
        <v>9</v>
      </c>
      <c r="K490" s="2" t="str">
        <f>IFERROR(INDEX(Product_lookup[Category],MATCH(RawWorking[[#This Row],[ProductID]],Product_lookup[ProductID],0)),"")</f>
        <v>Electronics</v>
      </c>
      <c r="L490" s="9">
        <f>IF(OR(RawWorking[[#This Row],[ShipDate]]="",RawWorking[[#This Row],[DeliveryDate]]=""),"",RawWorking[[#This Row],[DeliveryDate]]-RawWorking[[#This Row],[ShipDate]])</f>
        <v>9</v>
      </c>
      <c r="M490" s="9">
        <f>IF(COUNTIF(INDEX(RawWorking[OrderID],1):RawWorking[[#This Row],[OrderID]],RawWorking[[#This Row],[OrderID]])=1,1,0)</f>
        <v>1</v>
      </c>
      <c r="N490" s="4">
        <f>IFERROR(RawWorking[[#This Row],[LineAmount]]/RawWorking[[#This Row],[Quantity]],"")</f>
        <v>31.73</v>
      </c>
    </row>
    <row r="491" spans="1:14">
      <c r="A491">
        <v>50490</v>
      </c>
      <c r="B491">
        <v>30272</v>
      </c>
      <c r="C491" s="2">
        <v>45745</v>
      </c>
      <c r="D491">
        <v>2427</v>
      </c>
      <c r="E491">
        <v>1013</v>
      </c>
      <c r="F491">
        <v>2</v>
      </c>
      <c r="G491">
        <v>340.5</v>
      </c>
      <c r="H491" s="2">
        <v>45746</v>
      </c>
      <c r="I491" s="2">
        <v>45756</v>
      </c>
      <c r="J491" t="s">
        <v>9</v>
      </c>
      <c r="K491" s="2" t="str">
        <f>IFERROR(INDEX(Product_lookup[Category],MATCH(RawWorking[[#This Row],[ProductID]],Product_lookup[ProductID],0)),"")</f>
        <v>Office</v>
      </c>
      <c r="L491" s="9">
        <f>IF(OR(RawWorking[[#This Row],[ShipDate]]="",RawWorking[[#This Row],[DeliveryDate]]=""),"",RawWorking[[#This Row],[DeliveryDate]]-RawWorking[[#This Row],[ShipDate]])</f>
        <v>10</v>
      </c>
      <c r="M491" s="9">
        <f>IF(COUNTIF(INDEX(RawWorking[OrderID],1):RawWorking[[#This Row],[OrderID]],RawWorking[[#This Row],[OrderID]])=1,1,0)</f>
        <v>0</v>
      </c>
      <c r="N491" s="4">
        <f>IFERROR(RawWorking[[#This Row],[LineAmount]]/RawWorking[[#This Row],[Quantity]],"")</f>
        <v>170.25</v>
      </c>
    </row>
    <row r="492" spans="1:14">
      <c r="A492">
        <v>50491</v>
      </c>
      <c r="B492">
        <v>30272</v>
      </c>
      <c r="C492" s="2">
        <v>45745</v>
      </c>
      <c r="D492">
        <v>2427</v>
      </c>
      <c r="E492">
        <v>1008</v>
      </c>
      <c r="F492">
        <v>1</v>
      </c>
      <c r="G492">
        <v>206.09</v>
      </c>
      <c r="H492" s="2">
        <v>45748</v>
      </c>
      <c r="I492" s="2">
        <v>45750</v>
      </c>
      <c r="J492" t="s">
        <v>9</v>
      </c>
      <c r="K492" s="2" t="str">
        <f>IFERROR(INDEX(Product_lookup[Category],MATCH(RawWorking[[#This Row],[ProductID]],Product_lookup[ProductID],0)),"")</f>
        <v>Home</v>
      </c>
      <c r="L492" s="9">
        <f>IF(OR(RawWorking[[#This Row],[ShipDate]]="",RawWorking[[#This Row],[DeliveryDate]]=""),"",RawWorking[[#This Row],[DeliveryDate]]-RawWorking[[#This Row],[ShipDate]])</f>
        <v>2</v>
      </c>
      <c r="M492" s="9">
        <f>IF(COUNTIF(INDEX(RawWorking[OrderID],1):RawWorking[[#This Row],[OrderID]],RawWorking[[#This Row],[OrderID]])=1,1,0)</f>
        <v>0</v>
      </c>
      <c r="N492" s="4">
        <f>IFERROR(RawWorking[[#This Row],[LineAmount]]/RawWorking[[#This Row],[Quantity]],"")</f>
        <v>206.09</v>
      </c>
    </row>
    <row r="493" spans="1:14">
      <c r="A493">
        <v>50492</v>
      </c>
      <c r="B493">
        <v>30272</v>
      </c>
      <c r="C493" s="2">
        <v>45745</v>
      </c>
      <c r="D493">
        <v>2427</v>
      </c>
      <c r="E493">
        <v>1009</v>
      </c>
      <c r="F493">
        <v>3</v>
      </c>
      <c r="G493">
        <v>120.84</v>
      </c>
      <c r="H493" s="2">
        <v>45746</v>
      </c>
      <c r="I493" s="2">
        <v>45752</v>
      </c>
      <c r="J493" t="s">
        <v>9</v>
      </c>
      <c r="K493" s="2" t="str">
        <f>IFERROR(INDEX(Product_lookup[Category],MATCH(RawWorking[[#This Row],[ProductID]],Product_lookup[ProductID],0)),"")</f>
        <v>Home</v>
      </c>
      <c r="L493" s="9">
        <f>IF(OR(RawWorking[[#This Row],[ShipDate]]="",RawWorking[[#This Row],[DeliveryDate]]=""),"",RawWorking[[#This Row],[DeliveryDate]]-RawWorking[[#This Row],[ShipDate]])</f>
        <v>6</v>
      </c>
      <c r="M493" s="9">
        <f>IF(COUNTIF(INDEX(RawWorking[OrderID],1):RawWorking[[#This Row],[OrderID]],RawWorking[[#This Row],[OrderID]])=1,1,0)</f>
        <v>0</v>
      </c>
      <c r="N493" s="4">
        <f>IFERROR(RawWorking[[#This Row],[LineAmount]]/RawWorking[[#This Row],[Quantity]],"")</f>
        <v>40.28</v>
      </c>
    </row>
    <row r="494" spans="1:14">
      <c r="A494">
        <v>50493</v>
      </c>
      <c r="B494">
        <v>30273</v>
      </c>
      <c r="C494" s="2">
        <v>45833</v>
      </c>
      <c r="D494">
        <v>2209</v>
      </c>
      <c r="E494">
        <v>1003</v>
      </c>
      <c r="F494">
        <v>5</v>
      </c>
      <c r="G494">
        <v>1121.8499999999999</v>
      </c>
      <c r="H494" s="2">
        <v>45836</v>
      </c>
      <c r="I494" s="2">
        <v>45843</v>
      </c>
      <c r="J494" t="s">
        <v>9</v>
      </c>
      <c r="K494" s="2" t="str">
        <f>IFERROR(INDEX(Product_lookup[Category],MATCH(RawWorking[[#This Row],[ProductID]],Product_lookup[ProductID],0)),"")</f>
        <v>Electronics</v>
      </c>
      <c r="L494" s="9">
        <f>IF(OR(RawWorking[[#This Row],[ShipDate]]="",RawWorking[[#This Row],[DeliveryDate]]=""),"",RawWorking[[#This Row],[DeliveryDate]]-RawWorking[[#This Row],[ShipDate]])</f>
        <v>7</v>
      </c>
      <c r="M494" s="9">
        <f>IF(COUNTIF(INDEX(RawWorking[OrderID],1):RawWorking[[#This Row],[OrderID]],RawWorking[[#This Row],[OrderID]])=1,1,0)</f>
        <v>1</v>
      </c>
      <c r="N494" s="4">
        <f>IFERROR(RawWorking[[#This Row],[LineAmount]]/RawWorking[[#This Row],[Quantity]],"")</f>
        <v>224.36999999999998</v>
      </c>
    </row>
    <row r="495" spans="1:14">
      <c r="A495">
        <v>50494</v>
      </c>
      <c r="B495">
        <v>30273</v>
      </c>
      <c r="C495" s="2">
        <v>45833</v>
      </c>
      <c r="D495">
        <v>2209</v>
      </c>
      <c r="E495">
        <v>1015</v>
      </c>
      <c r="F495">
        <v>1</v>
      </c>
      <c r="G495">
        <v>119.74</v>
      </c>
      <c r="H495" s="2">
        <v>45836</v>
      </c>
      <c r="I495" s="2">
        <v>45840</v>
      </c>
      <c r="J495" t="s">
        <v>9</v>
      </c>
      <c r="K495" s="2" t="str">
        <f>IFERROR(INDEX(Product_lookup[Category],MATCH(RawWorking[[#This Row],[ProductID]],Product_lookup[ProductID],0)),"")</f>
        <v>Sports</v>
      </c>
      <c r="L495" s="9">
        <f>IF(OR(RawWorking[[#This Row],[ShipDate]]="",RawWorking[[#This Row],[DeliveryDate]]=""),"",RawWorking[[#This Row],[DeliveryDate]]-RawWorking[[#This Row],[ShipDate]])</f>
        <v>4</v>
      </c>
      <c r="M495" s="9">
        <f>IF(COUNTIF(INDEX(RawWorking[OrderID],1):RawWorking[[#This Row],[OrderID]],RawWorking[[#This Row],[OrderID]])=1,1,0)</f>
        <v>0</v>
      </c>
      <c r="N495" s="4">
        <f>IFERROR(RawWorking[[#This Row],[LineAmount]]/RawWorking[[#This Row],[Quantity]],"")</f>
        <v>119.74</v>
      </c>
    </row>
    <row r="496" spans="1:14">
      <c r="A496">
        <v>50495</v>
      </c>
      <c r="B496">
        <v>30274</v>
      </c>
      <c r="C496" s="2">
        <v>45704</v>
      </c>
      <c r="D496">
        <v>2380</v>
      </c>
      <c r="E496">
        <v>1007</v>
      </c>
      <c r="F496">
        <v>2</v>
      </c>
      <c r="G496">
        <v>399.62</v>
      </c>
      <c r="H496" s="2">
        <v>45706</v>
      </c>
      <c r="I496" s="2">
        <v>45709</v>
      </c>
      <c r="J496" t="s">
        <v>9</v>
      </c>
      <c r="K496" s="2" t="str">
        <f>IFERROR(INDEX(Product_lookup[Category],MATCH(RawWorking[[#This Row],[ProductID]],Product_lookup[ProductID],0)),"")</f>
        <v>Home</v>
      </c>
      <c r="L496" s="9">
        <f>IF(OR(RawWorking[[#This Row],[ShipDate]]="",RawWorking[[#This Row],[DeliveryDate]]=""),"",RawWorking[[#This Row],[DeliveryDate]]-RawWorking[[#This Row],[ShipDate]])</f>
        <v>3</v>
      </c>
      <c r="M496" s="9">
        <f>IF(COUNTIF(INDEX(RawWorking[OrderID],1):RawWorking[[#This Row],[OrderID]],RawWorking[[#This Row],[OrderID]])=1,1,0)</f>
        <v>1</v>
      </c>
      <c r="N496" s="4">
        <f>IFERROR(RawWorking[[#This Row],[LineAmount]]/RawWorking[[#This Row],[Quantity]],"")</f>
        <v>199.81</v>
      </c>
    </row>
    <row r="497" spans="1:14">
      <c r="A497">
        <v>50496</v>
      </c>
      <c r="B497">
        <v>30275</v>
      </c>
      <c r="C497" s="2">
        <v>45963</v>
      </c>
      <c r="D497">
        <v>2053</v>
      </c>
      <c r="E497">
        <v>1002</v>
      </c>
      <c r="F497">
        <v>1</v>
      </c>
      <c r="G497">
        <v>118.6</v>
      </c>
      <c r="H497" s="2">
        <v>45966</v>
      </c>
      <c r="I497" s="2">
        <v>45975</v>
      </c>
      <c r="J497" t="s">
        <v>9</v>
      </c>
      <c r="K497" s="2" t="str">
        <f>IFERROR(INDEX(Product_lookup[Category],MATCH(RawWorking[[#This Row],[ProductID]],Product_lookup[ProductID],0)),"")</f>
        <v>Electronics</v>
      </c>
      <c r="L497" s="9">
        <f>IF(OR(RawWorking[[#This Row],[ShipDate]]="",RawWorking[[#This Row],[DeliveryDate]]=""),"",RawWorking[[#This Row],[DeliveryDate]]-RawWorking[[#This Row],[ShipDate]])</f>
        <v>9</v>
      </c>
      <c r="M497" s="9">
        <f>IF(COUNTIF(INDEX(RawWorking[OrderID],1):RawWorking[[#This Row],[OrderID]],RawWorking[[#This Row],[OrderID]])=1,1,0)</f>
        <v>1</v>
      </c>
      <c r="N497" s="4">
        <f>IFERROR(RawWorking[[#This Row],[LineAmount]]/RawWorking[[#This Row],[Quantity]],"")</f>
        <v>118.6</v>
      </c>
    </row>
    <row r="498" spans="1:14">
      <c r="A498">
        <v>50497</v>
      </c>
      <c r="B498">
        <v>30276</v>
      </c>
      <c r="C498" s="2">
        <v>45682</v>
      </c>
      <c r="D498">
        <v>2075</v>
      </c>
      <c r="E498">
        <v>1007</v>
      </c>
      <c r="F498">
        <v>1</v>
      </c>
      <c r="G498">
        <v>199.81</v>
      </c>
      <c r="H498" s="2">
        <v>45683</v>
      </c>
      <c r="I498" s="2">
        <v>45688</v>
      </c>
      <c r="J498" t="s">
        <v>9</v>
      </c>
      <c r="K498" s="2" t="str">
        <f>IFERROR(INDEX(Product_lookup[Category],MATCH(RawWorking[[#This Row],[ProductID]],Product_lookup[ProductID],0)),"")</f>
        <v>Home</v>
      </c>
      <c r="L498" s="9">
        <f>IF(OR(RawWorking[[#This Row],[ShipDate]]="",RawWorking[[#This Row],[DeliveryDate]]=""),"",RawWorking[[#This Row],[DeliveryDate]]-RawWorking[[#This Row],[ShipDate]])</f>
        <v>5</v>
      </c>
      <c r="M498" s="9">
        <f>IF(COUNTIF(INDEX(RawWorking[OrderID],1):RawWorking[[#This Row],[OrderID]],RawWorking[[#This Row],[OrderID]])=1,1,0)</f>
        <v>1</v>
      </c>
      <c r="N498" s="4">
        <f>IFERROR(RawWorking[[#This Row],[LineAmount]]/RawWorking[[#This Row],[Quantity]],"")</f>
        <v>199.81</v>
      </c>
    </row>
    <row r="499" spans="1:14">
      <c r="A499">
        <v>50498</v>
      </c>
      <c r="B499">
        <v>30276</v>
      </c>
      <c r="C499" s="2">
        <v>45682</v>
      </c>
      <c r="D499">
        <v>2075</v>
      </c>
      <c r="E499">
        <v>1016</v>
      </c>
      <c r="F499">
        <v>1</v>
      </c>
      <c r="G499">
        <v>65.260000000000005</v>
      </c>
      <c r="H499" s="2">
        <v>45685</v>
      </c>
      <c r="I499" s="2">
        <v>45692</v>
      </c>
      <c r="J499" t="s">
        <v>9</v>
      </c>
      <c r="K499" s="2" t="str">
        <f>IFERROR(INDEX(Product_lookup[Category],MATCH(RawWorking[[#This Row],[ProductID]],Product_lookup[ProductID],0)),"")</f>
        <v>Sports</v>
      </c>
      <c r="L499" s="9">
        <f>IF(OR(RawWorking[[#This Row],[ShipDate]]="",RawWorking[[#This Row],[DeliveryDate]]=""),"",RawWorking[[#This Row],[DeliveryDate]]-RawWorking[[#This Row],[ShipDate]])</f>
        <v>7</v>
      </c>
      <c r="M499" s="9">
        <f>IF(COUNTIF(INDEX(RawWorking[OrderID],1):RawWorking[[#This Row],[OrderID]],RawWorking[[#This Row],[OrderID]])=1,1,0)</f>
        <v>0</v>
      </c>
      <c r="N499" s="4">
        <f>IFERROR(RawWorking[[#This Row],[LineAmount]]/RawWorking[[#This Row],[Quantity]],"")</f>
        <v>65.260000000000005</v>
      </c>
    </row>
    <row r="500" spans="1:14">
      <c r="A500">
        <v>50499</v>
      </c>
      <c r="B500">
        <v>30277</v>
      </c>
      <c r="C500" s="2">
        <v>45901</v>
      </c>
      <c r="D500">
        <v>2214</v>
      </c>
      <c r="E500">
        <v>1011</v>
      </c>
      <c r="F500">
        <v>2</v>
      </c>
      <c r="G500">
        <v>202.88</v>
      </c>
      <c r="H500" s="2" t="s">
        <v>1421</v>
      </c>
      <c r="I500" s="2" t="s">
        <v>1421</v>
      </c>
      <c r="J500" t="s">
        <v>12</v>
      </c>
      <c r="K500" s="2" t="str">
        <f>IFERROR(INDEX(Product_lookup[Category],MATCH(RawWorking[[#This Row],[ProductID]],Product_lookup[ProductID],0)),"")</f>
        <v>Office</v>
      </c>
      <c r="L500" s="9" t="str">
        <f>IF(OR(RawWorking[[#This Row],[ShipDate]]="",RawWorking[[#This Row],[DeliveryDate]]=""),"",RawWorking[[#This Row],[DeliveryDate]]-RawWorking[[#This Row],[ShipDate]])</f>
        <v/>
      </c>
      <c r="M500" s="9">
        <f>IF(COUNTIF(INDEX(RawWorking[OrderID],1):RawWorking[[#This Row],[OrderID]],RawWorking[[#This Row],[OrderID]])=1,1,0)</f>
        <v>1</v>
      </c>
      <c r="N500" s="4">
        <f>IFERROR(RawWorking[[#This Row],[LineAmount]]/RawWorking[[#This Row],[Quantity]],"")</f>
        <v>101.44</v>
      </c>
    </row>
    <row r="501" spans="1:14">
      <c r="A501">
        <v>50500</v>
      </c>
      <c r="B501">
        <v>30278</v>
      </c>
      <c r="C501" s="2">
        <v>45707</v>
      </c>
      <c r="D501">
        <v>2311</v>
      </c>
      <c r="E501">
        <v>1001</v>
      </c>
      <c r="F501">
        <v>1</v>
      </c>
      <c r="G501">
        <v>203.04</v>
      </c>
      <c r="H501" s="2">
        <v>45708</v>
      </c>
      <c r="I501" s="2">
        <v>45718</v>
      </c>
      <c r="J501" t="s">
        <v>11</v>
      </c>
      <c r="K501" s="2" t="str">
        <f>IFERROR(INDEX(Product_lookup[Category],MATCH(RawWorking[[#This Row],[ProductID]],Product_lookup[ProductID],0)),"")</f>
        <v>Electronics</v>
      </c>
      <c r="L501" s="9">
        <f>IF(OR(RawWorking[[#This Row],[ShipDate]]="",RawWorking[[#This Row],[DeliveryDate]]=""),"",RawWorking[[#This Row],[DeliveryDate]]-RawWorking[[#This Row],[ShipDate]])</f>
        <v>10</v>
      </c>
      <c r="M501" s="9">
        <f>IF(COUNTIF(INDEX(RawWorking[OrderID],1):RawWorking[[#This Row],[OrderID]],RawWorking[[#This Row],[OrderID]])=1,1,0)</f>
        <v>1</v>
      </c>
      <c r="N501" s="4">
        <f>IFERROR(RawWorking[[#This Row],[LineAmount]]/RawWorking[[#This Row],[Quantity]],"")</f>
        <v>203.04</v>
      </c>
    </row>
    <row r="502" spans="1:14">
      <c r="A502">
        <v>50501</v>
      </c>
      <c r="B502">
        <v>30279</v>
      </c>
      <c r="C502" s="2">
        <v>45736</v>
      </c>
      <c r="D502">
        <v>2217</v>
      </c>
      <c r="E502">
        <v>1004</v>
      </c>
      <c r="F502">
        <v>1</v>
      </c>
      <c r="G502">
        <v>183.74</v>
      </c>
      <c r="H502" s="2" t="s">
        <v>1421</v>
      </c>
      <c r="I502" s="2" t="s">
        <v>1421</v>
      </c>
      <c r="J502" t="s">
        <v>12</v>
      </c>
      <c r="K502" s="2" t="str">
        <f>IFERROR(INDEX(Product_lookup[Category],MATCH(RawWorking[[#This Row],[ProductID]],Product_lookup[ProductID],0)),"")</f>
        <v>Electronics</v>
      </c>
      <c r="L502" s="9" t="str">
        <f>IF(OR(RawWorking[[#This Row],[ShipDate]]="",RawWorking[[#This Row],[DeliveryDate]]=""),"",RawWorking[[#This Row],[DeliveryDate]]-RawWorking[[#This Row],[ShipDate]])</f>
        <v/>
      </c>
      <c r="M502" s="9">
        <f>IF(COUNTIF(INDEX(RawWorking[OrderID],1):RawWorking[[#This Row],[OrderID]],RawWorking[[#This Row],[OrderID]])=1,1,0)</f>
        <v>1</v>
      </c>
      <c r="N502" s="4">
        <f>IFERROR(RawWorking[[#This Row],[LineAmount]]/RawWorking[[#This Row],[Quantity]],"")</f>
        <v>183.74</v>
      </c>
    </row>
    <row r="503" spans="1:14">
      <c r="A503">
        <v>50502</v>
      </c>
      <c r="B503">
        <v>30280</v>
      </c>
      <c r="C503" s="2">
        <v>45837</v>
      </c>
      <c r="D503">
        <v>2491</v>
      </c>
      <c r="E503">
        <v>1007</v>
      </c>
      <c r="F503">
        <v>4</v>
      </c>
      <c r="G503">
        <v>799.24</v>
      </c>
      <c r="H503" s="2" t="s">
        <v>1421</v>
      </c>
      <c r="I503" s="2" t="s">
        <v>1421</v>
      </c>
      <c r="J503" t="s">
        <v>12</v>
      </c>
      <c r="K503" s="2" t="str">
        <f>IFERROR(INDEX(Product_lookup[Category],MATCH(RawWorking[[#This Row],[ProductID]],Product_lookup[ProductID],0)),"")</f>
        <v>Home</v>
      </c>
      <c r="L503" s="9" t="str">
        <f>IF(OR(RawWorking[[#This Row],[ShipDate]]="",RawWorking[[#This Row],[DeliveryDate]]=""),"",RawWorking[[#This Row],[DeliveryDate]]-RawWorking[[#This Row],[ShipDate]])</f>
        <v/>
      </c>
      <c r="M503" s="9">
        <f>IF(COUNTIF(INDEX(RawWorking[OrderID],1):RawWorking[[#This Row],[OrderID]],RawWorking[[#This Row],[OrderID]])=1,1,0)</f>
        <v>1</v>
      </c>
      <c r="N503" s="4">
        <f>IFERROR(RawWorking[[#This Row],[LineAmount]]/RawWorking[[#This Row],[Quantity]],"")</f>
        <v>199.81</v>
      </c>
    </row>
    <row r="504" spans="1:14">
      <c r="A504">
        <v>50503</v>
      </c>
      <c r="B504">
        <v>30281</v>
      </c>
      <c r="C504" s="2">
        <v>45783</v>
      </c>
      <c r="D504">
        <v>2407</v>
      </c>
      <c r="E504">
        <v>1011</v>
      </c>
      <c r="F504">
        <v>2</v>
      </c>
      <c r="G504">
        <v>202.88</v>
      </c>
      <c r="H504" s="2" t="s">
        <v>1421</v>
      </c>
      <c r="I504" s="2" t="s">
        <v>1421</v>
      </c>
      <c r="J504" t="s">
        <v>12</v>
      </c>
      <c r="K504" s="2" t="str">
        <f>IFERROR(INDEX(Product_lookup[Category],MATCH(RawWorking[[#This Row],[ProductID]],Product_lookup[ProductID],0)),"")</f>
        <v>Office</v>
      </c>
      <c r="L504" s="9" t="str">
        <f>IF(OR(RawWorking[[#This Row],[ShipDate]]="",RawWorking[[#This Row],[DeliveryDate]]=""),"",RawWorking[[#This Row],[DeliveryDate]]-RawWorking[[#This Row],[ShipDate]])</f>
        <v/>
      </c>
      <c r="M504" s="9">
        <f>IF(COUNTIF(INDEX(RawWorking[OrderID],1):RawWorking[[#This Row],[OrderID]],RawWorking[[#This Row],[OrderID]])=1,1,0)</f>
        <v>1</v>
      </c>
      <c r="N504" s="4">
        <f>IFERROR(RawWorking[[#This Row],[LineAmount]]/RawWorking[[#This Row],[Quantity]],"")</f>
        <v>101.44</v>
      </c>
    </row>
    <row r="505" spans="1:14">
      <c r="A505">
        <v>50504</v>
      </c>
      <c r="B505">
        <v>30282</v>
      </c>
      <c r="C505" s="2">
        <v>45809</v>
      </c>
      <c r="D505">
        <v>2290</v>
      </c>
      <c r="E505">
        <v>1012</v>
      </c>
      <c r="F505">
        <v>2</v>
      </c>
      <c r="G505">
        <v>483.08</v>
      </c>
      <c r="H505" s="2">
        <v>45812</v>
      </c>
      <c r="I505" s="2">
        <v>45822</v>
      </c>
      <c r="J505" t="s">
        <v>9</v>
      </c>
      <c r="K505" s="2" t="str">
        <f>IFERROR(INDEX(Product_lookup[Category],MATCH(RawWorking[[#This Row],[ProductID]],Product_lookup[ProductID],0)),"")</f>
        <v>Office</v>
      </c>
      <c r="L505" s="9">
        <f>IF(OR(RawWorking[[#This Row],[ShipDate]]="",RawWorking[[#This Row],[DeliveryDate]]=""),"",RawWorking[[#This Row],[DeliveryDate]]-RawWorking[[#This Row],[ShipDate]])</f>
        <v>10</v>
      </c>
      <c r="M505" s="9">
        <f>IF(COUNTIF(INDEX(RawWorking[OrderID],1):RawWorking[[#This Row],[OrderID]],RawWorking[[#This Row],[OrderID]])=1,1,0)</f>
        <v>1</v>
      </c>
      <c r="N505" s="4">
        <f>IFERROR(RawWorking[[#This Row],[LineAmount]]/RawWorking[[#This Row],[Quantity]],"")</f>
        <v>241.54</v>
      </c>
    </row>
    <row r="506" spans="1:14">
      <c r="A506">
        <v>50505</v>
      </c>
      <c r="B506">
        <v>30283</v>
      </c>
      <c r="C506" s="2">
        <v>45976</v>
      </c>
      <c r="D506">
        <v>2316</v>
      </c>
      <c r="E506">
        <v>1016</v>
      </c>
      <c r="F506">
        <v>1</v>
      </c>
      <c r="G506">
        <v>65.260000000000005</v>
      </c>
      <c r="H506" s="2">
        <v>45977</v>
      </c>
      <c r="I506" s="2">
        <v>45982</v>
      </c>
      <c r="J506" t="s">
        <v>9</v>
      </c>
      <c r="K506" s="2" t="str">
        <f>IFERROR(INDEX(Product_lookup[Category],MATCH(RawWorking[[#This Row],[ProductID]],Product_lookup[ProductID],0)),"")</f>
        <v>Sports</v>
      </c>
      <c r="L506" s="9">
        <f>IF(OR(RawWorking[[#This Row],[ShipDate]]="",RawWorking[[#This Row],[DeliveryDate]]=""),"",RawWorking[[#This Row],[DeliveryDate]]-RawWorking[[#This Row],[ShipDate]])</f>
        <v>5</v>
      </c>
      <c r="M506" s="9">
        <f>IF(COUNTIF(INDEX(RawWorking[OrderID],1):RawWorking[[#This Row],[OrderID]],RawWorking[[#This Row],[OrderID]])=1,1,0)</f>
        <v>1</v>
      </c>
      <c r="N506" s="4">
        <f>IFERROR(RawWorking[[#This Row],[LineAmount]]/RawWorking[[#This Row],[Quantity]],"")</f>
        <v>65.260000000000005</v>
      </c>
    </row>
    <row r="507" spans="1:14">
      <c r="A507">
        <v>50506</v>
      </c>
      <c r="B507">
        <v>30283</v>
      </c>
      <c r="C507" s="2">
        <v>45976</v>
      </c>
      <c r="D507">
        <v>2316</v>
      </c>
      <c r="E507">
        <v>1015</v>
      </c>
      <c r="F507">
        <v>1</v>
      </c>
      <c r="G507">
        <v>119.74</v>
      </c>
      <c r="H507" s="2">
        <v>45977</v>
      </c>
      <c r="I507" s="2">
        <v>45983</v>
      </c>
      <c r="J507" t="s">
        <v>9</v>
      </c>
      <c r="K507" s="2" t="str">
        <f>IFERROR(INDEX(Product_lookup[Category],MATCH(RawWorking[[#This Row],[ProductID]],Product_lookup[ProductID],0)),"")</f>
        <v>Sports</v>
      </c>
      <c r="L507" s="9">
        <f>IF(OR(RawWorking[[#This Row],[ShipDate]]="",RawWorking[[#This Row],[DeliveryDate]]=""),"",RawWorking[[#This Row],[DeliveryDate]]-RawWorking[[#This Row],[ShipDate]])</f>
        <v>6</v>
      </c>
      <c r="M507" s="9">
        <f>IF(COUNTIF(INDEX(RawWorking[OrderID],1):RawWorking[[#This Row],[OrderID]],RawWorking[[#This Row],[OrderID]])=1,1,0)</f>
        <v>0</v>
      </c>
      <c r="N507" s="4">
        <f>IFERROR(RawWorking[[#This Row],[LineAmount]]/RawWorking[[#This Row],[Quantity]],"")</f>
        <v>119.74</v>
      </c>
    </row>
    <row r="508" spans="1:14">
      <c r="A508">
        <v>50507</v>
      </c>
      <c r="B508">
        <v>30284</v>
      </c>
      <c r="C508" s="2">
        <v>45792</v>
      </c>
      <c r="D508">
        <v>2101</v>
      </c>
      <c r="E508">
        <v>1016</v>
      </c>
      <c r="F508">
        <v>1</v>
      </c>
      <c r="G508">
        <v>65.260000000000005</v>
      </c>
      <c r="H508" s="2" t="s">
        <v>1421</v>
      </c>
      <c r="I508" s="2" t="s">
        <v>1421</v>
      </c>
      <c r="J508" t="s">
        <v>16</v>
      </c>
      <c r="K508" s="2" t="str">
        <f>IFERROR(INDEX(Product_lookup[Category],MATCH(RawWorking[[#This Row],[ProductID]],Product_lookup[ProductID],0)),"")</f>
        <v>Sports</v>
      </c>
      <c r="L508" s="9" t="str">
        <f>IF(OR(RawWorking[[#This Row],[ShipDate]]="",RawWorking[[#This Row],[DeliveryDate]]=""),"",RawWorking[[#This Row],[DeliveryDate]]-RawWorking[[#This Row],[ShipDate]])</f>
        <v/>
      </c>
      <c r="M508" s="9">
        <f>IF(COUNTIF(INDEX(RawWorking[OrderID],1):RawWorking[[#This Row],[OrderID]],RawWorking[[#This Row],[OrderID]])=1,1,0)</f>
        <v>1</v>
      </c>
      <c r="N508" s="4">
        <f>IFERROR(RawWorking[[#This Row],[LineAmount]]/RawWorking[[#This Row],[Quantity]],"")</f>
        <v>65.260000000000005</v>
      </c>
    </row>
    <row r="509" spans="1:14">
      <c r="A509">
        <v>50508</v>
      </c>
      <c r="B509">
        <v>30284</v>
      </c>
      <c r="C509" s="2">
        <v>45792</v>
      </c>
      <c r="D509">
        <v>2101</v>
      </c>
      <c r="E509">
        <v>1011</v>
      </c>
      <c r="F509">
        <v>2</v>
      </c>
      <c r="G509">
        <v>202.88</v>
      </c>
      <c r="H509" s="2" t="s">
        <v>1421</v>
      </c>
      <c r="I509" s="2" t="s">
        <v>1421</v>
      </c>
      <c r="J509" t="s">
        <v>16</v>
      </c>
      <c r="K509" s="2" t="str">
        <f>IFERROR(INDEX(Product_lookup[Category],MATCH(RawWorking[[#This Row],[ProductID]],Product_lookup[ProductID],0)),"")</f>
        <v>Office</v>
      </c>
      <c r="L509" s="9" t="str">
        <f>IF(OR(RawWorking[[#This Row],[ShipDate]]="",RawWorking[[#This Row],[DeliveryDate]]=""),"",RawWorking[[#This Row],[DeliveryDate]]-RawWorking[[#This Row],[ShipDate]])</f>
        <v/>
      </c>
      <c r="M509" s="9">
        <f>IF(COUNTIF(INDEX(RawWorking[OrderID],1):RawWorking[[#This Row],[OrderID]],RawWorking[[#This Row],[OrderID]])=1,1,0)</f>
        <v>0</v>
      </c>
      <c r="N509" s="4">
        <f>IFERROR(RawWorking[[#This Row],[LineAmount]]/RawWorking[[#This Row],[Quantity]],"")</f>
        <v>101.44</v>
      </c>
    </row>
    <row r="510" spans="1:14">
      <c r="A510">
        <v>50509</v>
      </c>
      <c r="B510">
        <v>30284</v>
      </c>
      <c r="C510" s="2">
        <v>45792</v>
      </c>
      <c r="D510">
        <v>2101</v>
      </c>
      <c r="E510">
        <v>1012</v>
      </c>
      <c r="F510">
        <v>1</v>
      </c>
      <c r="G510">
        <v>241.54</v>
      </c>
      <c r="H510" s="2" t="s">
        <v>1421</v>
      </c>
      <c r="I510" s="2" t="s">
        <v>1421</v>
      </c>
      <c r="J510" t="s">
        <v>16</v>
      </c>
      <c r="K510" s="2" t="str">
        <f>IFERROR(INDEX(Product_lookup[Category],MATCH(RawWorking[[#This Row],[ProductID]],Product_lookup[ProductID],0)),"")</f>
        <v>Office</v>
      </c>
      <c r="L510" s="9" t="str">
        <f>IF(OR(RawWorking[[#This Row],[ShipDate]]="",RawWorking[[#This Row],[DeliveryDate]]=""),"",RawWorking[[#This Row],[DeliveryDate]]-RawWorking[[#This Row],[ShipDate]])</f>
        <v/>
      </c>
      <c r="M510" s="9">
        <f>IF(COUNTIF(INDEX(RawWorking[OrderID],1):RawWorking[[#This Row],[OrderID]],RawWorking[[#This Row],[OrderID]])=1,1,0)</f>
        <v>0</v>
      </c>
      <c r="N510" s="4">
        <f>IFERROR(RawWorking[[#This Row],[LineAmount]]/RawWorking[[#This Row],[Quantity]],"")</f>
        <v>241.54</v>
      </c>
    </row>
    <row r="511" spans="1:14">
      <c r="A511">
        <v>50510</v>
      </c>
      <c r="B511">
        <v>30284</v>
      </c>
      <c r="C511" s="2">
        <v>45792</v>
      </c>
      <c r="D511">
        <v>2101</v>
      </c>
      <c r="E511">
        <v>1002</v>
      </c>
      <c r="F511">
        <v>3</v>
      </c>
      <c r="G511">
        <v>355.8</v>
      </c>
      <c r="H511" s="2" t="s">
        <v>1421</v>
      </c>
      <c r="I511" s="2" t="s">
        <v>1421</v>
      </c>
      <c r="J511" t="s">
        <v>16</v>
      </c>
      <c r="K511" s="2" t="str">
        <f>IFERROR(INDEX(Product_lookup[Category],MATCH(RawWorking[[#This Row],[ProductID]],Product_lookup[ProductID],0)),"")</f>
        <v>Electronics</v>
      </c>
      <c r="L511" s="9" t="str">
        <f>IF(OR(RawWorking[[#This Row],[ShipDate]]="",RawWorking[[#This Row],[DeliveryDate]]=""),"",RawWorking[[#This Row],[DeliveryDate]]-RawWorking[[#This Row],[ShipDate]])</f>
        <v/>
      </c>
      <c r="M511" s="9">
        <f>IF(COUNTIF(INDEX(RawWorking[OrderID],1):RawWorking[[#This Row],[OrderID]],RawWorking[[#This Row],[OrderID]])=1,1,0)</f>
        <v>0</v>
      </c>
      <c r="N511" s="4">
        <f>IFERROR(RawWorking[[#This Row],[LineAmount]]/RawWorking[[#This Row],[Quantity]],"")</f>
        <v>118.60000000000001</v>
      </c>
    </row>
    <row r="512" spans="1:14">
      <c r="A512">
        <v>50511</v>
      </c>
      <c r="B512">
        <v>30285</v>
      </c>
      <c r="C512" s="2">
        <v>46020</v>
      </c>
      <c r="D512">
        <v>2227</v>
      </c>
      <c r="E512">
        <v>1001</v>
      </c>
      <c r="F512">
        <v>4</v>
      </c>
      <c r="G512">
        <v>812.16</v>
      </c>
      <c r="H512" s="2">
        <v>46023</v>
      </c>
      <c r="I512" s="2">
        <v>46032</v>
      </c>
      <c r="J512" t="s">
        <v>9</v>
      </c>
      <c r="K512" s="2" t="str">
        <f>IFERROR(INDEX(Product_lookup[Category],MATCH(RawWorking[[#This Row],[ProductID]],Product_lookup[ProductID],0)),"")</f>
        <v>Electronics</v>
      </c>
      <c r="L512" s="9">
        <f>IF(OR(RawWorking[[#This Row],[ShipDate]]="",RawWorking[[#This Row],[DeliveryDate]]=""),"",RawWorking[[#This Row],[DeliveryDate]]-RawWorking[[#This Row],[ShipDate]])</f>
        <v>9</v>
      </c>
      <c r="M512" s="9">
        <f>IF(COUNTIF(INDEX(RawWorking[OrderID],1):RawWorking[[#This Row],[OrderID]],RawWorking[[#This Row],[OrderID]])=1,1,0)</f>
        <v>1</v>
      </c>
      <c r="N512" s="4">
        <f>IFERROR(RawWorking[[#This Row],[LineAmount]]/RawWorking[[#This Row],[Quantity]],"")</f>
        <v>203.04</v>
      </c>
    </row>
    <row r="513" spans="1:14">
      <c r="A513">
        <v>50512</v>
      </c>
      <c r="B513">
        <v>30286</v>
      </c>
      <c r="C513" s="2">
        <v>45990</v>
      </c>
      <c r="D513">
        <v>2268</v>
      </c>
      <c r="E513">
        <v>1014</v>
      </c>
      <c r="F513">
        <v>3</v>
      </c>
      <c r="G513">
        <v>646.02</v>
      </c>
      <c r="H513" s="2">
        <v>45991</v>
      </c>
      <c r="I513" s="2">
        <v>46001</v>
      </c>
      <c r="J513" t="s">
        <v>9</v>
      </c>
      <c r="K513" s="2" t="str">
        <f>IFERROR(INDEX(Product_lookup[Category],MATCH(RawWorking[[#This Row],[ProductID]],Product_lookup[ProductID],0)),"")</f>
        <v>Sports</v>
      </c>
      <c r="L513" s="9">
        <f>IF(OR(RawWorking[[#This Row],[ShipDate]]="",RawWorking[[#This Row],[DeliveryDate]]=""),"",RawWorking[[#This Row],[DeliveryDate]]-RawWorking[[#This Row],[ShipDate]])</f>
        <v>10</v>
      </c>
      <c r="M513" s="9">
        <f>IF(COUNTIF(INDEX(RawWorking[OrderID],1):RawWorking[[#This Row],[OrderID]],RawWorking[[#This Row],[OrderID]])=1,1,0)</f>
        <v>1</v>
      </c>
      <c r="N513" s="4">
        <f>IFERROR(RawWorking[[#This Row],[LineAmount]]/RawWorking[[#This Row],[Quantity]],"")</f>
        <v>215.34</v>
      </c>
    </row>
    <row r="514" spans="1:14">
      <c r="A514">
        <v>50513</v>
      </c>
      <c r="B514">
        <v>30287</v>
      </c>
      <c r="C514" s="2">
        <v>45714</v>
      </c>
      <c r="D514">
        <v>2303</v>
      </c>
      <c r="E514">
        <v>1011</v>
      </c>
      <c r="F514">
        <v>3</v>
      </c>
      <c r="G514">
        <v>304.32</v>
      </c>
      <c r="H514" s="2">
        <v>45717</v>
      </c>
      <c r="I514" s="2">
        <v>45841</v>
      </c>
      <c r="J514" t="s">
        <v>9</v>
      </c>
      <c r="K514" s="2" t="str">
        <f>IFERROR(INDEX(Product_lookup[Category],MATCH(RawWorking[[#This Row],[ProductID]],Product_lookup[ProductID],0)),"")</f>
        <v>Office</v>
      </c>
      <c r="L514" s="9">
        <f>IF(OR(RawWorking[[#This Row],[ShipDate]]="",RawWorking[[#This Row],[DeliveryDate]]=""),"",RawWorking[[#This Row],[DeliveryDate]]-RawWorking[[#This Row],[ShipDate]])</f>
        <v>124</v>
      </c>
      <c r="M514" s="9">
        <f>IF(COUNTIF(INDEX(RawWorking[OrderID],1):RawWorking[[#This Row],[OrderID]],RawWorking[[#This Row],[OrderID]])=1,1,0)</f>
        <v>1</v>
      </c>
      <c r="N514" s="4">
        <f>IFERROR(RawWorking[[#This Row],[LineAmount]]/RawWorking[[#This Row],[Quantity]],"")</f>
        <v>101.44</v>
      </c>
    </row>
    <row r="515" spans="1:14">
      <c r="A515">
        <v>50514</v>
      </c>
      <c r="B515">
        <v>30287</v>
      </c>
      <c r="C515" s="2">
        <v>45714</v>
      </c>
      <c r="D515">
        <v>2303</v>
      </c>
      <c r="E515">
        <v>1008</v>
      </c>
      <c r="F515">
        <v>1</v>
      </c>
      <c r="G515">
        <v>206.09</v>
      </c>
      <c r="H515" s="2">
        <v>45717</v>
      </c>
      <c r="I515" s="2">
        <v>45722</v>
      </c>
      <c r="J515" t="s">
        <v>9</v>
      </c>
      <c r="K515" s="2" t="str">
        <f>IFERROR(INDEX(Product_lookup[Category],MATCH(RawWorking[[#This Row],[ProductID]],Product_lookup[ProductID],0)),"")</f>
        <v>Home</v>
      </c>
      <c r="L515" s="9">
        <f>IF(OR(RawWorking[[#This Row],[ShipDate]]="",RawWorking[[#This Row],[DeliveryDate]]=""),"",RawWorking[[#This Row],[DeliveryDate]]-RawWorking[[#This Row],[ShipDate]])</f>
        <v>5</v>
      </c>
      <c r="M515" s="9">
        <f>IF(COUNTIF(INDEX(RawWorking[OrderID],1):RawWorking[[#This Row],[OrderID]],RawWorking[[#This Row],[OrderID]])=1,1,0)</f>
        <v>0</v>
      </c>
      <c r="N515" s="4">
        <f>IFERROR(RawWorking[[#This Row],[LineAmount]]/RawWorking[[#This Row],[Quantity]],"")</f>
        <v>206.09</v>
      </c>
    </row>
    <row r="516" spans="1:14">
      <c r="A516">
        <v>50515</v>
      </c>
      <c r="B516">
        <v>30288</v>
      </c>
      <c r="C516" s="2">
        <v>46019</v>
      </c>
      <c r="D516">
        <v>2389</v>
      </c>
      <c r="E516">
        <v>1008</v>
      </c>
      <c r="F516">
        <v>1</v>
      </c>
      <c r="G516">
        <v>206.09</v>
      </c>
      <c r="H516" s="2">
        <v>46020</v>
      </c>
      <c r="I516" s="2">
        <v>46174</v>
      </c>
      <c r="J516" t="s">
        <v>9</v>
      </c>
      <c r="K516" s="2" t="str">
        <f>IFERROR(INDEX(Product_lookup[Category],MATCH(RawWorking[[#This Row],[ProductID]],Product_lookup[ProductID],0)),"")</f>
        <v>Home</v>
      </c>
      <c r="L516" s="9">
        <f>IF(OR(RawWorking[[#This Row],[ShipDate]]="",RawWorking[[#This Row],[DeliveryDate]]=""),"",RawWorking[[#This Row],[DeliveryDate]]-RawWorking[[#This Row],[ShipDate]])</f>
        <v>154</v>
      </c>
      <c r="M516" s="9">
        <f>IF(COUNTIF(INDEX(RawWorking[OrderID],1):RawWorking[[#This Row],[OrderID]],RawWorking[[#This Row],[OrderID]])=1,1,0)</f>
        <v>1</v>
      </c>
      <c r="N516" s="4">
        <f>IFERROR(RawWorking[[#This Row],[LineAmount]]/RawWorking[[#This Row],[Quantity]],"")</f>
        <v>206.09</v>
      </c>
    </row>
    <row r="517" spans="1:14">
      <c r="A517">
        <v>50516</v>
      </c>
      <c r="B517">
        <v>30288</v>
      </c>
      <c r="C517" s="2">
        <v>46019</v>
      </c>
      <c r="D517">
        <v>2389</v>
      </c>
      <c r="E517">
        <v>1016</v>
      </c>
      <c r="F517">
        <v>1</v>
      </c>
      <c r="G517">
        <v>65.260000000000005</v>
      </c>
      <c r="H517" s="2">
        <v>46020</v>
      </c>
      <c r="I517" s="2">
        <v>46022</v>
      </c>
      <c r="J517" t="s">
        <v>9</v>
      </c>
      <c r="K517" s="2" t="str">
        <f>IFERROR(INDEX(Product_lookup[Category],MATCH(RawWorking[[#This Row],[ProductID]],Product_lookup[ProductID],0)),"")</f>
        <v>Sports</v>
      </c>
      <c r="L517" s="9">
        <f>IF(OR(RawWorking[[#This Row],[ShipDate]]="",RawWorking[[#This Row],[DeliveryDate]]=""),"",RawWorking[[#This Row],[DeliveryDate]]-RawWorking[[#This Row],[ShipDate]])</f>
        <v>2</v>
      </c>
      <c r="M517" s="9">
        <f>IF(COUNTIF(INDEX(RawWorking[OrderID],1):RawWorking[[#This Row],[OrderID]],RawWorking[[#This Row],[OrderID]])=1,1,0)</f>
        <v>0</v>
      </c>
      <c r="N517" s="4">
        <f>IFERROR(RawWorking[[#This Row],[LineAmount]]/RawWorking[[#This Row],[Quantity]],"")</f>
        <v>65.260000000000005</v>
      </c>
    </row>
    <row r="518" spans="1:14">
      <c r="A518">
        <v>50517</v>
      </c>
      <c r="B518">
        <v>30288</v>
      </c>
      <c r="C518" s="2">
        <v>46019</v>
      </c>
      <c r="D518">
        <v>2389</v>
      </c>
      <c r="E518">
        <v>1011</v>
      </c>
      <c r="F518">
        <v>1</v>
      </c>
      <c r="G518">
        <v>101.44</v>
      </c>
      <c r="H518" s="2">
        <v>46022</v>
      </c>
      <c r="I518" s="2">
        <v>46029</v>
      </c>
      <c r="J518" t="s">
        <v>9</v>
      </c>
      <c r="K518" s="2" t="str">
        <f>IFERROR(INDEX(Product_lookup[Category],MATCH(RawWorking[[#This Row],[ProductID]],Product_lookup[ProductID],0)),"")</f>
        <v>Office</v>
      </c>
      <c r="L518" s="9">
        <f>IF(OR(RawWorking[[#This Row],[ShipDate]]="",RawWorking[[#This Row],[DeliveryDate]]=""),"",RawWorking[[#This Row],[DeliveryDate]]-RawWorking[[#This Row],[ShipDate]])</f>
        <v>7</v>
      </c>
      <c r="M518" s="9">
        <f>IF(COUNTIF(INDEX(RawWorking[OrderID],1):RawWorking[[#This Row],[OrderID]],RawWorking[[#This Row],[OrderID]])=1,1,0)</f>
        <v>0</v>
      </c>
      <c r="N518" s="4">
        <f>IFERROR(RawWorking[[#This Row],[LineAmount]]/RawWorking[[#This Row],[Quantity]],"")</f>
        <v>101.44</v>
      </c>
    </row>
    <row r="519" spans="1:14">
      <c r="A519">
        <v>50518</v>
      </c>
      <c r="B519">
        <v>30288</v>
      </c>
      <c r="C519" s="2">
        <v>46019</v>
      </c>
      <c r="D519">
        <v>2389</v>
      </c>
      <c r="E519">
        <v>1009</v>
      </c>
      <c r="F519">
        <v>2</v>
      </c>
      <c r="G519">
        <v>80.56</v>
      </c>
      <c r="H519" s="2">
        <v>46022</v>
      </c>
      <c r="I519" s="2">
        <v>46028</v>
      </c>
      <c r="J519" t="s">
        <v>9</v>
      </c>
      <c r="K519" s="2" t="str">
        <f>IFERROR(INDEX(Product_lookup[Category],MATCH(RawWorking[[#This Row],[ProductID]],Product_lookup[ProductID],0)),"")</f>
        <v>Home</v>
      </c>
      <c r="L519" s="9">
        <f>IF(OR(RawWorking[[#This Row],[ShipDate]]="",RawWorking[[#This Row],[DeliveryDate]]=""),"",RawWorking[[#This Row],[DeliveryDate]]-RawWorking[[#This Row],[ShipDate]])</f>
        <v>6</v>
      </c>
      <c r="M519" s="9">
        <f>IF(COUNTIF(INDEX(RawWorking[OrderID],1):RawWorking[[#This Row],[OrderID]],RawWorking[[#This Row],[OrderID]])=1,1,0)</f>
        <v>0</v>
      </c>
      <c r="N519" s="4">
        <f>IFERROR(RawWorking[[#This Row],[LineAmount]]/RawWorking[[#This Row],[Quantity]],"")</f>
        <v>40.28</v>
      </c>
    </row>
    <row r="520" spans="1:14">
      <c r="A520">
        <v>50519</v>
      </c>
      <c r="B520">
        <v>30289</v>
      </c>
      <c r="C520" s="2">
        <v>45960</v>
      </c>
      <c r="D520">
        <v>2501</v>
      </c>
      <c r="E520">
        <v>1016</v>
      </c>
      <c r="F520">
        <v>3</v>
      </c>
      <c r="G520">
        <v>195.78</v>
      </c>
      <c r="H520" s="2">
        <v>45962</v>
      </c>
      <c r="I520" s="2">
        <v>45972</v>
      </c>
      <c r="J520" t="s">
        <v>11</v>
      </c>
      <c r="K520" s="2" t="str">
        <f>IFERROR(INDEX(Product_lookup[Category],MATCH(RawWorking[[#This Row],[ProductID]],Product_lookup[ProductID],0)),"")</f>
        <v>Sports</v>
      </c>
      <c r="L520" s="9">
        <f>IF(OR(RawWorking[[#This Row],[ShipDate]]="",RawWorking[[#This Row],[DeliveryDate]]=""),"",RawWorking[[#This Row],[DeliveryDate]]-RawWorking[[#This Row],[ShipDate]])</f>
        <v>10</v>
      </c>
      <c r="M520" s="9">
        <f>IF(COUNTIF(INDEX(RawWorking[OrderID],1):RawWorking[[#This Row],[OrderID]],RawWorking[[#This Row],[OrderID]])=1,1,0)</f>
        <v>1</v>
      </c>
      <c r="N520" s="4">
        <f>IFERROR(RawWorking[[#This Row],[LineAmount]]/RawWorking[[#This Row],[Quantity]],"")</f>
        <v>65.260000000000005</v>
      </c>
    </row>
    <row r="521" spans="1:14">
      <c r="A521">
        <v>50520</v>
      </c>
      <c r="B521">
        <v>30289</v>
      </c>
      <c r="C521" s="2">
        <v>45960</v>
      </c>
      <c r="D521">
        <v>2501</v>
      </c>
      <c r="E521">
        <v>1015</v>
      </c>
      <c r="F521">
        <v>1</v>
      </c>
      <c r="G521">
        <v>119.74</v>
      </c>
      <c r="H521" s="2">
        <v>45963</v>
      </c>
      <c r="I521" s="2">
        <v>45971</v>
      </c>
      <c r="J521" t="s">
        <v>11</v>
      </c>
      <c r="K521" s="2" t="str">
        <f>IFERROR(INDEX(Product_lookup[Category],MATCH(RawWorking[[#This Row],[ProductID]],Product_lookup[ProductID],0)),"")</f>
        <v>Sports</v>
      </c>
      <c r="L521" s="9">
        <f>IF(OR(RawWorking[[#This Row],[ShipDate]]="",RawWorking[[#This Row],[DeliveryDate]]=""),"",RawWorking[[#This Row],[DeliveryDate]]-RawWorking[[#This Row],[ShipDate]])</f>
        <v>8</v>
      </c>
      <c r="M521" s="9">
        <f>IF(COUNTIF(INDEX(RawWorking[OrderID],1):RawWorking[[#This Row],[OrderID]],RawWorking[[#This Row],[OrderID]])=1,1,0)</f>
        <v>0</v>
      </c>
      <c r="N521" s="4">
        <f>IFERROR(RawWorking[[#This Row],[LineAmount]]/RawWorking[[#This Row],[Quantity]],"")</f>
        <v>119.74</v>
      </c>
    </row>
    <row r="522" spans="1:14">
      <c r="A522">
        <v>50521</v>
      </c>
      <c r="B522">
        <v>30289</v>
      </c>
      <c r="C522" s="2">
        <v>45960</v>
      </c>
      <c r="D522">
        <v>2501</v>
      </c>
      <c r="E522">
        <v>1006</v>
      </c>
      <c r="F522">
        <v>1</v>
      </c>
      <c r="G522">
        <v>253.86</v>
      </c>
      <c r="H522" s="2">
        <v>45962</v>
      </c>
      <c r="I522" s="2">
        <v>45968</v>
      </c>
      <c r="J522" t="s">
        <v>11</v>
      </c>
      <c r="K522" s="2" t="str">
        <f>IFERROR(INDEX(Product_lookup[Category],MATCH(RawWorking[[#This Row],[ProductID]],Product_lookup[ProductID],0)),"")</f>
        <v>Home</v>
      </c>
      <c r="L522" s="9">
        <f>IF(OR(RawWorking[[#This Row],[ShipDate]]="",RawWorking[[#This Row],[DeliveryDate]]=""),"",RawWorking[[#This Row],[DeliveryDate]]-RawWorking[[#This Row],[ShipDate]])</f>
        <v>6</v>
      </c>
      <c r="M522" s="9">
        <f>IF(COUNTIF(INDEX(RawWorking[OrderID],1):RawWorking[[#This Row],[OrderID]],RawWorking[[#This Row],[OrderID]])=1,1,0)</f>
        <v>0</v>
      </c>
      <c r="N522" s="4">
        <f>IFERROR(RawWorking[[#This Row],[LineAmount]]/RawWorking[[#This Row],[Quantity]],"")</f>
        <v>253.86</v>
      </c>
    </row>
    <row r="523" spans="1:14">
      <c r="A523">
        <v>50522</v>
      </c>
      <c r="B523">
        <v>30289</v>
      </c>
      <c r="C523" s="2">
        <v>45960</v>
      </c>
      <c r="D523">
        <v>2501</v>
      </c>
      <c r="E523">
        <v>1012</v>
      </c>
      <c r="F523">
        <v>3</v>
      </c>
      <c r="G523">
        <v>724.62</v>
      </c>
      <c r="H523" s="2">
        <v>45961</v>
      </c>
      <c r="I523" s="2">
        <v>45971</v>
      </c>
      <c r="J523" t="s">
        <v>11</v>
      </c>
      <c r="K523" s="2" t="str">
        <f>IFERROR(INDEX(Product_lookup[Category],MATCH(RawWorking[[#This Row],[ProductID]],Product_lookup[ProductID],0)),"")</f>
        <v>Office</v>
      </c>
      <c r="L523" s="9">
        <f>IF(OR(RawWorking[[#This Row],[ShipDate]]="",RawWorking[[#This Row],[DeliveryDate]]=""),"",RawWorking[[#This Row],[DeliveryDate]]-RawWorking[[#This Row],[ShipDate]])</f>
        <v>10</v>
      </c>
      <c r="M523" s="9">
        <f>IF(COUNTIF(INDEX(RawWorking[OrderID],1):RawWorking[[#This Row],[OrderID]],RawWorking[[#This Row],[OrderID]])=1,1,0)</f>
        <v>0</v>
      </c>
      <c r="N523" s="4">
        <f>IFERROR(RawWorking[[#This Row],[LineAmount]]/RawWorking[[#This Row],[Quantity]],"")</f>
        <v>241.54</v>
      </c>
    </row>
    <row r="524" spans="1:14">
      <c r="A524">
        <v>50523</v>
      </c>
      <c r="B524">
        <v>30290</v>
      </c>
      <c r="C524" s="2">
        <v>45817</v>
      </c>
      <c r="D524">
        <v>2174</v>
      </c>
      <c r="E524">
        <v>1016</v>
      </c>
      <c r="F524">
        <v>1</v>
      </c>
      <c r="G524">
        <v>65.260000000000005</v>
      </c>
      <c r="H524" s="2">
        <v>45820</v>
      </c>
      <c r="I524" s="2">
        <v>45829</v>
      </c>
      <c r="J524" t="s">
        <v>9</v>
      </c>
      <c r="K524" s="2" t="str">
        <f>IFERROR(INDEX(Product_lookup[Category],MATCH(RawWorking[[#This Row],[ProductID]],Product_lookup[ProductID],0)),"")</f>
        <v>Sports</v>
      </c>
      <c r="L524" s="9">
        <f>IF(OR(RawWorking[[#This Row],[ShipDate]]="",RawWorking[[#This Row],[DeliveryDate]]=""),"",RawWorking[[#This Row],[DeliveryDate]]-RawWorking[[#This Row],[ShipDate]])</f>
        <v>9</v>
      </c>
      <c r="M524" s="9">
        <f>IF(COUNTIF(INDEX(RawWorking[OrderID],1):RawWorking[[#This Row],[OrderID]],RawWorking[[#This Row],[OrderID]])=1,1,0)</f>
        <v>1</v>
      </c>
      <c r="N524" s="4">
        <f>IFERROR(RawWorking[[#This Row],[LineAmount]]/RawWorking[[#This Row],[Quantity]],"")</f>
        <v>65.260000000000005</v>
      </c>
    </row>
    <row r="525" spans="1:14">
      <c r="A525">
        <v>50524</v>
      </c>
      <c r="B525">
        <v>30291</v>
      </c>
      <c r="C525" s="2">
        <v>45799</v>
      </c>
      <c r="D525">
        <v>2189</v>
      </c>
      <c r="E525">
        <v>1002</v>
      </c>
      <c r="F525">
        <v>1</v>
      </c>
      <c r="G525">
        <v>118.6</v>
      </c>
      <c r="H525" s="2" t="s">
        <v>1421</v>
      </c>
      <c r="I525" s="2" t="s">
        <v>1421</v>
      </c>
      <c r="J525" t="s">
        <v>12</v>
      </c>
      <c r="K525" s="2" t="str">
        <f>IFERROR(INDEX(Product_lookup[Category],MATCH(RawWorking[[#This Row],[ProductID]],Product_lookup[ProductID],0)),"")</f>
        <v>Electronics</v>
      </c>
      <c r="L525" s="9" t="str">
        <f>IF(OR(RawWorking[[#This Row],[ShipDate]]="",RawWorking[[#This Row],[DeliveryDate]]=""),"",RawWorking[[#This Row],[DeliveryDate]]-RawWorking[[#This Row],[ShipDate]])</f>
        <v/>
      </c>
      <c r="M525" s="9">
        <f>IF(COUNTIF(INDEX(RawWorking[OrderID],1):RawWorking[[#This Row],[OrderID]],RawWorking[[#This Row],[OrderID]])=1,1,0)</f>
        <v>1</v>
      </c>
      <c r="N525" s="4">
        <f>IFERROR(RawWorking[[#This Row],[LineAmount]]/RawWorking[[#This Row],[Quantity]],"")</f>
        <v>118.6</v>
      </c>
    </row>
    <row r="526" spans="1:14">
      <c r="A526">
        <v>50525</v>
      </c>
      <c r="B526">
        <v>30292</v>
      </c>
      <c r="C526" s="2">
        <v>45699</v>
      </c>
      <c r="D526">
        <v>2537</v>
      </c>
      <c r="E526">
        <v>1003</v>
      </c>
      <c r="F526">
        <v>2</v>
      </c>
      <c r="G526">
        <v>448.74</v>
      </c>
      <c r="H526" s="2">
        <v>45700</v>
      </c>
      <c r="I526" s="2">
        <v>45708</v>
      </c>
      <c r="J526" t="s">
        <v>9</v>
      </c>
      <c r="K526" s="2" t="str">
        <f>IFERROR(INDEX(Product_lookup[Category],MATCH(RawWorking[[#This Row],[ProductID]],Product_lookup[ProductID],0)),"")</f>
        <v>Electronics</v>
      </c>
      <c r="L526" s="9">
        <f>IF(OR(RawWorking[[#This Row],[ShipDate]]="",RawWorking[[#This Row],[DeliveryDate]]=""),"",RawWorking[[#This Row],[DeliveryDate]]-RawWorking[[#This Row],[ShipDate]])</f>
        <v>8</v>
      </c>
      <c r="M526" s="9">
        <f>IF(COUNTIF(INDEX(RawWorking[OrderID],1):RawWorking[[#This Row],[OrderID]],RawWorking[[#This Row],[OrderID]])=1,1,0)</f>
        <v>1</v>
      </c>
      <c r="N526" s="4">
        <f>IFERROR(RawWorking[[#This Row],[LineAmount]]/RawWorking[[#This Row],[Quantity]],"")</f>
        <v>224.37</v>
      </c>
    </row>
    <row r="527" spans="1:14">
      <c r="A527">
        <v>50526</v>
      </c>
      <c r="B527">
        <v>30293</v>
      </c>
      <c r="C527" s="2">
        <v>45820</v>
      </c>
      <c r="D527">
        <v>2050</v>
      </c>
      <c r="E527">
        <v>1014</v>
      </c>
      <c r="F527">
        <v>2</v>
      </c>
      <c r="G527">
        <v>430.68</v>
      </c>
      <c r="H527" s="2">
        <v>45821</v>
      </c>
      <c r="I527" s="2" t="s">
        <v>1421</v>
      </c>
      <c r="J527" t="s">
        <v>16</v>
      </c>
      <c r="K527" s="2" t="str">
        <f>IFERROR(INDEX(Product_lookup[Category],MATCH(RawWorking[[#This Row],[ProductID]],Product_lookup[ProductID],0)),"")</f>
        <v>Sports</v>
      </c>
      <c r="L527" s="9" t="str">
        <f>IF(OR(RawWorking[[#This Row],[ShipDate]]="",RawWorking[[#This Row],[DeliveryDate]]=""),"",RawWorking[[#This Row],[DeliveryDate]]-RawWorking[[#This Row],[ShipDate]])</f>
        <v/>
      </c>
      <c r="M527" s="9">
        <f>IF(COUNTIF(INDEX(RawWorking[OrderID],1):RawWorking[[#This Row],[OrderID]],RawWorking[[#This Row],[OrderID]])=1,1,0)</f>
        <v>1</v>
      </c>
      <c r="N527" s="4">
        <f>IFERROR(RawWorking[[#This Row],[LineAmount]]/RawWorking[[#This Row],[Quantity]],"")</f>
        <v>215.34</v>
      </c>
    </row>
    <row r="528" spans="1:14">
      <c r="A528">
        <v>50527</v>
      </c>
      <c r="B528">
        <v>30293</v>
      </c>
      <c r="C528" s="2">
        <v>45820</v>
      </c>
      <c r="D528">
        <v>2050</v>
      </c>
      <c r="E528">
        <v>1008</v>
      </c>
      <c r="F528">
        <v>1</v>
      </c>
      <c r="G528">
        <v>206.09</v>
      </c>
      <c r="H528" s="2">
        <v>45821</v>
      </c>
      <c r="I528" s="2" t="s">
        <v>1421</v>
      </c>
      <c r="J528" t="s">
        <v>16</v>
      </c>
      <c r="K528" s="2" t="str">
        <f>IFERROR(INDEX(Product_lookup[Category],MATCH(RawWorking[[#This Row],[ProductID]],Product_lookup[ProductID],0)),"")</f>
        <v>Home</v>
      </c>
      <c r="L528" s="9" t="str">
        <f>IF(OR(RawWorking[[#This Row],[ShipDate]]="",RawWorking[[#This Row],[DeliveryDate]]=""),"",RawWorking[[#This Row],[DeliveryDate]]-RawWorking[[#This Row],[ShipDate]])</f>
        <v/>
      </c>
      <c r="M528" s="9">
        <f>IF(COUNTIF(INDEX(RawWorking[OrderID],1):RawWorking[[#This Row],[OrderID]],RawWorking[[#This Row],[OrderID]])=1,1,0)</f>
        <v>0</v>
      </c>
      <c r="N528" s="4">
        <f>IFERROR(RawWorking[[#This Row],[LineAmount]]/RawWorking[[#This Row],[Quantity]],"")</f>
        <v>206.09</v>
      </c>
    </row>
    <row r="529" spans="1:14">
      <c r="A529">
        <v>50528</v>
      </c>
      <c r="B529">
        <v>30293</v>
      </c>
      <c r="C529" s="2">
        <v>45997</v>
      </c>
      <c r="D529">
        <v>2050</v>
      </c>
      <c r="E529">
        <v>1005</v>
      </c>
      <c r="F529">
        <v>1</v>
      </c>
      <c r="G529">
        <v>31.73</v>
      </c>
      <c r="H529" s="2">
        <v>46059</v>
      </c>
      <c r="I529" s="2" t="s">
        <v>1421</v>
      </c>
      <c r="J529" t="s">
        <v>16</v>
      </c>
      <c r="K529" s="2" t="str">
        <f>IFERROR(INDEX(Product_lookup[Category],MATCH(RawWorking[[#This Row],[ProductID]],Product_lookup[ProductID],0)),"")</f>
        <v>Electronics</v>
      </c>
      <c r="L529" s="9" t="str">
        <f>IF(OR(RawWorking[[#This Row],[ShipDate]]="",RawWorking[[#This Row],[DeliveryDate]]=""),"",RawWorking[[#This Row],[DeliveryDate]]-RawWorking[[#This Row],[ShipDate]])</f>
        <v/>
      </c>
      <c r="M529" s="9">
        <f>IF(COUNTIF(INDEX(RawWorking[OrderID],1):RawWorking[[#This Row],[OrderID]],RawWorking[[#This Row],[OrderID]])=1,1,0)</f>
        <v>0</v>
      </c>
      <c r="N529" s="4">
        <f>IFERROR(RawWorking[[#This Row],[LineAmount]]/RawWorking[[#This Row],[Quantity]],"")</f>
        <v>31.73</v>
      </c>
    </row>
    <row r="530" spans="1:14">
      <c r="A530">
        <v>50529</v>
      </c>
      <c r="B530">
        <v>30294</v>
      </c>
      <c r="C530" s="2">
        <v>46014</v>
      </c>
      <c r="D530">
        <v>2518</v>
      </c>
      <c r="E530">
        <v>1002</v>
      </c>
      <c r="F530">
        <v>1</v>
      </c>
      <c r="G530">
        <v>118.6</v>
      </c>
      <c r="H530" s="2">
        <v>46016</v>
      </c>
      <c r="I530" s="2">
        <v>46113</v>
      </c>
      <c r="J530" t="s">
        <v>9</v>
      </c>
      <c r="K530" s="2" t="str">
        <f>IFERROR(INDEX(Product_lookup[Category],MATCH(RawWorking[[#This Row],[ProductID]],Product_lookup[ProductID],0)),"")</f>
        <v>Electronics</v>
      </c>
      <c r="L530" s="9">
        <f>IF(OR(RawWorking[[#This Row],[ShipDate]]="",RawWorking[[#This Row],[DeliveryDate]]=""),"",RawWorking[[#This Row],[DeliveryDate]]-RawWorking[[#This Row],[ShipDate]])</f>
        <v>97</v>
      </c>
      <c r="M530" s="9">
        <f>IF(COUNTIF(INDEX(RawWorking[OrderID],1):RawWorking[[#This Row],[OrderID]],RawWorking[[#This Row],[OrderID]])=1,1,0)</f>
        <v>1</v>
      </c>
      <c r="N530" s="4">
        <f>IFERROR(RawWorking[[#This Row],[LineAmount]]/RawWorking[[#This Row],[Quantity]],"")</f>
        <v>118.6</v>
      </c>
    </row>
    <row r="531" spans="1:14">
      <c r="A531">
        <v>50530</v>
      </c>
      <c r="B531">
        <v>30295</v>
      </c>
      <c r="C531" s="2">
        <v>45975</v>
      </c>
      <c r="D531">
        <v>2495</v>
      </c>
      <c r="E531">
        <v>1001</v>
      </c>
      <c r="F531">
        <v>1</v>
      </c>
      <c r="G531">
        <v>203.04</v>
      </c>
      <c r="H531" s="2">
        <v>45978</v>
      </c>
      <c r="I531" s="2">
        <v>45982</v>
      </c>
      <c r="J531" t="s">
        <v>9</v>
      </c>
      <c r="K531" s="2" t="str">
        <f>IFERROR(INDEX(Product_lookup[Category],MATCH(RawWorking[[#This Row],[ProductID]],Product_lookup[ProductID],0)),"")</f>
        <v>Electronics</v>
      </c>
      <c r="L531" s="9">
        <f>IF(OR(RawWorking[[#This Row],[ShipDate]]="",RawWorking[[#This Row],[DeliveryDate]]=""),"",RawWorking[[#This Row],[DeliveryDate]]-RawWorking[[#This Row],[ShipDate]])</f>
        <v>4</v>
      </c>
      <c r="M531" s="9">
        <f>IF(COUNTIF(INDEX(RawWorking[OrderID],1):RawWorking[[#This Row],[OrderID]],RawWorking[[#This Row],[OrderID]])=1,1,0)</f>
        <v>1</v>
      </c>
      <c r="N531" s="4">
        <f>IFERROR(RawWorking[[#This Row],[LineAmount]]/RawWorking[[#This Row],[Quantity]],"")</f>
        <v>203.04</v>
      </c>
    </row>
    <row r="532" spans="1:14">
      <c r="A532">
        <v>50531</v>
      </c>
      <c r="B532">
        <v>30296</v>
      </c>
      <c r="C532" s="2">
        <v>45714</v>
      </c>
      <c r="D532">
        <v>2007</v>
      </c>
      <c r="E532">
        <v>1014</v>
      </c>
      <c r="F532">
        <v>1</v>
      </c>
      <c r="G532">
        <v>215.34</v>
      </c>
      <c r="H532" s="2">
        <v>45715</v>
      </c>
      <c r="I532" s="2">
        <v>45721</v>
      </c>
      <c r="J532" t="s">
        <v>9</v>
      </c>
      <c r="K532" s="2" t="str">
        <f>IFERROR(INDEX(Product_lookup[Category],MATCH(RawWorking[[#This Row],[ProductID]],Product_lookup[ProductID],0)),"")</f>
        <v>Sports</v>
      </c>
      <c r="L532" s="9">
        <f>IF(OR(RawWorking[[#This Row],[ShipDate]]="",RawWorking[[#This Row],[DeliveryDate]]=""),"",RawWorking[[#This Row],[DeliveryDate]]-RawWorking[[#This Row],[ShipDate]])</f>
        <v>6</v>
      </c>
      <c r="M532" s="9">
        <f>IF(COUNTIF(INDEX(RawWorking[OrderID],1):RawWorking[[#This Row],[OrderID]],RawWorking[[#This Row],[OrderID]])=1,1,0)</f>
        <v>1</v>
      </c>
      <c r="N532" s="4">
        <f>IFERROR(RawWorking[[#This Row],[LineAmount]]/RawWorking[[#This Row],[Quantity]],"")</f>
        <v>215.34</v>
      </c>
    </row>
    <row r="533" spans="1:14">
      <c r="A533">
        <v>50532</v>
      </c>
      <c r="B533">
        <v>30297</v>
      </c>
      <c r="C533" s="2">
        <v>45790</v>
      </c>
      <c r="D533">
        <v>2013</v>
      </c>
      <c r="E533">
        <v>1009</v>
      </c>
      <c r="F533">
        <v>2</v>
      </c>
      <c r="G533">
        <v>80.56</v>
      </c>
      <c r="H533" s="2">
        <v>45793</v>
      </c>
      <c r="I533" s="2">
        <v>45801</v>
      </c>
      <c r="J533" t="s">
        <v>9</v>
      </c>
      <c r="K533" s="2" t="str">
        <f>IFERROR(INDEX(Product_lookup[Category],MATCH(RawWorking[[#This Row],[ProductID]],Product_lookup[ProductID],0)),"")</f>
        <v>Home</v>
      </c>
      <c r="L533" s="9">
        <f>IF(OR(RawWorking[[#This Row],[ShipDate]]="",RawWorking[[#This Row],[DeliveryDate]]=""),"",RawWorking[[#This Row],[DeliveryDate]]-RawWorking[[#This Row],[ShipDate]])</f>
        <v>8</v>
      </c>
      <c r="M533" s="9">
        <f>IF(COUNTIF(INDEX(RawWorking[OrderID],1):RawWorking[[#This Row],[OrderID]],RawWorking[[#This Row],[OrderID]])=1,1,0)</f>
        <v>1</v>
      </c>
      <c r="N533" s="4">
        <f>IFERROR(RawWorking[[#This Row],[LineAmount]]/RawWorking[[#This Row],[Quantity]],"")</f>
        <v>40.28</v>
      </c>
    </row>
    <row r="534" spans="1:14">
      <c r="A534">
        <v>50533</v>
      </c>
      <c r="B534">
        <v>30297</v>
      </c>
      <c r="C534" s="2">
        <v>45790</v>
      </c>
      <c r="D534">
        <v>2013</v>
      </c>
      <c r="E534">
        <v>1010</v>
      </c>
      <c r="F534">
        <v>2</v>
      </c>
      <c r="G534">
        <v>243</v>
      </c>
      <c r="H534" s="2">
        <v>45791</v>
      </c>
      <c r="I534" s="2">
        <v>45800</v>
      </c>
      <c r="J534" t="s">
        <v>9</v>
      </c>
      <c r="K534" s="2" t="str">
        <f>IFERROR(INDEX(Product_lookup[Category],MATCH(RawWorking[[#This Row],[ProductID]],Product_lookup[ProductID],0)),"")</f>
        <v>Office</v>
      </c>
      <c r="L534" s="9">
        <f>IF(OR(RawWorking[[#This Row],[ShipDate]]="",RawWorking[[#This Row],[DeliveryDate]]=""),"",RawWorking[[#This Row],[DeliveryDate]]-RawWorking[[#This Row],[ShipDate]])</f>
        <v>9</v>
      </c>
      <c r="M534" s="9">
        <f>IF(COUNTIF(INDEX(RawWorking[OrderID],1):RawWorking[[#This Row],[OrderID]],RawWorking[[#This Row],[OrderID]])=1,1,0)</f>
        <v>0</v>
      </c>
      <c r="N534" s="4">
        <f>IFERROR(RawWorking[[#This Row],[LineAmount]]/RawWorking[[#This Row],[Quantity]],"")</f>
        <v>121.5</v>
      </c>
    </row>
    <row r="535" spans="1:14">
      <c r="A535">
        <v>50534</v>
      </c>
      <c r="B535">
        <v>30298</v>
      </c>
      <c r="C535" s="2">
        <v>45883</v>
      </c>
      <c r="D535">
        <v>2018</v>
      </c>
      <c r="E535">
        <v>1014</v>
      </c>
      <c r="F535">
        <v>4</v>
      </c>
      <c r="G535">
        <v>861.36</v>
      </c>
      <c r="H535" s="2">
        <v>45884</v>
      </c>
      <c r="I535" s="2">
        <v>45888</v>
      </c>
      <c r="J535" t="s">
        <v>9</v>
      </c>
      <c r="K535" s="2" t="str">
        <f>IFERROR(INDEX(Product_lookup[Category],MATCH(RawWorking[[#This Row],[ProductID]],Product_lookup[ProductID],0)),"")</f>
        <v>Sports</v>
      </c>
      <c r="L535" s="9">
        <f>IF(OR(RawWorking[[#This Row],[ShipDate]]="",RawWorking[[#This Row],[DeliveryDate]]=""),"",RawWorking[[#This Row],[DeliveryDate]]-RawWorking[[#This Row],[ShipDate]])</f>
        <v>4</v>
      </c>
      <c r="M535" s="9">
        <f>IF(COUNTIF(INDEX(RawWorking[OrderID],1):RawWorking[[#This Row],[OrderID]],RawWorking[[#This Row],[OrderID]])=1,1,0)</f>
        <v>1</v>
      </c>
      <c r="N535" s="4">
        <f>IFERROR(RawWorking[[#This Row],[LineAmount]]/RawWorking[[#This Row],[Quantity]],"")</f>
        <v>215.34</v>
      </c>
    </row>
    <row r="536" spans="1:14">
      <c r="A536">
        <v>50535</v>
      </c>
      <c r="B536">
        <v>30298</v>
      </c>
      <c r="C536" s="2">
        <v>45883</v>
      </c>
      <c r="D536">
        <v>2018</v>
      </c>
      <c r="E536">
        <v>1006</v>
      </c>
      <c r="F536">
        <v>1</v>
      </c>
      <c r="G536">
        <v>253.86</v>
      </c>
      <c r="H536" s="2">
        <v>45885</v>
      </c>
      <c r="I536" s="2">
        <v>45888</v>
      </c>
      <c r="J536" t="s">
        <v>9</v>
      </c>
      <c r="K536" s="2" t="str">
        <f>IFERROR(INDEX(Product_lookup[Category],MATCH(RawWorking[[#This Row],[ProductID]],Product_lookup[ProductID],0)),"")</f>
        <v>Home</v>
      </c>
      <c r="L536" s="9">
        <f>IF(OR(RawWorking[[#This Row],[ShipDate]]="",RawWorking[[#This Row],[DeliveryDate]]=""),"",RawWorking[[#This Row],[DeliveryDate]]-RawWorking[[#This Row],[ShipDate]])</f>
        <v>3</v>
      </c>
      <c r="M536" s="9">
        <f>IF(COUNTIF(INDEX(RawWorking[OrderID],1):RawWorking[[#This Row],[OrderID]],RawWorking[[#This Row],[OrderID]])=1,1,0)</f>
        <v>0</v>
      </c>
      <c r="N536" s="4">
        <f>IFERROR(RawWorking[[#This Row],[LineAmount]]/RawWorking[[#This Row],[Quantity]],"")</f>
        <v>253.86</v>
      </c>
    </row>
    <row r="537" spans="1:14">
      <c r="A537">
        <v>50536</v>
      </c>
      <c r="B537">
        <v>30298</v>
      </c>
      <c r="C537" s="2">
        <v>45883</v>
      </c>
      <c r="D537">
        <v>2018</v>
      </c>
      <c r="E537">
        <v>1004</v>
      </c>
      <c r="F537">
        <v>1</v>
      </c>
      <c r="G537">
        <v>183.74</v>
      </c>
      <c r="H537" s="2">
        <v>45885</v>
      </c>
      <c r="I537" s="2">
        <v>45895</v>
      </c>
      <c r="J537" t="s">
        <v>9</v>
      </c>
      <c r="K537" s="2" t="str">
        <f>IFERROR(INDEX(Product_lookup[Category],MATCH(RawWorking[[#This Row],[ProductID]],Product_lookup[ProductID],0)),"")</f>
        <v>Electronics</v>
      </c>
      <c r="L537" s="9">
        <f>IF(OR(RawWorking[[#This Row],[ShipDate]]="",RawWorking[[#This Row],[DeliveryDate]]=""),"",RawWorking[[#This Row],[DeliveryDate]]-RawWorking[[#This Row],[ShipDate]])</f>
        <v>10</v>
      </c>
      <c r="M537" s="9">
        <f>IF(COUNTIF(INDEX(RawWorking[OrderID],1):RawWorking[[#This Row],[OrderID]],RawWorking[[#This Row],[OrderID]])=1,1,0)</f>
        <v>0</v>
      </c>
      <c r="N537" s="4">
        <f>IFERROR(RawWorking[[#This Row],[LineAmount]]/RawWorking[[#This Row],[Quantity]],"")</f>
        <v>183.74</v>
      </c>
    </row>
    <row r="538" spans="1:14">
      <c r="A538">
        <v>50537</v>
      </c>
      <c r="B538">
        <v>30299</v>
      </c>
      <c r="C538" s="2">
        <v>45968</v>
      </c>
      <c r="D538">
        <v>2099</v>
      </c>
      <c r="E538">
        <v>1008</v>
      </c>
      <c r="F538">
        <v>1</v>
      </c>
      <c r="G538">
        <v>206.09</v>
      </c>
      <c r="H538" s="2">
        <v>45970</v>
      </c>
      <c r="I538" s="2">
        <v>45975</v>
      </c>
      <c r="J538" t="s">
        <v>9</v>
      </c>
      <c r="K538" s="2" t="str">
        <f>IFERROR(INDEX(Product_lookup[Category],MATCH(RawWorking[[#This Row],[ProductID]],Product_lookup[ProductID],0)),"")</f>
        <v>Home</v>
      </c>
      <c r="L538" s="9">
        <f>IF(OR(RawWorking[[#This Row],[ShipDate]]="",RawWorking[[#This Row],[DeliveryDate]]=""),"",RawWorking[[#This Row],[DeliveryDate]]-RawWorking[[#This Row],[ShipDate]])</f>
        <v>5</v>
      </c>
      <c r="M538" s="9">
        <f>IF(COUNTIF(INDEX(RawWorking[OrderID],1):RawWorking[[#This Row],[OrderID]],RawWorking[[#This Row],[OrderID]])=1,1,0)</f>
        <v>1</v>
      </c>
      <c r="N538" s="4">
        <f>IFERROR(RawWorking[[#This Row],[LineAmount]]/RawWorking[[#This Row],[Quantity]],"")</f>
        <v>206.09</v>
      </c>
    </row>
    <row r="539" spans="1:14">
      <c r="A539">
        <v>50538</v>
      </c>
      <c r="B539">
        <v>30299</v>
      </c>
      <c r="C539" s="2">
        <v>45849</v>
      </c>
      <c r="D539">
        <v>2099</v>
      </c>
      <c r="E539">
        <v>1007</v>
      </c>
      <c r="F539">
        <v>1</v>
      </c>
      <c r="G539">
        <v>199.81</v>
      </c>
      <c r="H539" s="2">
        <v>45969</v>
      </c>
      <c r="I539" s="2">
        <v>45971</v>
      </c>
      <c r="J539" t="s">
        <v>9</v>
      </c>
      <c r="K539" s="2" t="str">
        <f>IFERROR(INDEX(Product_lookup[Category],MATCH(RawWorking[[#This Row],[ProductID]],Product_lookup[ProductID],0)),"")</f>
        <v>Home</v>
      </c>
      <c r="L539" s="9">
        <f>IF(OR(RawWorking[[#This Row],[ShipDate]]="",RawWorking[[#This Row],[DeliveryDate]]=""),"",RawWorking[[#This Row],[DeliveryDate]]-RawWorking[[#This Row],[ShipDate]])</f>
        <v>2</v>
      </c>
      <c r="M539" s="9">
        <f>IF(COUNTIF(INDEX(RawWorking[OrderID],1):RawWorking[[#This Row],[OrderID]],RawWorking[[#This Row],[OrderID]])=1,1,0)</f>
        <v>0</v>
      </c>
      <c r="N539" s="4">
        <f>IFERROR(RawWorking[[#This Row],[LineAmount]]/RawWorking[[#This Row],[Quantity]],"")</f>
        <v>199.81</v>
      </c>
    </row>
    <row r="540" spans="1:14">
      <c r="A540">
        <v>50539</v>
      </c>
      <c r="B540">
        <v>30300</v>
      </c>
      <c r="C540" s="2">
        <v>45896</v>
      </c>
      <c r="D540">
        <v>2540</v>
      </c>
      <c r="E540">
        <v>1012</v>
      </c>
      <c r="F540">
        <v>1</v>
      </c>
      <c r="G540">
        <v>241.54</v>
      </c>
      <c r="H540" s="2">
        <v>45899</v>
      </c>
      <c r="I540" s="2">
        <v>45902</v>
      </c>
      <c r="J540" t="s">
        <v>9</v>
      </c>
      <c r="K540" s="2" t="str">
        <f>IFERROR(INDEX(Product_lookup[Category],MATCH(RawWorking[[#This Row],[ProductID]],Product_lookup[ProductID],0)),"")</f>
        <v>Office</v>
      </c>
      <c r="L540" s="9">
        <f>IF(OR(RawWorking[[#This Row],[ShipDate]]="",RawWorking[[#This Row],[DeliveryDate]]=""),"",RawWorking[[#This Row],[DeliveryDate]]-RawWorking[[#This Row],[ShipDate]])</f>
        <v>3</v>
      </c>
      <c r="M540" s="9">
        <f>IF(COUNTIF(INDEX(RawWorking[OrderID],1):RawWorking[[#This Row],[OrderID]],RawWorking[[#This Row],[OrderID]])=1,1,0)</f>
        <v>1</v>
      </c>
      <c r="N540" s="4">
        <f>IFERROR(RawWorking[[#This Row],[LineAmount]]/RawWorking[[#This Row],[Quantity]],"")</f>
        <v>241.54</v>
      </c>
    </row>
    <row r="541" spans="1:14">
      <c r="A541">
        <v>50540</v>
      </c>
      <c r="B541">
        <v>30300</v>
      </c>
      <c r="C541" s="2">
        <v>45896</v>
      </c>
      <c r="D541">
        <v>2540</v>
      </c>
      <c r="E541">
        <v>1009</v>
      </c>
      <c r="F541">
        <v>2</v>
      </c>
      <c r="G541">
        <v>80.56</v>
      </c>
      <c r="H541" s="2">
        <v>45899</v>
      </c>
      <c r="I541" s="2">
        <v>45901</v>
      </c>
      <c r="J541" t="s">
        <v>9</v>
      </c>
      <c r="K541" s="2" t="str">
        <f>IFERROR(INDEX(Product_lookup[Category],MATCH(RawWorking[[#This Row],[ProductID]],Product_lookup[ProductID],0)),"")</f>
        <v>Home</v>
      </c>
      <c r="L541" s="9">
        <f>IF(OR(RawWorking[[#This Row],[ShipDate]]="",RawWorking[[#This Row],[DeliveryDate]]=""),"",RawWorking[[#This Row],[DeliveryDate]]-RawWorking[[#This Row],[ShipDate]])</f>
        <v>2</v>
      </c>
      <c r="M541" s="9">
        <f>IF(COUNTIF(INDEX(RawWorking[OrderID],1):RawWorking[[#This Row],[OrderID]],RawWorking[[#This Row],[OrderID]])=1,1,0)</f>
        <v>0</v>
      </c>
      <c r="N541" s="4">
        <f>IFERROR(RawWorking[[#This Row],[LineAmount]]/RawWorking[[#This Row],[Quantity]],"")</f>
        <v>40.28</v>
      </c>
    </row>
    <row r="542" spans="1:14">
      <c r="A542">
        <v>50541</v>
      </c>
      <c r="B542">
        <v>30301</v>
      </c>
      <c r="C542" s="2">
        <v>45919</v>
      </c>
      <c r="D542">
        <v>2407</v>
      </c>
      <c r="E542">
        <v>1013</v>
      </c>
      <c r="F542">
        <v>1</v>
      </c>
      <c r="G542">
        <v>170.25</v>
      </c>
      <c r="H542" s="2">
        <v>45922</v>
      </c>
      <c r="I542" s="2">
        <v>45928</v>
      </c>
      <c r="J542" t="s">
        <v>9</v>
      </c>
      <c r="K542" s="2" t="str">
        <f>IFERROR(INDEX(Product_lookup[Category],MATCH(RawWorking[[#This Row],[ProductID]],Product_lookup[ProductID],0)),"")</f>
        <v>Office</v>
      </c>
      <c r="L542" s="9">
        <f>IF(OR(RawWorking[[#This Row],[ShipDate]]="",RawWorking[[#This Row],[DeliveryDate]]=""),"",RawWorking[[#This Row],[DeliveryDate]]-RawWorking[[#This Row],[ShipDate]])</f>
        <v>6</v>
      </c>
      <c r="M542" s="9">
        <f>IF(COUNTIF(INDEX(RawWorking[OrderID],1):RawWorking[[#This Row],[OrderID]],RawWorking[[#This Row],[OrderID]])=1,1,0)</f>
        <v>1</v>
      </c>
      <c r="N542" s="4">
        <f>IFERROR(RawWorking[[#This Row],[LineAmount]]/RawWorking[[#This Row],[Quantity]],"")</f>
        <v>170.25</v>
      </c>
    </row>
    <row r="543" spans="1:14">
      <c r="A543">
        <v>50542</v>
      </c>
      <c r="B543">
        <v>30302</v>
      </c>
      <c r="C543" s="2">
        <v>45664</v>
      </c>
      <c r="D543">
        <v>2471</v>
      </c>
      <c r="E543">
        <v>1008</v>
      </c>
      <c r="F543">
        <v>1</v>
      </c>
      <c r="G543">
        <v>206.09</v>
      </c>
      <c r="H543" s="2">
        <v>45754</v>
      </c>
      <c r="I543" s="2">
        <v>45847</v>
      </c>
      <c r="J543" t="s">
        <v>9</v>
      </c>
      <c r="K543" s="2" t="str">
        <f>IFERROR(INDEX(Product_lookup[Category],MATCH(RawWorking[[#This Row],[ProductID]],Product_lookup[ProductID],0)),"")</f>
        <v>Home</v>
      </c>
      <c r="L543" s="9">
        <f>IF(OR(RawWorking[[#This Row],[ShipDate]]="",RawWorking[[#This Row],[DeliveryDate]]=""),"",RawWorking[[#This Row],[DeliveryDate]]-RawWorking[[#This Row],[ShipDate]])</f>
        <v>93</v>
      </c>
      <c r="M543" s="9">
        <f>IF(COUNTIF(INDEX(RawWorking[OrderID],1):RawWorking[[#This Row],[OrderID]],RawWorking[[#This Row],[OrderID]])=1,1,0)</f>
        <v>1</v>
      </c>
      <c r="N543" s="4">
        <f>IFERROR(RawWorking[[#This Row],[LineAmount]]/RawWorking[[#This Row],[Quantity]],"")</f>
        <v>206.09</v>
      </c>
    </row>
    <row r="544" spans="1:14">
      <c r="A544">
        <v>50543</v>
      </c>
      <c r="B544">
        <v>30303</v>
      </c>
      <c r="C544" s="2">
        <v>45759</v>
      </c>
      <c r="D544">
        <v>2308</v>
      </c>
      <c r="E544">
        <v>1003</v>
      </c>
      <c r="F544">
        <v>1</v>
      </c>
      <c r="G544">
        <v>224.37</v>
      </c>
      <c r="H544" s="2">
        <v>45762</v>
      </c>
      <c r="I544" s="2">
        <v>45772</v>
      </c>
      <c r="J544" t="s">
        <v>9</v>
      </c>
      <c r="K544" s="2" t="str">
        <f>IFERROR(INDEX(Product_lookup[Category],MATCH(RawWorking[[#This Row],[ProductID]],Product_lookup[ProductID],0)),"")</f>
        <v>Electronics</v>
      </c>
      <c r="L544" s="9">
        <f>IF(OR(RawWorking[[#This Row],[ShipDate]]="",RawWorking[[#This Row],[DeliveryDate]]=""),"",RawWorking[[#This Row],[DeliveryDate]]-RawWorking[[#This Row],[ShipDate]])</f>
        <v>10</v>
      </c>
      <c r="M544" s="9">
        <f>IF(COUNTIF(INDEX(RawWorking[OrderID],1):RawWorking[[#This Row],[OrderID]],RawWorking[[#This Row],[OrderID]])=1,1,0)</f>
        <v>1</v>
      </c>
      <c r="N544" s="4">
        <f>IFERROR(RawWorking[[#This Row],[LineAmount]]/RawWorking[[#This Row],[Quantity]],"")</f>
        <v>224.37</v>
      </c>
    </row>
    <row r="545" spans="1:14">
      <c r="A545">
        <v>50544</v>
      </c>
      <c r="B545">
        <v>30304</v>
      </c>
      <c r="C545" s="2">
        <v>45811</v>
      </c>
      <c r="D545">
        <v>2033</v>
      </c>
      <c r="E545">
        <v>1013</v>
      </c>
      <c r="F545">
        <v>2</v>
      </c>
      <c r="G545">
        <v>340.5</v>
      </c>
      <c r="H545" s="2">
        <v>45812</v>
      </c>
      <c r="I545" s="2">
        <v>45844</v>
      </c>
      <c r="J545" t="s">
        <v>9</v>
      </c>
      <c r="K545" s="2" t="str">
        <f>IFERROR(INDEX(Product_lookup[Category],MATCH(RawWorking[[#This Row],[ProductID]],Product_lookup[ProductID],0)),"")</f>
        <v>Office</v>
      </c>
      <c r="L545" s="9">
        <f>IF(OR(RawWorking[[#This Row],[ShipDate]]="",RawWorking[[#This Row],[DeliveryDate]]=""),"",RawWorking[[#This Row],[DeliveryDate]]-RawWorking[[#This Row],[ShipDate]])</f>
        <v>32</v>
      </c>
      <c r="M545" s="9">
        <f>IF(COUNTIF(INDEX(RawWorking[OrderID],1):RawWorking[[#This Row],[OrderID]],RawWorking[[#This Row],[OrderID]])=1,1,0)</f>
        <v>1</v>
      </c>
      <c r="N545" s="4">
        <f>IFERROR(RawWorking[[#This Row],[LineAmount]]/RawWorking[[#This Row],[Quantity]],"")</f>
        <v>170.25</v>
      </c>
    </row>
    <row r="546" spans="1:14">
      <c r="A546">
        <v>50545</v>
      </c>
      <c r="B546">
        <v>30305</v>
      </c>
      <c r="C546" s="2">
        <v>45920</v>
      </c>
      <c r="D546">
        <v>2387</v>
      </c>
      <c r="E546">
        <v>1002</v>
      </c>
      <c r="F546">
        <v>5</v>
      </c>
      <c r="G546">
        <v>593</v>
      </c>
      <c r="H546" s="2">
        <v>45922</v>
      </c>
      <c r="I546" s="2">
        <v>45923</v>
      </c>
      <c r="J546" t="s">
        <v>9</v>
      </c>
      <c r="K546" s="2" t="str">
        <f>IFERROR(INDEX(Product_lookup[Category],MATCH(RawWorking[[#This Row],[ProductID]],Product_lookup[ProductID],0)),"")</f>
        <v>Electronics</v>
      </c>
      <c r="L546" s="9">
        <f>IF(OR(RawWorking[[#This Row],[ShipDate]]="",RawWorking[[#This Row],[DeliveryDate]]=""),"",RawWorking[[#This Row],[DeliveryDate]]-RawWorking[[#This Row],[ShipDate]])</f>
        <v>1</v>
      </c>
      <c r="M546" s="9">
        <f>IF(COUNTIF(INDEX(RawWorking[OrderID],1):RawWorking[[#This Row],[OrderID]],RawWorking[[#This Row],[OrderID]])=1,1,0)</f>
        <v>1</v>
      </c>
      <c r="N546" s="4">
        <f>IFERROR(RawWorking[[#This Row],[LineAmount]]/RawWorking[[#This Row],[Quantity]],"")</f>
        <v>118.6</v>
      </c>
    </row>
    <row r="547" spans="1:14">
      <c r="A547">
        <v>50546</v>
      </c>
      <c r="B547">
        <v>30306</v>
      </c>
      <c r="C547" s="2">
        <v>45829</v>
      </c>
      <c r="D547">
        <v>2010</v>
      </c>
      <c r="E547">
        <v>1003</v>
      </c>
      <c r="F547">
        <v>1</v>
      </c>
      <c r="G547">
        <v>224.37</v>
      </c>
      <c r="H547" s="2">
        <v>45832</v>
      </c>
      <c r="I547" s="2">
        <v>45833</v>
      </c>
      <c r="J547" t="s">
        <v>9</v>
      </c>
      <c r="K547" s="2" t="str">
        <f>IFERROR(INDEX(Product_lookup[Category],MATCH(RawWorking[[#This Row],[ProductID]],Product_lookup[ProductID],0)),"")</f>
        <v>Electronics</v>
      </c>
      <c r="L547" s="9">
        <f>IF(OR(RawWorking[[#This Row],[ShipDate]]="",RawWorking[[#This Row],[DeliveryDate]]=""),"",RawWorking[[#This Row],[DeliveryDate]]-RawWorking[[#This Row],[ShipDate]])</f>
        <v>1</v>
      </c>
      <c r="M547" s="9">
        <f>IF(COUNTIF(INDEX(RawWorking[OrderID],1):RawWorking[[#This Row],[OrderID]],RawWorking[[#This Row],[OrderID]])=1,1,0)</f>
        <v>1</v>
      </c>
      <c r="N547" s="4">
        <f>IFERROR(RawWorking[[#This Row],[LineAmount]]/RawWorking[[#This Row],[Quantity]],"")</f>
        <v>224.37</v>
      </c>
    </row>
    <row r="548" spans="1:14">
      <c r="A548">
        <v>50547</v>
      </c>
      <c r="B548">
        <v>30306</v>
      </c>
      <c r="C548" s="2">
        <v>45829</v>
      </c>
      <c r="D548">
        <v>2010</v>
      </c>
      <c r="E548">
        <v>1016</v>
      </c>
      <c r="F548">
        <v>3</v>
      </c>
      <c r="G548">
        <v>195.78</v>
      </c>
      <c r="H548" s="2">
        <v>45832</v>
      </c>
      <c r="I548" s="2">
        <v>45839</v>
      </c>
      <c r="J548" t="s">
        <v>9</v>
      </c>
      <c r="K548" s="2" t="str">
        <f>IFERROR(INDEX(Product_lookup[Category],MATCH(RawWorking[[#This Row],[ProductID]],Product_lookup[ProductID],0)),"")</f>
        <v>Sports</v>
      </c>
      <c r="L548" s="9">
        <f>IF(OR(RawWorking[[#This Row],[ShipDate]]="",RawWorking[[#This Row],[DeliveryDate]]=""),"",RawWorking[[#This Row],[DeliveryDate]]-RawWorking[[#This Row],[ShipDate]])</f>
        <v>7</v>
      </c>
      <c r="M548" s="9">
        <f>IF(COUNTIF(INDEX(RawWorking[OrderID],1):RawWorking[[#This Row],[OrderID]],RawWorking[[#This Row],[OrderID]])=1,1,0)</f>
        <v>0</v>
      </c>
      <c r="N548" s="4">
        <f>IFERROR(RawWorking[[#This Row],[LineAmount]]/RawWorking[[#This Row],[Quantity]],"")</f>
        <v>65.260000000000005</v>
      </c>
    </row>
    <row r="549" spans="1:14">
      <c r="A549">
        <v>50548</v>
      </c>
      <c r="B549">
        <v>30306</v>
      </c>
      <c r="C549" s="2">
        <v>45829</v>
      </c>
      <c r="D549">
        <v>2010</v>
      </c>
      <c r="E549">
        <v>1014</v>
      </c>
      <c r="F549">
        <v>2</v>
      </c>
      <c r="G549">
        <v>430.68</v>
      </c>
      <c r="H549" s="2">
        <v>45832</v>
      </c>
      <c r="I549" s="2">
        <v>45837</v>
      </c>
      <c r="J549" t="s">
        <v>9</v>
      </c>
      <c r="K549" s="2" t="str">
        <f>IFERROR(INDEX(Product_lookup[Category],MATCH(RawWorking[[#This Row],[ProductID]],Product_lookup[ProductID],0)),"")</f>
        <v>Sports</v>
      </c>
      <c r="L549" s="9">
        <f>IF(OR(RawWorking[[#This Row],[ShipDate]]="",RawWorking[[#This Row],[DeliveryDate]]=""),"",RawWorking[[#This Row],[DeliveryDate]]-RawWorking[[#This Row],[ShipDate]])</f>
        <v>5</v>
      </c>
      <c r="M549" s="9">
        <f>IF(COUNTIF(INDEX(RawWorking[OrderID],1):RawWorking[[#This Row],[OrderID]],RawWorking[[#This Row],[OrderID]])=1,1,0)</f>
        <v>0</v>
      </c>
      <c r="N549" s="4">
        <f>IFERROR(RawWorking[[#This Row],[LineAmount]]/RawWorking[[#This Row],[Quantity]],"")</f>
        <v>215.34</v>
      </c>
    </row>
    <row r="550" spans="1:14">
      <c r="A550">
        <v>50549</v>
      </c>
      <c r="B550">
        <v>30307</v>
      </c>
      <c r="C550" s="2">
        <v>45824</v>
      </c>
      <c r="D550">
        <v>2340</v>
      </c>
      <c r="E550">
        <v>1004</v>
      </c>
      <c r="F550">
        <v>2</v>
      </c>
      <c r="G550">
        <v>367.48</v>
      </c>
      <c r="H550" s="2">
        <v>45826</v>
      </c>
      <c r="I550" s="2">
        <v>45830</v>
      </c>
      <c r="J550" t="s">
        <v>9</v>
      </c>
      <c r="K550" s="2" t="str">
        <f>IFERROR(INDEX(Product_lookup[Category],MATCH(RawWorking[[#This Row],[ProductID]],Product_lookup[ProductID],0)),"")</f>
        <v>Electronics</v>
      </c>
      <c r="L550" s="9">
        <f>IF(OR(RawWorking[[#This Row],[ShipDate]]="",RawWorking[[#This Row],[DeliveryDate]]=""),"",RawWorking[[#This Row],[DeliveryDate]]-RawWorking[[#This Row],[ShipDate]])</f>
        <v>4</v>
      </c>
      <c r="M550" s="9">
        <f>IF(COUNTIF(INDEX(RawWorking[OrderID],1):RawWorking[[#This Row],[OrderID]],RawWorking[[#This Row],[OrderID]])=1,1,0)</f>
        <v>1</v>
      </c>
      <c r="N550" s="4">
        <f>IFERROR(RawWorking[[#This Row],[LineAmount]]/RawWorking[[#This Row],[Quantity]],"")</f>
        <v>183.74</v>
      </c>
    </row>
    <row r="551" spans="1:14">
      <c r="A551">
        <v>50550</v>
      </c>
      <c r="B551">
        <v>30307</v>
      </c>
      <c r="C551" s="2">
        <v>45824</v>
      </c>
      <c r="D551">
        <v>2340</v>
      </c>
      <c r="E551">
        <v>1002</v>
      </c>
      <c r="F551">
        <v>2</v>
      </c>
      <c r="G551">
        <v>237.2</v>
      </c>
      <c r="H551" s="2">
        <v>45826</v>
      </c>
      <c r="I551" s="2">
        <v>45834</v>
      </c>
      <c r="J551" t="s">
        <v>9</v>
      </c>
      <c r="K551" s="2" t="str">
        <f>IFERROR(INDEX(Product_lookup[Category],MATCH(RawWorking[[#This Row],[ProductID]],Product_lookup[ProductID],0)),"")</f>
        <v>Electronics</v>
      </c>
      <c r="L551" s="9">
        <f>IF(OR(RawWorking[[#This Row],[ShipDate]]="",RawWorking[[#This Row],[DeliveryDate]]=""),"",RawWorking[[#This Row],[DeliveryDate]]-RawWorking[[#This Row],[ShipDate]])</f>
        <v>8</v>
      </c>
      <c r="M551" s="9">
        <f>IF(COUNTIF(INDEX(RawWorking[OrderID],1):RawWorking[[#This Row],[OrderID]],RawWorking[[#This Row],[OrderID]])=1,1,0)</f>
        <v>0</v>
      </c>
      <c r="N551" s="4">
        <f>IFERROR(RawWorking[[#This Row],[LineAmount]]/RawWorking[[#This Row],[Quantity]],"")</f>
        <v>118.6</v>
      </c>
    </row>
    <row r="552" spans="1:14">
      <c r="A552">
        <v>50551</v>
      </c>
      <c r="B552">
        <v>30307</v>
      </c>
      <c r="C552" s="2">
        <v>45824</v>
      </c>
      <c r="D552">
        <v>2340</v>
      </c>
      <c r="E552">
        <v>1008</v>
      </c>
      <c r="F552">
        <v>4</v>
      </c>
      <c r="G552">
        <v>824.36</v>
      </c>
      <c r="H552" s="2">
        <v>45827</v>
      </c>
      <c r="I552" s="2">
        <v>45835</v>
      </c>
      <c r="J552" t="s">
        <v>9</v>
      </c>
      <c r="K552" s="2" t="str">
        <f>IFERROR(INDEX(Product_lookup[Category],MATCH(RawWorking[[#This Row],[ProductID]],Product_lookup[ProductID],0)),"")</f>
        <v>Home</v>
      </c>
      <c r="L552" s="9">
        <f>IF(OR(RawWorking[[#This Row],[ShipDate]]="",RawWorking[[#This Row],[DeliveryDate]]=""),"",RawWorking[[#This Row],[DeliveryDate]]-RawWorking[[#This Row],[ShipDate]])</f>
        <v>8</v>
      </c>
      <c r="M552" s="9">
        <f>IF(COUNTIF(INDEX(RawWorking[OrderID],1):RawWorking[[#This Row],[OrderID]],RawWorking[[#This Row],[OrderID]])=1,1,0)</f>
        <v>0</v>
      </c>
      <c r="N552" s="4">
        <f>IFERROR(RawWorking[[#This Row],[LineAmount]]/RawWorking[[#This Row],[Quantity]],"")</f>
        <v>206.09</v>
      </c>
    </row>
    <row r="553" spans="1:14">
      <c r="A553">
        <v>50552</v>
      </c>
      <c r="B553">
        <v>30308</v>
      </c>
      <c r="C553" s="2">
        <v>45793</v>
      </c>
      <c r="D553">
        <v>2217</v>
      </c>
      <c r="E553">
        <v>1016</v>
      </c>
      <c r="F553">
        <v>3</v>
      </c>
      <c r="G553">
        <v>195.78</v>
      </c>
      <c r="H553" s="2" t="s">
        <v>1421</v>
      </c>
      <c r="I553" s="2" t="s">
        <v>1421</v>
      </c>
      <c r="J553" t="s">
        <v>12</v>
      </c>
      <c r="K553" s="2" t="str">
        <f>IFERROR(INDEX(Product_lookup[Category],MATCH(RawWorking[[#This Row],[ProductID]],Product_lookup[ProductID],0)),"")</f>
        <v>Sports</v>
      </c>
      <c r="L553" s="9" t="str">
        <f>IF(OR(RawWorking[[#This Row],[ShipDate]]="",RawWorking[[#This Row],[DeliveryDate]]=""),"",RawWorking[[#This Row],[DeliveryDate]]-RawWorking[[#This Row],[ShipDate]])</f>
        <v/>
      </c>
      <c r="M553" s="9">
        <f>IF(COUNTIF(INDEX(RawWorking[OrderID],1):RawWorking[[#This Row],[OrderID]],RawWorking[[#This Row],[OrderID]])=1,1,0)</f>
        <v>1</v>
      </c>
      <c r="N553" s="4">
        <f>IFERROR(RawWorking[[#This Row],[LineAmount]]/RawWorking[[#This Row],[Quantity]],"")</f>
        <v>65.260000000000005</v>
      </c>
    </row>
    <row r="554" spans="1:14">
      <c r="A554">
        <v>50553</v>
      </c>
      <c r="B554">
        <v>30309</v>
      </c>
      <c r="C554" s="2">
        <v>45792</v>
      </c>
      <c r="D554">
        <v>2278</v>
      </c>
      <c r="E554">
        <v>1003</v>
      </c>
      <c r="F554">
        <v>1</v>
      </c>
      <c r="G554">
        <v>224.37</v>
      </c>
      <c r="H554" s="2">
        <v>45794</v>
      </c>
      <c r="I554" s="2">
        <v>45800</v>
      </c>
      <c r="J554" t="s">
        <v>9</v>
      </c>
      <c r="K554" s="2" t="str">
        <f>IFERROR(INDEX(Product_lookup[Category],MATCH(RawWorking[[#This Row],[ProductID]],Product_lookup[ProductID],0)),"")</f>
        <v>Electronics</v>
      </c>
      <c r="L554" s="9">
        <f>IF(OR(RawWorking[[#This Row],[ShipDate]]="",RawWorking[[#This Row],[DeliveryDate]]=""),"",RawWorking[[#This Row],[DeliveryDate]]-RawWorking[[#This Row],[ShipDate]])</f>
        <v>6</v>
      </c>
      <c r="M554" s="9">
        <f>IF(COUNTIF(INDEX(RawWorking[OrderID],1):RawWorking[[#This Row],[OrderID]],RawWorking[[#This Row],[OrderID]])=1,1,0)</f>
        <v>1</v>
      </c>
      <c r="N554" s="4">
        <f>IFERROR(RawWorking[[#This Row],[LineAmount]]/RawWorking[[#This Row],[Quantity]],"")</f>
        <v>224.37</v>
      </c>
    </row>
    <row r="555" spans="1:14">
      <c r="A555">
        <v>50554</v>
      </c>
      <c r="B555">
        <v>30309</v>
      </c>
      <c r="C555" s="2">
        <v>45792</v>
      </c>
      <c r="D555">
        <v>2278</v>
      </c>
      <c r="E555">
        <v>1009</v>
      </c>
      <c r="F555">
        <v>2</v>
      </c>
      <c r="G555">
        <v>80.56</v>
      </c>
      <c r="H555" s="2">
        <v>45793</v>
      </c>
      <c r="I555" s="2">
        <v>45797</v>
      </c>
      <c r="J555" t="s">
        <v>9</v>
      </c>
      <c r="K555" s="2" t="str">
        <f>IFERROR(INDEX(Product_lookup[Category],MATCH(RawWorking[[#This Row],[ProductID]],Product_lookup[ProductID],0)),"")</f>
        <v>Home</v>
      </c>
      <c r="L555" s="9">
        <f>IF(OR(RawWorking[[#This Row],[ShipDate]]="",RawWorking[[#This Row],[DeliveryDate]]=""),"",RawWorking[[#This Row],[DeliveryDate]]-RawWorking[[#This Row],[ShipDate]])</f>
        <v>4</v>
      </c>
      <c r="M555" s="9">
        <f>IF(COUNTIF(INDEX(RawWorking[OrderID],1):RawWorking[[#This Row],[OrderID]],RawWorking[[#This Row],[OrderID]])=1,1,0)</f>
        <v>0</v>
      </c>
      <c r="N555" s="4">
        <f>IFERROR(RawWorking[[#This Row],[LineAmount]]/RawWorking[[#This Row],[Quantity]],"")</f>
        <v>40.28</v>
      </c>
    </row>
    <row r="556" spans="1:14">
      <c r="A556">
        <v>50555</v>
      </c>
      <c r="B556">
        <v>30310</v>
      </c>
      <c r="C556" s="2">
        <v>45705</v>
      </c>
      <c r="D556">
        <v>2557</v>
      </c>
      <c r="E556">
        <v>1002</v>
      </c>
      <c r="F556">
        <v>2</v>
      </c>
      <c r="G556">
        <v>237.2</v>
      </c>
      <c r="H556" s="2">
        <v>45706</v>
      </c>
      <c r="I556" s="2">
        <v>45714</v>
      </c>
      <c r="J556" t="s">
        <v>9</v>
      </c>
      <c r="K556" s="2" t="str">
        <f>IFERROR(INDEX(Product_lookup[Category],MATCH(RawWorking[[#This Row],[ProductID]],Product_lookup[ProductID],0)),"")</f>
        <v>Electronics</v>
      </c>
      <c r="L556" s="9">
        <f>IF(OR(RawWorking[[#This Row],[ShipDate]]="",RawWorking[[#This Row],[DeliveryDate]]=""),"",RawWorking[[#This Row],[DeliveryDate]]-RawWorking[[#This Row],[ShipDate]])</f>
        <v>8</v>
      </c>
      <c r="M556" s="9">
        <f>IF(COUNTIF(INDEX(RawWorking[OrderID],1):RawWorking[[#This Row],[OrderID]],RawWorking[[#This Row],[OrderID]])=1,1,0)</f>
        <v>1</v>
      </c>
      <c r="N556" s="4">
        <f>IFERROR(RawWorking[[#This Row],[LineAmount]]/RawWorking[[#This Row],[Quantity]],"")</f>
        <v>118.6</v>
      </c>
    </row>
    <row r="557" spans="1:14">
      <c r="A557">
        <v>50556</v>
      </c>
      <c r="B557">
        <v>30311</v>
      </c>
      <c r="C557" s="2">
        <v>45739</v>
      </c>
      <c r="D557">
        <v>2184</v>
      </c>
      <c r="E557">
        <v>1011</v>
      </c>
      <c r="F557">
        <v>1</v>
      </c>
      <c r="G557">
        <v>101.44</v>
      </c>
      <c r="H557" s="2" t="s">
        <v>1421</v>
      </c>
      <c r="I557" s="2" t="s">
        <v>1421</v>
      </c>
      <c r="J557" t="s">
        <v>12</v>
      </c>
      <c r="K557" s="2" t="str">
        <f>IFERROR(INDEX(Product_lookup[Category],MATCH(RawWorking[[#This Row],[ProductID]],Product_lookup[ProductID],0)),"")</f>
        <v>Office</v>
      </c>
      <c r="L557" s="9" t="str">
        <f>IF(OR(RawWorking[[#This Row],[ShipDate]]="",RawWorking[[#This Row],[DeliveryDate]]=""),"",RawWorking[[#This Row],[DeliveryDate]]-RawWorking[[#This Row],[ShipDate]])</f>
        <v/>
      </c>
      <c r="M557" s="9">
        <f>IF(COUNTIF(INDEX(RawWorking[OrderID],1):RawWorking[[#This Row],[OrderID]],RawWorking[[#This Row],[OrderID]])=1,1,0)</f>
        <v>1</v>
      </c>
      <c r="N557" s="4">
        <f>IFERROR(RawWorking[[#This Row],[LineAmount]]/RawWorking[[#This Row],[Quantity]],"")</f>
        <v>101.44</v>
      </c>
    </row>
    <row r="558" spans="1:14">
      <c r="A558">
        <v>50557</v>
      </c>
      <c r="B558">
        <v>30312</v>
      </c>
      <c r="C558" s="2">
        <v>45984</v>
      </c>
      <c r="D558">
        <v>2017</v>
      </c>
      <c r="E558">
        <v>1005</v>
      </c>
      <c r="F558">
        <v>1</v>
      </c>
      <c r="G558">
        <v>31.73</v>
      </c>
      <c r="H558" s="2">
        <v>45985</v>
      </c>
      <c r="I558" s="2">
        <v>45987</v>
      </c>
      <c r="J558" t="s">
        <v>11</v>
      </c>
      <c r="K558" s="2" t="str">
        <f>IFERROR(INDEX(Product_lookup[Category],MATCH(RawWorking[[#This Row],[ProductID]],Product_lookup[ProductID],0)),"")</f>
        <v>Electronics</v>
      </c>
      <c r="L558" s="9">
        <f>IF(OR(RawWorking[[#This Row],[ShipDate]]="",RawWorking[[#This Row],[DeliveryDate]]=""),"",RawWorking[[#This Row],[DeliveryDate]]-RawWorking[[#This Row],[ShipDate]])</f>
        <v>2</v>
      </c>
      <c r="M558" s="9">
        <f>IF(COUNTIF(INDEX(RawWorking[OrderID],1):RawWorking[[#This Row],[OrderID]],RawWorking[[#This Row],[OrderID]])=1,1,0)</f>
        <v>1</v>
      </c>
      <c r="N558" s="4">
        <f>IFERROR(RawWorking[[#This Row],[LineAmount]]/RawWorking[[#This Row],[Quantity]],"")</f>
        <v>31.73</v>
      </c>
    </row>
    <row r="559" spans="1:14">
      <c r="A559">
        <v>50558</v>
      </c>
      <c r="B559">
        <v>30312</v>
      </c>
      <c r="C559" s="2">
        <v>45984</v>
      </c>
      <c r="D559">
        <v>2017</v>
      </c>
      <c r="E559">
        <v>1013</v>
      </c>
      <c r="F559">
        <v>1</v>
      </c>
      <c r="G559">
        <v>170.25</v>
      </c>
      <c r="H559" s="2">
        <v>45985</v>
      </c>
      <c r="I559" s="2">
        <v>45991</v>
      </c>
      <c r="J559" t="s">
        <v>11</v>
      </c>
      <c r="K559" s="2" t="str">
        <f>IFERROR(INDEX(Product_lookup[Category],MATCH(RawWorking[[#This Row],[ProductID]],Product_lookup[ProductID],0)),"")</f>
        <v>Office</v>
      </c>
      <c r="L559" s="9">
        <f>IF(OR(RawWorking[[#This Row],[ShipDate]]="",RawWorking[[#This Row],[DeliveryDate]]=""),"",RawWorking[[#This Row],[DeliveryDate]]-RawWorking[[#This Row],[ShipDate]])</f>
        <v>6</v>
      </c>
      <c r="M559" s="9">
        <f>IF(COUNTIF(INDEX(RawWorking[OrderID],1):RawWorking[[#This Row],[OrderID]],RawWorking[[#This Row],[OrderID]])=1,1,0)</f>
        <v>0</v>
      </c>
      <c r="N559" s="4">
        <f>IFERROR(RawWorking[[#This Row],[LineAmount]]/RawWorking[[#This Row],[Quantity]],"")</f>
        <v>170.25</v>
      </c>
    </row>
    <row r="560" spans="1:14">
      <c r="A560">
        <v>50559</v>
      </c>
      <c r="B560">
        <v>30312</v>
      </c>
      <c r="C560" s="2">
        <v>45984</v>
      </c>
      <c r="D560">
        <v>2017</v>
      </c>
      <c r="E560">
        <v>1003</v>
      </c>
      <c r="F560">
        <v>3</v>
      </c>
      <c r="G560">
        <v>673.11</v>
      </c>
      <c r="H560" s="2">
        <v>45987</v>
      </c>
      <c r="I560" s="2">
        <v>45995</v>
      </c>
      <c r="J560" t="s">
        <v>11</v>
      </c>
      <c r="K560" s="2" t="str">
        <f>IFERROR(INDEX(Product_lookup[Category],MATCH(RawWorking[[#This Row],[ProductID]],Product_lookup[ProductID],0)),"")</f>
        <v>Electronics</v>
      </c>
      <c r="L560" s="9">
        <f>IF(OR(RawWorking[[#This Row],[ShipDate]]="",RawWorking[[#This Row],[DeliveryDate]]=""),"",RawWorking[[#This Row],[DeliveryDate]]-RawWorking[[#This Row],[ShipDate]])</f>
        <v>8</v>
      </c>
      <c r="M560" s="9">
        <f>IF(COUNTIF(INDEX(RawWorking[OrderID],1):RawWorking[[#This Row],[OrderID]],RawWorking[[#This Row],[OrderID]])=1,1,0)</f>
        <v>0</v>
      </c>
      <c r="N560" s="4">
        <f>IFERROR(RawWorking[[#This Row],[LineAmount]]/RawWorking[[#This Row],[Quantity]],"")</f>
        <v>224.37</v>
      </c>
    </row>
    <row r="561" spans="1:14">
      <c r="A561">
        <v>50560</v>
      </c>
      <c r="B561">
        <v>30312</v>
      </c>
      <c r="C561" s="2">
        <v>45984</v>
      </c>
      <c r="D561">
        <v>2017</v>
      </c>
      <c r="E561">
        <v>1010</v>
      </c>
      <c r="F561">
        <v>2</v>
      </c>
      <c r="G561">
        <v>243</v>
      </c>
      <c r="H561" s="2">
        <v>45987</v>
      </c>
      <c r="I561" s="2">
        <v>45989</v>
      </c>
      <c r="J561" t="s">
        <v>11</v>
      </c>
      <c r="K561" s="2" t="str">
        <f>IFERROR(INDEX(Product_lookup[Category],MATCH(RawWorking[[#This Row],[ProductID]],Product_lookup[ProductID],0)),"")</f>
        <v>Office</v>
      </c>
      <c r="L561" s="9">
        <f>IF(OR(RawWorking[[#This Row],[ShipDate]]="",RawWorking[[#This Row],[DeliveryDate]]=""),"",RawWorking[[#This Row],[DeliveryDate]]-RawWorking[[#This Row],[ShipDate]])</f>
        <v>2</v>
      </c>
      <c r="M561" s="9">
        <f>IF(COUNTIF(INDEX(RawWorking[OrderID],1):RawWorking[[#This Row],[OrderID]],RawWorking[[#This Row],[OrderID]])=1,1,0)</f>
        <v>0</v>
      </c>
      <c r="N561" s="4">
        <f>IFERROR(RawWorking[[#This Row],[LineAmount]]/RawWorking[[#This Row],[Quantity]],"")</f>
        <v>121.5</v>
      </c>
    </row>
    <row r="562" spans="1:14">
      <c r="A562">
        <v>50561</v>
      </c>
      <c r="B562">
        <v>30313</v>
      </c>
      <c r="C562" s="2">
        <v>45932</v>
      </c>
      <c r="D562">
        <v>2167</v>
      </c>
      <c r="E562">
        <v>1013</v>
      </c>
      <c r="F562">
        <v>1</v>
      </c>
      <c r="G562">
        <v>170.25</v>
      </c>
      <c r="H562" s="2">
        <v>45934</v>
      </c>
      <c r="I562" s="2">
        <v>45938</v>
      </c>
      <c r="J562" t="s">
        <v>9</v>
      </c>
      <c r="K562" s="2" t="str">
        <f>IFERROR(INDEX(Product_lookup[Category],MATCH(RawWorking[[#This Row],[ProductID]],Product_lookup[ProductID],0)),"")</f>
        <v>Office</v>
      </c>
      <c r="L562" s="9">
        <f>IF(OR(RawWorking[[#This Row],[ShipDate]]="",RawWorking[[#This Row],[DeliveryDate]]=""),"",RawWorking[[#This Row],[DeliveryDate]]-RawWorking[[#This Row],[ShipDate]])</f>
        <v>4</v>
      </c>
      <c r="M562" s="9">
        <f>IF(COUNTIF(INDEX(RawWorking[OrderID],1):RawWorking[[#This Row],[OrderID]],RawWorking[[#This Row],[OrderID]])=1,1,0)</f>
        <v>1</v>
      </c>
      <c r="N562" s="4">
        <f>IFERROR(RawWorking[[#This Row],[LineAmount]]/RawWorking[[#This Row],[Quantity]],"")</f>
        <v>170.25</v>
      </c>
    </row>
    <row r="563" spans="1:14">
      <c r="A563">
        <v>50562</v>
      </c>
      <c r="B563">
        <v>30314</v>
      </c>
      <c r="C563" s="2">
        <v>45757</v>
      </c>
      <c r="D563">
        <v>2554</v>
      </c>
      <c r="E563">
        <v>1005</v>
      </c>
      <c r="F563">
        <v>1</v>
      </c>
      <c r="G563">
        <v>31.73</v>
      </c>
      <c r="H563" s="2">
        <v>45760</v>
      </c>
      <c r="I563" s="2">
        <v>45766</v>
      </c>
      <c r="J563" t="s">
        <v>9</v>
      </c>
      <c r="K563" s="2" t="str">
        <f>IFERROR(INDEX(Product_lookup[Category],MATCH(RawWorking[[#This Row],[ProductID]],Product_lookup[ProductID],0)),"")</f>
        <v>Electronics</v>
      </c>
      <c r="L563" s="9">
        <f>IF(OR(RawWorking[[#This Row],[ShipDate]]="",RawWorking[[#This Row],[DeliveryDate]]=""),"",RawWorking[[#This Row],[DeliveryDate]]-RawWorking[[#This Row],[ShipDate]])</f>
        <v>6</v>
      </c>
      <c r="M563" s="9">
        <f>IF(COUNTIF(INDEX(RawWorking[OrderID],1):RawWorking[[#This Row],[OrderID]],RawWorking[[#This Row],[OrderID]])=1,1,0)</f>
        <v>1</v>
      </c>
      <c r="N563" s="4">
        <f>IFERROR(RawWorking[[#This Row],[LineAmount]]/RawWorking[[#This Row],[Quantity]],"")</f>
        <v>31.73</v>
      </c>
    </row>
    <row r="564" spans="1:14">
      <c r="A564">
        <v>50563</v>
      </c>
      <c r="B564">
        <v>30315</v>
      </c>
      <c r="C564" s="2">
        <v>45960</v>
      </c>
      <c r="D564">
        <v>2081</v>
      </c>
      <c r="E564">
        <v>1012</v>
      </c>
      <c r="F564">
        <v>1</v>
      </c>
      <c r="G564">
        <v>241.54</v>
      </c>
      <c r="H564" s="2">
        <v>45963</v>
      </c>
      <c r="I564" s="2">
        <v>45966</v>
      </c>
      <c r="J564" t="s">
        <v>9</v>
      </c>
      <c r="K564" s="2" t="str">
        <f>IFERROR(INDEX(Product_lookup[Category],MATCH(RawWorking[[#This Row],[ProductID]],Product_lookup[ProductID],0)),"")</f>
        <v>Office</v>
      </c>
      <c r="L564" s="9">
        <f>IF(OR(RawWorking[[#This Row],[ShipDate]]="",RawWorking[[#This Row],[DeliveryDate]]=""),"",RawWorking[[#This Row],[DeliveryDate]]-RawWorking[[#This Row],[ShipDate]])</f>
        <v>3</v>
      </c>
      <c r="M564" s="9">
        <f>IF(COUNTIF(INDEX(RawWorking[OrderID],1):RawWorking[[#This Row],[OrderID]],RawWorking[[#This Row],[OrderID]])=1,1,0)</f>
        <v>1</v>
      </c>
      <c r="N564" s="4">
        <f>IFERROR(RawWorking[[#This Row],[LineAmount]]/RawWorking[[#This Row],[Quantity]],"")</f>
        <v>241.54</v>
      </c>
    </row>
    <row r="565" spans="1:14">
      <c r="A565">
        <v>50564</v>
      </c>
      <c r="B565">
        <v>30316</v>
      </c>
      <c r="C565" s="2">
        <v>45943</v>
      </c>
      <c r="D565">
        <v>2055</v>
      </c>
      <c r="E565">
        <v>1008</v>
      </c>
      <c r="F565">
        <v>3</v>
      </c>
      <c r="G565">
        <v>618.27</v>
      </c>
      <c r="H565" s="2">
        <v>45944</v>
      </c>
      <c r="I565" s="2">
        <v>45949</v>
      </c>
      <c r="J565" t="s">
        <v>9</v>
      </c>
      <c r="K565" s="2" t="str">
        <f>IFERROR(INDEX(Product_lookup[Category],MATCH(RawWorking[[#This Row],[ProductID]],Product_lookup[ProductID],0)),"")</f>
        <v>Home</v>
      </c>
      <c r="L565" s="9">
        <f>IF(OR(RawWorking[[#This Row],[ShipDate]]="",RawWorking[[#This Row],[DeliveryDate]]=""),"",RawWorking[[#This Row],[DeliveryDate]]-RawWorking[[#This Row],[ShipDate]])</f>
        <v>5</v>
      </c>
      <c r="M565" s="9">
        <f>IF(COUNTIF(INDEX(RawWorking[OrderID],1):RawWorking[[#This Row],[OrderID]],RawWorking[[#This Row],[OrderID]])=1,1,0)</f>
        <v>1</v>
      </c>
      <c r="N565" s="4">
        <f>IFERROR(RawWorking[[#This Row],[LineAmount]]/RawWorking[[#This Row],[Quantity]],"")</f>
        <v>206.09</v>
      </c>
    </row>
    <row r="566" spans="1:14">
      <c r="A566">
        <v>50565</v>
      </c>
      <c r="B566">
        <v>30316</v>
      </c>
      <c r="C566" s="2">
        <v>45943</v>
      </c>
      <c r="D566">
        <v>2055</v>
      </c>
      <c r="E566">
        <v>1003</v>
      </c>
      <c r="F566">
        <v>3</v>
      </c>
      <c r="G566">
        <v>673.11</v>
      </c>
      <c r="H566" s="2">
        <v>45944</v>
      </c>
      <c r="I566" s="2">
        <v>45947</v>
      </c>
      <c r="J566" t="s">
        <v>9</v>
      </c>
      <c r="K566" s="2" t="str">
        <f>IFERROR(INDEX(Product_lookup[Category],MATCH(RawWorking[[#This Row],[ProductID]],Product_lookup[ProductID],0)),"")</f>
        <v>Electronics</v>
      </c>
      <c r="L566" s="9">
        <f>IF(OR(RawWorking[[#This Row],[ShipDate]]="",RawWorking[[#This Row],[DeliveryDate]]=""),"",RawWorking[[#This Row],[DeliveryDate]]-RawWorking[[#This Row],[ShipDate]])</f>
        <v>3</v>
      </c>
      <c r="M566" s="9">
        <f>IF(COUNTIF(INDEX(RawWorking[OrderID],1):RawWorking[[#This Row],[OrderID]],RawWorking[[#This Row],[OrderID]])=1,1,0)</f>
        <v>0</v>
      </c>
      <c r="N566" s="4">
        <f>IFERROR(RawWorking[[#This Row],[LineAmount]]/RawWorking[[#This Row],[Quantity]],"")</f>
        <v>224.37</v>
      </c>
    </row>
    <row r="567" spans="1:14">
      <c r="A567">
        <v>50566</v>
      </c>
      <c r="B567">
        <v>30317</v>
      </c>
      <c r="C567" s="2">
        <v>45781</v>
      </c>
      <c r="D567">
        <v>2349</v>
      </c>
      <c r="E567">
        <v>1013</v>
      </c>
      <c r="F567">
        <v>1</v>
      </c>
      <c r="G567">
        <v>170.25</v>
      </c>
      <c r="H567" s="2">
        <v>45783</v>
      </c>
      <c r="I567" s="2">
        <v>45787</v>
      </c>
      <c r="J567" t="s">
        <v>9</v>
      </c>
      <c r="K567" s="2" t="str">
        <f>IFERROR(INDEX(Product_lookup[Category],MATCH(RawWorking[[#This Row],[ProductID]],Product_lookup[ProductID],0)),"")</f>
        <v>Office</v>
      </c>
      <c r="L567" s="9">
        <f>IF(OR(RawWorking[[#This Row],[ShipDate]]="",RawWorking[[#This Row],[DeliveryDate]]=""),"",RawWorking[[#This Row],[DeliveryDate]]-RawWorking[[#This Row],[ShipDate]])</f>
        <v>4</v>
      </c>
      <c r="M567" s="9">
        <f>IF(COUNTIF(INDEX(RawWorking[OrderID],1):RawWorking[[#This Row],[OrderID]],RawWorking[[#This Row],[OrderID]])=1,1,0)</f>
        <v>1</v>
      </c>
      <c r="N567" s="4">
        <f>IFERROR(RawWorking[[#This Row],[LineAmount]]/RawWorking[[#This Row],[Quantity]],"")</f>
        <v>170.25</v>
      </c>
    </row>
    <row r="568" spans="1:14">
      <c r="A568">
        <v>50567</v>
      </c>
      <c r="B568">
        <v>30318</v>
      </c>
      <c r="C568" s="2">
        <v>45801</v>
      </c>
      <c r="D568">
        <v>2335</v>
      </c>
      <c r="E568">
        <v>1009</v>
      </c>
      <c r="F568">
        <v>2</v>
      </c>
      <c r="G568">
        <v>80.56</v>
      </c>
      <c r="H568" s="2">
        <v>45802</v>
      </c>
      <c r="I568" s="2">
        <v>45806</v>
      </c>
      <c r="J568" t="s">
        <v>9</v>
      </c>
      <c r="K568" s="2" t="str">
        <f>IFERROR(INDEX(Product_lookup[Category],MATCH(RawWorking[[#This Row],[ProductID]],Product_lookup[ProductID],0)),"")</f>
        <v>Home</v>
      </c>
      <c r="L568" s="9">
        <f>IF(OR(RawWorking[[#This Row],[ShipDate]]="",RawWorking[[#This Row],[DeliveryDate]]=""),"",RawWorking[[#This Row],[DeliveryDate]]-RawWorking[[#This Row],[ShipDate]])</f>
        <v>4</v>
      </c>
      <c r="M568" s="9">
        <f>IF(COUNTIF(INDEX(RawWorking[OrderID],1):RawWorking[[#This Row],[OrderID]],RawWorking[[#This Row],[OrderID]])=1,1,0)</f>
        <v>1</v>
      </c>
      <c r="N568" s="4">
        <f>IFERROR(RawWorking[[#This Row],[LineAmount]]/RawWorking[[#This Row],[Quantity]],"")</f>
        <v>40.28</v>
      </c>
    </row>
    <row r="569" spans="1:14">
      <c r="A569">
        <v>50568</v>
      </c>
      <c r="B569">
        <v>30319</v>
      </c>
      <c r="C569" s="2">
        <v>45724</v>
      </c>
      <c r="D569">
        <v>2462</v>
      </c>
      <c r="E569">
        <v>1012</v>
      </c>
      <c r="F569">
        <v>1</v>
      </c>
      <c r="G569">
        <v>241.54</v>
      </c>
      <c r="H569" s="2">
        <v>45725</v>
      </c>
      <c r="I569" s="2">
        <v>45733</v>
      </c>
      <c r="J569" t="s">
        <v>9</v>
      </c>
      <c r="K569" s="2" t="str">
        <f>IFERROR(INDEX(Product_lookup[Category],MATCH(RawWorking[[#This Row],[ProductID]],Product_lookup[ProductID],0)),"")</f>
        <v>Office</v>
      </c>
      <c r="L569" s="9">
        <f>IF(OR(RawWorking[[#This Row],[ShipDate]]="",RawWorking[[#This Row],[DeliveryDate]]=""),"",RawWorking[[#This Row],[DeliveryDate]]-RawWorking[[#This Row],[ShipDate]])</f>
        <v>8</v>
      </c>
      <c r="M569" s="9">
        <f>IF(COUNTIF(INDEX(RawWorking[OrderID],1):RawWorking[[#This Row],[OrderID]],RawWorking[[#This Row],[OrderID]])=1,1,0)</f>
        <v>1</v>
      </c>
      <c r="N569" s="4">
        <f>IFERROR(RawWorking[[#This Row],[LineAmount]]/RawWorking[[#This Row],[Quantity]],"")</f>
        <v>241.54</v>
      </c>
    </row>
    <row r="570" spans="1:14">
      <c r="A570">
        <v>50569</v>
      </c>
      <c r="B570">
        <v>30320</v>
      </c>
      <c r="C570" s="2">
        <v>45768</v>
      </c>
      <c r="D570">
        <v>2567</v>
      </c>
      <c r="E570">
        <v>1014</v>
      </c>
      <c r="F570">
        <v>1</v>
      </c>
      <c r="G570">
        <v>215.34</v>
      </c>
      <c r="H570" s="2">
        <v>45770</v>
      </c>
      <c r="I570" s="2">
        <v>45778</v>
      </c>
      <c r="J570" t="s">
        <v>11</v>
      </c>
      <c r="K570" s="2" t="str">
        <f>IFERROR(INDEX(Product_lookup[Category],MATCH(RawWorking[[#This Row],[ProductID]],Product_lookup[ProductID],0)),"")</f>
        <v>Sports</v>
      </c>
      <c r="L570" s="9">
        <f>IF(OR(RawWorking[[#This Row],[ShipDate]]="",RawWorking[[#This Row],[DeliveryDate]]=""),"",RawWorking[[#This Row],[DeliveryDate]]-RawWorking[[#This Row],[ShipDate]])</f>
        <v>8</v>
      </c>
      <c r="M570" s="9">
        <f>IF(COUNTIF(INDEX(RawWorking[OrderID],1):RawWorking[[#This Row],[OrderID]],RawWorking[[#This Row],[OrderID]])=1,1,0)</f>
        <v>1</v>
      </c>
      <c r="N570" s="4">
        <f>IFERROR(RawWorking[[#This Row],[LineAmount]]/RawWorking[[#This Row],[Quantity]],"")</f>
        <v>215.34</v>
      </c>
    </row>
    <row r="571" spans="1:14">
      <c r="A571">
        <v>50570</v>
      </c>
      <c r="B571">
        <v>30321</v>
      </c>
      <c r="C571" s="2">
        <v>45679</v>
      </c>
      <c r="D571">
        <v>2191</v>
      </c>
      <c r="E571">
        <v>1013</v>
      </c>
      <c r="F571">
        <v>2</v>
      </c>
      <c r="G571">
        <v>340.5</v>
      </c>
      <c r="H571" s="2">
        <v>45682</v>
      </c>
      <c r="I571" s="2">
        <v>45683</v>
      </c>
      <c r="J571" t="s">
        <v>9</v>
      </c>
      <c r="K571" s="2" t="str">
        <f>IFERROR(INDEX(Product_lookup[Category],MATCH(RawWorking[[#This Row],[ProductID]],Product_lookup[ProductID],0)),"")</f>
        <v>Office</v>
      </c>
      <c r="L571" s="9">
        <f>IF(OR(RawWorking[[#This Row],[ShipDate]]="",RawWorking[[#This Row],[DeliveryDate]]=""),"",RawWorking[[#This Row],[DeliveryDate]]-RawWorking[[#This Row],[ShipDate]])</f>
        <v>1</v>
      </c>
      <c r="M571" s="9">
        <f>IF(COUNTIF(INDEX(RawWorking[OrderID],1):RawWorking[[#This Row],[OrderID]],RawWorking[[#This Row],[OrderID]])=1,1,0)</f>
        <v>1</v>
      </c>
      <c r="N571" s="4">
        <f>IFERROR(RawWorking[[#This Row],[LineAmount]]/RawWorking[[#This Row],[Quantity]],"")</f>
        <v>170.25</v>
      </c>
    </row>
    <row r="572" spans="1:14">
      <c r="A572">
        <v>50571</v>
      </c>
      <c r="B572">
        <v>30322</v>
      </c>
      <c r="C572" s="2">
        <v>45974</v>
      </c>
      <c r="D572">
        <v>2088</v>
      </c>
      <c r="E572">
        <v>1010</v>
      </c>
      <c r="F572">
        <v>2</v>
      </c>
      <c r="G572">
        <v>243</v>
      </c>
      <c r="H572" s="2" t="s">
        <v>1421</v>
      </c>
      <c r="I572" s="2" t="s">
        <v>1421</v>
      </c>
      <c r="J572" t="s">
        <v>16</v>
      </c>
      <c r="K572" s="2" t="str">
        <f>IFERROR(INDEX(Product_lookup[Category],MATCH(RawWorking[[#This Row],[ProductID]],Product_lookup[ProductID],0)),"")</f>
        <v>Office</v>
      </c>
      <c r="L572" s="9" t="str">
        <f>IF(OR(RawWorking[[#This Row],[ShipDate]]="",RawWorking[[#This Row],[DeliveryDate]]=""),"",RawWorking[[#This Row],[DeliveryDate]]-RawWorking[[#This Row],[ShipDate]])</f>
        <v/>
      </c>
      <c r="M572" s="9">
        <f>IF(COUNTIF(INDEX(RawWorking[OrderID],1):RawWorking[[#This Row],[OrderID]],RawWorking[[#This Row],[OrderID]])=1,1,0)</f>
        <v>1</v>
      </c>
      <c r="N572" s="4">
        <f>IFERROR(RawWorking[[#This Row],[LineAmount]]/RawWorking[[#This Row],[Quantity]],"")</f>
        <v>121.5</v>
      </c>
    </row>
    <row r="573" spans="1:14">
      <c r="A573">
        <v>50572</v>
      </c>
      <c r="B573">
        <v>30322</v>
      </c>
      <c r="C573" s="2">
        <v>45974</v>
      </c>
      <c r="D573">
        <v>2088</v>
      </c>
      <c r="E573">
        <v>1003</v>
      </c>
      <c r="F573">
        <v>3</v>
      </c>
      <c r="G573">
        <v>673.11</v>
      </c>
      <c r="H573" s="2">
        <v>46153</v>
      </c>
      <c r="I573" s="2" t="s">
        <v>1421</v>
      </c>
      <c r="J573" t="s">
        <v>16</v>
      </c>
      <c r="K573" s="2" t="str">
        <f>IFERROR(INDEX(Product_lookup[Category],MATCH(RawWorking[[#This Row],[ProductID]],Product_lookup[ProductID],0)),"")</f>
        <v>Electronics</v>
      </c>
      <c r="L573" s="9" t="str">
        <f>IF(OR(RawWorking[[#This Row],[ShipDate]]="",RawWorking[[#This Row],[DeliveryDate]]=""),"",RawWorking[[#This Row],[DeliveryDate]]-RawWorking[[#This Row],[ShipDate]])</f>
        <v/>
      </c>
      <c r="M573" s="9">
        <f>IF(COUNTIF(INDEX(RawWorking[OrderID],1):RawWorking[[#This Row],[OrderID]],RawWorking[[#This Row],[OrderID]])=1,1,0)</f>
        <v>0</v>
      </c>
      <c r="N573" s="4">
        <f>IFERROR(RawWorking[[#This Row],[LineAmount]]/RawWorking[[#This Row],[Quantity]],"")</f>
        <v>224.37</v>
      </c>
    </row>
    <row r="574" spans="1:14">
      <c r="A574">
        <v>50573</v>
      </c>
      <c r="B574">
        <v>30322</v>
      </c>
      <c r="C574" s="2">
        <v>45974</v>
      </c>
      <c r="D574">
        <v>2088</v>
      </c>
      <c r="E574">
        <v>1005</v>
      </c>
      <c r="F574">
        <v>2</v>
      </c>
      <c r="G574">
        <v>63.46</v>
      </c>
      <c r="H574" s="2" t="s">
        <v>1421</v>
      </c>
      <c r="I574" s="2" t="s">
        <v>1421</v>
      </c>
      <c r="J574" t="s">
        <v>16</v>
      </c>
      <c r="K574" s="2" t="str">
        <f>IFERROR(INDEX(Product_lookup[Category],MATCH(RawWorking[[#This Row],[ProductID]],Product_lookup[ProductID],0)),"")</f>
        <v>Electronics</v>
      </c>
      <c r="L574" s="9" t="str">
        <f>IF(OR(RawWorking[[#This Row],[ShipDate]]="",RawWorking[[#This Row],[DeliveryDate]]=""),"",RawWorking[[#This Row],[DeliveryDate]]-RawWorking[[#This Row],[ShipDate]])</f>
        <v/>
      </c>
      <c r="M574" s="9">
        <f>IF(COUNTIF(INDEX(RawWorking[OrderID],1):RawWorking[[#This Row],[OrderID]],RawWorking[[#This Row],[OrderID]])=1,1,0)</f>
        <v>0</v>
      </c>
      <c r="N574" s="4">
        <f>IFERROR(RawWorking[[#This Row],[LineAmount]]/RawWorking[[#This Row],[Quantity]],"")</f>
        <v>31.73</v>
      </c>
    </row>
    <row r="575" spans="1:14">
      <c r="A575">
        <v>50574</v>
      </c>
      <c r="B575">
        <v>30322</v>
      </c>
      <c r="C575" s="2">
        <v>45974</v>
      </c>
      <c r="D575">
        <v>2088</v>
      </c>
      <c r="E575">
        <v>1005</v>
      </c>
      <c r="F575">
        <v>1</v>
      </c>
      <c r="G575">
        <v>31.73</v>
      </c>
      <c r="H575" s="2" t="s">
        <v>1421</v>
      </c>
      <c r="I575" s="2" t="s">
        <v>1421</v>
      </c>
      <c r="J575" t="s">
        <v>16</v>
      </c>
      <c r="K575" s="2" t="str">
        <f>IFERROR(INDEX(Product_lookup[Category],MATCH(RawWorking[[#This Row],[ProductID]],Product_lookup[ProductID],0)),"")</f>
        <v>Electronics</v>
      </c>
      <c r="L575" s="9" t="str">
        <f>IF(OR(RawWorking[[#This Row],[ShipDate]]="",RawWorking[[#This Row],[DeliveryDate]]=""),"",RawWorking[[#This Row],[DeliveryDate]]-RawWorking[[#This Row],[ShipDate]])</f>
        <v/>
      </c>
      <c r="M575" s="9">
        <f>IF(COUNTIF(INDEX(RawWorking[OrderID],1):RawWorking[[#This Row],[OrderID]],RawWorking[[#This Row],[OrderID]])=1,1,0)</f>
        <v>0</v>
      </c>
      <c r="N575" s="4">
        <f>IFERROR(RawWorking[[#This Row],[LineAmount]]/RawWorking[[#This Row],[Quantity]],"")</f>
        <v>31.73</v>
      </c>
    </row>
    <row r="576" spans="1:14">
      <c r="A576">
        <v>50575</v>
      </c>
      <c r="B576">
        <v>30323</v>
      </c>
      <c r="C576" s="2">
        <v>45989</v>
      </c>
      <c r="D576">
        <v>2325</v>
      </c>
      <c r="E576">
        <v>1003</v>
      </c>
      <c r="F576">
        <v>1</v>
      </c>
      <c r="G576">
        <v>224.37</v>
      </c>
      <c r="H576" s="2">
        <v>45991</v>
      </c>
      <c r="I576" s="2">
        <v>45996</v>
      </c>
      <c r="J576" t="s">
        <v>9</v>
      </c>
      <c r="K576" s="2" t="str">
        <f>IFERROR(INDEX(Product_lookup[Category],MATCH(RawWorking[[#This Row],[ProductID]],Product_lookup[ProductID],0)),"")</f>
        <v>Electronics</v>
      </c>
      <c r="L576" s="9">
        <f>IF(OR(RawWorking[[#This Row],[ShipDate]]="",RawWorking[[#This Row],[DeliveryDate]]=""),"",RawWorking[[#This Row],[DeliveryDate]]-RawWorking[[#This Row],[ShipDate]])</f>
        <v>5</v>
      </c>
      <c r="M576" s="9">
        <f>IF(COUNTIF(INDEX(RawWorking[OrderID],1):RawWorking[[#This Row],[OrderID]],RawWorking[[#This Row],[OrderID]])=1,1,0)</f>
        <v>1</v>
      </c>
      <c r="N576" s="4">
        <f>IFERROR(RawWorking[[#This Row],[LineAmount]]/RawWorking[[#This Row],[Quantity]],"")</f>
        <v>224.37</v>
      </c>
    </row>
    <row r="577" spans="1:14">
      <c r="A577">
        <v>50576</v>
      </c>
      <c r="B577">
        <v>30324</v>
      </c>
      <c r="C577" s="2">
        <v>45829</v>
      </c>
      <c r="D577">
        <v>2006</v>
      </c>
      <c r="E577">
        <v>1015</v>
      </c>
      <c r="F577">
        <v>1</v>
      </c>
      <c r="G577">
        <v>119.74</v>
      </c>
      <c r="H577" s="2">
        <v>45831</v>
      </c>
      <c r="I577" s="2">
        <v>45839</v>
      </c>
      <c r="J577" t="s">
        <v>11</v>
      </c>
      <c r="K577" s="2" t="str">
        <f>IFERROR(INDEX(Product_lookup[Category],MATCH(RawWorking[[#This Row],[ProductID]],Product_lookup[ProductID],0)),"")</f>
        <v>Sports</v>
      </c>
      <c r="L577" s="9">
        <f>IF(OR(RawWorking[[#This Row],[ShipDate]]="",RawWorking[[#This Row],[DeliveryDate]]=""),"",RawWorking[[#This Row],[DeliveryDate]]-RawWorking[[#This Row],[ShipDate]])</f>
        <v>8</v>
      </c>
      <c r="M577" s="9">
        <f>IF(COUNTIF(INDEX(RawWorking[OrderID],1):RawWorking[[#This Row],[OrderID]],RawWorking[[#This Row],[OrderID]])=1,1,0)</f>
        <v>1</v>
      </c>
      <c r="N577" s="4">
        <f>IFERROR(RawWorking[[#This Row],[LineAmount]]/RawWorking[[#This Row],[Quantity]],"")</f>
        <v>119.74</v>
      </c>
    </row>
    <row r="578" spans="1:14">
      <c r="A578">
        <v>50577</v>
      </c>
      <c r="B578">
        <v>30325</v>
      </c>
      <c r="C578" s="2">
        <v>45859</v>
      </c>
      <c r="D578">
        <v>2369</v>
      </c>
      <c r="E578">
        <v>1004</v>
      </c>
      <c r="F578">
        <v>1</v>
      </c>
      <c r="G578">
        <v>183.74</v>
      </c>
      <c r="H578" s="2">
        <v>45862</v>
      </c>
      <c r="I578" s="2" t="s">
        <v>1421</v>
      </c>
      <c r="J578" t="s">
        <v>16</v>
      </c>
      <c r="K578" s="2" t="str">
        <f>IFERROR(INDEX(Product_lookup[Category],MATCH(RawWorking[[#This Row],[ProductID]],Product_lookup[ProductID],0)),"")</f>
        <v>Electronics</v>
      </c>
      <c r="L578" s="9" t="str">
        <f>IF(OR(RawWorking[[#This Row],[ShipDate]]="",RawWorking[[#This Row],[DeliveryDate]]=""),"",RawWorking[[#This Row],[DeliveryDate]]-RawWorking[[#This Row],[ShipDate]])</f>
        <v/>
      </c>
      <c r="M578" s="9">
        <f>IF(COUNTIF(INDEX(RawWorking[OrderID],1):RawWorking[[#This Row],[OrderID]],RawWorking[[#This Row],[OrderID]])=1,1,0)</f>
        <v>1</v>
      </c>
      <c r="N578" s="4">
        <f>IFERROR(RawWorking[[#This Row],[LineAmount]]/RawWorking[[#This Row],[Quantity]],"")</f>
        <v>183.74</v>
      </c>
    </row>
    <row r="579" spans="1:14">
      <c r="A579">
        <v>50578</v>
      </c>
      <c r="B579">
        <v>30325</v>
      </c>
      <c r="C579" s="2">
        <v>45859</v>
      </c>
      <c r="D579">
        <v>2369</v>
      </c>
      <c r="E579">
        <v>1006</v>
      </c>
      <c r="F579">
        <v>2</v>
      </c>
      <c r="G579">
        <v>507.72</v>
      </c>
      <c r="H579" s="2" t="s">
        <v>1421</v>
      </c>
      <c r="I579" s="2" t="s">
        <v>1421</v>
      </c>
      <c r="J579" t="s">
        <v>16</v>
      </c>
      <c r="K579" s="2" t="str">
        <f>IFERROR(INDEX(Product_lookup[Category],MATCH(RawWorking[[#This Row],[ProductID]],Product_lookup[ProductID],0)),"")</f>
        <v>Home</v>
      </c>
      <c r="L579" s="9" t="str">
        <f>IF(OR(RawWorking[[#This Row],[ShipDate]]="",RawWorking[[#This Row],[DeliveryDate]]=""),"",RawWorking[[#This Row],[DeliveryDate]]-RawWorking[[#This Row],[ShipDate]])</f>
        <v/>
      </c>
      <c r="M579" s="9">
        <f>IF(COUNTIF(INDEX(RawWorking[OrderID],1):RawWorking[[#This Row],[OrderID]],RawWorking[[#This Row],[OrderID]])=1,1,0)</f>
        <v>0</v>
      </c>
      <c r="N579" s="4">
        <f>IFERROR(RawWorking[[#This Row],[LineAmount]]/RawWorking[[#This Row],[Quantity]],"")</f>
        <v>253.86</v>
      </c>
    </row>
    <row r="580" spans="1:14">
      <c r="A580">
        <v>50579</v>
      </c>
      <c r="B580">
        <v>30325</v>
      </c>
      <c r="C580" s="2">
        <v>45859</v>
      </c>
      <c r="D580">
        <v>2369</v>
      </c>
      <c r="E580">
        <v>1014</v>
      </c>
      <c r="F580">
        <v>3</v>
      </c>
      <c r="G580">
        <v>646.02</v>
      </c>
      <c r="H580" s="2">
        <v>46302</v>
      </c>
      <c r="I580" s="2" t="s">
        <v>1421</v>
      </c>
      <c r="J580" t="s">
        <v>16</v>
      </c>
      <c r="K580" s="2" t="str">
        <f>IFERROR(INDEX(Product_lookup[Category],MATCH(RawWorking[[#This Row],[ProductID]],Product_lookup[ProductID],0)),"")</f>
        <v>Sports</v>
      </c>
      <c r="L580" s="9" t="str">
        <f>IF(OR(RawWorking[[#This Row],[ShipDate]]="",RawWorking[[#This Row],[DeliveryDate]]=""),"",RawWorking[[#This Row],[DeliveryDate]]-RawWorking[[#This Row],[ShipDate]])</f>
        <v/>
      </c>
      <c r="M580" s="9">
        <f>IF(COUNTIF(INDEX(RawWorking[OrderID],1):RawWorking[[#This Row],[OrderID]],RawWorking[[#This Row],[OrderID]])=1,1,0)</f>
        <v>0</v>
      </c>
      <c r="N580" s="4">
        <f>IFERROR(RawWorking[[#This Row],[LineAmount]]/RawWorking[[#This Row],[Quantity]],"")</f>
        <v>215.34</v>
      </c>
    </row>
    <row r="581" spans="1:14">
      <c r="A581">
        <v>50580</v>
      </c>
      <c r="B581">
        <v>30326</v>
      </c>
      <c r="C581" s="2">
        <v>45939</v>
      </c>
      <c r="D581">
        <v>2092</v>
      </c>
      <c r="E581">
        <v>1003</v>
      </c>
      <c r="F581">
        <v>3</v>
      </c>
      <c r="G581">
        <v>673.11</v>
      </c>
      <c r="H581" s="2">
        <v>45942</v>
      </c>
      <c r="I581" s="2">
        <v>45944</v>
      </c>
      <c r="J581" t="s">
        <v>9</v>
      </c>
      <c r="K581" s="2" t="str">
        <f>IFERROR(INDEX(Product_lookup[Category],MATCH(RawWorking[[#This Row],[ProductID]],Product_lookup[ProductID],0)),"")</f>
        <v>Electronics</v>
      </c>
      <c r="L581" s="9">
        <f>IF(OR(RawWorking[[#This Row],[ShipDate]]="",RawWorking[[#This Row],[DeliveryDate]]=""),"",RawWorking[[#This Row],[DeliveryDate]]-RawWorking[[#This Row],[ShipDate]])</f>
        <v>2</v>
      </c>
      <c r="M581" s="9">
        <f>IF(COUNTIF(INDEX(RawWorking[OrderID],1):RawWorking[[#This Row],[OrderID]],RawWorking[[#This Row],[OrderID]])=1,1,0)</f>
        <v>1</v>
      </c>
      <c r="N581" s="4">
        <f>IFERROR(RawWorking[[#This Row],[LineAmount]]/RawWorking[[#This Row],[Quantity]],"")</f>
        <v>224.37</v>
      </c>
    </row>
    <row r="582" spans="1:14">
      <c r="A582">
        <v>50581</v>
      </c>
      <c r="B582">
        <v>30326</v>
      </c>
      <c r="C582" s="2">
        <v>45910</v>
      </c>
      <c r="D582">
        <v>2092</v>
      </c>
      <c r="E582">
        <v>1011</v>
      </c>
      <c r="F582">
        <v>1</v>
      </c>
      <c r="G582">
        <v>101.44</v>
      </c>
      <c r="H582" s="2">
        <v>45940</v>
      </c>
      <c r="I582" s="2">
        <v>45948</v>
      </c>
      <c r="J582" t="s">
        <v>9</v>
      </c>
      <c r="K582" s="2" t="str">
        <f>IFERROR(INDEX(Product_lookup[Category],MATCH(RawWorking[[#This Row],[ProductID]],Product_lookup[ProductID],0)),"")</f>
        <v>Office</v>
      </c>
      <c r="L582" s="9">
        <f>IF(OR(RawWorking[[#This Row],[ShipDate]]="",RawWorking[[#This Row],[DeliveryDate]]=""),"",RawWorking[[#This Row],[DeliveryDate]]-RawWorking[[#This Row],[ShipDate]])</f>
        <v>8</v>
      </c>
      <c r="M582" s="9">
        <f>IF(COUNTIF(INDEX(RawWorking[OrderID],1):RawWorking[[#This Row],[OrderID]],RawWorking[[#This Row],[OrderID]])=1,1,0)</f>
        <v>0</v>
      </c>
      <c r="N582" s="4">
        <f>IFERROR(RawWorking[[#This Row],[LineAmount]]/RawWorking[[#This Row],[Quantity]],"")</f>
        <v>101.44</v>
      </c>
    </row>
    <row r="583" spans="1:14">
      <c r="A583">
        <v>50582</v>
      </c>
      <c r="B583">
        <v>30326</v>
      </c>
      <c r="C583" s="2">
        <v>45939</v>
      </c>
      <c r="D583">
        <v>2092</v>
      </c>
      <c r="E583">
        <v>1013</v>
      </c>
      <c r="F583">
        <v>2</v>
      </c>
      <c r="G583">
        <v>340.5</v>
      </c>
      <c r="H583" s="2">
        <v>45940</v>
      </c>
      <c r="I583" s="2">
        <v>45947</v>
      </c>
      <c r="J583" t="s">
        <v>9</v>
      </c>
      <c r="K583" s="2" t="str">
        <f>IFERROR(INDEX(Product_lookup[Category],MATCH(RawWorking[[#This Row],[ProductID]],Product_lookup[ProductID],0)),"")</f>
        <v>Office</v>
      </c>
      <c r="L583" s="9">
        <f>IF(OR(RawWorking[[#This Row],[ShipDate]]="",RawWorking[[#This Row],[DeliveryDate]]=""),"",RawWorking[[#This Row],[DeliveryDate]]-RawWorking[[#This Row],[ShipDate]])</f>
        <v>7</v>
      </c>
      <c r="M583" s="9">
        <f>IF(COUNTIF(INDEX(RawWorking[OrderID],1):RawWorking[[#This Row],[OrderID]],RawWorking[[#This Row],[OrderID]])=1,1,0)</f>
        <v>0</v>
      </c>
      <c r="N583" s="4">
        <f>IFERROR(RawWorking[[#This Row],[LineAmount]]/RawWorking[[#This Row],[Quantity]],"")</f>
        <v>170.25</v>
      </c>
    </row>
    <row r="584" spans="1:14">
      <c r="A584">
        <v>50583</v>
      </c>
      <c r="B584">
        <v>30327</v>
      </c>
      <c r="C584" s="2">
        <v>46000</v>
      </c>
      <c r="D584">
        <v>2013</v>
      </c>
      <c r="E584">
        <v>1013</v>
      </c>
      <c r="F584">
        <v>1</v>
      </c>
      <c r="G584">
        <v>170.25</v>
      </c>
      <c r="H584" s="2">
        <v>46002</v>
      </c>
      <c r="I584" s="2">
        <v>46005</v>
      </c>
      <c r="J584" t="s">
        <v>9</v>
      </c>
      <c r="K584" s="2" t="str">
        <f>IFERROR(INDEX(Product_lookup[Category],MATCH(RawWorking[[#This Row],[ProductID]],Product_lookup[ProductID],0)),"")</f>
        <v>Office</v>
      </c>
      <c r="L584" s="9">
        <f>IF(OR(RawWorking[[#This Row],[ShipDate]]="",RawWorking[[#This Row],[DeliveryDate]]=""),"",RawWorking[[#This Row],[DeliveryDate]]-RawWorking[[#This Row],[ShipDate]])</f>
        <v>3</v>
      </c>
      <c r="M584" s="9">
        <f>IF(COUNTIF(INDEX(RawWorking[OrderID],1):RawWorking[[#This Row],[OrderID]],RawWorking[[#This Row],[OrderID]])=1,1,0)</f>
        <v>1</v>
      </c>
      <c r="N584" s="4">
        <f>IFERROR(RawWorking[[#This Row],[LineAmount]]/RawWorking[[#This Row],[Quantity]],"")</f>
        <v>170.25</v>
      </c>
    </row>
    <row r="585" spans="1:14">
      <c r="A585">
        <v>50584</v>
      </c>
      <c r="B585">
        <v>30328</v>
      </c>
      <c r="C585" s="2">
        <v>45736</v>
      </c>
      <c r="D585">
        <v>2087</v>
      </c>
      <c r="E585">
        <v>1008</v>
      </c>
      <c r="F585">
        <v>1</v>
      </c>
      <c r="G585">
        <v>206.09</v>
      </c>
      <c r="H585" s="2">
        <v>45737</v>
      </c>
      <c r="I585" s="2">
        <v>45744</v>
      </c>
      <c r="J585" t="s">
        <v>9</v>
      </c>
      <c r="K585" s="2" t="str">
        <f>IFERROR(INDEX(Product_lookup[Category],MATCH(RawWorking[[#This Row],[ProductID]],Product_lookup[ProductID],0)),"")</f>
        <v>Home</v>
      </c>
      <c r="L585" s="9">
        <f>IF(OR(RawWorking[[#This Row],[ShipDate]]="",RawWorking[[#This Row],[DeliveryDate]]=""),"",RawWorking[[#This Row],[DeliveryDate]]-RawWorking[[#This Row],[ShipDate]])</f>
        <v>7</v>
      </c>
      <c r="M585" s="9">
        <f>IF(COUNTIF(INDEX(RawWorking[OrderID],1):RawWorking[[#This Row],[OrderID]],RawWorking[[#This Row],[OrderID]])=1,1,0)</f>
        <v>1</v>
      </c>
      <c r="N585" s="4">
        <f>IFERROR(RawWorking[[#This Row],[LineAmount]]/RawWorking[[#This Row],[Quantity]],"")</f>
        <v>206.09</v>
      </c>
    </row>
    <row r="586" spans="1:14">
      <c r="A586">
        <v>50585</v>
      </c>
      <c r="B586">
        <v>30329</v>
      </c>
      <c r="C586" s="2">
        <v>46004</v>
      </c>
      <c r="D586">
        <v>2586</v>
      </c>
      <c r="E586">
        <v>1013</v>
      </c>
      <c r="F586">
        <v>3</v>
      </c>
      <c r="G586">
        <v>510.75</v>
      </c>
      <c r="H586" s="2">
        <v>46005</v>
      </c>
      <c r="I586" s="2">
        <v>46012</v>
      </c>
      <c r="J586" t="s">
        <v>9</v>
      </c>
      <c r="K586" s="2" t="str">
        <f>IFERROR(INDEX(Product_lookup[Category],MATCH(RawWorking[[#This Row],[ProductID]],Product_lookup[ProductID],0)),"")</f>
        <v>Office</v>
      </c>
      <c r="L586" s="9">
        <f>IF(OR(RawWorking[[#This Row],[ShipDate]]="",RawWorking[[#This Row],[DeliveryDate]]=""),"",RawWorking[[#This Row],[DeliveryDate]]-RawWorking[[#This Row],[ShipDate]])</f>
        <v>7</v>
      </c>
      <c r="M586" s="9">
        <f>IF(COUNTIF(INDEX(RawWorking[OrderID],1):RawWorking[[#This Row],[OrderID]],RawWorking[[#This Row],[OrderID]])=1,1,0)</f>
        <v>1</v>
      </c>
      <c r="N586" s="4">
        <f>IFERROR(RawWorking[[#This Row],[LineAmount]]/RawWorking[[#This Row],[Quantity]],"")</f>
        <v>170.25</v>
      </c>
    </row>
    <row r="587" spans="1:14">
      <c r="A587">
        <v>50586</v>
      </c>
      <c r="B587">
        <v>30330</v>
      </c>
      <c r="C587" s="2">
        <v>45902</v>
      </c>
      <c r="D587">
        <v>2174</v>
      </c>
      <c r="E587">
        <v>1010</v>
      </c>
      <c r="F587">
        <v>3</v>
      </c>
      <c r="G587">
        <v>364.5</v>
      </c>
      <c r="H587" s="2">
        <v>45903</v>
      </c>
      <c r="I587" s="2">
        <v>45913</v>
      </c>
      <c r="J587" t="s">
        <v>9</v>
      </c>
      <c r="K587" s="2" t="str">
        <f>IFERROR(INDEX(Product_lookup[Category],MATCH(RawWorking[[#This Row],[ProductID]],Product_lookup[ProductID],0)),"")</f>
        <v>Office</v>
      </c>
      <c r="L587" s="9">
        <f>IF(OR(RawWorking[[#This Row],[ShipDate]]="",RawWorking[[#This Row],[DeliveryDate]]=""),"",RawWorking[[#This Row],[DeliveryDate]]-RawWorking[[#This Row],[ShipDate]])</f>
        <v>10</v>
      </c>
      <c r="M587" s="9">
        <f>IF(COUNTIF(INDEX(RawWorking[OrderID],1):RawWorking[[#This Row],[OrderID]],RawWorking[[#This Row],[OrderID]])=1,1,0)</f>
        <v>1</v>
      </c>
      <c r="N587" s="4">
        <f>IFERROR(RawWorking[[#This Row],[LineAmount]]/RawWorking[[#This Row],[Quantity]],"")</f>
        <v>121.5</v>
      </c>
    </row>
    <row r="588" spans="1:14">
      <c r="A588">
        <v>50587</v>
      </c>
      <c r="B588">
        <v>30331</v>
      </c>
      <c r="C588" s="2">
        <v>45754</v>
      </c>
      <c r="E588">
        <v>1003</v>
      </c>
      <c r="F588">
        <v>1</v>
      </c>
      <c r="G588">
        <v>224.37</v>
      </c>
      <c r="H588" s="2">
        <v>45755</v>
      </c>
      <c r="I588" s="2">
        <v>45762</v>
      </c>
      <c r="J588" t="s">
        <v>9</v>
      </c>
      <c r="K588" s="2" t="str">
        <f>IFERROR(INDEX(Product_lookup[Category],MATCH(RawWorking[[#This Row],[ProductID]],Product_lookup[ProductID],0)),"")</f>
        <v>Electronics</v>
      </c>
      <c r="L588" s="9">
        <f>IF(OR(RawWorking[[#This Row],[ShipDate]]="",RawWorking[[#This Row],[DeliveryDate]]=""),"",RawWorking[[#This Row],[DeliveryDate]]-RawWorking[[#This Row],[ShipDate]])</f>
        <v>7</v>
      </c>
      <c r="M588" s="9">
        <f>IF(COUNTIF(INDEX(RawWorking[OrderID],1):RawWorking[[#This Row],[OrderID]],RawWorking[[#This Row],[OrderID]])=1,1,0)</f>
        <v>1</v>
      </c>
      <c r="N588" s="4">
        <f>IFERROR(RawWorking[[#This Row],[LineAmount]]/RawWorking[[#This Row],[Quantity]],"")</f>
        <v>224.37</v>
      </c>
    </row>
    <row r="589" spans="1:14">
      <c r="A589">
        <v>50588</v>
      </c>
      <c r="B589">
        <v>30331</v>
      </c>
      <c r="C589" s="2">
        <v>45754</v>
      </c>
      <c r="D589">
        <v>2275</v>
      </c>
      <c r="E589">
        <v>1006</v>
      </c>
      <c r="F589">
        <v>3</v>
      </c>
      <c r="G589">
        <v>761.58</v>
      </c>
      <c r="H589" s="2">
        <v>45756</v>
      </c>
      <c r="I589" s="2">
        <v>45759</v>
      </c>
      <c r="J589" t="s">
        <v>9</v>
      </c>
      <c r="K589" s="2" t="str">
        <f>IFERROR(INDEX(Product_lookup[Category],MATCH(RawWorking[[#This Row],[ProductID]],Product_lookup[ProductID],0)),"")</f>
        <v>Home</v>
      </c>
      <c r="L589" s="9">
        <f>IF(OR(RawWorking[[#This Row],[ShipDate]]="",RawWorking[[#This Row],[DeliveryDate]]=""),"",RawWorking[[#This Row],[DeliveryDate]]-RawWorking[[#This Row],[ShipDate]])</f>
        <v>3</v>
      </c>
      <c r="M589" s="9">
        <f>IF(COUNTIF(INDEX(RawWorking[OrderID],1):RawWorking[[#This Row],[OrderID]],RawWorking[[#This Row],[OrderID]])=1,1,0)</f>
        <v>0</v>
      </c>
      <c r="N589" s="4">
        <f>IFERROR(RawWorking[[#This Row],[LineAmount]]/RawWorking[[#This Row],[Quantity]],"")</f>
        <v>253.86</v>
      </c>
    </row>
    <row r="590" spans="1:14">
      <c r="A590">
        <v>50589</v>
      </c>
      <c r="B590">
        <v>30331</v>
      </c>
      <c r="C590" s="2">
        <v>45754</v>
      </c>
      <c r="D590">
        <v>2275</v>
      </c>
      <c r="E590">
        <v>1014</v>
      </c>
      <c r="F590">
        <v>1</v>
      </c>
      <c r="G590">
        <v>215.34</v>
      </c>
      <c r="H590" s="2">
        <v>45756</v>
      </c>
      <c r="I590" s="2">
        <v>45766</v>
      </c>
      <c r="J590" t="s">
        <v>9</v>
      </c>
      <c r="K590" s="2" t="str">
        <f>IFERROR(INDEX(Product_lookup[Category],MATCH(RawWorking[[#This Row],[ProductID]],Product_lookup[ProductID],0)),"")</f>
        <v>Sports</v>
      </c>
      <c r="L590" s="9">
        <f>IF(OR(RawWorking[[#This Row],[ShipDate]]="",RawWorking[[#This Row],[DeliveryDate]]=""),"",RawWorking[[#This Row],[DeliveryDate]]-RawWorking[[#This Row],[ShipDate]])</f>
        <v>10</v>
      </c>
      <c r="M590" s="9">
        <f>IF(COUNTIF(INDEX(RawWorking[OrderID],1):RawWorking[[#This Row],[OrderID]],RawWorking[[#This Row],[OrderID]])=1,1,0)</f>
        <v>0</v>
      </c>
      <c r="N590" s="4">
        <f>IFERROR(RawWorking[[#This Row],[LineAmount]]/RawWorking[[#This Row],[Quantity]],"")</f>
        <v>215.34</v>
      </c>
    </row>
    <row r="591" spans="1:14">
      <c r="A591">
        <v>50590</v>
      </c>
      <c r="B591">
        <v>30332</v>
      </c>
      <c r="C591" s="2">
        <v>45863</v>
      </c>
      <c r="D591">
        <v>2283</v>
      </c>
      <c r="E591">
        <v>1016</v>
      </c>
      <c r="F591">
        <v>1</v>
      </c>
      <c r="G591">
        <v>65.260000000000005</v>
      </c>
      <c r="H591" s="2">
        <v>45864</v>
      </c>
      <c r="I591" s="2">
        <v>45871</v>
      </c>
      <c r="J591" t="s">
        <v>9</v>
      </c>
      <c r="K591" s="2" t="str">
        <f>IFERROR(INDEX(Product_lookup[Category],MATCH(RawWorking[[#This Row],[ProductID]],Product_lookup[ProductID],0)),"")</f>
        <v>Sports</v>
      </c>
      <c r="L591" s="9">
        <f>IF(OR(RawWorking[[#This Row],[ShipDate]]="",RawWorking[[#This Row],[DeliveryDate]]=""),"",RawWorking[[#This Row],[DeliveryDate]]-RawWorking[[#This Row],[ShipDate]])</f>
        <v>7</v>
      </c>
      <c r="M591" s="9">
        <f>IF(COUNTIF(INDEX(RawWorking[OrderID],1):RawWorking[[#This Row],[OrderID]],RawWorking[[#This Row],[OrderID]])=1,1,0)</f>
        <v>1</v>
      </c>
      <c r="N591" s="4">
        <f>IFERROR(RawWorking[[#This Row],[LineAmount]]/RawWorking[[#This Row],[Quantity]],"")</f>
        <v>65.260000000000005</v>
      </c>
    </row>
    <row r="592" spans="1:14">
      <c r="A592">
        <v>50591</v>
      </c>
      <c r="B592">
        <v>30333</v>
      </c>
      <c r="C592" s="2">
        <v>45750</v>
      </c>
      <c r="D592">
        <v>2079</v>
      </c>
      <c r="E592">
        <v>1008</v>
      </c>
      <c r="F592">
        <v>2</v>
      </c>
      <c r="G592">
        <v>412.18</v>
      </c>
      <c r="H592" s="2">
        <v>45752</v>
      </c>
      <c r="I592" s="2">
        <v>45756</v>
      </c>
      <c r="J592" t="s">
        <v>9</v>
      </c>
      <c r="K592" s="2" t="str">
        <f>IFERROR(INDEX(Product_lookup[Category],MATCH(RawWorking[[#This Row],[ProductID]],Product_lookup[ProductID],0)),"")</f>
        <v>Home</v>
      </c>
      <c r="L592" s="9">
        <f>IF(OR(RawWorking[[#This Row],[ShipDate]]="",RawWorking[[#This Row],[DeliveryDate]]=""),"",RawWorking[[#This Row],[DeliveryDate]]-RawWorking[[#This Row],[ShipDate]])</f>
        <v>4</v>
      </c>
      <c r="M592" s="9">
        <f>IF(COUNTIF(INDEX(RawWorking[OrderID],1):RawWorking[[#This Row],[OrderID]],RawWorking[[#This Row],[OrderID]])=1,1,0)</f>
        <v>1</v>
      </c>
      <c r="N592" s="4">
        <f>IFERROR(RawWorking[[#This Row],[LineAmount]]/RawWorking[[#This Row],[Quantity]],"")</f>
        <v>206.09</v>
      </c>
    </row>
    <row r="593" spans="1:14">
      <c r="A593">
        <v>50592</v>
      </c>
      <c r="B593">
        <v>30333</v>
      </c>
      <c r="C593" s="2">
        <v>45750</v>
      </c>
      <c r="D593">
        <v>2079</v>
      </c>
      <c r="E593">
        <v>1016</v>
      </c>
      <c r="F593">
        <v>3</v>
      </c>
      <c r="G593">
        <v>195.78</v>
      </c>
      <c r="H593" s="2">
        <v>45812</v>
      </c>
      <c r="I593" s="2">
        <v>45904</v>
      </c>
      <c r="J593" t="s">
        <v>9</v>
      </c>
      <c r="K593" s="2" t="str">
        <f>IFERROR(INDEX(Product_lookup[Category],MATCH(RawWorking[[#This Row],[ProductID]],Product_lookup[ProductID],0)),"")</f>
        <v>Sports</v>
      </c>
      <c r="L593" s="9">
        <f>IF(OR(RawWorking[[#This Row],[ShipDate]]="",RawWorking[[#This Row],[DeliveryDate]]=""),"",RawWorking[[#This Row],[DeliveryDate]]-RawWorking[[#This Row],[ShipDate]])</f>
        <v>92</v>
      </c>
      <c r="M593" s="9">
        <f>IF(COUNTIF(INDEX(RawWorking[OrderID],1):RawWorking[[#This Row],[OrderID]],RawWorking[[#This Row],[OrderID]])=1,1,0)</f>
        <v>0</v>
      </c>
      <c r="N593" s="4">
        <f>IFERROR(RawWorking[[#This Row],[LineAmount]]/RawWorking[[#This Row],[Quantity]],"")</f>
        <v>65.260000000000005</v>
      </c>
    </row>
    <row r="594" spans="1:14">
      <c r="A594">
        <v>50593</v>
      </c>
      <c r="B594">
        <v>30334</v>
      </c>
      <c r="C594" s="2">
        <v>45904</v>
      </c>
      <c r="D594">
        <v>2201</v>
      </c>
      <c r="E594">
        <v>1005</v>
      </c>
      <c r="F594">
        <v>5</v>
      </c>
      <c r="G594">
        <v>158.65</v>
      </c>
      <c r="H594" s="2">
        <v>45905</v>
      </c>
      <c r="I594" s="2">
        <v>45914</v>
      </c>
      <c r="J594" t="s">
        <v>9</v>
      </c>
      <c r="K594" s="2" t="str">
        <f>IFERROR(INDEX(Product_lookup[Category],MATCH(RawWorking[[#This Row],[ProductID]],Product_lookup[ProductID],0)),"")</f>
        <v>Electronics</v>
      </c>
      <c r="L594" s="9">
        <f>IF(OR(RawWorking[[#This Row],[ShipDate]]="",RawWorking[[#This Row],[DeliveryDate]]=""),"",RawWorking[[#This Row],[DeliveryDate]]-RawWorking[[#This Row],[ShipDate]])</f>
        <v>9</v>
      </c>
      <c r="M594" s="9">
        <f>IF(COUNTIF(INDEX(RawWorking[OrderID],1):RawWorking[[#This Row],[OrderID]],RawWorking[[#This Row],[OrderID]])=1,1,0)</f>
        <v>1</v>
      </c>
      <c r="N594" s="4">
        <f>IFERROR(RawWorking[[#This Row],[LineAmount]]/RawWorking[[#This Row],[Quantity]],"")</f>
        <v>31.73</v>
      </c>
    </row>
    <row r="595" spans="1:14">
      <c r="A595">
        <v>50594</v>
      </c>
      <c r="B595">
        <v>30334</v>
      </c>
      <c r="C595" s="2">
        <v>45756</v>
      </c>
      <c r="D595">
        <v>2201</v>
      </c>
      <c r="E595">
        <v>1010</v>
      </c>
      <c r="F595">
        <v>1</v>
      </c>
      <c r="G595">
        <v>121.5</v>
      </c>
      <c r="H595" s="2">
        <v>45786</v>
      </c>
      <c r="I595" s="2">
        <v>45914</v>
      </c>
      <c r="J595" t="s">
        <v>9</v>
      </c>
      <c r="K595" s="2" t="str">
        <f>IFERROR(INDEX(Product_lookup[Category],MATCH(RawWorking[[#This Row],[ProductID]],Product_lookup[ProductID],0)),"")</f>
        <v>Office</v>
      </c>
      <c r="L595" s="9">
        <f>IF(OR(RawWorking[[#This Row],[ShipDate]]="",RawWorking[[#This Row],[DeliveryDate]]=""),"",RawWorking[[#This Row],[DeliveryDate]]-RawWorking[[#This Row],[ShipDate]])</f>
        <v>128</v>
      </c>
      <c r="M595" s="9">
        <f>IF(COUNTIF(INDEX(RawWorking[OrderID],1):RawWorking[[#This Row],[OrderID]],RawWorking[[#This Row],[OrderID]])=1,1,0)</f>
        <v>0</v>
      </c>
      <c r="N595" s="4">
        <f>IFERROR(RawWorking[[#This Row],[LineAmount]]/RawWorking[[#This Row],[Quantity]],"")</f>
        <v>121.5</v>
      </c>
    </row>
    <row r="596" spans="1:14">
      <c r="A596">
        <v>50595</v>
      </c>
      <c r="B596">
        <v>30335</v>
      </c>
      <c r="C596" s="2">
        <v>45847</v>
      </c>
      <c r="D596">
        <v>2007</v>
      </c>
      <c r="E596">
        <v>1011</v>
      </c>
      <c r="F596">
        <v>1</v>
      </c>
      <c r="G596">
        <v>101.44</v>
      </c>
      <c r="H596" s="2">
        <v>45848</v>
      </c>
      <c r="I596" s="2">
        <v>45852</v>
      </c>
      <c r="J596" t="s">
        <v>11</v>
      </c>
      <c r="K596" s="2" t="str">
        <f>IFERROR(INDEX(Product_lookup[Category],MATCH(RawWorking[[#This Row],[ProductID]],Product_lookup[ProductID],0)),"")</f>
        <v>Office</v>
      </c>
      <c r="L596" s="9">
        <f>IF(OR(RawWorking[[#This Row],[ShipDate]]="",RawWorking[[#This Row],[DeliveryDate]]=""),"",RawWorking[[#This Row],[DeliveryDate]]-RawWorking[[#This Row],[ShipDate]])</f>
        <v>4</v>
      </c>
      <c r="M596" s="9">
        <f>IF(COUNTIF(INDEX(RawWorking[OrderID],1):RawWorking[[#This Row],[OrderID]],RawWorking[[#This Row],[OrderID]])=1,1,0)</f>
        <v>1</v>
      </c>
      <c r="N596" s="4">
        <f>IFERROR(RawWorking[[#This Row],[LineAmount]]/RawWorking[[#This Row],[Quantity]],"")</f>
        <v>101.44</v>
      </c>
    </row>
    <row r="597" spans="1:14">
      <c r="A597">
        <v>50596</v>
      </c>
      <c r="B597">
        <v>30335</v>
      </c>
      <c r="C597" s="2">
        <v>45847</v>
      </c>
      <c r="D597">
        <v>2007</v>
      </c>
      <c r="E597">
        <v>1013</v>
      </c>
      <c r="F597">
        <v>2</v>
      </c>
      <c r="G597">
        <v>340.5</v>
      </c>
      <c r="H597" s="2">
        <v>45848</v>
      </c>
      <c r="I597" s="2">
        <v>45852</v>
      </c>
      <c r="J597" t="s">
        <v>11</v>
      </c>
      <c r="K597" s="2" t="str">
        <f>IFERROR(INDEX(Product_lookup[Category],MATCH(RawWorking[[#This Row],[ProductID]],Product_lookup[ProductID],0)),"")</f>
        <v>Office</v>
      </c>
      <c r="L597" s="9">
        <f>IF(OR(RawWorking[[#This Row],[ShipDate]]="",RawWorking[[#This Row],[DeliveryDate]]=""),"",RawWorking[[#This Row],[DeliveryDate]]-RawWorking[[#This Row],[ShipDate]])</f>
        <v>4</v>
      </c>
      <c r="M597" s="9">
        <f>IF(COUNTIF(INDEX(RawWorking[OrderID],1):RawWorking[[#This Row],[OrderID]],RawWorking[[#This Row],[OrderID]])=1,1,0)</f>
        <v>0</v>
      </c>
      <c r="N597" s="4">
        <f>IFERROR(RawWorking[[#This Row],[LineAmount]]/RawWorking[[#This Row],[Quantity]],"")</f>
        <v>170.25</v>
      </c>
    </row>
    <row r="598" spans="1:14">
      <c r="A598">
        <v>50597</v>
      </c>
      <c r="B598">
        <v>30335</v>
      </c>
      <c r="C598" s="2">
        <v>45847</v>
      </c>
      <c r="D598">
        <v>2007</v>
      </c>
      <c r="E598">
        <v>1011</v>
      </c>
      <c r="F598">
        <v>1</v>
      </c>
      <c r="G598">
        <v>101.44</v>
      </c>
      <c r="H598" s="2">
        <v>45848</v>
      </c>
      <c r="I598" s="2">
        <v>45850</v>
      </c>
      <c r="J598" t="s">
        <v>11</v>
      </c>
      <c r="K598" s="2" t="str">
        <f>IFERROR(INDEX(Product_lookup[Category],MATCH(RawWorking[[#This Row],[ProductID]],Product_lookup[ProductID],0)),"")</f>
        <v>Office</v>
      </c>
      <c r="L598" s="9">
        <f>IF(OR(RawWorking[[#This Row],[ShipDate]]="",RawWorking[[#This Row],[DeliveryDate]]=""),"",RawWorking[[#This Row],[DeliveryDate]]-RawWorking[[#This Row],[ShipDate]])</f>
        <v>2</v>
      </c>
      <c r="M598" s="9">
        <f>IF(COUNTIF(INDEX(RawWorking[OrderID],1):RawWorking[[#This Row],[OrderID]],RawWorking[[#This Row],[OrderID]])=1,1,0)</f>
        <v>0</v>
      </c>
      <c r="N598" s="4">
        <f>IFERROR(RawWorking[[#This Row],[LineAmount]]/RawWorking[[#This Row],[Quantity]],"")</f>
        <v>101.44</v>
      </c>
    </row>
    <row r="599" spans="1:14">
      <c r="A599">
        <v>50598</v>
      </c>
      <c r="B599">
        <v>30336</v>
      </c>
      <c r="C599" s="2">
        <v>45863</v>
      </c>
      <c r="D599">
        <v>2451</v>
      </c>
      <c r="E599">
        <v>1005</v>
      </c>
      <c r="F599">
        <v>3</v>
      </c>
      <c r="G599">
        <v>95.19</v>
      </c>
      <c r="H599" s="2">
        <v>45865</v>
      </c>
      <c r="I599" s="2">
        <v>45871</v>
      </c>
      <c r="J599" t="s">
        <v>9</v>
      </c>
      <c r="K599" s="2" t="str">
        <f>IFERROR(INDEX(Product_lookup[Category],MATCH(RawWorking[[#This Row],[ProductID]],Product_lookup[ProductID],0)),"")</f>
        <v>Electronics</v>
      </c>
      <c r="L599" s="9">
        <f>IF(OR(RawWorking[[#This Row],[ShipDate]]="",RawWorking[[#This Row],[DeliveryDate]]=""),"",RawWorking[[#This Row],[DeliveryDate]]-RawWorking[[#This Row],[ShipDate]])</f>
        <v>6</v>
      </c>
      <c r="M599" s="9">
        <f>IF(COUNTIF(INDEX(RawWorking[OrderID],1):RawWorking[[#This Row],[OrderID]],RawWorking[[#This Row],[OrderID]])=1,1,0)</f>
        <v>1</v>
      </c>
      <c r="N599" s="4">
        <f>IFERROR(RawWorking[[#This Row],[LineAmount]]/RawWorking[[#This Row],[Quantity]],"")</f>
        <v>31.73</v>
      </c>
    </row>
    <row r="600" spans="1:14">
      <c r="A600">
        <v>50599</v>
      </c>
      <c r="B600">
        <v>30337</v>
      </c>
      <c r="C600" s="2">
        <v>45892</v>
      </c>
      <c r="D600">
        <v>2308</v>
      </c>
      <c r="E600">
        <v>1007</v>
      </c>
      <c r="F600">
        <v>5</v>
      </c>
      <c r="G600">
        <v>999.05</v>
      </c>
      <c r="H600" s="2">
        <v>45893</v>
      </c>
      <c r="I600" s="2">
        <v>45898</v>
      </c>
      <c r="J600" t="s">
        <v>9</v>
      </c>
      <c r="K600" s="2" t="str">
        <f>IFERROR(INDEX(Product_lookup[Category],MATCH(RawWorking[[#This Row],[ProductID]],Product_lookup[ProductID],0)),"")</f>
        <v>Home</v>
      </c>
      <c r="L600" s="9">
        <f>IF(OR(RawWorking[[#This Row],[ShipDate]]="",RawWorking[[#This Row],[DeliveryDate]]=""),"",RawWorking[[#This Row],[DeliveryDate]]-RawWorking[[#This Row],[ShipDate]])</f>
        <v>5</v>
      </c>
      <c r="M600" s="9">
        <f>IF(COUNTIF(INDEX(RawWorking[OrderID],1):RawWorking[[#This Row],[OrderID]],RawWorking[[#This Row],[OrderID]])=1,1,0)</f>
        <v>1</v>
      </c>
      <c r="N600" s="4">
        <f>IFERROR(RawWorking[[#This Row],[LineAmount]]/RawWorking[[#This Row],[Quantity]],"")</f>
        <v>199.81</v>
      </c>
    </row>
    <row r="601" spans="1:14">
      <c r="A601">
        <v>50600</v>
      </c>
      <c r="B601">
        <v>30337</v>
      </c>
      <c r="C601" s="2">
        <v>45892</v>
      </c>
      <c r="D601">
        <v>2308</v>
      </c>
      <c r="E601">
        <v>1016</v>
      </c>
      <c r="F601">
        <v>1</v>
      </c>
      <c r="G601">
        <v>65.260000000000005</v>
      </c>
      <c r="H601" s="2">
        <v>45893</v>
      </c>
      <c r="I601" s="2">
        <v>45903</v>
      </c>
      <c r="J601" t="s">
        <v>9</v>
      </c>
      <c r="K601" s="2" t="str">
        <f>IFERROR(INDEX(Product_lookup[Category],MATCH(RawWorking[[#This Row],[ProductID]],Product_lookup[ProductID],0)),"")</f>
        <v>Sports</v>
      </c>
      <c r="L601" s="9">
        <f>IF(OR(RawWorking[[#This Row],[ShipDate]]="",RawWorking[[#This Row],[DeliveryDate]]=""),"",RawWorking[[#This Row],[DeliveryDate]]-RawWorking[[#This Row],[ShipDate]])</f>
        <v>10</v>
      </c>
      <c r="M601" s="9">
        <f>IF(COUNTIF(INDEX(RawWorking[OrderID],1):RawWorking[[#This Row],[OrderID]],RawWorking[[#This Row],[OrderID]])=1,1,0)</f>
        <v>0</v>
      </c>
      <c r="N601" s="4">
        <f>IFERROR(RawWorking[[#This Row],[LineAmount]]/RawWorking[[#This Row],[Quantity]],"")</f>
        <v>65.260000000000005</v>
      </c>
    </row>
    <row r="602" spans="1:14">
      <c r="A602">
        <v>50601</v>
      </c>
      <c r="B602">
        <v>30338</v>
      </c>
      <c r="C602" s="2">
        <v>45684</v>
      </c>
      <c r="D602">
        <v>2322</v>
      </c>
      <c r="E602">
        <v>1013</v>
      </c>
      <c r="F602">
        <v>2</v>
      </c>
      <c r="G602">
        <v>340.5</v>
      </c>
      <c r="H602" s="2">
        <v>45685</v>
      </c>
      <c r="I602" s="2">
        <v>45695</v>
      </c>
      <c r="J602" t="s">
        <v>9</v>
      </c>
      <c r="K602" s="2" t="str">
        <f>IFERROR(INDEX(Product_lookup[Category],MATCH(RawWorking[[#This Row],[ProductID]],Product_lookup[ProductID],0)),"")</f>
        <v>Office</v>
      </c>
      <c r="L602" s="9">
        <f>IF(OR(RawWorking[[#This Row],[ShipDate]]="",RawWorking[[#This Row],[DeliveryDate]]=""),"",RawWorking[[#This Row],[DeliveryDate]]-RawWorking[[#This Row],[ShipDate]])</f>
        <v>10</v>
      </c>
      <c r="M602" s="9">
        <f>IF(COUNTIF(INDEX(RawWorking[OrderID],1):RawWorking[[#This Row],[OrderID]],RawWorking[[#This Row],[OrderID]])=1,1,0)</f>
        <v>1</v>
      </c>
      <c r="N602" s="4">
        <f>IFERROR(RawWorking[[#This Row],[LineAmount]]/RawWorking[[#This Row],[Quantity]],"")</f>
        <v>170.25</v>
      </c>
    </row>
    <row r="603" spans="1:14">
      <c r="A603">
        <v>50602</v>
      </c>
      <c r="B603">
        <v>30338</v>
      </c>
      <c r="C603" s="2">
        <v>45684</v>
      </c>
      <c r="D603">
        <v>2322</v>
      </c>
      <c r="E603">
        <v>1011</v>
      </c>
      <c r="F603">
        <v>1</v>
      </c>
      <c r="G603">
        <v>101.44</v>
      </c>
      <c r="H603" s="2">
        <v>45685</v>
      </c>
      <c r="I603" s="2">
        <v>45687</v>
      </c>
      <c r="J603" t="s">
        <v>9</v>
      </c>
      <c r="K603" s="2" t="str">
        <f>IFERROR(INDEX(Product_lookup[Category],MATCH(RawWorking[[#This Row],[ProductID]],Product_lookup[ProductID],0)),"")</f>
        <v>Office</v>
      </c>
      <c r="L603" s="9">
        <f>IF(OR(RawWorking[[#This Row],[ShipDate]]="",RawWorking[[#This Row],[DeliveryDate]]=""),"",RawWorking[[#This Row],[DeliveryDate]]-RawWorking[[#This Row],[ShipDate]])</f>
        <v>2</v>
      </c>
      <c r="M603" s="9">
        <f>IF(COUNTIF(INDEX(RawWorking[OrderID],1):RawWorking[[#This Row],[OrderID]],RawWorking[[#This Row],[OrderID]])=1,1,0)</f>
        <v>0</v>
      </c>
      <c r="N603" s="4">
        <f>IFERROR(RawWorking[[#This Row],[LineAmount]]/RawWorking[[#This Row],[Quantity]],"")</f>
        <v>101.44</v>
      </c>
    </row>
    <row r="604" spans="1:14">
      <c r="A604">
        <v>50603</v>
      </c>
      <c r="B604">
        <v>30339</v>
      </c>
      <c r="C604" s="2">
        <v>45731</v>
      </c>
      <c r="D604">
        <v>2299</v>
      </c>
      <c r="E604">
        <v>1016</v>
      </c>
      <c r="F604">
        <v>1</v>
      </c>
      <c r="G604">
        <v>65.260000000000005</v>
      </c>
      <c r="H604" s="2">
        <v>45732</v>
      </c>
      <c r="I604" s="2">
        <v>45735</v>
      </c>
      <c r="J604" t="s">
        <v>9</v>
      </c>
      <c r="K604" s="2" t="str">
        <f>IFERROR(INDEX(Product_lookup[Category],MATCH(RawWorking[[#This Row],[ProductID]],Product_lookup[ProductID],0)),"")</f>
        <v>Sports</v>
      </c>
      <c r="L604" s="9">
        <f>IF(OR(RawWorking[[#This Row],[ShipDate]]="",RawWorking[[#This Row],[DeliveryDate]]=""),"",RawWorking[[#This Row],[DeliveryDate]]-RawWorking[[#This Row],[ShipDate]])</f>
        <v>3</v>
      </c>
      <c r="M604" s="9">
        <f>IF(COUNTIF(INDEX(RawWorking[OrderID],1):RawWorking[[#This Row],[OrderID]],RawWorking[[#This Row],[OrderID]])=1,1,0)</f>
        <v>1</v>
      </c>
      <c r="N604" s="4">
        <f>IFERROR(RawWorking[[#This Row],[LineAmount]]/RawWorking[[#This Row],[Quantity]],"")</f>
        <v>65.260000000000005</v>
      </c>
    </row>
    <row r="605" spans="1:14">
      <c r="A605">
        <v>50604</v>
      </c>
      <c r="B605">
        <v>30340</v>
      </c>
      <c r="C605" s="2">
        <v>45728</v>
      </c>
      <c r="D605">
        <v>2590</v>
      </c>
      <c r="E605">
        <v>1011</v>
      </c>
      <c r="F605">
        <v>2</v>
      </c>
      <c r="G605">
        <v>202.88</v>
      </c>
      <c r="H605" s="2" t="s">
        <v>1421</v>
      </c>
      <c r="I605" s="2" t="s">
        <v>1421</v>
      </c>
      <c r="J605" t="s">
        <v>16</v>
      </c>
      <c r="K605" s="2" t="str">
        <f>IFERROR(INDEX(Product_lookup[Category],MATCH(RawWorking[[#This Row],[ProductID]],Product_lookup[ProductID],0)),"")</f>
        <v>Office</v>
      </c>
      <c r="L605" s="9" t="str">
        <f>IF(OR(RawWorking[[#This Row],[ShipDate]]="",RawWorking[[#This Row],[DeliveryDate]]=""),"",RawWorking[[#This Row],[DeliveryDate]]-RawWorking[[#This Row],[ShipDate]])</f>
        <v/>
      </c>
      <c r="M605" s="9">
        <f>IF(COUNTIF(INDEX(RawWorking[OrderID],1):RawWorking[[#This Row],[OrderID]],RawWorking[[#This Row],[OrderID]])=1,1,0)</f>
        <v>1</v>
      </c>
      <c r="N605" s="4">
        <f>IFERROR(RawWorking[[#This Row],[LineAmount]]/RawWorking[[#This Row],[Quantity]],"")</f>
        <v>101.44</v>
      </c>
    </row>
    <row r="606" spans="1:14">
      <c r="A606">
        <v>50605</v>
      </c>
      <c r="B606">
        <v>30340</v>
      </c>
      <c r="C606" s="2">
        <v>45994</v>
      </c>
      <c r="D606">
        <v>2590</v>
      </c>
      <c r="E606">
        <v>1013</v>
      </c>
      <c r="F606">
        <v>1</v>
      </c>
      <c r="G606">
        <v>170.25</v>
      </c>
      <c r="H606" s="2" t="s">
        <v>1421</v>
      </c>
      <c r="I606" s="2" t="s">
        <v>1421</v>
      </c>
      <c r="J606" t="s">
        <v>16</v>
      </c>
      <c r="K606" s="2" t="str">
        <f>IFERROR(INDEX(Product_lookup[Category],MATCH(RawWorking[[#This Row],[ProductID]],Product_lookup[ProductID],0)),"")</f>
        <v>Office</v>
      </c>
      <c r="L606" s="9" t="str">
        <f>IF(OR(RawWorking[[#This Row],[ShipDate]]="",RawWorking[[#This Row],[DeliveryDate]]=""),"",RawWorking[[#This Row],[DeliveryDate]]-RawWorking[[#This Row],[ShipDate]])</f>
        <v/>
      </c>
      <c r="M606" s="9">
        <f>IF(COUNTIF(INDEX(RawWorking[OrderID],1):RawWorking[[#This Row],[OrderID]],RawWorking[[#This Row],[OrderID]])=1,1,0)</f>
        <v>0</v>
      </c>
      <c r="N606" s="4">
        <f>IFERROR(RawWorking[[#This Row],[LineAmount]]/RawWorking[[#This Row],[Quantity]],"")</f>
        <v>170.25</v>
      </c>
    </row>
    <row r="607" spans="1:14">
      <c r="A607">
        <v>50606</v>
      </c>
      <c r="B607">
        <v>30340</v>
      </c>
      <c r="C607" s="2">
        <v>45728</v>
      </c>
      <c r="D607">
        <v>2590</v>
      </c>
      <c r="E607">
        <v>1007</v>
      </c>
      <c r="F607">
        <v>1</v>
      </c>
      <c r="G607">
        <v>199.81</v>
      </c>
      <c r="H607" s="2" t="s">
        <v>1421</v>
      </c>
      <c r="I607" s="2" t="s">
        <v>1421</v>
      </c>
      <c r="J607" t="s">
        <v>16</v>
      </c>
      <c r="K607" s="2" t="str">
        <f>IFERROR(INDEX(Product_lookup[Category],MATCH(RawWorking[[#This Row],[ProductID]],Product_lookup[ProductID],0)),"")</f>
        <v>Home</v>
      </c>
      <c r="L607" s="9" t="str">
        <f>IF(OR(RawWorking[[#This Row],[ShipDate]]="",RawWorking[[#This Row],[DeliveryDate]]=""),"",RawWorking[[#This Row],[DeliveryDate]]-RawWorking[[#This Row],[ShipDate]])</f>
        <v/>
      </c>
      <c r="M607" s="9">
        <f>IF(COUNTIF(INDEX(RawWorking[OrderID],1):RawWorking[[#This Row],[OrderID]],RawWorking[[#This Row],[OrderID]])=1,1,0)</f>
        <v>0</v>
      </c>
      <c r="N607" s="4">
        <f>IFERROR(RawWorking[[#This Row],[LineAmount]]/RawWorking[[#This Row],[Quantity]],"")</f>
        <v>199.81</v>
      </c>
    </row>
    <row r="608" spans="1:14">
      <c r="A608">
        <v>50607</v>
      </c>
      <c r="B608">
        <v>30341</v>
      </c>
      <c r="C608" s="2">
        <v>45948</v>
      </c>
      <c r="D608">
        <v>2559</v>
      </c>
      <c r="E608">
        <v>1001</v>
      </c>
      <c r="F608">
        <v>1</v>
      </c>
      <c r="G608">
        <v>203.04</v>
      </c>
      <c r="H608" s="2">
        <v>45949</v>
      </c>
      <c r="I608" s="2">
        <v>45959</v>
      </c>
      <c r="J608" t="s">
        <v>9</v>
      </c>
      <c r="K608" s="2" t="str">
        <f>IFERROR(INDEX(Product_lookup[Category],MATCH(RawWorking[[#This Row],[ProductID]],Product_lookup[ProductID],0)),"")</f>
        <v>Electronics</v>
      </c>
      <c r="L608" s="9">
        <f>IF(OR(RawWorking[[#This Row],[ShipDate]]="",RawWorking[[#This Row],[DeliveryDate]]=""),"",RawWorking[[#This Row],[DeliveryDate]]-RawWorking[[#This Row],[ShipDate]])</f>
        <v>10</v>
      </c>
      <c r="M608" s="9">
        <f>IF(COUNTIF(INDEX(RawWorking[OrderID],1):RawWorking[[#This Row],[OrderID]],RawWorking[[#This Row],[OrderID]])=1,1,0)</f>
        <v>1</v>
      </c>
      <c r="N608" s="4">
        <f>IFERROR(RawWorking[[#This Row],[LineAmount]]/RawWorking[[#This Row],[Quantity]],"")</f>
        <v>203.04</v>
      </c>
    </row>
    <row r="609" spans="1:14">
      <c r="A609">
        <v>50608</v>
      </c>
      <c r="B609">
        <v>30342</v>
      </c>
      <c r="C609" s="2">
        <v>45845</v>
      </c>
      <c r="D609">
        <v>2473</v>
      </c>
      <c r="E609">
        <v>1007</v>
      </c>
      <c r="F609">
        <v>3</v>
      </c>
      <c r="G609">
        <v>599.42999999999995</v>
      </c>
      <c r="H609" s="2">
        <v>45847</v>
      </c>
      <c r="I609" s="2">
        <v>45854</v>
      </c>
      <c r="J609" t="s">
        <v>11</v>
      </c>
      <c r="K609" s="2" t="str">
        <f>IFERROR(INDEX(Product_lookup[Category],MATCH(RawWorking[[#This Row],[ProductID]],Product_lookup[ProductID],0)),"")</f>
        <v>Home</v>
      </c>
      <c r="L609" s="9">
        <f>IF(OR(RawWorking[[#This Row],[ShipDate]]="",RawWorking[[#This Row],[DeliveryDate]]=""),"",RawWorking[[#This Row],[DeliveryDate]]-RawWorking[[#This Row],[ShipDate]])</f>
        <v>7</v>
      </c>
      <c r="M609" s="9">
        <f>IF(COUNTIF(INDEX(RawWorking[OrderID],1):RawWorking[[#This Row],[OrderID]],RawWorking[[#This Row],[OrderID]])=1,1,0)</f>
        <v>1</v>
      </c>
      <c r="N609" s="4">
        <f>IFERROR(RawWorking[[#This Row],[LineAmount]]/RawWorking[[#This Row],[Quantity]],"")</f>
        <v>199.80999999999997</v>
      </c>
    </row>
    <row r="610" spans="1:14">
      <c r="A610">
        <v>50609</v>
      </c>
      <c r="B610">
        <v>30343</v>
      </c>
      <c r="C610" s="2">
        <v>45803</v>
      </c>
      <c r="D610">
        <v>2449</v>
      </c>
      <c r="E610">
        <v>1003</v>
      </c>
      <c r="F610">
        <v>1</v>
      </c>
      <c r="G610">
        <v>224.37</v>
      </c>
      <c r="H610" s="2" t="s">
        <v>1421</v>
      </c>
      <c r="I610" s="2" t="s">
        <v>1421</v>
      </c>
      <c r="J610" t="s">
        <v>16</v>
      </c>
      <c r="K610" s="2" t="str">
        <f>IFERROR(INDEX(Product_lookup[Category],MATCH(RawWorking[[#This Row],[ProductID]],Product_lookup[ProductID],0)),"")</f>
        <v>Electronics</v>
      </c>
      <c r="L610" s="9" t="str">
        <f>IF(OR(RawWorking[[#This Row],[ShipDate]]="",RawWorking[[#This Row],[DeliveryDate]]=""),"",RawWorking[[#This Row],[DeliveryDate]]-RawWorking[[#This Row],[ShipDate]])</f>
        <v/>
      </c>
      <c r="M610" s="9">
        <f>IF(COUNTIF(INDEX(RawWorking[OrderID],1):RawWorking[[#This Row],[OrderID]],RawWorking[[#This Row],[OrderID]])=1,1,0)</f>
        <v>1</v>
      </c>
      <c r="N610" s="4">
        <f>IFERROR(RawWorking[[#This Row],[LineAmount]]/RawWorking[[#This Row],[Quantity]],"")</f>
        <v>224.37</v>
      </c>
    </row>
    <row r="611" spans="1:14">
      <c r="A611">
        <v>50610</v>
      </c>
      <c r="B611">
        <v>30344</v>
      </c>
      <c r="C611" s="2">
        <v>45945</v>
      </c>
      <c r="D611">
        <v>2419</v>
      </c>
      <c r="E611">
        <v>1005</v>
      </c>
      <c r="F611">
        <v>1</v>
      </c>
      <c r="G611">
        <v>31.73</v>
      </c>
      <c r="H611" s="2">
        <v>45947</v>
      </c>
      <c r="I611" s="2">
        <v>45951</v>
      </c>
      <c r="J611" t="s">
        <v>9</v>
      </c>
      <c r="K611" s="2" t="str">
        <f>IFERROR(INDEX(Product_lookup[Category],MATCH(RawWorking[[#This Row],[ProductID]],Product_lookup[ProductID],0)),"")</f>
        <v>Electronics</v>
      </c>
      <c r="L611" s="9">
        <f>IF(OR(RawWorking[[#This Row],[ShipDate]]="",RawWorking[[#This Row],[DeliveryDate]]=""),"",RawWorking[[#This Row],[DeliveryDate]]-RawWorking[[#This Row],[ShipDate]])</f>
        <v>4</v>
      </c>
      <c r="M611" s="9">
        <f>IF(COUNTIF(INDEX(RawWorking[OrderID],1):RawWorking[[#This Row],[OrderID]],RawWorking[[#This Row],[OrderID]])=1,1,0)</f>
        <v>1</v>
      </c>
      <c r="N611" s="4">
        <f>IFERROR(RawWorking[[#This Row],[LineAmount]]/RawWorking[[#This Row],[Quantity]],"")</f>
        <v>31.73</v>
      </c>
    </row>
    <row r="612" spans="1:14">
      <c r="A612">
        <v>50611</v>
      </c>
      <c r="B612">
        <v>30344</v>
      </c>
      <c r="C612" s="2">
        <v>45945</v>
      </c>
      <c r="D612">
        <v>2419</v>
      </c>
      <c r="E612">
        <v>1010</v>
      </c>
      <c r="F612">
        <v>3</v>
      </c>
      <c r="G612">
        <v>364.5</v>
      </c>
      <c r="H612" s="2">
        <v>45948</v>
      </c>
      <c r="I612" s="2">
        <v>45951</v>
      </c>
      <c r="J612" t="s">
        <v>9</v>
      </c>
      <c r="K612" s="2" t="str">
        <f>IFERROR(INDEX(Product_lookup[Category],MATCH(RawWorking[[#This Row],[ProductID]],Product_lookup[ProductID],0)),"")</f>
        <v>Office</v>
      </c>
      <c r="L612" s="9">
        <f>IF(OR(RawWorking[[#This Row],[ShipDate]]="",RawWorking[[#This Row],[DeliveryDate]]=""),"",RawWorking[[#This Row],[DeliveryDate]]-RawWorking[[#This Row],[ShipDate]])</f>
        <v>3</v>
      </c>
      <c r="M612" s="9">
        <f>IF(COUNTIF(INDEX(RawWorking[OrderID],1):RawWorking[[#This Row],[OrderID]],RawWorking[[#This Row],[OrderID]])=1,1,0)</f>
        <v>0</v>
      </c>
      <c r="N612" s="4">
        <f>IFERROR(RawWorking[[#This Row],[LineAmount]]/RawWorking[[#This Row],[Quantity]],"")</f>
        <v>121.5</v>
      </c>
    </row>
    <row r="613" spans="1:14">
      <c r="A613">
        <v>50612</v>
      </c>
      <c r="B613">
        <v>30345</v>
      </c>
      <c r="C613" s="2">
        <v>45967</v>
      </c>
      <c r="D613">
        <v>2248</v>
      </c>
      <c r="E613">
        <v>1005</v>
      </c>
      <c r="F613">
        <v>1</v>
      </c>
      <c r="G613">
        <v>31.73</v>
      </c>
      <c r="H613" s="2">
        <v>45970</v>
      </c>
      <c r="I613" s="2">
        <v>45979</v>
      </c>
      <c r="J613" t="s">
        <v>9</v>
      </c>
      <c r="K613" s="2" t="str">
        <f>IFERROR(INDEX(Product_lookup[Category],MATCH(RawWorking[[#This Row],[ProductID]],Product_lookup[ProductID],0)),"")</f>
        <v>Electronics</v>
      </c>
      <c r="L613" s="9">
        <f>IF(OR(RawWorking[[#This Row],[ShipDate]]="",RawWorking[[#This Row],[DeliveryDate]]=""),"",RawWorking[[#This Row],[DeliveryDate]]-RawWorking[[#This Row],[ShipDate]])</f>
        <v>9</v>
      </c>
      <c r="M613" s="9">
        <f>IF(COUNTIF(INDEX(RawWorking[OrderID],1):RawWorking[[#This Row],[OrderID]],RawWorking[[#This Row],[OrderID]])=1,1,0)</f>
        <v>1</v>
      </c>
      <c r="N613" s="4">
        <f>IFERROR(RawWorking[[#This Row],[LineAmount]]/RawWorking[[#This Row],[Quantity]],"")</f>
        <v>31.73</v>
      </c>
    </row>
    <row r="614" spans="1:14">
      <c r="A614">
        <v>50613</v>
      </c>
      <c r="B614">
        <v>30346</v>
      </c>
      <c r="C614" s="2">
        <v>45855</v>
      </c>
      <c r="D614">
        <v>2434</v>
      </c>
      <c r="E614">
        <v>1003</v>
      </c>
      <c r="F614">
        <v>2</v>
      </c>
      <c r="G614">
        <v>448.74</v>
      </c>
      <c r="H614" s="2" t="s">
        <v>1421</v>
      </c>
      <c r="I614" s="2" t="s">
        <v>1421</v>
      </c>
      <c r="J614" t="s">
        <v>16</v>
      </c>
      <c r="K614" s="2" t="str">
        <f>IFERROR(INDEX(Product_lookup[Category],MATCH(RawWorking[[#This Row],[ProductID]],Product_lookup[ProductID],0)),"")</f>
        <v>Electronics</v>
      </c>
      <c r="L614" s="9" t="str">
        <f>IF(OR(RawWorking[[#This Row],[ShipDate]]="",RawWorking[[#This Row],[DeliveryDate]]=""),"",RawWorking[[#This Row],[DeliveryDate]]-RawWorking[[#This Row],[ShipDate]])</f>
        <v/>
      </c>
      <c r="M614" s="9">
        <f>IF(COUNTIF(INDEX(RawWorking[OrderID],1):RawWorking[[#This Row],[OrderID]],RawWorking[[#This Row],[OrderID]])=1,1,0)</f>
        <v>1</v>
      </c>
      <c r="N614" s="4">
        <f>IFERROR(RawWorking[[#This Row],[LineAmount]]/RawWorking[[#This Row],[Quantity]],"")</f>
        <v>224.37</v>
      </c>
    </row>
    <row r="615" spans="1:14">
      <c r="A615">
        <v>50614</v>
      </c>
      <c r="B615">
        <v>30346</v>
      </c>
      <c r="C615" s="2">
        <v>45855</v>
      </c>
      <c r="D615">
        <v>2434</v>
      </c>
      <c r="E615">
        <v>1016</v>
      </c>
      <c r="F615">
        <v>1</v>
      </c>
      <c r="G615">
        <v>65.260000000000005</v>
      </c>
      <c r="H615" s="2" t="s">
        <v>1421</v>
      </c>
      <c r="I615" s="2" t="s">
        <v>1421</v>
      </c>
      <c r="J615" t="s">
        <v>16</v>
      </c>
      <c r="K615" s="2" t="str">
        <f>IFERROR(INDEX(Product_lookup[Category],MATCH(RawWorking[[#This Row],[ProductID]],Product_lookup[ProductID],0)),"")</f>
        <v>Sports</v>
      </c>
      <c r="L615" s="9" t="str">
        <f>IF(OR(RawWorking[[#This Row],[ShipDate]]="",RawWorking[[#This Row],[DeliveryDate]]=""),"",RawWorking[[#This Row],[DeliveryDate]]-RawWorking[[#This Row],[ShipDate]])</f>
        <v/>
      </c>
      <c r="M615" s="9">
        <f>IF(COUNTIF(INDEX(RawWorking[OrderID],1):RawWorking[[#This Row],[OrderID]],RawWorking[[#This Row],[OrderID]])=1,1,0)</f>
        <v>0</v>
      </c>
      <c r="N615" s="4">
        <f>IFERROR(RawWorking[[#This Row],[LineAmount]]/RawWorking[[#This Row],[Quantity]],"")</f>
        <v>65.260000000000005</v>
      </c>
    </row>
    <row r="616" spans="1:14">
      <c r="A616">
        <v>50615</v>
      </c>
      <c r="B616">
        <v>30347</v>
      </c>
      <c r="C616" s="2">
        <v>45769</v>
      </c>
      <c r="D616">
        <v>2548</v>
      </c>
      <c r="E616">
        <v>1014</v>
      </c>
      <c r="F616">
        <v>4</v>
      </c>
      <c r="G616">
        <v>861.36</v>
      </c>
      <c r="H616" s="2">
        <v>45770</v>
      </c>
      <c r="I616" s="2">
        <v>45778</v>
      </c>
      <c r="J616" t="s">
        <v>9</v>
      </c>
      <c r="K616" s="2" t="str">
        <f>IFERROR(INDEX(Product_lookup[Category],MATCH(RawWorking[[#This Row],[ProductID]],Product_lookup[ProductID],0)),"")</f>
        <v>Sports</v>
      </c>
      <c r="L616" s="9">
        <f>IF(OR(RawWorking[[#This Row],[ShipDate]]="",RawWorking[[#This Row],[DeliveryDate]]=""),"",RawWorking[[#This Row],[DeliveryDate]]-RawWorking[[#This Row],[ShipDate]])</f>
        <v>8</v>
      </c>
      <c r="M616" s="9">
        <f>IF(COUNTIF(INDEX(RawWorking[OrderID],1):RawWorking[[#This Row],[OrderID]],RawWorking[[#This Row],[OrderID]])=1,1,0)</f>
        <v>1</v>
      </c>
      <c r="N616" s="4">
        <f>IFERROR(RawWorking[[#This Row],[LineAmount]]/RawWorking[[#This Row],[Quantity]],"")</f>
        <v>215.34</v>
      </c>
    </row>
    <row r="617" spans="1:14">
      <c r="A617">
        <v>50616</v>
      </c>
      <c r="B617">
        <v>30347</v>
      </c>
      <c r="C617" s="2">
        <v>45769</v>
      </c>
      <c r="D617">
        <v>2548</v>
      </c>
      <c r="E617">
        <v>1002</v>
      </c>
      <c r="F617">
        <v>1</v>
      </c>
      <c r="G617">
        <v>118.6</v>
      </c>
      <c r="H617" s="2">
        <v>45770</v>
      </c>
      <c r="I617" s="2">
        <v>45779</v>
      </c>
      <c r="J617" t="s">
        <v>9</v>
      </c>
      <c r="K617" s="2" t="str">
        <f>IFERROR(INDEX(Product_lookup[Category],MATCH(RawWorking[[#This Row],[ProductID]],Product_lookup[ProductID],0)),"")</f>
        <v>Electronics</v>
      </c>
      <c r="L617" s="9">
        <f>IF(OR(RawWorking[[#This Row],[ShipDate]]="",RawWorking[[#This Row],[DeliveryDate]]=""),"",RawWorking[[#This Row],[DeliveryDate]]-RawWorking[[#This Row],[ShipDate]])</f>
        <v>9</v>
      </c>
      <c r="M617" s="9">
        <f>IF(COUNTIF(INDEX(RawWorking[OrderID],1):RawWorking[[#This Row],[OrderID]],RawWorking[[#This Row],[OrderID]])=1,1,0)</f>
        <v>0</v>
      </c>
      <c r="N617" s="4">
        <f>IFERROR(RawWorking[[#This Row],[LineAmount]]/RawWorking[[#This Row],[Quantity]],"")</f>
        <v>118.6</v>
      </c>
    </row>
    <row r="618" spans="1:14">
      <c r="A618">
        <v>50617</v>
      </c>
      <c r="B618">
        <v>30348</v>
      </c>
      <c r="C618" s="2">
        <v>45726</v>
      </c>
      <c r="D618">
        <v>2369</v>
      </c>
      <c r="E618">
        <v>1003</v>
      </c>
      <c r="F618">
        <v>3</v>
      </c>
      <c r="G618">
        <v>673.11</v>
      </c>
      <c r="H618" s="2">
        <v>45728</v>
      </c>
      <c r="I618" s="2">
        <v>45730</v>
      </c>
      <c r="J618" t="s">
        <v>9</v>
      </c>
      <c r="K618" s="2" t="str">
        <f>IFERROR(INDEX(Product_lookup[Category],MATCH(RawWorking[[#This Row],[ProductID]],Product_lookup[ProductID],0)),"")</f>
        <v>Electronics</v>
      </c>
      <c r="L618" s="9">
        <f>IF(OR(RawWorking[[#This Row],[ShipDate]]="",RawWorking[[#This Row],[DeliveryDate]]=""),"",RawWorking[[#This Row],[DeliveryDate]]-RawWorking[[#This Row],[ShipDate]])</f>
        <v>2</v>
      </c>
      <c r="M618" s="9">
        <f>IF(COUNTIF(INDEX(RawWorking[OrderID],1):RawWorking[[#This Row],[OrderID]],RawWorking[[#This Row],[OrderID]])=1,1,0)</f>
        <v>1</v>
      </c>
      <c r="N618" s="4">
        <f>IFERROR(RawWorking[[#This Row],[LineAmount]]/RawWorking[[#This Row],[Quantity]],"")</f>
        <v>224.37</v>
      </c>
    </row>
    <row r="619" spans="1:14">
      <c r="A619">
        <v>50618</v>
      </c>
      <c r="B619">
        <v>30348</v>
      </c>
      <c r="C619" s="2">
        <v>45726</v>
      </c>
      <c r="D619">
        <v>2369</v>
      </c>
      <c r="E619">
        <v>1004</v>
      </c>
      <c r="F619">
        <v>1</v>
      </c>
      <c r="G619">
        <v>183.74</v>
      </c>
      <c r="H619" s="2">
        <v>45729</v>
      </c>
      <c r="I619" s="2">
        <v>45734</v>
      </c>
      <c r="J619" t="s">
        <v>9</v>
      </c>
      <c r="K619" s="2" t="str">
        <f>IFERROR(INDEX(Product_lookup[Category],MATCH(RawWorking[[#This Row],[ProductID]],Product_lookup[ProductID],0)),"")</f>
        <v>Electronics</v>
      </c>
      <c r="L619" s="9">
        <f>IF(OR(RawWorking[[#This Row],[ShipDate]]="",RawWorking[[#This Row],[DeliveryDate]]=""),"",RawWorking[[#This Row],[DeliveryDate]]-RawWorking[[#This Row],[ShipDate]])</f>
        <v>5</v>
      </c>
      <c r="M619" s="9">
        <f>IF(COUNTIF(INDEX(RawWorking[OrderID],1):RawWorking[[#This Row],[OrderID]],RawWorking[[#This Row],[OrderID]])=1,1,0)</f>
        <v>0</v>
      </c>
      <c r="N619" s="4">
        <f>IFERROR(RawWorking[[#This Row],[LineAmount]]/RawWorking[[#This Row],[Quantity]],"")</f>
        <v>183.74</v>
      </c>
    </row>
    <row r="620" spans="1:14">
      <c r="A620">
        <v>50619</v>
      </c>
      <c r="B620">
        <v>30349</v>
      </c>
      <c r="C620" s="2">
        <v>45701</v>
      </c>
      <c r="D620">
        <v>2255</v>
      </c>
      <c r="E620">
        <v>1012</v>
      </c>
      <c r="F620">
        <v>1</v>
      </c>
      <c r="G620">
        <v>241.54</v>
      </c>
      <c r="H620" s="2">
        <v>45704</v>
      </c>
      <c r="I620" s="2">
        <v>45710</v>
      </c>
      <c r="J620" t="s">
        <v>9</v>
      </c>
      <c r="K620" s="2" t="str">
        <f>IFERROR(INDEX(Product_lookup[Category],MATCH(RawWorking[[#This Row],[ProductID]],Product_lookup[ProductID],0)),"")</f>
        <v>Office</v>
      </c>
      <c r="L620" s="9">
        <f>IF(OR(RawWorking[[#This Row],[ShipDate]]="",RawWorking[[#This Row],[DeliveryDate]]=""),"",RawWorking[[#This Row],[DeliveryDate]]-RawWorking[[#This Row],[ShipDate]])</f>
        <v>6</v>
      </c>
      <c r="M620" s="9">
        <f>IF(COUNTIF(INDEX(RawWorking[OrderID],1):RawWorking[[#This Row],[OrderID]],RawWorking[[#This Row],[OrderID]])=1,1,0)</f>
        <v>1</v>
      </c>
      <c r="N620" s="4">
        <f>IFERROR(RawWorking[[#This Row],[LineAmount]]/RawWorking[[#This Row],[Quantity]],"")</f>
        <v>241.54</v>
      </c>
    </row>
    <row r="621" spans="1:14">
      <c r="A621">
        <v>50620</v>
      </c>
      <c r="B621">
        <v>30350</v>
      </c>
      <c r="C621" s="2">
        <v>45842</v>
      </c>
      <c r="D621">
        <v>2171</v>
      </c>
      <c r="E621">
        <v>1002</v>
      </c>
      <c r="F621">
        <v>2</v>
      </c>
      <c r="G621">
        <v>237.2</v>
      </c>
      <c r="H621" s="2">
        <v>45844</v>
      </c>
      <c r="I621" s="2">
        <v>45854</v>
      </c>
      <c r="J621" t="s">
        <v>9</v>
      </c>
      <c r="K621" s="2" t="str">
        <f>IFERROR(INDEX(Product_lookup[Category],MATCH(RawWorking[[#This Row],[ProductID]],Product_lookup[ProductID],0)),"")</f>
        <v>Electronics</v>
      </c>
      <c r="L621" s="9">
        <f>IF(OR(RawWorking[[#This Row],[ShipDate]]="",RawWorking[[#This Row],[DeliveryDate]]=""),"",RawWorking[[#This Row],[DeliveryDate]]-RawWorking[[#This Row],[ShipDate]])</f>
        <v>10</v>
      </c>
      <c r="M621" s="9">
        <f>IF(COUNTIF(INDEX(RawWorking[OrderID],1):RawWorking[[#This Row],[OrderID]],RawWorking[[#This Row],[OrderID]])=1,1,0)</f>
        <v>1</v>
      </c>
      <c r="N621" s="4">
        <f>IFERROR(RawWorking[[#This Row],[LineAmount]]/RawWorking[[#This Row],[Quantity]],"")</f>
        <v>118.6</v>
      </c>
    </row>
    <row r="622" spans="1:14">
      <c r="A622">
        <v>50621</v>
      </c>
      <c r="B622">
        <v>30351</v>
      </c>
      <c r="C622" s="2">
        <v>45991</v>
      </c>
      <c r="D622">
        <v>2577</v>
      </c>
      <c r="E622">
        <v>1013</v>
      </c>
      <c r="F622">
        <v>2</v>
      </c>
      <c r="G622">
        <v>340.5</v>
      </c>
      <c r="H622" s="2">
        <v>45992</v>
      </c>
      <c r="I622" s="2">
        <v>45999</v>
      </c>
      <c r="J622" t="s">
        <v>11</v>
      </c>
      <c r="K622" s="2" t="str">
        <f>IFERROR(INDEX(Product_lookup[Category],MATCH(RawWorking[[#This Row],[ProductID]],Product_lookup[ProductID],0)),"")</f>
        <v>Office</v>
      </c>
      <c r="L622" s="9">
        <f>IF(OR(RawWorking[[#This Row],[ShipDate]]="",RawWorking[[#This Row],[DeliveryDate]]=""),"",RawWorking[[#This Row],[DeliveryDate]]-RawWorking[[#This Row],[ShipDate]])</f>
        <v>7</v>
      </c>
      <c r="M622" s="9">
        <f>IF(COUNTIF(INDEX(RawWorking[OrderID],1):RawWorking[[#This Row],[OrderID]],RawWorking[[#This Row],[OrderID]])=1,1,0)</f>
        <v>1</v>
      </c>
      <c r="N622" s="4">
        <f>IFERROR(RawWorking[[#This Row],[LineAmount]]/RawWorking[[#This Row],[Quantity]],"")</f>
        <v>170.25</v>
      </c>
    </row>
    <row r="623" spans="1:14">
      <c r="A623">
        <v>50622</v>
      </c>
      <c r="B623">
        <v>30352</v>
      </c>
      <c r="C623" s="2">
        <v>45750</v>
      </c>
      <c r="D623">
        <v>2340</v>
      </c>
      <c r="E623">
        <v>1014</v>
      </c>
      <c r="F623">
        <v>2</v>
      </c>
      <c r="G623">
        <v>430.68</v>
      </c>
      <c r="H623" s="2">
        <v>45752</v>
      </c>
      <c r="I623" s="2">
        <v>45757</v>
      </c>
      <c r="J623" t="s">
        <v>11</v>
      </c>
      <c r="K623" s="2" t="str">
        <f>IFERROR(INDEX(Product_lookup[Category],MATCH(RawWorking[[#This Row],[ProductID]],Product_lookup[ProductID],0)),"")</f>
        <v>Sports</v>
      </c>
      <c r="L623" s="9">
        <f>IF(OR(RawWorking[[#This Row],[ShipDate]]="",RawWorking[[#This Row],[DeliveryDate]]=""),"",RawWorking[[#This Row],[DeliveryDate]]-RawWorking[[#This Row],[ShipDate]])</f>
        <v>5</v>
      </c>
      <c r="M623" s="9">
        <f>IF(COUNTIF(INDEX(RawWorking[OrderID],1):RawWorking[[#This Row],[OrderID]],RawWorking[[#This Row],[OrderID]])=1,1,0)</f>
        <v>1</v>
      </c>
      <c r="N623" s="4">
        <f>IFERROR(RawWorking[[#This Row],[LineAmount]]/RawWorking[[#This Row],[Quantity]],"")</f>
        <v>215.34</v>
      </c>
    </row>
    <row r="624" spans="1:14">
      <c r="A624">
        <v>50623</v>
      </c>
      <c r="B624">
        <v>30353</v>
      </c>
      <c r="C624" s="2">
        <v>46008</v>
      </c>
      <c r="D624">
        <v>2109</v>
      </c>
      <c r="E624">
        <v>1009</v>
      </c>
      <c r="F624">
        <v>3</v>
      </c>
      <c r="G624">
        <v>120.84</v>
      </c>
      <c r="H624" s="2">
        <v>46009</v>
      </c>
      <c r="I624" s="2">
        <v>46019</v>
      </c>
      <c r="J624" t="s">
        <v>9</v>
      </c>
      <c r="K624" s="2" t="str">
        <f>IFERROR(INDEX(Product_lookup[Category],MATCH(RawWorking[[#This Row],[ProductID]],Product_lookup[ProductID],0)),"")</f>
        <v>Home</v>
      </c>
      <c r="L624" s="9">
        <f>IF(OR(RawWorking[[#This Row],[ShipDate]]="",RawWorking[[#This Row],[DeliveryDate]]=""),"",RawWorking[[#This Row],[DeliveryDate]]-RawWorking[[#This Row],[ShipDate]])</f>
        <v>10</v>
      </c>
      <c r="M624" s="9">
        <f>IF(COUNTIF(INDEX(RawWorking[OrderID],1):RawWorking[[#This Row],[OrderID]],RawWorking[[#This Row],[OrderID]])=1,1,0)</f>
        <v>1</v>
      </c>
      <c r="N624" s="4">
        <f>IFERROR(RawWorking[[#This Row],[LineAmount]]/RawWorking[[#This Row],[Quantity]],"")</f>
        <v>40.28</v>
      </c>
    </row>
    <row r="625" spans="1:14">
      <c r="A625">
        <v>50624</v>
      </c>
      <c r="B625">
        <v>30353</v>
      </c>
      <c r="C625" s="2">
        <v>46008</v>
      </c>
      <c r="D625">
        <v>2109</v>
      </c>
      <c r="E625">
        <v>1008</v>
      </c>
      <c r="F625">
        <v>1</v>
      </c>
      <c r="G625">
        <v>206.09</v>
      </c>
      <c r="H625" s="2">
        <v>46010</v>
      </c>
      <c r="I625" s="2">
        <v>46017</v>
      </c>
      <c r="J625" t="s">
        <v>9</v>
      </c>
      <c r="K625" s="2" t="str">
        <f>IFERROR(INDEX(Product_lookup[Category],MATCH(RawWorking[[#This Row],[ProductID]],Product_lookup[ProductID],0)),"")</f>
        <v>Home</v>
      </c>
      <c r="L625" s="9">
        <f>IF(OR(RawWorking[[#This Row],[ShipDate]]="",RawWorking[[#This Row],[DeliveryDate]]=""),"",RawWorking[[#This Row],[DeliveryDate]]-RawWorking[[#This Row],[ShipDate]])</f>
        <v>7</v>
      </c>
      <c r="M625" s="9">
        <f>IF(COUNTIF(INDEX(RawWorking[OrderID],1):RawWorking[[#This Row],[OrderID]],RawWorking[[#This Row],[OrderID]])=1,1,0)</f>
        <v>0</v>
      </c>
      <c r="N625" s="4">
        <f>IFERROR(RawWorking[[#This Row],[LineAmount]]/RawWorking[[#This Row],[Quantity]],"")</f>
        <v>206.09</v>
      </c>
    </row>
    <row r="626" spans="1:14">
      <c r="A626">
        <v>50625</v>
      </c>
      <c r="B626">
        <v>30354</v>
      </c>
      <c r="C626" s="2">
        <v>45898</v>
      </c>
      <c r="D626">
        <v>2523</v>
      </c>
      <c r="E626">
        <v>1008</v>
      </c>
      <c r="F626">
        <v>1</v>
      </c>
      <c r="G626">
        <v>206.09</v>
      </c>
      <c r="H626" s="2">
        <v>45900</v>
      </c>
      <c r="I626" s="2">
        <v>45906</v>
      </c>
      <c r="J626" t="s">
        <v>9</v>
      </c>
      <c r="K626" s="2" t="str">
        <f>IFERROR(INDEX(Product_lookup[Category],MATCH(RawWorking[[#This Row],[ProductID]],Product_lookup[ProductID],0)),"")</f>
        <v>Home</v>
      </c>
      <c r="L626" s="9">
        <f>IF(OR(RawWorking[[#This Row],[ShipDate]]="",RawWorking[[#This Row],[DeliveryDate]]=""),"",RawWorking[[#This Row],[DeliveryDate]]-RawWorking[[#This Row],[ShipDate]])</f>
        <v>6</v>
      </c>
      <c r="M626" s="9">
        <f>IF(COUNTIF(INDEX(RawWorking[OrderID],1):RawWorking[[#This Row],[OrderID]],RawWorking[[#This Row],[OrderID]])=1,1,0)</f>
        <v>1</v>
      </c>
      <c r="N626" s="4">
        <f>IFERROR(RawWorking[[#This Row],[LineAmount]]/RawWorking[[#This Row],[Quantity]],"")</f>
        <v>206.09</v>
      </c>
    </row>
    <row r="627" spans="1:14">
      <c r="A627">
        <v>50626</v>
      </c>
      <c r="B627">
        <v>30354</v>
      </c>
      <c r="C627" s="2">
        <v>45898</v>
      </c>
      <c r="D627">
        <v>2523</v>
      </c>
      <c r="E627">
        <v>1015</v>
      </c>
      <c r="F627">
        <v>3</v>
      </c>
      <c r="G627">
        <v>359.22</v>
      </c>
      <c r="H627" s="2">
        <v>45900</v>
      </c>
      <c r="I627" s="2">
        <v>45901</v>
      </c>
      <c r="J627" t="s">
        <v>9</v>
      </c>
      <c r="K627" s="2" t="str">
        <f>IFERROR(INDEX(Product_lookup[Category],MATCH(RawWorking[[#This Row],[ProductID]],Product_lookup[ProductID],0)),"")</f>
        <v>Sports</v>
      </c>
      <c r="L627" s="9">
        <f>IF(OR(RawWorking[[#This Row],[ShipDate]]="",RawWorking[[#This Row],[DeliveryDate]]=""),"",RawWorking[[#This Row],[DeliveryDate]]-RawWorking[[#This Row],[ShipDate]])</f>
        <v>1</v>
      </c>
      <c r="M627" s="9">
        <f>IF(COUNTIF(INDEX(RawWorking[OrderID],1):RawWorking[[#This Row],[OrderID]],RawWorking[[#This Row],[OrderID]])=1,1,0)</f>
        <v>0</v>
      </c>
      <c r="N627" s="4">
        <f>IFERROR(RawWorking[[#This Row],[LineAmount]]/RawWorking[[#This Row],[Quantity]],"")</f>
        <v>119.74000000000001</v>
      </c>
    </row>
    <row r="628" spans="1:14">
      <c r="A628">
        <v>50627</v>
      </c>
      <c r="B628">
        <v>30354</v>
      </c>
      <c r="C628" s="2">
        <v>45898</v>
      </c>
      <c r="D628">
        <v>2523</v>
      </c>
      <c r="E628">
        <v>1012</v>
      </c>
      <c r="F628">
        <v>2</v>
      </c>
      <c r="G628">
        <v>483.08</v>
      </c>
      <c r="H628" s="2">
        <v>45899</v>
      </c>
      <c r="I628" s="2">
        <v>45906</v>
      </c>
      <c r="J628" t="s">
        <v>9</v>
      </c>
      <c r="K628" s="2" t="str">
        <f>IFERROR(INDEX(Product_lookup[Category],MATCH(RawWorking[[#This Row],[ProductID]],Product_lookup[ProductID],0)),"")</f>
        <v>Office</v>
      </c>
      <c r="L628" s="9">
        <f>IF(OR(RawWorking[[#This Row],[ShipDate]]="",RawWorking[[#This Row],[DeliveryDate]]=""),"",RawWorking[[#This Row],[DeliveryDate]]-RawWorking[[#This Row],[ShipDate]])</f>
        <v>7</v>
      </c>
      <c r="M628" s="9">
        <f>IF(COUNTIF(INDEX(RawWorking[OrderID],1):RawWorking[[#This Row],[OrderID]],RawWorking[[#This Row],[OrderID]])=1,1,0)</f>
        <v>0</v>
      </c>
      <c r="N628" s="4">
        <f>IFERROR(RawWorking[[#This Row],[LineAmount]]/RawWorking[[#This Row],[Quantity]],"")</f>
        <v>241.54</v>
      </c>
    </row>
    <row r="629" spans="1:14">
      <c r="A629">
        <v>50628</v>
      </c>
      <c r="B629">
        <v>30354</v>
      </c>
      <c r="C629" s="2">
        <v>45898</v>
      </c>
      <c r="D629">
        <v>2523</v>
      </c>
      <c r="E629">
        <v>1013</v>
      </c>
      <c r="F629">
        <v>4</v>
      </c>
      <c r="G629">
        <v>681</v>
      </c>
      <c r="H629" s="2">
        <v>45900</v>
      </c>
      <c r="I629" s="2">
        <v>45905</v>
      </c>
      <c r="J629" t="s">
        <v>9</v>
      </c>
      <c r="K629" s="2" t="str">
        <f>IFERROR(INDEX(Product_lookup[Category],MATCH(RawWorking[[#This Row],[ProductID]],Product_lookup[ProductID],0)),"")</f>
        <v>Office</v>
      </c>
      <c r="L629" s="9">
        <f>IF(OR(RawWorking[[#This Row],[ShipDate]]="",RawWorking[[#This Row],[DeliveryDate]]=""),"",RawWorking[[#This Row],[DeliveryDate]]-RawWorking[[#This Row],[ShipDate]])</f>
        <v>5</v>
      </c>
      <c r="M629" s="9">
        <f>IF(COUNTIF(INDEX(RawWorking[OrderID],1):RawWorking[[#This Row],[OrderID]],RawWorking[[#This Row],[OrderID]])=1,1,0)</f>
        <v>0</v>
      </c>
      <c r="N629" s="4">
        <f>IFERROR(RawWorking[[#This Row],[LineAmount]]/RawWorking[[#This Row],[Quantity]],"")</f>
        <v>170.25</v>
      </c>
    </row>
    <row r="630" spans="1:14">
      <c r="A630">
        <v>50629</v>
      </c>
      <c r="B630">
        <v>30355</v>
      </c>
      <c r="C630" s="2">
        <v>45980</v>
      </c>
      <c r="D630">
        <v>2475</v>
      </c>
      <c r="E630">
        <v>1005</v>
      </c>
      <c r="F630">
        <v>2</v>
      </c>
      <c r="G630">
        <v>63.46</v>
      </c>
      <c r="H630" s="2" t="s">
        <v>1421</v>
      </c>
      <c r="I630" s="2" t="s">
        <v>1421</v>
      </c>
      <c r="J630" t="s">
        <v>16</v>
      </c>
      <c r="K630" s="2" t="str">
        <f>IFERROR(INDEX(Product_lookup[Category],MATCH(RawWorking[[#This Row],[ProductID]],Product_lookup[ProductID],0)),"")</f>
        <v>Electronics</v>
      </c>
      <c r="L630" s="9" t="str">
        <f>IF(OR(RawWorking[[#This Row],[ShipDate]]="",RawWorking[[#This Row],[DeliveryDate]]=""),"",RawWorking[[#This Row],[DeliveryDate]]-RawWorking[[#This Row],[ShipDate]])</f>
        <v/>
      </c>
      <c r="M630" s="9">
        <f>IF(COUNTIF(INDEX(RawWorking[OrderID],1):RawWorking[[#This Row],[OrderID]],RawWorking[[#This Row],[OrderID]])=1,1,0)</f>
        <v>1</v>
      </c>
      <c r="N630" s="4">
        <f>IFERROR(RawWorking[[#This Row],[LineAmount]]/RawWorking[[#This Row],[Quantity]],"")</f>
        <v>31.73</v>
      </c>
    </row>
    <row r="631" spans="1:14">
      <c r="A631">
        <v>50630</v>
      </c>
      <c r="B631">
        <v>30356</v>
      </c>
      <c r="C631" s="2">
        <v>45733</v>
      </c>
      <c r="D631">
        <v>2026</v>
      </c>
      <c r="E631">
        <v>1010</v>
      </c>
      <c r="F631">
        <v>2</v>
      </c>
      <c r="G631">
        <v>243</v>
      </c>
      <c r="H631" s="2">
        <v>45735</v>
      </c>
      <c r="I631" s="2">
        <v>45745</v>
      </c>
      <c r="J631" t="s">
        <v>9</v>
      </c>
      <c r="K631" s="2" t="str">
        <f>IFERROR(INDEX(Product_lookup[Category],MATCH(RawWorking[[#This Row],[ProductID]],Product_lookup[ProductID],0)),"")</f>
        <v>Office</v>
      </c>
      <c r="L631" s="9">
        <f>IF(OR(RawWorking[[#This Row],[ShipDate]]="",RawWorking[[#This Row],[DeliveryDate]]=""),"",RawWorking[[#This Row],[DeliveryDate]]-RawWorking[[#This Row],[ShipDate]])</f>
        <v>10</v>
      </c>
      <c r="M631" s="9">
        <f>IF(COUNTIF(INDEX(RawWorking[OrderID],1):RawWorking[[#This Row],[OrderID]],RawWorking[[#This Row],[OrderID]])=1,1,0)</f>
        <v>1</v>
      </c>
      <c r="N631" s="4">
        <f>IFERROR(RawWorking[[#This Row],[LineAmount]]/RawWorking[[#This Row],[Quantity]],"")</f>
        <v>121.5</v>
      </c>
    </row>
    <row r="632" spans="1:14">
      <c r="A632">
        <v>50631</v>
      </c>
      <c r="B632">
        <v>30356</v>
      </c>
      <c r="C632" s="2">
        <v>45733</v>
      </c>
      <c r="D632">
        <v>2026</v>
      </c>
      <c r="E632">
        <v>1014</v>
      </c>
      <c r="F632">
        <v>1</v>
      </c>
      <c r="G632">
        <v>215.34</v>
      </c>
      <c r="H632" s="2">
        <v>45736</v>
      </c>
      <c r="I632" s="2">
        <v>45741</v>
      </c>
      <c r="J632" t="s">
        <v>9</v>
      </c>
      <c r="K632" s="2" t="str">
        <f>IFERROR(INDEX(Product_lookup[Category],MATCH(RawWorking[[#This Row],[ProductID]],Product_lookup[ProductID],0)),"")</f>
        <v>Sports</v>
      </c>
      <c r="L632" s="9">
        <f>IF(OR(RawWorking[[#This Row],[ShipDate]]="",RawWorking[[#This Row],[DeliveryDate]]=""),"",RawWorking[[#This Row],[DeliveryDate]]-RawWorking[[#This Row],[ShipDate]])</f>
        <v>5</v>
      </c>
      <c r="M632" s="9">
        <f>IF(COUNTIF(INDEX(RawWorking[OrderID],1):RawWorking[[#This Row],[OrderID]],RawWorking[[#This Row],[OrderID]])=1,1,0)</f>
        <v>0</v>
      </c>
      <c r="N632" s="4">
        <f>IFERROR(RawWorking[[#This Row],[LineAmount]]/RawWorking[[#This Row],[Quantity]],"")</f>
        <v>215.34</v>
      </c>
    </row>
    <row r="633" spans="1:14">
      <c r="A633">
        <v>50632</v>
      </c>
      <c r="B633">
        <v>30357</v>
      </c>
      <c r="C633" s="2">
        <v>45738</v>
      </c>
      <c r="D633">
        <v>2088</v>
      </c>
      <c r="E633">
        <v>1005</v>
      </c>
      <c r="F633">
        <v>1</v>
      </c>
      <c r="G633">
        <v>31.73</v>
      </c>
      <c r="H633" s="2">
        <v>45740</v>
      </c>
      <c r="I633" s="2">
        <v>45745</v>
      </c>
      <c r="J633" t="s">
        <v>9</v>
      </c>
      <c r="K633" s="2" t="str">
        <f>IFERROR(INDEX(Product_lookup[Category],MATCH(RawWorking[[#This Row],[ProductID]],Product_lookup[ProductID],0)),"")</f>
        <v>Electronics</v>
      </c>
      <c r="L633" s="9">
        <f>IF(OR(RawWorking[[#This Row],[ShipDate]]="",RawWorking[[#This Row],[DeliveryDate]]=""),"",RawWorking[[#This Row],[DeliveryDate]]-RawWorking[[#This Row],[ShipDate]])</f>
        <v>5</v>
      </c>
      <c r="M633" s="9">
        <f>IF(COUNTIF(INDEX(RawWorking[OrderID],1):RawWorking[[#This Row],[OrderID]],RawWorking[[#This Row],[OrderID]])=1,1,0)</f>
        <v>1</v>
      </c>
      <c r="N633" s="4">
        <f>IFERROR(RawWorking[[#This Row],[LineAmount]]/RawWorking[[#This Row],[Quantity]],"")</f>
        <v>31.73</v>
      </c>
    </row>
    <row r="634" spans="1:14">
      <c r="A634">
        <v>50633</v>
      </c>
      <c r="B634">
        <v>30357</v>
      </c>
      <c r="C634" s="2">
        <v>45738</v>
      </c>
      <c r="D634">
        <v>2088</v>
      </c>
      <c r="E634">
        <v>1012</v>
      </c>
      <c r="F634">
        <v>1</v>
      </c>
      <c r="G634">
        <v>241.54</v>
      </c>
      <c r="H634" s="2">
        <v>45740</v>
      </c>
      <c r="I634" s="2">
        <v>45744</v>
      </c>
      <c r="J634" t="s">
        <v>9</v>
      </c>
      <c r="K634" s="2" t="str">
        <f>IFERROR(INDEX(Product_lookup[Category],MATCH(RawWorking[[#This Row],[ProductID]],Product_lookup[ProductID],0)),"")</f>
        <v>Office</v>
      </c>
      <c r="L634" s="9">
        <f>IF(OR(RawWorking[[#This Row],[ShipDate]]="",RawWorking[[#This Row],[DeliveryDate]]=""),"",RawWorking[[#This Row],[DeliveryDate]]-RawWorking[[#This Row],[ShipDate]])</f>
        <v>4</v>
      </c>
      <c r="M634" s="9">
        <f>IF(COUNTIF(INDEX(RawWorking[OrderID],1):RawWorking[[#This Row],[OrderID]],RawWorking[[#This Row],[OrderID]])=1,1,0)</f>
        <v>0</v>
      </c>
      <c r="N634" s="4">
        <f>IFERROR(RawWorking[[#This Row],[LineAmount]]/RawWorking[[#This Row],[Quantity]],"")</f>
        <v>241.54</v>
      </c>
    </row>
    <row r="635" spans="1:14">
      <c r="A635">
        <v>50634</v>
      </c>
      <c r="B635">
        <v>30358</v>
      </c>
      <c r="C635" s="2">
        <v>45956</v>
      </c>
      <c r="D635">
        <v>2320</v>
      </c>
      <c r="E635">
        <v>1007</v>
      </c>
      <c r="F635">
        <v>1</v>
      </c>
      <c r="G635">
        <v>199.81</v>
      </c>
      <c r="H635" s="2">
        <v>45959</v>
      </c>
      <c r="I635" s="2">
        <v>45964</v>
      </c>
      <c r="J635" t="s">
        <v>9</v>
      </c>
      <c r="K635" s="2" t="str">
        <f>IFERROR(INDEX(Product_lookup[Category],MATCH(RawWorking[[#This Row],[ProductID]],Product_lookup[ProductID],0)),"")</f>
        <v>Home</v>
      </c>
      <c r="L635" s="9">
        <f>IF(OR(RawWorking[[#This Row],[ShipDate]]="",RawWorking[[#This Row],[DeliveryDate]]=""),"",RawWorking[[#This Row],[DeliveryDate]]-RawWorking[[#This Row],[ShipDate]])</f>
        <v>5</v>
      </c>
      <c r="M635" s="9">
        <f>IF(COUNTIF(INDEX(RawWorking[OrderID],1):RawWorking[[#This Row],[OrderID]],RawWorking[[#This Row],[OrderID]])=1,1,0)</f>
        <v>1</v>
      </c>
      <c r="N635" s="4">
        <f>IFERROR(RawWorking[[#This Row],[LineAmount]]/RawWorking[[#This Row],[Quantity]],"")</f>
        <v>199.81</v>
      </c>
    </row>
    <row r="636" spans="1:14">
      <c r="A636">
        <v>50635</v>
      </c>
      <c r="B636">
        <v>30359</v>
      </c>
      <c r="C636" s="2">
        <v>46002</v>
      </c>
      <c r="D636">
        <v>2534</v>
      </c>
      <c r="E636">
        <v>1016</v>
      </c>
      <c r="F636">
        <v>2</v>
      </c>
      <c r="G636">
        <v>130.52000000000001</v>
      </c>
      <c r="H636" s="2">
        <v>46004</v>
      </c>
      <c r="I636" s="2">
        <v>46007</v>
      </c>
      <c r="J636" t="s">
        <v>9</v>
      </c>
      <c r="K636" s="2" t="str">
        <f>IFERROR(INDEX(Product_lookup[Category],MATCH(RawWorking[[#This Row],[ProductID]],Product_lookup[ProductID],0)),"")</f>
        <v>Sports</v>
      </c>
      <c r="L636" s="9">
        <f>IF(OR(RawWorking[[#This Row],[ShipDate]]="",RawWorking[[#This Row],[DeliveryDate]]=""),"",RawWorking[[#This Row],[DeliveryDate]]-RawWorking[[#This Row],[ShipDate]])</f>
        <v>3</v>
      </c>
      <c r="M636" s="9">
        <f>IF(COUNTIF(INDEX(RawWorking[OrderID],1):RawWorking[[#This Row],[OrderID]],RawWorking[[#This Row],[OrderID]])=1,1,0)</f>
        <v>1</v>
      </c>
      <c r="N636" s="4">
        <f>IFERROR(RawWorking[[#This Row],[LineAmount]]/RawWorking[[#This Row],[Quantity]],"")</f>
        <v>65.260000000000005</v>
      </c>
    </row>
    <row r="637" spans="1:14">
      <c r="A637">
        <v>50636</v>
      </c>
      <c r="B637">
        <v>30360</v>
      </c>
      <c r="C637" s="2">
        <v>45849</v>
      </c>
      <c r="D637">
        <v>2100</v>
      </c>
      <c r="E637">
        <v>1015</v>
      </c>
      <c r="F637">
        <v>3</v>
      </c>
      <c r="G637">
        <v>359.22</v>
      </c>
      <c r="H637" s="2">
        <v>45852</v>
      </c>
      <c r="I637" s="2">
        <v>45855</v>
      </c>
      <c r="J637" t="s">
        <v>9</v>
      </c>
      <c r="K637" s="2" t="str">
        <f>IFERROR(INDEX(Product_lookup[Category],MATCH(RawWorking[[#This Row],[ProductID]],Product_lookup[ProductID],0)),"")</f>
        <v>Sports</v>
      </c>
      <c r="L637" s="9">
        <f>IF(OR(RawWorking[[#This Row],[ShipDate]]="",RawWorking[[#This Row],[DeliveryDate]]=""),"",RawWorking[[#This Row],[DeliveryDate]]-RawWorking[[#This Row],[ShipDate]])</f>
        <v>3</v>
      </c>
      <c r="M637" s="9">
        <f>IF(COUNTIF(INDEX(RawWorking[OrderID],1):RawWorking[[#This Row],[OrderID]],RawWorking[[#This Row],[OrderID]])=1,1,0)</f>
        <v>1</v>
      </c>
      <c r="N637" s="4">
        <f>IFERROR(RawWorking[[#This Row],[LineAmount]]/RawWorking[[#This Row],[Quantity]],"")</f>
        <v>119.74000000000001</v>
      </c>
    </row>
    <row r="638" spans="1:14">
      <c r="A638">
        <v>50637</v>
      </c>
      <c r="B638">
        <v>30360</v>
      </c>
      <c r="C638" s="2">
        <v>45849</v>
      </c>
      <c r="D638">
        <v>2100</v>
      </c>
      <c r="E638">
        <v>1011</v>
      </c>
      <c r="F638">
        <v>1</v>
      </c>
      <c r="G638">
        <v>101.44</v>
      </c>
      <c r="H638" s="2">
        <v>45850</v>
      </c>
      <c r="I638" s="2">
        <v>45855</v>
      </c>
      <c r="J638" t="s">
        <v>9</v>
      </c>
      <c r="K638" s="2" t="str">
        <f>IFERROR(INDEX(Product_lookup[Category],MATCH(RawWorking[[#This Row],[ProductID]],Product_lookup[ProductID],0)),"")</f>
        <v>Office</v>
      </c>
      <c r="L638" s="9">
        <f>IF(OR(RawWorking[[#This Row],[ShipDate]]="",RawWorking[[#This Row],[DeliveryDate]]=""),"",RawWorking[[#This Row],[DeliveryDate]]-RawWorking[[#This Row],[ShipDate]])</f>
        <v>5</v>
      </c>
      <c r="M638" s="9">
        <f>IF(COUNTIF(INDEX(RawWorking[OrderID],1):RawWorking[[#This Row],[OrderID]],RawWorking[[#This Row],[OrderID]])=1,1,0)</f>
        <v>0</v>
      </c>
      <c r="N638" s="4">
        <f>IFERROR(RawWorking[[#This Row],[LineAmount]]/RawWorking[[#This Row],[Quantity]],"")</f>
        <v>101.44</v>
      </c>
    </row>
    <row r="639" spans="1:14">
      <c r="A639">
        <v>50638</v>
      </c>
      <c r="B639">
        <v>30361</v>
      </c>
      <c r="C639" s="2">
        <v>45942</v>
      </c>
      <c r="D639">
        <v>2069</v>
      </c>
      <c r="E639">
        <v>1004</v>
      </c>
      <c r="F639">
        <v>1</v>
      </c>
      <c r="G639">
        <v>183.74</v>
      </c>
      <c r="H639" s="2">
        <v>45944</v>
      </c>
      <c r="I639" s="2">
        <v>45945</v>
      </c>
      <c r="J639" t="s">
        <v>9</v>
      </c>
      <c r="K639" s="2" t="str">
        <f>IFERROR(INDEX(Product_lookup[Category],MATCH(RawWorking[[#This Row],[ProductID]],Product_lookup[ProductID],0)),"")</f>
        <v>Electronics</v>
      </c>
      <c r="L639" s="9">
        <f>IF(OR(RawWorking[[#This Row],[ShipDate]]="",RawWorking[[#This Row],[DeliveryDate]]=""),"",RawWorking[[#This Row],[DeliveryDate]]-RawWorking[[#This Row],[ShipDate]])</f>
        <v>1</v>
      </c>
      <c r="M639" s="9">
        <f>IF(COUNTIF(INDEX(RawWorking[OrderID],1):RawWorking[[#This Row],[OrderID]],RawWorking[[#This Row],[OrderID]])=1,1,0)</f>
        <v>1</v>
      </c>
      <c r="N639" s="4">
        <f>IFERROR(RawWorking[[#This Row],[LineAmount]]/RawWorking[[#This Row],[Quantity]],"")</f>
        <v>183.74</v>
      </c>
    </row>
    <row r="640" spans="1:14">
      <c r="A640">
        <v>50639</v>
      </c>
      <c r="B640">
        <v>30362</v>
      </c>
      <c r="C640" s="2">
        <v>45782</v>
      </c>
      <c r="D640">
        <v>2024</v>
      </c>
      <c r="E640">
        <v>1004</v>
      </c>
      <c r="F640">
        <v>2</v>
      </c>
      <c r="G640">
        <v>367.48</v>
      </c>
      <c r="H640" s="2" t="s">
        <v>1421</v>
      </c>
      <c r="I640" s="2" t="s">
        <v>1421</v>
      </c>
      <c r="J640" t="s">
        <v>16</v>
      </c>
      <c r="K640" s="2" t="str">
        <f>IFERROR(INDEX(Product_lookup[Category],MATCH(RawWorking[[#This Row],[ProductID]],Product_lookup[ProductID],0)),"")</f>
        <v>Electronics</v>
      </c>
      <c r="L640" s="9" t="str">
        <f>IF(OR(RawWorking[[#This Row],[ShipDate]]="",RawWorking[[#This Row],[DeliveryDate]]=""),"",RawWorking[[#This Row],[DeliveryDate]]-RawWorking[[#This Row],[ShipDate]])</f>
        <v/>
      </c>
      <c r="M640" s="9">
        <f>IF(COUNTIF(INDEX(RawWorking[OrderID],1):RawWorking[[#This Row],[OrderID]],RawWorking[[#This Row],[OrderID]])=1,1,0)</f>
        <v>1</v>
      </c>
      <c r="N640" s="4">
        <f>IFERROR(RawWorking[[#This Row],[LineAmount]]/RawWorking[[#This Row],[Quantity]],"")</f>
        <v>183.74</v>
      </c>
    </row>
    <row r="641" spans="1:14">
      <c r="A641">
        <v>50640</v>
      </c>
      <c r="B641">
        <v>30362</v>
      </c>
      <c r="C641" s="2">
        <v>45782</v>
      </c>
      <c r="D641">
        <v>2024</v>
      </c>
      <c r="E641">
        <v>1006</v>
      </c>
      <c r="F641">
        <v>2</v>
      </c>
      <c r="G641">
        <v>507.72</v>
      </c>
      <c r="H641" s="2" t="s">
        <v>1421</v>
      </c>
      <c r="I641" s="2" t="s">
        <v>1421</v>
      </c>
      <c r="J641" t="s">
        <v>16</v>
      </c>
      <c r="K641" s="2" t="str">
        <f>IFERROR(INDEX(Product_lookup[Category],MATCH(RawWorking[[#This Row],[ProductID]],Product_lookup[ProductID],0)),"")</f>
        <v>Home</v>
      </c>
      <c r="L641" s="9" t="str">
        <f>IF(OR(RawWorking[[#This Row],[ShipDate]]="",RawWorking[[#This Row],[DeliveryDate]]=""),"",RawWorking[[#This Row],[DeliveryDate]]-RawWorking[[#This Row],[ShipDate]])</f>
        <v/>
      </c>
      <c r="M641" s="9">
        <f>IF(COUNTIF(INDEX(RawWorking[OrderID],1):RawWorking[[#This Row],[OrderID]],RawWorking[[#This Row],[OrderID]])=1,1,0)</f>
        <v>0</v>
      </c>
      <c r="N641" s="4">
        <f>IFERROR(RawWorking[[#This Row],[LineAmount]]/RawWorking[[#This Row],[Quantity]],"")</f>
        <v>253.86</v>
      </c>
    </row>
    <row r="642" spans="1:14">
      <c r="A642">
        <v>50641</v>
      </c>
      <c r="B642">
        <v>30363</v>
      </c>
      <c r="C642" s="2">
        <v>46007</v>
      </c>
      <c r="D642">
        <v>2250</v>
      </c>
      <c r="E642">
        <v>1006</v>
      </c>
      <c r="F642">
        <v>1</v>
      </c>
      <c r="G642">
        <v>253.86</v>
      </c>
      <c r="H642" s="2">
        <v>46008</v>
      </c>
      <c r="I642" s="2">
        <v>46013</v>
      </c>
      <c r="J642" t="s">
        <v>9</v>
      </c>
      <c r="K642" s="2" t="str">
        <f>IFERROR(INDEX(Product_lookup[Category],MATCH(RawWorking[[#This Row],[ProductID]],Product_lookup[ProductID],0)),"")</f>
        <v>Home</v>
      </c>
      <c r="L642" s="9">
        <f>IF(OR(RawWorking[[#This Row],[ShipDate]]="",RawWorking[[#This Row],[DeliveryDate]]=""),"",RawWorking[[#This Row],[DeliveryDate]]-RawWorking[[#This Row],[ShipDate]])</f>
        <v>5</v>
      </c>
      <c r="M642" s="9">
        <f>IF(COUNTIF(INDEX(RawWorking[OrderID],1):RawWorking[[#This Row],[OrderID]],RawWorking[[#This Row],[OrderID]])=1,1,0)</f>
        <v>1</v>
      </c>
      <c r="N642" s="4">
        <f>IFERROR(RawWorking[[#This Row],[LineAmount]]/RawWorking[[#This Row],[Quantity]],"")</f>
        <v>253.86</v>
      </c>
    </row>
    <row r="643" spans="1:14">
      <c r="A643">
        <v>50642</v>
      </c>
      <c r="B643">
        <v>30363</v>
      </c>
      <c r="C643" s="2">
        <v>46007</v>
      </c>
      <c r="D643">
        <v>2250</v>
      </c>
      <c r="E643">
        <v>1011</v>
      </c>
      <c r="F643">
        <v>2</v>
      </c>
      <c r="G643">
        <v>202.88</v>
      </c>
      <c r="H643" s="2">
        <v>46008</v>
      </c>
      <c r="I643" s="2">
        <v>46011</v>
      </c>
      <c r="J643" t="s">
        <v>9</v>
      </c>
      <c r="K643" s="2" t="str">
        <f>IFERROR(INDEX(Product_lookup[Category],MATCH(RawWorking[[#This Row],[ProductID]],Product_lookup[ProductID],0)),"")</f>
        <v>Office</v>
      </c>
      <c r="L643" s="9">
        <f>IF(OR(RawWorking[[#This Row],[ShipDate]]="",RawWorking[[#This Row],[DeliveryDate]]=""),"",RawWorking[[#This Row],[DeliveryDate]]-RawWorking[[#This Row],[ShipDate]])</f>
        <v>3</v>
      </c>
      <c r="M643" s="9">
        <f>IF(COUNTIF(INDEX(RawWorking[OrderID],1):RawWorking[[#This Row],[OrderID]],RawWorking[[#This Row],[OrderID]])=1,1,0)</f>
        <v>0</v>
      </c>
      <c r="N643" s="4">
        <f>IFERROR(RawWorking[[#This Row],[LineAmount]]/RawWorking[[#This Row],[Quantity]],"")</f>
        <v>101.44</v>
      </c>
    </row>
    <row r="644" spans="1:14">
      <c r="A644">
        <v>50643</v>
      </c>
      <c r="B644">
        <v>30364</v>
      </c>
      <c r="C644" s="2">
        <v>45664</v>
      </c>
      <c r="D644">
        <v>2574</v>
      </c>
      <c r="E644">
        <v>1015</v>
      </c>
      <c r="F644">
        <v>1</v>
      </c>
      <c r="G644">
        <v>119.74</v>
      </c>
      <c r="H644" s="2">
        <v>45667</v>
      </c>
      <c r="I644" s="2">
        <v>45677</v>
      </c>
      <c r="J644" t="s">
        <v>9</v>
      </c>
      <c r="K644" s="2" t="str">
        <f>IFERROR(INDEX(Product_lookup[Category],MATCH(RawWorking[[#This Row],[ProductID]],Product_lookup[ProductID],0)),"")</f>
        <v>Sports</v>
      </c>
      <c r="L644" s="9">
        <f>IF(OR(RawWorking[[#This Row],[ShipDate]]="",RawWorking[[#This Row],[DeliveryDate]]=""),"",RawWorking[[#This Row],[DeliveryDate]]-RawWorking[[#This Row],[ShipDate]])</f>
        <v>10</v>
      </c>
      <c r="M644" s="9">
        <f>IF(COUNTIF(INDEX(RawWorking[OrderID],1):RawWorking[[#This Row],[OrderID]],RawWorking[[#This Row],[OrderID]])=1,1,0)</f>
        <v>1</v>
      </c>
      <c r="N644" s="4">
        <f>IFERROR(RawWorking[[#This Row],[LineAmount]]/RawWorking[[#This Row],[Quantity]],"")</f>
        <v>119.74</v>
      </c>
    </row>
    <row r="645" spans="1:14">
      <c r="A645">
        <v>50644</v>
      </c>
      <c r="B645">
        <v>30364</v>
      </c>
      <c r="C645" s="2">
        <v>45664</v>
      </c>
      <c r="D645">
        <v>2574</v>
      </c>
      <c r="E645">
        <v>1008</v>
      </c>
      <c r="F645">
        <v>1</v>
      </c>
      <c r="G645">
        <v>206.09</v>
      </c>
      <c r="H645" s="2">
        <v>45666</v>
      </c>
      <c r="I645" s="2">
        <v>45992</v>
      </c>
      <c r="J645" t="s">
        <v>9</v>
      </c>
      <c r="K645" s="2" t="str">
        <f>IFERROR(INDEX(Product_lookup[Category],MATCH(RawWorking[[#This Row],[ProductID]],Product_lookup[ProductID],0)),"")</f>
        <v>Home</v>
      </c>
      <c r="L645" s="9">
        <f>IF(OR(RawWorking[[#This Row],[ShipDate]]="",RawWorking[[#This Row],[DeliveryDate]]=""),"",RawWorking[[#This Row],[DeliveryDate]]-RawWorking[[#This Row],[ShipDate]])</f>
        <v>326</v>
      </c>
      <c r="M645" s="9">
        <f>IF(COUNTIF(INDEX(RawWorking[OrderID],1):RawWorking[[#This Row],[OrderID]],RawWorking[[#This Row],[OrderID]])=1,1,0)</f>
        <v>0</v>
      </c>
      <c r="N645" s="4">
        <f>IFERROR(RawWorking[[#This Row],[LineAmount]]/RawWorking[[#This Row],[Quantity]],"")</f>
        <v>206.09</v>
      </c>
    </row>
    <row r="646" spans="1:14">
      <c r="A646">
        <v>50645</v>
      </c>
      <c r="B646">
        <v>30364</v>
      </c>
      <c r="C646" s="2">
        <v>45664</v>
      </c>
      <c r="D646">
        <v>2574</v>
      </c>
      <c r="E646">
        <v>1013</v>
      </c>
      <c r="F646">
        <v>3</v>
      </c>
      <c r="G646">
        <v>510.75</v>
      </c>
      <c r="H646" s="2">
        <v>45667</v>
      </c>
      <c r="I646" s="2">
        <v>45674</v>
      </c>
      <c r="J646" t="s">
        <v>9</v>
      </c>
      <c r="K646" s="2" t="str">
        <f>IFERROR(INDEX(Product_lookup[Category],MATCH(RawWorking[[#This Row],[ProductID]],Product_lookup[ProductID],0)),"")</f>
        <v>Office</v>
      </c>
      <c r="L646" s="9">
        <f>IF(OR(RawWorking[[#This Row],[ShipDate]]="",RawWorking[[#This Row],[DeliveryDate]]=""),"",RawWorking[[#This Row],[DeliveryDate]]-RawWorking[[#This Row],[ShipDate]])</f>
        <v>7</v>
      </c>
      <c r="M646" s="9">
        <f>IF(COUNTIF(INDEX(RawWorking[OrderID],1):RawWorking[[#This Row],[OrderID]],RawWorking[[#This Row],[OrderID]])=1,1,0)</f>
        <v>0</v>
      </c>
      <c r="N646" s="4">
        <f>IFERROR(RawWorking[[#This Row],[LineAmount]]/RawWorking[[#This Row],[Quantity]],"")</f>
        <v>170.25</v>
      </c>
    </row>
    <row r="647" spans="1:14">
      <c r="A647">
        <v>50646</v>
      </c>
      <c r="B647">
        <v>30365</v>
      </c>
      <c r="C647" s="2">
        <v>45994</v>
      </c>
      <c r="D647">
        <v>2189</v>
      </c>
      <c r="E647">
        <v>1014</v>
      </c>
      <c r="F647">
        <v>1</v>
      </c>
      <c r="G647">
        <v>215.34</v>
      </c>
      <c r="H647" s="2">
        <v>45995</v>
      </c>
      <c r="I647" s="2">
        <v>45998</v>
      </c>
      <c r="J647" t="s">
        <v>9</v>
      </c>
      <c r="K647" s="2" t="str">
        <f>IFERROR(INDEX(Product_lookup[Category],MATCH(RawWorking[[#This Row],[ProductID]],Product_lookup[ProductID],0)),"")</f>
        <v>Sports</v>
      </c>
      <c r="L647" s="9">
        <f>IF(OR(RawWorking[[#This Row],[ShipDate]]="",RawWorking[[#This Row],[DeliveryDate]]=""),"",RawWorking[[#This Row],[DeliveryDate]]-RawWorking[[#This Row],[ShipDate]])</f>
        <v>3</v>
      </c>
      <c r="M647" s="9">
        <f>IF(COUNTIF(INDEX(RawWorking[OrderID],1):RawWorking[[#This Row],[OrderID]],RawWorking[[#This Row],[OrderID]])=1,1,0)</f>
        <v>1</v>
      </c>
      <c r="N647" s="4">
        <f>IFERROR(RawWorking[[#This Row],[LineAmount]]/RawWorking[[#This Row],[Quantity]],"")</f>
        <v>215.34</v>
      </c>
    </row>
    <row r="648" spans="1:14">
      <c r="A648">
        <v>50647</v>
      </c>
      <c r="B648">
        <v>30366</v>
      </c>
      <c r="C648" s="2">
        <v>45706</v>
      </c>
      <c r="D648">
        <v>2406</v>
      </c>
      <c r="E648">
        <v>1007</v>
      </c>
      <c r="F648">
        <v>1</v>
      </c>
      <c r="G648">
        <v>199.81</v>
      </c>
      <c r="H648" s="2">
        <v>45707</v>
      </c>
      <c r="I648" s="2">
        <v>45708</v>
      </c>
      <c r="J648" t="s">
        <v>9</v>
      </c>
      <c r="K648" s="2" t="str">
        <f>IFERROR(INDEX(Product_lookup[Category],MATCH(RawWorking[[#This Row],[ProductID]],Product_lookup[ProductID],0)),"")</f>
        <v>Home</v>
      </c>
      <c r="L648" s="9">
        <f>IF(OR(RawWorking[[#This Row],[ShipDate]]="",RawWorking[[#This Row],[DeliveryDate]]=""),"",RawWorking[[#This Row],[DeliveryDate]]-RawWorking[[#This Row],[ShipDate]])</f>
        <v>1</v>
      </c>
      <c r="M648" s="9">
        <f>IF(COUNTIF(INDEX(RawWorking[OrderID],1):RawWorking[[#This Row],[OrderID]],RawWorking[[#This Row],[OrderID]])=1,1,0)</f>
        <v>1</v>
      </c>
      <c r="N648" s="4">
        <f>IFERROR(RawWorking[[#This Row],[LineAmount]]/RawWorking[[#This Row],[Quantity]],"")</f>
        <v>199.81</v>
      </c>
    </row>
    <row r="649" spans="1:14">
      <c r="A649">
        <v>50648</v>
      </c>
      <c r="B649">
        <v>30367</v>
      </c>
      <c r="C649" s="2">
        <v>46019</v>
      </c>
      <c r="D649">
        <v>2461</v>
      </c>
      <c r="E649">
        <v>1013</v>
      </c>
      <c r="F649">
        <v>1</v>
      </c>
      <c r="G649">
        <v>170.25</v>
      </c>
      <c r="H649" s="2">
        <v>46021</v>
      </c>
      <c r="I649" s="2">
        <v>46030</v>
      </c>
      <c r="J649" t="s">
        <v>9</v>
      </c>
      <c r="K649" s="2" t="str">
        <f>IFERROR(INDEX(Product_lookup[Category],MATCH(RawWorking[[#This Row],[ProductID]],Product_lookup[ProductID],0)),"")</f>
        <v>Office</v>
      </c>
      <c r="L649" s="9">
        <f>IF(OR(RawWorking[[#This Row],[ShipDate]]="",RawWorking[[#This Row],[DeliveryDate]]=""),"",RawWorking[[#This Row],[DeliveryDate]]-RawWorking[[#This Row],[ShipDate]])</f>
        <v>9</v>
      </c>
      <c r="M649" s="9">
        <f>IF(COUNTIF(INDEX(RawWorking[OrderID],1):RawWorking[[#This Row],[OrderID]],RawWorking[[#This Row],[OrderID]])=1,1,0)</f>
        <v>1</v>
      </c>
      <c r="N649" s="4">
        <f>IFERROR(RawWorking[[#This Row],[LineAmount]]/RawWorking[[#This Row],[Quantity]],"")</f>
        <v>170.25</v>
      </c>
    </row>
    <row r="650" spans="1:14">
      <c r="A650">
        <v>50649</v>
      </c>
      <c r="B650">
        <v>30368</v>
      </c>
      <c r="C650" s="2">
        <v>45926</v>
      </c>
      <c r="D650">
        <v>2005</v>
      </c>
      <c r="E650">
        <v>1007</v>
      </c>
      <c r="F650">
        <v>2</v>
      </c>
      <c r="G650">
        <v>399.62</v>
      </c>
      <c r="H650" s="2">
        <v>45928</v>
      </c>
      <c r="I650" s="2">
        <v>45933</v>
      </c>
      <c r="J650" t="s">
        <v>9</v>
      </c>
      <c r="K650" s="2" t="str">
        <f>IFERROR(INDEX(Product_lookup[Category],MATCH(RawWorking[[#This Row],[ProductID]],Product_lookup[ProductID],0)),"")</f>
        <v>Home</v>
      </c>
      <c r="L650" s="9">
        <f>IF(OR(RawWorking[[#This Row],[ShipDate]]="",RawWorking[[#This Row],[DeliveryDate]]=""),"",RawWorking[[#This Row],[DeliveryDate]]-RawWorking[[#This Row],[ShipDate]])</f>
        <v>5</v>
      </c>
      <c r="M650" s="9">
        <f>IF(COUNTIF(INDEX(RawWorking[OrderID],1):RawWorking[[#This Row],[OrderID]],RawWorking[[#This Row],[OrderID]])=1,1,0)</f>
        <v>1</v>
      </c>
      <c r="N650" s="4">
        <f>IFERROR(RawWorking[[#This Row],[LineAmount]]/RawWorking[[#This Row],[Quantity]],"")</f>
        <v>199.81</v>
      </c>
    </row>
    <row r="651" spans="1:14">
      <c r="A651">
        <v>50650</v>
      </c>
      <c r="B651">
        <v>30368</v>
      </c>
      <c r="C651" s="2">
        <v>45926</v>
      </c>
      <c r="D651">
        <v>2005</v>
      </c>
      <c r="E651">
        <v>1009</v>
      </c>
      <c r="F651">
        <v>2</v>
      </c>
      <c r="G651">
        <v>80.56</v>
      </c>
      <c r="H651" s="2">
        <v>45929</v>
      </c>
      <c r="I651" s="2">
        <v>45934</v>
      </c>
      <c r="J651" t="s">
        <v>9</v>
      </c>
      <c r="K651" s="2" t="str">
        <f>IFERROR(INDEX(Product_lookup[Category],MATCH(RawWorking[[#This Row],[ProductID]],Product_lookup[ProductID],0)),"")</f>
        <v>Home</v>
      </c>
      <c r="L651" s="9">
        <f>IF(OR(RawWorking[[#This Row],[ShipDate]]="",RawWorking[[#This Row],[DeliveryDate]]=""),"",RawWorking[[#This Row],[DeliveryDate]]-RawWorking[[#This Row],[ShipDate]])</f>
        <v>5</v>
      </c>
      <c r="M651" s="9">
        <f>IF(COUNTIF(INDEX(RawWorking[OrderID],1):RawWorking[[#This Row],[OrderID]],RawWorking[[#This Row],[OrderID]])=1,1,0)</f>
        <v>0</v>
      </c>
      <c r="N651" s="4">
        <f>IFERROR(RawWorking[[#This Row],[LineAmount]]/RawWorking[[#This Row],[Quantity]],"")</f>
        <v>40.28</v>
      </c>
    </row>
    <row r="652" spans="1:14">
      <c r="A652">
        <v>50651</v>
      </c>
      <c r="B652">
        <v>30369</v>
      </c>
      <c r="C652" s="2">
        <v>45848</v>
      </c>
      <c r="D652">
        <v>2065</v>
      </c>
      <c r="E652">
        <v>1006</v>
      </c>
      <c r="F652">
        <v>1</v>
      </c>
      <c r="G652">
        <v>253.86</v>
      </c>
      <c r="H652" s="2">
        <v>45851</v>
      </c>
      <c r="I652" s="2">
        <v>45855</v>
      </c>
      <c r="J652" t="s">
        <v>9</v>
      </c>
      <c r="K652" s="2" t="str">
        <f>IFERROR(INDEX(Product_lookup[Category],MATCH(RawWorking[[#This Row],[ProductID]],Product_lookup[ProductID],0)),"")</f>
        <v>Home</v>
      </c>
      <c r="L652" s="9">
        <f>IF(OR(RawWorking[[#This Row],[ShipDate]]="",RawWorking[[#This Row],[DeliveryDate]]=""),"",RawWorking[[#This Row],[DeliveryDate]]-RawWorking[[#This Row],[ShipDate]])</f>
        <v>4</v>
      </c>
      <c r="M652" s="9">
        <f>IF(COUNTIF(INDEX(RawWorking[OrderID],1):RawWorking[[#This Row],[OrderID]],RawWorking[[#This Row],[OrderID]])=1,1,0)</f>
        <v>1</v>
      </c>
      <c r="N652" s="4">
        <f>IFERROR(RawWorking[[#This Row],[LineAmount]]/RawWorking[[#This Row],[Quantity]],"")</f>
        <v>253.86</v>
      </c>
    </row>
    <row r="653" spans="1:14">
      <c r="A653">
        <v>50652</v>
      </c>
      <c r="B653">
        <v>30369</v>
      </c>
      <c r="C653" s="2">
        <v>45848</v>
      </c>
      <c r="D653">
        <v>2065</v>
      </c>
      <c r="E653">
        <v>1012</v>
      </c>
      <c r="F653">
        <v>1</v>
      </c>
      <c r="G653">
        <v>241.54</v>
      </c>
      <c r="H653" s="2">
        <v>45849</v>
      </c>
      <c r="I653" s="2">
        <v>45851</v>
      </c>
      <c r="J653" t="s">
        <v>9</v>
      </c>
      <c r="K653" s="2" t="str">
        <f>IFERROR(INDEX(Product_lookup[Category],MATCH(RawWorking[[#This Row],[ProductID]],Product_lookup[ProductID],0)),"")</f>
        <v>Office</v>
      </c>
      <c r="L653" s="9">
        <f>IF(OR(RawWorking[[#This Row],[ShipDate]]="",RawWorking[[#This Row],[DeliveryDate]]=""),"",RawWorking[[#This Row],[DeliveryDate]]-RawWorking[[#This Row],[ShipDate]])</f>
        <v>2</v>
      </c>
      <c r="M653" s="9">
        <f>IF(COUNTIF(INDEX(RawWorking[OrderID],1):RawWorking[[#This Row],[OrderID]],RawWorking[[#This Row],[OrderID]])=1,1,0)</f>
        <v>0</v>
      </c>
      <c r="N653" s="4">
        <f>IFERROR(RawWorking[[#This Row],[LineAmount]]/RawWorking[[#This Row],[Quantity]],"")</f>
        <v>241.54</v>
      </c>
    </row>
    <row r="654" spans="1:14">
      <c r="A654">
        <v>50653</v>
      </c>
      <c r="B654">
        <v>30370</v>
      </c>
      <c r="C654" s="2">
        <v>45811</v>
      </c>
      <c r="E654">
        <v>1004</v>
      </c>
      <c r="F654">
        <v>1</v>
      </c>
      <c r="G654">
        <v>183.74</v>
      </c>
      <c r="H654" s="2">
        <v>45814</v>
      </c>
      <c r="I654" s="2">
        <v>45822</v>
      </c>
      <c r="J654" t="s">
        <v>9</v>
      </c>
      <c r="K654" s="2" t="str">
        <f>IFERROR(INDEX(Product_lookup[Category],MATCH(RawWorking[[#This Row],[ProductID]],Product_lookup[ProductID],0)),"")</f>
        <v>Electronics</v>
      </c>
      <c r="L654" s="9">
        <f>IF(OR(RawWorking[[#This Row],[ShipDate]]="",RawWorking[[#This Row],[DeliveryDate]]=""),"",RawWorking[[#This Row],[DeliveryDate]]-RawWorking[[#This Row],[ShipDate]])</f>
        <v>8</v>
      </c>
      <c r="M654" s="9">
        <f>IF(COUNTIF(INDEX(RawWorking[OrderID],1):RawWorking[[#This Row],[OrderID]],RawWorking[[#This Row],[OrderID]])=1,1,0)</f>
        <v>1</v>
      </c>
      <c r="N654" s="4">
        <f>IFERROR(RawWorking[[#This Row],[LineAmount]]/RawWorking[[#This Row],[Quantity]],"")</f>
        <v>183.74</v>
      </c>
    </row>
    <row r="655" spans="1:14">
      <c r="A655">
        <v>50654</v>
      </c>
      <c r="B655">
        <v>30371</v>
      </c>
      <c r="C655" s="2">
        <v>45747</v>
      </c>
      <c r="D655">
        <v>2269</v>
      </c>
      <c r="E655">
        <v>1016</v>
      </c>
      <c r="F655">
        <v>1</v>
      </c>
      <c r="G655">
        <v>65.260000000000005</v>
      </c>
      <c r="H655" s="2">
        <v>45750</v>
      </c>
      <c r="I655" s="2">
        <v>45757</v>
      </c>
      <c r="J655" t="s">
        <v>9</v>
      </c>
      <c r="K655" s="2" t="str">
        <f>IFERROR(INDEX(Product_lookup[Category],MATCH(RawWorking[[#This Row],[ProductID]],Product_lookup[ProductID],0)),"")</f>
        <v>Sports</v>
      </c>
      <c r="L655" s="9">
        <f>IF(OR(RawWorking[[#This Row],[ShipDate]]="",RawWorking[[#This Row],[DeliveryDate]]=""),"",RawWorking[[#This Row],[DeliveryDate]]-RawWorking[[#This Row],[ShipDate]])</f>
        <v>7</v>
      </c>
      <c r="M655" s="9">
        <f>IF(COUNTIF(INDEX(RawWorking[OrderID],1):RawWorking[[#This Row],[OrderID]],RawWorking[[#This Row],[OrderID]])=1,1,0)</f>
        <v>1</v>
      </c>
      <c r="N655" s="4">
        <f>IFERROR(RawWorking[[#This Row],[LineAmount]]/RawWorking[[#This Row],[Quantity]],"")</f>
        <v>65.260000000000005</v>
      </c>
    </row>
    <row r="656" spans="1:14">
      <c r="A656">
        <v>50655</v>
      </c>
      <c r="B656">
        <v>30371</v>
      </c>
      <c r="C656" s="2">
        <v>45747</v>
      </c>
      <c r="D656">
        <v>2269</v>
      </c>
      <c r="E656">
        <v>1011</v>
      </c>
      <c r="F656">
        <v>3</v>
      </c>
      <c r="G656">
        <v>304.32</v>
      </c>
      <c r="H656" s="2">
        <v>45750</v>
      </c>
      <c r="I656" s="2">
        <v>45751</v>
      </c>
      <c r="J656" t="s">
        <v>9</v>
      </c>
      <c r="K656" s="2" t="str">
        <f>IFERROR(INDEX(Product_lookup[Category],MATCH(RawWorking[[#This Row],[ProductID]],Product_lookup[ProductID],0)),"")</f>
        <v>Office</v>
      </c>
      <c r="L656" s="9">
        <f>IF(OR(RawWorking[[#This Row],[ShipDate]]="",RawWorking[[#This Row],[DeliveryDate]]=""),"",RawWorking[[#This Row],[DeliveryDate]]-RawWorking[[#This Row],[ShipDate]])</f>
        <v>1</v>
      </c>
      <c r="M656" s="9">
        <f>IF(COUNTIF(INDEX(RawWorking[OrderID],1):RawWorking[[#This Row],[OrderID]],RawWorking[[#This Row],[OrderID]])=1,1,0)</f>
        <v>0</v>
      </c>
      <c r="N656" s="4">
        <f>IFERROR(RawWorking[[#This Row],[LineAmount]]/RawWorking[[#This Row],[Quantity]],"")</f>
        <v>101.44</v>
      </c>
    </row>
    <row r="657" spans="1:14">
      <c r="A657">
        <v>50656</v>
      </c>
      <c r="B657">
        <v>30371</v>
      </c>
      <c r="C657" s="2">
        <v>45747</v>
      </c>
      <c r="D657">
        <v>2269</v>
      </c>
      <c r="E657">
        <v>1013</v>
      </c>
      <c r="F657">
        <v>2</v>
      </c>
      <c r="G657">
        <v>340.5</v>
      </c>
      <c r="H657" s="2">
        <v>45748</v>
      </c>
      <c r="I657" s="2">
        <v>45781</v>
      </c>
      <c r="J657" t="s">
        <v>9</v>
      </c>
      <c r="K657" s="2" t="str">
        <f>IFERROR(INDEX(Product_lookup[Category],MATCH(RawWorking[[#This Row],[ProductID]],Product_lookup[ProductID],0)),"")</f>
        <v>Office</v>
      </c>
      <c r="L657" s="9">
        <f>IF(OR(RawWorking[[#This Row],[ShipDate]]="",RawWorking[[#This Row],[DeliveryDate]]=""),"",RawWorking[[#This Row],[DeliveryDate]]-RawWorking[[#This Row],[ShipDate]])</f>
        <v>33</v>
      </c>
      <c r="M657" s="9">
        <f>IF(COUNTIF(INDEX(RawWorking[OrderID],1):RawWorking[[#This Row],[OrderID]],RawWorking[[#This Row],[OrderID]])=1,1,0)</f>
        <v>0</v>
      </c>
      <c r="N657" s="4">
        <f>IFERROR(RawWorking[[#This Row],[LineAmount]]/RawWorking[[#This Row],[Quantity]],"")</f>
        <v>170.25</v>
      </c>
    </row>
    <row r="658" spans="1:14">
      <c r="A658">
        <v>50657</v>
      </c>
      <c r="B658">
        <v>30372</v>
      </c>
      <c r="C658" s="2">
        <v>45932</v>
      </c>
      <c r="D658">
        <v>2402</v>
      </c>
      <c r="E658">
        <v>1012</v>
      </c>
      <c r="F658">
        <v>3</v>
      </c>
      <c r="G658">
        <v>724.62</v>
      </c>
      <c r="H658" s="2">
        <v>45933</v>
      </c>
      <c r="I658" s="2">
        <v>45935</v>
      </c>
      <c r="J658" t="s">
        <v>9</v>
      </c>
      <c r="K658" s="2" t="str">
        <f>IFERROR(INDEX(Product_lookup[Category],MATCH(RawWorking[[#This Row],[ProductID]],Product_lookup[ProductID],0)),"")</f>
        <v>Office</v>
      </c>
      <c r="L658" s="9">
        <f>IF(OR(RawWorking[[#This Row],[ShipDate]]="",RawWorking[[#This Row],[DeliveryDate]]=""),"",RawWorking[[#This Row],[DeliveryDate]]-RawWorking[[#This Row],[ShipDate]])</f>
        <v>2</v>
      </c>
      <c r="M658" s="9">
        <f>IF(COUNTIF(INDEX(RawWorking[OrderID],1):RawWorking[[#This Row],[OrderID]],RawWorking[[#This Row],[OrderID]])=1,1,0)</f>
        <v>1</v>
      </c>
      <c r="N658" s="4">
        <f>IFERROR(RawWorking[[#This Row],[LineAmount]]/RawWorking[[#This Row],[Quantity]],"")</f>
        <v>241.54</v>
      </c>
    </row>
    <row r="659" spans="1:14">
      <c r="A659">
        <v>50658</v>
      </c>
      <c r="B659">
        <v>30372</v>
      </c>
      <c r="C659" s="2">
        <v>45698</v>
      </c>
      <c r="D659">
        <v>2402</v>
      </c>
      <c r="E659">
        <v>1012</v>
      </c>
      <c r="F659">
        <v>1</v>
      </c>
      <c r="G659">
        <v>241.54</v>
      </c>
      <c r="H659" s="2">
        <v>45726</v>
      </c>
      <c r="I659" s="2">
        <v>45936</v>
      </c>
      <c r="J659" t="s">
        <v>9</v>
      </c>
      <c r="K659" s="2" t="str">
        <f>IFERROR(INDEX(Product_lookup[Category],MATCH(RawWorking[[#This Row],[ProductID]],Product_lookup[ProductID],0)),"")</f>
        <v>Office</v>
      </c>
      <c r="L659" s="9">
        <f>IF(OR(RawWorking[[#This Row],[ShipDate]]="",RawWorking[[#This Row],[DeliveryDate]]=""),"",RawWorking[[#This Row],[DeliveryDate]]-RawWorking[[#This Row],[ShipDate]])</f>
        <v>210</v>
      </c>
      <c r="M659" s="9">
        <f>IF(COUNTIF(INDEX(RawWorking[OrderID],1):RawWorking[[#This Row],[OrderID]],RawWorking[[#This Row],[OrderID]])=1,1,0)</f>
        <v>0</v>
      </c>
      <c r="N659" s="4">
        <f>IFERROR(RawWorking[[#This Row],[LineAmount]]/RawWorking[[#This Row],[Quantity]],"")</f>
        <v>241.54</v>
      </c>
    </row>
    <row r="660" spans="1:14">
      <c r="A660">
        <v>50659</v>
      </c>
      <c r="B660">
        <v>30373</v>
      </c>
      <c r="C660" s="2">
        <v>45763</v>
      </c>
      <c r="D660">
        <v>2469</v>
      </c>
      <c r="E660">
        <v>1010</v>
      </c>
      <c r="F660">
        <v>2</v>
      </c>
      <c r="G660">
        <v>243</v>
      </c>
      <c r="H660" s="2">
        <v>45765</v>
      </c>
      <c r="I660" s="2">
        <v>45772</v>
      </c>
      <c r="J660" t="s">
        <v>9</v>
      </c>
      <c r="K660" s="2" t="str">
        <f>IFERROR(INDEX(Product_lookup[Category],MATCH(RawWorking[[#This Row],[ProductID]],Product_lookup[ProductID],0)),"")</f>
        <v>Office</v>
      </c>
      <c r="L660" s="9">
        <f>IF(OR(RawWorking[[#This Row],[ShipDate]]="",RawWorking[[#This Row],[DeliveryDate]]=""),"",RawWorking[[#This Row],[DeliveryDate]]-RawWorking[[#This Row],[ShipDate]])</f>
        <v>7</v>
      </c>
      <c r="M660" s="9">
        <f>IF(COUNTIF(INDEX(RawWorking[OrderID],1):RawWorking[[#This Row],[OrderID]],RawWorking[[#This Row],[OrderID]])=1,1,0)</f>
        <v>1</v>
      </c>
      <c r="N660" s="4">
        <f>IFERROR(RawWorking[[#This Row],[LineAmount]]/RawWorking[[#This Row],[Quantity]],"")</f>
        <v>121.5</v>
      </c>
    </row>
    <row r="661" spans="1:14">
      <c r="A661">
        <v>50660</v>
      </c>
      <c r="B661">
        <v>30373</v>
      </c>
      <c r="C661" s="2">
        <v>45763</v>
      </c>
      <c r="D661">
        <v>2469</v>
      </c>
      <c r="E661">
        <v>1003</v>
      </c>
      <c r="F661">
        <v>2</v>
      </c>
      <c r="G661">
        <v>448.74</v>
      </c>
      <c r="H661" s="2">
        <v>45766</v>
      </c>
      <c r="I661" s="2">
        <v>45768</v>
      </c>
      <c r="J661" t="s">
        <v>9</v>
      </c>
      <c r="K661" s="2" t="str">
        <f>IFERROR(INDEX(Product_lookup[Category],MATCH(RawWorking[[#This Row],[ProductID]],Product_lookup[ProductID],0)),"")</f>
        <v>Electronics</v>
      </c>
      <c r="L661" s="9">
        <f>IF(OR(RawWorking[[#This Row],[ShipDate]]="",RawWorking[[#This Row],[DeliveryDate]]=""),"",RawWorking[[#This Row],[DeliveryDate]]-RawWorking[[#This Row],[ShipDate]])</f>
        <v>2</v>
      </c>
      <c r="M661" s="9">
        <f>IF(COUNTIF(INDEX(RawWorking[OrderID],1):RawWorking[[#This Row],[OrderID]],RawWorking[[#This Row],[OrderID]])=1,1,0)</f>
        <v>0</v>
      </c>
      <c r="N661" s="4">
        <f>IFERROR(RawWorking[[#This Row],[LineAmount]]/RawWorking[[#This Row],[Quantity]],"")</f>
        <v>224.37</v>
      </c>
    </row>
    <row r="662" spans="1:14">
      <c r="A662">
        <v>50661</v>
      </c>
      <c r="B662">
        <v>30374</v>
      </c>
      <c r="C662" s="2">
        <v>45777</v>
      </c>
      <c r="D662">
        <v>2138</v>
      </c>
      <c r="E662">
        <v>1008</v>
      </c>
      <c r="F662">
        <v>2</v>
      </c>
      <c r="G662">
        <v>412.18</v>
      </c>
      <c r="H662" s="2">
        <v>45780</v>
      </c>
      <c r="I662" s="2">
        <v>45787</v>
      </c>
      <c r="J662" t="s">
        <v>9</v>
      </c>
      <c r="K662" s="2" t="str">
        <f>IFERROR(INDEX(Product_lookup[Category],MATCH(RawWorking[[#This Row],[ProductID]],Product_lookup[ProductID],0)),"")</f>
        <v>Home</v>
      </c>
      <c r="L662" s="9">
        <f>IF(OR(RawWorking[[#This Row],[ShipDate]]="",RawWorking[[#This Row],[DeliveryDate]]=""),"",RawWorking[[#This Row],[DeliveryDate]]-RawWorking[[#This Row],[ShipDate]])</f>
        <v>7</v>
      </c>
      <c r="M662" s="9">
        <f>IF(COUNTIF(INDEX(RawWorking[OrderID],1):RawWorking[[#This Row],[OrderID]],RawWorking[[#This Row],[OrderID]])=1,1,0)</f>
        <v>1</v>
      </c>
      <c r="N662" s="4">
        <f>IFERROR(RawWorking[[#This Row],[LineAmount]]/RawWorking[[#This Row],[Quantity]],"")</f>
        <v>206.09</v>
      </c>
    </row>
    <row r="663" spans="1:14">
      <c r="A663">
        <v>50662</v>
      </c>
      <c r="B663">
        <v>30374</v>
      </c>
      <c r="C663" s="2">
        <v>45777</v>
      </c>
      <c r="D663">
        <v>2138</v>
      </c>
      <c r="E663">
        <v>1010</v>
      </c>
      <c r="F663">
        <v>1</v>
      </c>
      <c r="G663">
        <v>121.5</v>
      </c>
      <c r="H663" s="2">
        <v>45778</v>
      </c>
      <c r="I663" s="2">
        <v>45779</v>
      </c>
      <c r="J663" t="s">
        <v>9</v>
      </c>
      <c r="K663" s="2" t="str">
        <f>IFERROR(INDEX(Product_lookup[Category],MATCH(RawWorking[[#This Row],[ProductID]],Product_lookup[ProductID],0)),"")</f>
        <v>Office</v>
      </c>
      <c r="L663" s="9">
        <f>IF(OR(RawWorking[[#This Row],[ShipDate]]="",RawWorking[[#This Row],[DeliveryDate]]=""),"",RawWorking[[#This Row],[DeliveryDate]]-RawWorking[[#This Row],[ShipDate]])</f>
        <v>1</v>
      </c>
      <c r="M663" s="9">
        <f>IF(COUNTIF(INDEX(RawWorking[OrderID],1):RawWorking[[#This Row],[OrderID]],RawWorking[[#This Row],[OrderID]])=1,1,0)</f>
        <v>0</v>
      </c>
      <c r="N663" s="4">
        <f>IFERROR(RawWorking[[#This Row],[LineAmount]]/RawWorking[[#This Row],[Quantity]],"")</f>
        <v>121.5</v>
      </c>
    </row>
    <row r="664" spans="1:14">
      <c r="A664">
        <v>50663</v>
      </c>
      <c r="B664">
        <v>30375</v>
      </c>
      <c r="C664" s="2">
        <v>45807</v>
      </c>
      <c r="D664">
        <v>2120</v>
      </c>
      <c r="E664">
        <v>1005</v>
      </c>
      <c r="F664">
        <v>1</v>
      </c>
      <c r="G664">
        <v>31.73</v>
      </c>
      <c r="H664" s="2">
        <v>45808</v>
      </c>
      <c r="I664" s="2">
        <v>45813</v>
      </c>
      <c r="J664" t="s">
        <v>9</v>
      </c>
      <c r="K664" s="2" t="str">
        <f>IFERROR(INDEX(Product_lookup[Category],MATCH(RawWorking[[#This Row],[ProductID]],Product_lookup[ProductID],0)),"")</f>
        <v>Electronics</v>
      </c>
      <c r="L664" s="9">
        <f>IF(OR(RawWorking[[#This Row],[ShipDate]]="",RawWorking[[#This Row],[DeliveryDate]]=""),"",RawWorking[[#This Row],[DeliveryDate]]-RawWorking[[#This Row],[ShipDate]])</f>
        <v>5</v>
      </c>
      <c r="M664" s="9">
        <f>IF(COUNTIF(INDEX(RawWorking[OrderID],1):RawWorking[[#This Row],[OrderID]],RawWorking[[#This Row],[OrderID]])=1,1,0)</f>
        <v>1</v>
      </c>
      <c r="N664" s="4">
        <f>IFERROR(RawWorking[[#This Row],[LineAmount]]/RawWorking[[#This Row],[Quantity]],"")</f>
        <v>31.73</v>
      </c>
    </row>
    <row r="665" spans="1:14">
      <c r="A665">
        <v>50664</v>
      </c>
      <c r="B665">
        <v>30376</v>
      </c>
      <c r="C665" s="2">
        <v>45961</v>
      </c>
      <c r="D665">
        <v>2524</v>
      </c>
      <c r="E665">
        <v>1005</v>
      </c>
      <c r="F665">
        <v>3</v>
      </c>
      <c r="G665">
        <v>95.19</v>
      </c>
      <c r="H665" s="2">
        <v>45964</v>
      </c>
      <c r="I665" s="2">
        <v>45969</v>
      </c>
      <c r="J665" t="s">
        <v>9</v>
      </c>
      <c r="K665" s="2" t="str">
        <f>IFERROR(INDEX(Product_lookup[Category],MATCH(RawWorking[[#This Row],[ProductID]],Product_lookup[ProductID],0)),"")</f>
        <v>Electronics</v>
      </c>
      <c r="L665" s="9">
        <f>IF(OR(RawWorking[[#This Row],[ShipDate]]="",RawWorking[[#This Row],[DeliveryDate]]=""),"",RawWorking[[#This Row],[DeliveryDate]]-RawWorking[[#This Row],[ShipDate]])</f>
        <v>5</v>
      </c>
      <c r="M665" s="9">
        <f>IF(COUNTIF(INDEX(RawWorking[OrderID],1):RawWorking[[#This Row],[OrderID]],RawWorking[[#This Row],[OrderID]])=1,1,0)</f>
        <v>1</v>
      </c>
      <c r="N665" s="4">
        <f>IFERROR(RawWorking[[#This Row],[LineAmount]]/RawWorking[[#This Row],[Quantity]],"")</f>
        <v>31.73</v>
      </c>
    </row>
    <row r="666" spans="1:14">
      <c r="A666">
        <v>50665</v>
      </c>
      <c r="B666">
        <v>30377</v>
      </c>
      <c r="C666" s="2">
        <v>45857</v>
      </c>
      <c r="D666">
        <v>2589</v>
      </c>
      <c r="E666">
        <v>1006</v>
      </c>
      <c r="F666">
        <v>1</v>
      </c>
      <c r="G666">
        <v>253.86</v>
      </c>
      <c r="H666" s="2">
        <v>45859</v>
      </c>
      <c r="I666" s="2">
        <v>45864</v>
      </c>
      <c r="J666" t="s">
        <v>9</v>
      </c>
      <c r="K666" s="2" t="str">
        <f>IFERROR(INDEX(Product_lookup[Category],MATCH(RawWorking[[#This Row],[ProductID]],Product_lookup[ProductID],0)),"")</f>
        <v>Home</v>
      </c>
      <c r="L666" s="9">
        <f>IF(OR(RawWorking[[#This Row],[ShipDate]]="",RawWorking[[#This Row],[DeliveryDate]]=""),"",RawWorking[[#This Row],[DeliveryDate]]-RawWorking[[#This Row],[ShipDate]])</f>
        <v>5</v>
      </c>
      <c r="M666" s="9">
        <f>IF(COUNTIF(INDEX(RawWorking[OrderID],1):RawWorking[[#This Row],[OrderID]],RawWorking[[#This Row],[OrderID]])=1,1,0)</f>
        <v>1</v>
      </c>
      <c r="N666" s="4">
        <f>IFERROR(RawWorking[[#This Row],[LineAmount]]/RawWorking[[#This Row],[Quantity]],"")</f>
        <v>253.86</v>
      </c>
    </row>
    <row r="667" spans="1:14">
      <c r="A667">
        <v>50666</v>
      </c>
      <c r="B667">
        <v>30377</v>
      </c>
      <c r="C667" s="2">
        <v>45857</v>
      </c>
      <c r="D667">
        <v>2589</v>
      </c>
      <c r="E667">
        <v>1016</v>
      </c>
      <c r="F667">
        <v>2</v>
      </c>
      <c r="G667">
        <v>130.52000000000001</v>
      </c>
      <c r="H667" s="2">
        <v>45860</v>
      </c>
      <c r="I667" s="2">
        <v>45870</v>
      </c>
      <c r="J667" t="s">
        <v>9</v>
      </c>
      <c r="K667" s="2" t="str">
        <f>IFERROR(INDEX(Product_lookup[Category],MATCH(RawWorking[[#This Row],[ProductID]],Product_lookup[ProductID],0)),"")</f>
        <v>Sports</v>
      </c>
      <c r="L667" s="9">
        <f>IF(OR(RawWorking[[#This Row],[ShipDate]]="",RawWorking[[#This Row],[DeliveryDate]]=""),"",RawWorking[[#This Row],[DeliveryDate]]-RawWorking[[#This Row],[ShipDate]])</f>
        <v>10</v>
      </c>
      <c r="M667" s="9">
        <f>IF(COUNTIF(INDEX(RawWorking[OrderID],1):RawWorking[[#This Row],[OrderID]],RawWorking[[#This Row],[OrderID]])=1,1,0)</f>
        <v>0</v>
      </c>
      <c r="N667" s="4">
        <f>IFERROR(RawWorking[[#This Row],[LineAmount]]/RawWorking[[#This Row],[Quantity]],"")</f>
        <v>65.260000000000005</v>
      </c>
    </row>
    <row r="668" spans="1:14">
      <c r="A668">
        <v>50667</v>
      </c>
      <c r="B668">
        <v>30378</v>
      </c>
      <c r="C668" s="2">
        <v>45997</v>
      </c>
      <c r="D668">
        <v>2551</v>
      </c>
      <c r="E668">
        <v>1006</v>
      </c>
      <c r="F668">
        <v>2</v>
      </c>
      <c r="G668">
        <v>507.72</v>
      </c>
      <c r="H668" s="2">
        <v>45999</v>
      </c>
      <c r="I668" s="2">
        <v>46009</v>
      </c>
      <c r="J668" t="s">
        <v>9</v>
      </c>
      <c r="K668" s="2" t="str">
        <f>IFERROR(INDEX(Product_lookup[Category],MATCH(RawWorking[[#This Row],[ProductID]],Product_lookup[ProductID],0)),"")</f>
        <v>Home</v>
      </c>
      <c r="L668" s="9">
        <f>IF(OR(RawWorking[[#This Row],[ShipDate]]="",RawWorking[[#This Row],[DeliveryDate]]=""),"",RawWorking[[#This Row],[DeliveryDate]]-RawWorking[[#This Row],[ShipDate]])</f>
        <v>10</v>
      </c>
      <c r="M668" s="9">
        <f>IF(COUNTIF(INDEX(RawWorking[OrderID],1):RawWorking[[#This Row],[OrderID]],RawWorking[[#This Row],[OrderID]])=1,1,0)</f>
        <v>1</v>
      </c>
      <c r="N668" s="4">
        <f>IFERROR(RawWorking[[#This Row],[LineAmount]]/RawWorking[[#This Row],[Quantity]],"")</f>
        <v>253.86</v>
      </c>
    </row>
    <row r="669" spans="1:14">
      <c r="A669">
        <v>50668</v>
      </c>
      <c r="B669">
        <v>30378</v>
      </c>
      <c r="C669" s="2">
        <v>45997</v>
      </c>
      <c r="D669">
        <v>2551</v>
      </c>
      <c r="E669">
        <v>1006</v>
      </c>
      <c r="F669">
        <v>1</v>
      </c>
      <c r="G669">
        <v>253.86</v>
      </c>
      <c r="H669" s="2">
        <v>46000</v>
      </c>
      <c r="I669" s="2">
        <v>46005</v>
      </c>
      <c r="J669" t="s">
        <v>9</v>
      </c>
      <c r="K669" s="2" t="str">
        <f>IFERROR(INDEX(Product_lookup[Category],MATCH(RawWorking[[#This Row],[ProductID]],Product_lookup[ProductID],0)),"")</f>
        <v>Home</v>
      </c>
      <c r="L669" s="9">
        <f>IF(OR(RawWorking[[#This Row],[ShipDate]]="",RawWorking[[#This Row],[DeliveryDate]]=""),"",RawWorking[[#This Row],[DeliveryDate]]-RawWorking[[#This Row],[ShipDate]])</f>
        <v>5</v>
      </c>
      <c r="M669" s="9">
        <f>IF(COUNTIF(INDEX(RawWorking[OrderID],1):RawWorking[[#This Row],[OrderID]],RawWorking[[#This Row],[OrderID]])=1,1,0)</f>
        <v>0</v>
      </c>
      <c r="N669" s="4">
        <f>IFERROR(RawWorking[[#This Row],[LineAmount]]/RawWorking[[#This Row],[Quantity]],"")</f>
        <v>253.86</v>
      </c>
    </row>
    <row r="670" spans="1:14">
      <c r="A670">
        <v>50669</v>
      </c>
      <c r="B670">
        <v>30379</v>
      </c>
      <c r="C670" s="2">
        <v>45846</v>
      </c>
      <c r="D670">
        <v>2502</v>
      </c>
      <c r="E670">
        <v>1006</v>
      </c>
      <c r="F670">
        <v>4</v>
      </c>
      <c r="G670">
        <v>1015.44</v>
      </c>
      <c r="H670" s="2">
        <v>45848</v>
      </c>
      <c r="I670" s="2">
        <v>45853</v>
      </c>
      <c r="J670" t="s">
        <v>9</v>
      </c>
      <c r="K670" s="2" t="str">
        <f>IFERROR(INDEX(Product_lookup[Category],MATCH(RawWorking[[#This Row],[ProductID]],Product_lookup[ProductID],0)),"")</f>
        <v>Home</v>
      </c>
      <c r="L670" s="9">
        <f>IF(OR(RawWorking[[#This Row],[ShipDate]]="",RawWorking[[#This Row],[DeliveryDate]]=""),"",RawWorking[[#This Row],[DeliveryDate]]-RawWorking[[#This Row],[ShipDate]])</f>
        <v>5</v>
      </c>
      <c r="M670" s="9">
        <f>IF(COUNTIF(INDEX(RawWorking[OrderID],1):RawWorking[[#This Row],[OrderID]],RawWorking[[#This Row],[OrderID]])=1,1,0)</f>
        <v>1</v>
      </c>
      <c r="N670" s="4">
        <f>IFERROR(RawWorking[[#This Row],[LineAmount]]/RawWorking[[#This Row],[Quantity]],"")</f>
        <v>253.86</v>
      </c>
    </row>
    <row r="671" spans="1:14">
      <c r="A671">
        <v>50670</v>
      </c>
      <c r="B671">
        <v>30380</v>
      </c>
      <c r="C671" s="2">
        <v>45861</v>
      </c>
      <c r="D671">
        <v>2323</v>
      </c>
      <c r="E671">
        <v>1002</v>
      </c>
      <c r="F671">
        <v>1</v>
      </c>
      <c r="G671">
        <v>118.6</v>
      </c>
      <c r="H671" s="2" t="s">
        <v>1421</v>
      </c>
      <c r="I671" s="2" t="s">
        <v>1421</v>
      </c>
      <c r="J671" t="s">
        <v>16</v>
      </c>
      <c r="K671" s="2" t="str">
        <f>IFERROR(INDEX(Product_lookup[Category],MATCH(RawWorking[[#This Row],[ProductID]],Product_lookup[ProductID],0)),"")</f>
        <v>Electronics</v>
      </c>
      <c r="L671" s="9" t="str">
        <f>IF(OR(RawWorking[[#This Row],[ShipDate]]="",RawWorking[[#This Row],[DeliveryDate]]=""),"",RawWorking[[#This Row],[DeliveryDate]]-RawWorking[[#This Row],[ShipDate]])</f>
        <v/>
      </c>
      <c r="M671" s="9">
        <f>IF(COUNTIF(INDEX(RawWorking[OrderID],1):RawWorking[[#This Row],[OrderID]],RawWorking[[#This Row],[OrderID]])=1,1,0)</f>
        <v>1</v>
      </c>
      <c r="N671" s="4">
        <f>IFERROR(RawWorking[[#This Row],[LineAmount]]/RawWorking[[#This Row],[Quantity]],"")</f>
        <v>118.6</v>
      </c>
    </row>
    <row r="672" spans="1:14">
      <c r="A672">
        <v>50671</v>
      </c>
      <c r="B672">
        <v>30380</v>
      </c>
      <c r="C672" s="2">
        <v>45861</v>
      </c>
      <c r="D672">
        <v>2323</v>
      </c>
      <c r="E672">
        <v>1001</v>
      </c>
      <c r="F672">
        <v>1</v>
      </c>
      <c r="G672">
        <v>203.04</v>
      </c>
      <c r="H672" s="2" t="s">
        <v>1421</v>
      </c>
      <c r="I672" s="2" t="s">
        <v>1421</v>
      </c>
      <c r="J672" t="s">
        <v>16</v>
      </c>
      <c r="K672" s="2" t="str">
        <f>IFERROR(INDEX(Product_lookup[Category],MATCH(RawWorking[[#This Row],[ProductID]],Product_lookup[ProductID],0)),"")</f>
        <v>Electronics</v>
      </c>
      <c r="L672" s="9" t="str">
        <f>IF(OR(RawWorking[[#This Row],[ShipDate]]="",RawWorking[[#This Row],[DeliveryDate]]=""),"",RawWorking[[#This Row],[DeliveryDate]]-RawWorking[[#This Row],[ShipDate]])</f>
        <v/>
      </c>
      <c r="M672" s="9">
        <f>IF(COUNTIF(INDEX(RawWorking[OrderID],1):RawWorking[[#This Row],[OrderID]],RawWorking[[#This Row],[OrderID]])=1,1,0)</f>
        <v>0</v>
      </c>
      <c r="N672" s="4">
        <f>IFERROR(RawWorking[[#This Row],[LineAmount]]/RawWorking[[#This Row],[Quantity]],"")</f>
        <v>203.04</v>
      </c>
    </row>
    <row r="673" spans="1:14">
      <c r="A673">
        <v>50672</v>
      </c>
      <c r="B673">
        <v>30380</v>
      </c>
      <c r="C673" s="2">
        <v>45861</v>
      </c>
      <c r="D673">
        <v>2323</v>
      </c>
      <c r="E673">
        <v>1007</v>
      </c>
      <c r="F673">
        <v>1</v>
      </c>
      <c r="G673">
        <v>199.81</v>
      </c>
      <c r="H673" s="2" t="s">
        <v>1421</v>
      </c>
      <c r="I673" s="2" t="s">
        <v>1421</v>
      </c>
      <c r="J673" t="s">
        <v>16</v>
      </c>
      <c r="K673" s="2" t="str">
        <f>IFERROR(INDEX(Product_lookup[Category],MATCH(RawWorking[[#This Row],[ProductID]],Product_lookup[ProductID],0)),"")</f>
        <v>Home</v>
      </c>
      <c r="L673" s="9" t="str">
        <f>IF(OR(RawWorking[[#This Row],[ShipDate]]="",RawWorking[[#This Row],[DeliveryDate]]=""),"",RawWorking[[#This Row],[DeliveryDate]]-RawWorking[[#This Row],[ShipDate]])</f>
        <v/>
      </c>
      <c r="M673" s="9">
        <f>IF(COUNTIF(INDEX(RawWorking[OrderID],1):RawWorking[[#This Row],[OrderID]],RawWorking[[#This Row],[OrderID]])=1,1,0)</f>
        <v>0</v>
      </c>
      <c r="N673" s="4">
        <f>IFERROR(RawWorking[[#This Row],[LineAmount]]/RawWorking[[#This Row],[Quantity]],"")</f>
        <v>199.81</v>
      </c>
    </row>
    <row r="674" spans="1:14">
      <c r="A674">
        <v>50673</v>
      </c>
      <c r="B674">
        <v>30380</v>
      </c>
      <c r="C674" s="2">
        <v>45861</v>
      </c>
      <c r="D674">
        <v>2323</v>
      </c>
      <c r="E674">
        <v>1016</v>
      </c>
      <c r="F674">
        <v>1</v>
      </c>
      <c r="G674">
        <v>65.260000000000005</v>
      </c>
      <c r="H674" s="2" t="s">
        <v>1421</v>
      </c>
      <c r="I674" s="2" t="s">
        <v>1421</v>
      </c>
      <c r="J674" t="s">
        <v>16</v>
      </c>
      <c r="K674" s="2" t="str">
        <f>IFERROR(INDEX(Product_lookup[Category],MATCH(RawWorking[[#This Row],[ProductID]],Product_lookup[ProductID],0)),"")</f>
        <v>Sports</v>
      </c>
      <c r="L674" s="9" t="str">
        <f>IF(OR(RawWorking[[#This Row],[ShipDate]]="",RawWorking[[#This Row],[DeliveryDate]]=""),"",RawWorking[[#This Row],[DeliveryDate]]-RawWorking[[#This Row],[ShipDate]])</f>
        <v/>
      </c>
      <c r="M674" s="9">
        <f>IF(COUNTIF(INDEX(RawWorking[OrderID],1):RawWorking[[#This Row],[OrderID]],RawWorking[[#This Row],[OrderID]])=1,1,0)</f>
        <v>0</v>
      </c>
      <c r="N674" s="4">
        <f>IFERROR(RawWorking[[#This Row],[LineAmount]]/RawWorking[[#This Row],[Quantity]],"")</f>
        <v>65.260000000000005</v>
      </c>
    </row>
    <row r="675" spans="1:14">
      <c r="A675">
        <v>50674</v>
      </c>
      <c r="B675">
        <v>30381</v>
      </c>
      <c r="C675" s="2">
        <v>45828</v>
      </c>
      <c r="D675">
        <v>2504</v>
      </c>
      <c r="E675">
        <v>1015</v>
      </c>
      <c r="F675">
        <v>1</v>
      </c>
      <c r="G675">
        <v>119.74</v>
      </c>
      <c r="H675" s="2">
        <v>45830</v>
      </c>
      <c r="I675" s="2">
        <v>45838</v>
      </c>
      <c r="J675" t="s">
        <v>9</v>
      </c>
      <c r="K675" s="2" t="str">
        <f>IFERROR(INDEX(Product_lookup[Category],MATCH(RawWorking[[#This Row],[ProductID]],Product_lookup[ProductID],0)),"")</f>
        <v>Sports</v>
      </c>
      <c r="L675" s="9">
        <f>IF(OR(RawWorking[[#This Row],[ShipDate]]="",RawWorking[[#This Row],[DeliveryDate]]=""),"",RawWorking[[#This Row],[DeliveryDate]]-RawWorking[[#This Row],[ShipDate]])</f>
        <v>8</v>
      </c>
      <c r="M675" s="9">
        <f>IF(COUNTIF(INDEX(RawWorking[OrderID],1):RawWorking[[#This Row],[OrderID]],RawWorking[[#This Row],[OrderID]])=1,1,0)</f>
        <v>1</v>
      </c>
      <c r="N675" s="4">
        <f>IFERROR(RawWorking[[#This Row],[LineAmount]]/RawWorking[[#This Row],[Quantity]],"")</f>
        <v>119.74</v>
      </c>
    </row>
    <row r="676" spans="1:14">
      <c r="A676">
        <v>50675</v>
      </c>
      <c r="B676">
        <v>30382</v>
      </c>
      <c r="C676" s="2">
        <v>45854</v>
      </c>
      <c r="D676">
        <v>2501</v>
      </c>
      <c r="E676">
        <v>1001</v>
      </c>
      <c r="F676">
        <v>1</v>
      </c>
      <c r="G676">
        <v>203.04</v>
      </c>
      <c r="H676" s="2">
        <v>45857</v>
      </c>
      <c r="I676" s="2">
        <v>45867</v>
      </c>
      <c r="J676" t="s">
        <v>9</v>
      </c>
      <c r="K676" s="2" t="str">
        <f>IFERROR(INDEX(Product_lookup[Category],MATCH(RawWorking[[#This Row],[ProductID]],Product_lookup[ProductID],0)),"")</f>
        <v>Electronics</v>
      </c>
      <c r="L676" s="9">
        <f>IF(OR(RawWorking[[#This Row],[ShipDate]]="",RawWorking[[#This Row],[DeliveryDate]]=""),"",RawWorking[[#This Row],[DeliveryDate]]-RawWorking[[#This Row],[ShipDate]])</f>
        <v>10</v>
      </c>
      <c r="M676" s="9">
        <f>IF(COUNTIF(INDEX(RawWorking[OrderID],1):RawWorking[[#This Row],[OrderID]],RawWorking[[#This Row],[OrderID]])=1,1,0)</f>
        <v>1</v>
      </c>
      <c r="N676" s="4">
        <f>IFERROR(RawWorking[[#This Row],[LineAmount]]/RawWorking[[#This Row],[Quantity]],"")</f>
        <v>203.04</v>
      </c>
    </row>
    <row r="677" spans="1:14">
      <c r="A677">
        <v>50676</v>
      </c>
      <c r="B677">
        <v>30383</v>
      </c>
      <c r="C677" s="2">
        <v>45714</v>
      </c>
      <c r="D677">
        <v>2226</v>
      </c>
      <c r="E677">
        <v>1009</v>
      </c>
      <c r="F677">
        <v>1</v>
      </c>
      <c r="G677">
        <v>40.28</v>
      </c>
      <c r="H677" s="2">
        <v>45716</v>
      </c>
      <c r="I677" s="2">
        <v>45841</v>
      </c>
      <c r="J677" t="s">
        <v>9</v>
      </c>
      <c r="K677" s="2" t="str">
        <f>IFERROR(INDEX(Product_lookup[Category],MATCH(RawWorking[[#This Row],[ProductID]],Product_lookup[ProductID],0)),"")</f>
        <v>Home</v>
      </c>
      <c r="L677" s="9">
        <f>IF(OR(RawWorking[[#This Row],[ShipDate]]="",RawWorking[[#This Row],[DeliveryDate]]=""),"",RawWorking[[#This Row],[DeliveryDate]]-RawWorking[[#This Row],[ShipDate]])</f>
        <v>125</v>
      </c>
      <c r="M677" s="9">
        <f>IF(COUNTIF(INDEX(RawWorking[OrderID],1):RawWorking[[#This Row],[OrderID]],RawWorking[[#This Row],[OrderID]])=1,1,0)</f>
        <v>1</v>
      </c>
      <c r="N677" s="4">
        <f>IFERROR(RawWorking[[#This Row],[LineAmount]]/RawWorking[[#This Row],[Quantity]],"")</f>
        <v>40.28</v>
      </c>
    </row>
    <row r="678" spans="1:14">
      <c r="A678">
        <v>50677</v>
      </c>
      <c r="B678">
        <v>30383</v>
      </c>
      <c r="C678" s="2">
        <v>45714</v>
      </c>
      <c r="D678">
        <v>2226</v>
      </c>
      <c r="E678">
        <v>1008</v>
      </c>
      <c r="F678">
        <v>1</v>
      </c>
      <c r="G678">
        <v>206.09</v>
      </c>
      <c r="H678" s="2">
        <v>45716</v>
      </c>
      <c r="I678" s="2">
        <v>45723</v>
      </c>
      <c r="J678" t="s">
        <v>9</v>
      </c>
      <c r="K678" s="2" t="str">
        <f>IFERROR(INDEX(Product_lookup[Category],MATCH(RawWorking[[#This Row],[ProductID]],Product_lookup[ProductID],0)),"")</f>
        <v>Home</v>
      </c>
      <c r="L678" s="9">
        <f>IF(OR(RawWorking[[#This Row],[ShipDate]]="",RawWorking[[#This Row],[DeliveryDate]]=""),"",RawWorking[[#This Row],[DeliveryDate]]-RawWorking[[#This Row],[ShipDate]])</f>
        <v>7</v>
      </c>
      <c r="M678" s="9">
        <f>IF(COUNTIF(INDEX(RawWorking[OrderID],1):RawWorking[[#This Row],[OrderID]],RawWorking[[#This Row],[OrderID]])=1,1,0)</f>
        <v>0</v>
      </c>
      <c r="N678" s="4">
        <f>IFERROR(RawWorking[[#This Row],[LineAmount]]/RawWorking[[#This Row],[Quantity]],"")</f>
        <v>206.09</v>
      </c>
    </row>
    <row r="679" spans="1:14">
      <c r="A679">
        <v>50678</v>
      </c>
      <c r="B679">
        <v>30383</v>
      </c>
      <c r="C679" s="2">
        <v>45714</v>
      </c>
      <c r="D679">
        <v>2226</v>
      </c>
      <c r="E679">
        <v>1010</v>
      </c>
      <c r="F679">
        <v>1</v>
      </c>
      <c r="G679">
        <v>121.5</v>
      </c>
      <c r="H679" s="2">
        <v>45715</v>
      </c>
      <c r="I679" s="2">
        <v>45841</v>
      </c>
      <c r="J679" t="s">
        <v>9</v>
      </c>
      <c r="K679" s="2" t="str">
        <f>IFERROR(INDEX(Product_lookup[Category],MATCH(RawWorking[[#This Row],[ProductID]],Product_lookup[ProductID],0)),"")</f>
        <v>Office</v>
      </c>
      <c r="L679" s="9">
        <f>IF(OR(RawWorking[[#This Row],[ShipDate]]="",RawWorking[[#This Row],[DeliveryDate]]=""),"",RawWorking[[#This Row],[DeliveryDate]]-RawWorking[[#This Row],[ShipDate]])</f>
        <v>126</v>
      </c>
      <c r="M679" s="9">
        <f>IF(COUNTIF(INDEX(RawWorking[OrderID],1):RawWorking[[#This Row],[OrderID]],RawWorking[[#This Row],[OrderID]])=1,1,0)</f>
        <v>0</v>
      </c>
      <c r="N679" s="4">
        <f>IFERROR(RawWorking[[#This Row],[LineAmount]]/RawWorking[[#This Row],[Quantity]],"")</f>
        <v>121.5</v>
      </c>
    </row>
    <row r="680" spans="1:14">
      <c r="A680">
        <v>50679</v>
      </c>
      <c r="B680">
        <v>30384</v>
      </c>
      <c r="C680" s="2">
        <v>45713</v>
      </c>
      <c r="D680">
        <v>2173</v>
      </c>
      <c r="E680">
        <v>1016</v>
      </c>
      <c r="F680">
        <v>1</v>
      </c>
      <c r="G680">
        <v>65.260000000000005</v>
      </c>
      <c r="H680" s="2" t="s">
        <v>1421</v>
      </c>
      <c r="I680" s="2" t="s">
        <v>1421</v>
      </c>
      <c r="J680" t="s">
        <v>16</v>
      </c>
      <c r="K680" s="2" t="str">
        <f>IFERROR(INDEX(Product_lookup[Category],MATCH(RawWorking[[#This Row],[ProductID]],Product_lookup[ProductID],0)),"")</f>
        <v>Sports</v>
      </c>
      <c r="L680" s="9" t="str">
        <f>IF(OR(RawWorking[[#This Row],[ShipDate]]="",RawWorking[[#This Row],[DeliveryDate]]=""),"",RawWorking[[#This Row],[DeliveryDate]]-RawWorking[[#This Row],[ShipDate]])</f>
        <v/>
      </c>
      <c r="M680" s="9">
        <f>IF(COUNTIF(INDEX(RawWorking[OrderID],1):RawWorking[[#This Row],[OrderID]],RawWorking[[#This Row],[OrderID]])=1,1,0)</f>
        <v>1</v>
      </c>
      <c r="N680" s="4">
        <f>IFERROR(RawWorking[[#This Row],[LineAmount]]/RawWorking[[#This Row],[Quantity]],"")</f>
        <v>65.260000000000005</v>
      </c>
    </row>
    <row r="681" spans="1:14">
      <c r="A681">
        <v>50680</v>
      </c>
      <c r="B681">
        <v>30384</v>
      </c>
      <c r="C681" s="2">
        <v>45713</v>
      </c>
      <c r="D681">
        <v>2173</v>
      </c>
      <c r="E681">
        <v>1004</v>
      </c>
      <c r="F681">
        <v>2</v>
      </c>
      <c r="G681">
        <v>367.48</v>
      </c>
      <c r="H681" s="2" t="s">
        <v>1421</v>
      </c>
      <c r="I681" s="2" t="s">
        <v>1421</v>
      </c>
      <c r="J681" t="s">
        <v>16</v>
      </c>
      <c r="K681" s="2" t="str">
        <f>IFERROR(INDEX(Product_lookup[Category],MATCH(RawWorking[[#This Row],[ProductID]],Product_lookup[ProductID],0)),"")</f>
        <v>Electronics</v>
      </c>
      <c r="L681" s="9" t="str">
        <f>IF(OR(RawWorking[[#This Row],[ShipDate]]="",RawWorking[[#This Row],[DeliveryDate]]=""),"",RawWorking[[#This Row],[DeliveryDate]]-RawWorking[[#This Row],[ShipDate]])</f>
        <v/>
      </c>
      <c r="M681" s="9">
        <f>IF(COUNTIF(INDEX(RawWorking[OrderID],1):RawWorking[[#This Row],[OrderID]],RawWorking[[#This Row],[OrderID]])=1,1,0)</f>
        <v>0</v>
      </c>
      <c r="N681" s="4">
        <f>IFERROR(RawWorking[[#This Row],[LineAmount]]/RawWorking[[#This Row],[Quantity]],"")</f>
        <v>183.74</v>
      </c>
    </row>
    <row r="682" spans="1:14">
      <c r="A682">
        <v>50681</v>
      </c>
      <c r="B682">
        <v>30384</v>
      </c>
      <c r="C682" s="2">
        <v>45713</v>
      </c>
      <c r="D682">
        <v>2173</v>
      </c>
      <c r="E682">
        <v>1009</v>
      </c>
      <c r="F682">
        <v>3</v>
      </c>
      <c r="G682">
        <v>120.84</v>
      </c>
      <c r="H682" s="2" t="s">
        <v>1421</v>
      </c>
      <c r="I682" s="2" t="s">
        <v>1421</v>
      </c>
      <c r="J682" t="s">
        <v>16</v>
      </c>
      <c r="K682" s="2" t="str">
        <f>IFERROR(INDEX(Product_lookup[Category],MATCH(RawWorking[[#This Row],[ProductID]],Product_lookup[ProductID],0)),"")</f>
        <v>Home</v>
      </c>
      <c r="L682" s="9" t="str">
        <f>IF(OR(RawWorking[[#This Row],[ShipDate]]="",RawWorking[[#This Row],[DeliveryDate]]=""),"",RawWorking[[#This Row],[DeliveryDate]]-RawWorking[[#This Row],[ShipDate]])</f>
        <v/>
      </c>
      <c r="M682" s="9">
        <f>IF(COUNTIF(INDEX(RawWorking[OrderID],1):RawWorking[[#This Row],[OrderID]],RawWorking[[#This Row],[OrderID]])=1,1,0)</f>
        <v>0</v>
      </c>
      <c r="N682" s="4">
        <f>IFERROR(RawWorking[[#This Row],[LineAmount]]/RawWorking[[#This Row],[Quantity]],"")</f>
        <v>40.28</v>
      </c>
    </row>
    <row r="683" spans="1:14">
      <c r="A683">
        <v>50682</v>
      </c>
      <c r="B683">
        <v>30385</v>
      </c>
      <c r="C683" s="2">
        <v>45742</v>
      </c>
      <c r="D683">
        <v>2376</v>
      </c>
      <c r="E683">
        <v>1002</v>
      </c>
      <c r="F683">
        <v>1</v>
      </c>
      <c r="G683">
        <v>118.6</v>
      </c>
      <c r="H683" s="2">
        <v>45745</v>
      </c>
      <c r="I683" s="2">
        <v>45748</v>
      </c>
      <c r="J683" t="s">
        <v>9</v>
      </c>
      <c r="K683" s="2" t="str">
        <f>IFERROR(INDEX(Product_lookup[Category],MATCH(RawWorking[[#This Row],[ProductID]],Product_lookup[ProductID],0)),"")</f>
        <v>Electronics</v>
      </c>
      <c r="L683" s="9">
        <f>IF(OR(RawWorking[[#This Row],[ShipDate]]="",RawWorking[[#This Row],[DeliveryDate]]=""),"",RawWorking[[#This Row],[DeliveryDate]]-RawWorking[[#This Row],[ShipDate]])</f>
        <v>3</v>
      </c>
      <c r="M683" s="9">
        <f>IF(COUNTIF(INDEX(RawWorking[OrderID],1):RawWorking[[#This Row],[OrderID]],RawWorking[[#This Row],[OrderID]])=1,1,0)</f>
        <v>1</v>
      </c>
      <c r="N683" s="4">
        <f>IFERROR(RawWorking[[#This Row],[LineAmount]]/RawWorking[[#This Row],[Quantity]],"")</f>
        <v>118.6</v>
      </c>
    </row>
    <row r="684" spans="1:14">
      <c r="A684">
        <v>50683</v>
      </c>
      <c r="B684">
        <v>30385</v>
      </c>
      <c r="C684" s="2">
        <v>45742</v>
      </c>
      <c r="D684">
        <v>2376</v>
      </c>
      <c r="E684">
        <v>1015</v>
      </c>
      <c r="F684">
        <v>1</v>
      </c>
      <c r="G684">
        <v>119.74</v>
      </c>
      <c r="H684" s="2">
        <v>45745</v>
      </c>
      <c r="I684" s="2">
        <v>45748</v>
      </c>
      <c r="J684" t="s">
        <v>9</v>
      </c>
      <c r="K684" s="2" t="str">
        <f>IFERROR(INDEX(Product_lookup[Category],MATCH(RawWorking[[#This Row],[ProductID]],Product_lookup[ProductID],0)),"")</f>
        <v>Sports</v>
      </c>
      <c r="L684" s="9">
        <f>IF(OR(RawWorking[[#This Row],[ShipDate]]="",RawWorking[[#This Row],[DeliveryDate]]=""),"",RawWorking[[#This Row],[DeliveryDate]]-RawWorking[[#This Row],[ShipDate]])</f>
        <v>3</v>
      </c>
      <c r="M684" s="9">
        <f>IF(COUNTIF(INDEX(RawWorking[OrderID],1):RawWorking[[#This Row],[OrderID]],RawWorking[[#This Row],[OrderID]])=1,1,0)</f>
        <v>0</v>
      </c>
      <c r="N684" s="4">
        <f>IFERROR(RawWorking[[#This Row],[LineAmount]]/RawWorking[[#This Row],[Quantity]],"")</f>
        <v>119.74</v>
      </c>
    </row>
    <row r="685" spans="1:14">
      <c r="A685">
        <v>50684</v>
      </c>
      <c r="B685">
        <v>30385</v>
      </c>
      <c r="C685" s="2">
        <v>45742</v>
      </c>
      <c r="D685">
        <v>2376</v>
      </c>
      <c r="E685">
        <v>1007</v>
      </c>
      <c r="F685">
        <v>2</v>
      </c>
      <c r="G685">
        <v>399.62</v>
      </c>
      <c r="H685" s="2">
        <v>45745</v>
      </c>
      <c r="I685" s="2">
        <v>45755</v>
      </c>
      <c r="J685" t="s">
        <v>9</v>
      </c>
      <c r="K685" s="2" t="str">
        <f>IFERROR(INDEX(Product_lookup[Category],MATCH(RawWorking[[#This Row],[ProductID]],Product_lookup[ProductID],0)),"")</f>
        <v>Home</v>
      </c>
      <c r="L685" s="9">
        <f>IF(OR(RawWorking[[#This Row],[ShipDate]]="",RawWorking[[#This Row],[DeliveryDate]]=""),"",RawWorking[[#This Row],[DeliveryDate]]-RawWorking[[#This Row],[ShipDate]])</f>
        <v>10</v>
      </c>
      <c r="M685" s="9">
        <f>IF(COUNTIF(INDEX(RawWorking[OrderID],1):RawWorking[[#This Row],[OrderID]],RawWorking[[#This Row],[OrderID]])=1,1,0)</f>
        <v>0</v>
      </c>
      <c r="N685" s="4">
        <f>IFERROR(RawWorking[[#This Row],[LineAmount]]/RawWorking[[#This Row],[Quantity]],"")</f>
        <v>199.81</v>
      </c>
    </row>
    <row r="686" spans="1:14">
      <c r="A686">
        <v>50685</v>
      </c>
      <c r="B686">
        <v>30385</v>
      </c>
      <c r="C686" s="2">
        <v>45742</v>
      </c>
      <c r="D686">
        <v>2376</v>
      </c>
      <c r="E686">
        <v>1014</v>
      </c>
      <c r="F686">
        <v>5</v>
      </c>
      <c r="G686">
        <v>1076.7</v>
      </c>
      <c r="H686" s="2">
        <v>45743</v>
      </c>
      <c r="I686" s="2">
        <v>45749</v>
      </c>
      <c r="J686" t="s">
        <v>9</v>
      </c>
      <c r="K686" s="2" t="str">
        <f>IFERROR(INDEX(Product_lookup[Category],MATCH(RawWorking[[#This Row],[ProductID]],Product_lookup[ProductID],0)),"")</f>
        <v>Sports</v>
      </c>
      <c r="L686" s="9">
        <f>IF(OR(RawWorking[[#This Row],[ShipDate]]="",RawWorking[[#This Row],[DeliveryDate]]=""),"",RawWorking[[#This Row],[DeliveryDate]]-RawWorking[[#This Row],[ShipDate]])</f>
        <v>6</v>
      </c>
      <c r="M686" s="9">
        <f>IF(COUNTIF(INDEX(RawWorking[OrderID],1):RawWorking[[#This Row],[OrderID]],RawWorking[[#This Row],[OrderID]])=1,1,0)</f>
        <v>0</v>
      </c>
      <c r="N686" s="4">
        <f>IFERROR(RawWorking[[#This Row],[LineAmount]]/RawWorking[[#This Row],[Quantity]],"")</f>
        <v>215.34</v>
      </c>
    </row>
    <row r="687" spans="1:14">
      <c r="A687">
        <v>50686</v>
      </c>
      <c r="B687">
        <v>30386</v>
      </c>
      <c r="C687" s="2">
        <v>45782</v>
      </c>
      <c r="D687">
        <v>2105</v>
      </c>
      <c r="E687">
        <v>1008</v>
      </c>
      <c r="F687">
        <v>4</v>
      </c>
      <c r="G687">
        <v>824.36</v>
      </c>
      <c r="H687" s="2">
        <v>45784</v>
      </c>
      <c r="I687" s="2">
        <v>45788</v>
      </c>
      <c r="J687" t="s">
        <v>9</v>
      </c>
      <c r="K687" s="2" t="str">
        <f>IFERROR(INDEX(Product_lookup[Category],MATCH(RawWorking[[#This Row],[ProductID]],Product_lookup[ProductID],0)),"")</f>
        <v>Home</v>
      </c>
      <c r="L687" s="9">
        <f>IF(OR(RawWorking[[#This Row],[ShipDate]]="",RawWorking[[#This Row],[DeliveryDate]]=""),"",RawWorking[[#This Row],[DeliveryDate]]-RawWorking[[#This Row],[ShipDate]])</f>
        <v>4</v>
      </c>
      <c r="M687" s="9">
        <f>IF(COUNTIF(INDEX(RawWorking[OrderID],1):RawWorking[[#This Row],[OrderID]],RawWorking[[#This Row],[OrderID]])=1,1,0)</f>
        <v>1</v>
      </c>
      <c r="N687" s="4">
        <f>IFERROR(RawWorking[[#This Row],[LineAmount]]/RawWorking[[#This Row],[Quantity]],"")</f>
        <v>206.09</v>
      </c>
    </row>
    <row r="688" spans="1:14">
      <c r="A688">
        <v>50687</v>
      </c>
      <c r="B688">
        <v>30386</v>
      </c>
      <c r="C688" s="2">
        <v>45782</v>
      </c>
      <c r="D688">
        <v>2105</v>
      </c>
      <c r="E688">
        <v>1010</v>
      </c>
      <c r="F688">
        <v>1</v>
      </c>
      <c r="G688">
        <v>121.5</v>
      </c>
      <c r="H688" s="2">
        <v>45783</v>
      </c>
      <c r="I688" s="2">
        <v>45790</v>
      </c>
      <c r="J688" t="s">
        <v>9</v>
      </c>
      <c r="K688" s="2" t="str">
        <f>IFERROR(INDEX(Product_lookup[Category],MATCH(RawWorking[[#This Row],[ProductID]],Product_lookup[ProductID],0)),"")</f>
        <v>Office</v>
      </c>
      <c r="L688" s="9">
        <f>IF(OR(RawWorking[[#This Row],[ShipDate]]="",RawWorking[[#This Row],[DeliveryDate]]=""),"",RawWorking[[#This Row],[DeliveryDate]]-RawWorking[[#This Row],[ShipDate]])</f>
        <v>7</v>
      </c>
      <c r="M688" s="9">
        <f>IF(COUNTIF(INDEX(RawWorking[OrderID],1):RawWorking[[#This Row],[OrderID]],RawWorking[[#This Row],[OrderID]])=1,1,0)</f>
        <v>0</v>
      </c>
      <c r="N688" s="4">
        <f>IFERROR(RawWorking[[#This Row],[LineAmount]]/RawWorking[[#This Row],[Quantity]],"")</f>
        <v>121.5</v>
      </c>
    </row>
    <row r="689" spans="1:14">
      <c r="A689">
        <v>50688</v>
      </c>
      <c r="B689">
        <v>30386</v>
      </c>
      <c r="C689" s="2">
        <v>45782</v>
      </c>
      <c r="D689">
        <v>2105</v>
      </c>
      <c r="E689">
        <v>1002</v>
      </c>
      <c r="F689">
        <v>1</v>
      </c>
      <c r="G689">
        <v>118.6</v>
      </c>
      <c r="H689" s="2">
        <v>45785</v>
      </c>
      <c r="I689" s="2">
        <v>45795</v>
      </c>
      <c r="J689" t="s">
        <v>9</v>
      </c>
      <c r="K689" s="2" t="str">
        <f>IFERROR(INDEX(Product_lookup[Category],MATCH(RawWorking[[#This Row],[ProductID]],Product_lookup[ProductID],0)),"")</f>
        <v>Electronics</v>
      </c>
      <c r="L689" s="9">
        <f>IF(OR(RawWorking[[#This Row],[ShipDate]]="",RawWorking[[#This Row],[DeliveryDate]]=""),"",RawWorking[[#This Row],[DeliveryDate]]-RawWorking[[#This Row],[ShipDate]])</f>
        <v>10</v>
      </c>
      <c r="M689" s="9">
        <f>IF(COUNTIF(INDEX(RawWorking[OrderID],1):RawWorking[[#This Row],[OrderID]],RawWorking[[#This Row],[OrderID]])=1,1,0)</f>
        <v>0</v>
      </c>
      <c r="N689" s="4">
        <f>IFERROR(RawWorking[[#This Row],[LineAmount]]/RawWorking[[#This Row],[Quantity]],"")</f>
        <v>118.6</v>
      </c>
    </row>
    <row r="690" spans="1:14">
      <c r="A690">
        <v>50689</v>
      </c>
      <c r="B690">
        <v>30387</v>
      </c>
      <c r="C690" s="2">
        <v>45818</v>
      </c>
      <c r="D690">
        <v>2461</v>
      </c>
      <c r="E690">
        <v>1003</v>
      </c>
      <c r="F690">
        <v>5</v>
      </c>
      <c r="G690">
        <v>1121.8499999999999</v>
      </c>
      <c r="H690" s="2">
        <v>45821</v>
      </c>
      <c r="I690" s="2">
        <v>45831</v>
      </c>
      <c r="J690" t="s">
        <v>9</v>
      </c>
      <c r="K690" s="2" t="str">
        <f>IFERROR(INDEX(Product_lookup[Category],MATCH(RawWorking[[#This Row],[ProductID]],Product_lookup[ProductID],0)),"")</f>
        <v>Electronics</v>
      </c>
      <c r="L690" s="9">
        <f>IF(OR(RawWorking[[#This Row],[ShipDate]]="",RawWorking[[#This Row],[DeliveryDate]]=""),"",RawWorking[[#This Row],[DeliveryDate]]-RawWorking[[#This Row],[ShipDate]])</f>
        <v>10</v>
      </c>
      <c r="M690" s="9">
        <f>IF(COUNTIF(INDEX(RawWorking[OrderID],1):RawWorking[[#This Row],[OrderID]],RawWorking[[#This Row],[OrderID]])=1,1,0)</f>
        <v>1</v>
      </c>
      <c r="N690" s="4">
        <f>IFERROR(RawWorking[[#This Row],[LineAmount]]/RawWorking[[#This Row],[Quantity]],"")</f>
        <v>224.36999999999998</v>
      </c>
    </row>
    <row r="691" spans="1:14">
      <c r="A691">
        <v>50690</v>
      </c>
      <c r="B691">
        <v>30387</v>
      </c>
      <c r="C691" s="2">
        <v>45818</v>
      </c>
      <c r="D691">
        <v>2461</v>
      </c>
      <c r="E691">
        <v>1015</v>
      </c>
      <c r="F691">
        <v>2</v>
      </c>
      <c r="G691">
        <v>239.48</v>
      </c>
      <c r="H691" s="2">
        <v>45821</v>
      </c>
      <c r="I691" s="2">
        <v>45824</v>
      </c>
      <c r="J691" t="s">
        <v>9</v>
      </c>
      <c r="K691" s="2" t="str">
        <f>IFERROR(INDEX(Product_lookup[Category],MATCH(RawWorking[[#This Row],[ProductID]],Product_lookup[ProductID],0)),"")</f>
        <v>Sports</v>
      </c>
      <c r="L691" s="9">
        <f>IF(OR(RawWorking[[#This Row],[ShipDate]]="",RawWorking[[#This Row],[DeliveryDate]]=""),"",RawWorking[[#This Row],[DeliveryDate]]-RawWorking[[#This Row],[ShipDate]])</f>
        <v>3</v>
      </c>
      <c r="M691" s="9">
        <f>IF(COUNTIF(INDEX(RawWorking[OrderID],1):RawWorking[[#This Row],[OrderID]],RawWorking[[#This Row],[OrderID]])=1,1,0)</f>
        <v>0</v>
      </c>
      <c r="N691" s="4">
        <f>IFERROR(RawWorking[[#This Row],[LineAmount]]/RawWorking[[#This Row],[Quantity]],"")</f>
        <v>119.74</v>
      </c>
    </row>
    <row r="692" spans="1:14">
      <c r="A692">
        <v>50691</v>
      </c>
      <c r="B692">
        <v>30387</v>
      </c>
      <c r="C692" s="2">
        <v>45818</v>
      </c>
      <c r="D692">
        <v>2461</v>
      </c>
      <c r="E692">
        <v>1004</v>
      </c>
      <c r="F692">
        <v>1</v>
      </c>
      <c r="G692">
        <v>183.74</v>
      </c>
      <c r="H692" s="2">
        <v>45820</v>
      </c>
      <c r="I692" s="2">
        <v>45826</v>
      </c>
      <c r="J692" t="s">
        <v>9</v>
      </c>
      <c r="K692" s="2" t="str">
        <f>IFERROR(INDEX(Product_lookup[Category],MATCH(RawWorking[[#This Row],[ProductID]],Product_lookup[ProductID],0)),"")</f>
        <v>Electronics</v>
      </c>
      <c r="L692" s="9">
        <f>IF(OR(RawWorking[[#This Row],[ShipDate]]="",RawWorking[[#This Row],[DeliveryDate]]=""),"",RawWorking[[#This Row],[DeliveryDate]]-RawWorking[[#This Row],[ShipDate]])</f>
        <v>6</v>
      </c>
      <c r="M692" s="9">
        <f>IF(COUNTIF(INDEX(RawWorking[OrderID],1):RawWorking[[#This Row],[OrderID]],RawWorking[[#This Row],[OrderID]])=1,1,0)</f>
        <v>0</v>
      </c>
      <c r="N692" s="4">
        <f>IFERROR(RawWorking[[#This Row],[LineAmount]]/RawWorking[[#This Row],[Quantity]],"")</f>
        <v>183.74</v>
      </c>
    </row>
    <row r="693" spans="1:14">
      <c r="A693">
        <v>50692</v>
      </c>
      <c r="B693">
        <v>30387</v>
      </c>
      <c r="C693" s="2">
        <v>45818</v>
      </c>
      <c r="D693">
        <v>2461</v>
      </c>
      <c r="E693">
        <v>1008</v>
      </c>
      <c r="F693">
        <v>1</v>
      </c>
      <c r="G693">
        <v>206.09</v>
      </c>
      <c r="H693" s="2">
        <v>45819</v>
      </c>
      <c r="I693" s="2">
        <v>45825</v>
      </c>
      <c r="J693" t="s">
        <v>9</v>
      </c>
      <c r="K693" s="2" t="str">
        <f>IFERROR(INDEX(Product_lookup[Category],MATCH(RawWorking[[#This Row],[ProductID]],Product_lookup[ProductID],0)),"")</f>
        <v>Home</v>
      </c>
      <c r="L693" s="9">
        <f>IF(OR(RawWorking[[#This Row],[ShipDate]]="",RawWorking[[#This Row],[DeliveryDate]]=""),"",RawWorking[[#This Row],[DeliveryDate]]-RawWorking[[#This Row],[ShipDate]])</f>
        <v>6</v>
      </c>
      <c r="M693" s="9">
        <f>IF(COUNTIF(INDEX(RawWorking[OrderID],1):RawWorking[[#This Row],[OrderID]],RawWorking[[#This Row],[OrderID]])=1,1,0)</f>
        <v>0</v>
      </c>
      <c r="N693" s="4">
        <f>IFERROR(RawWorking[[#This Row],[LineAmount]]/RawWorking[[#This Row],[Quantity]],"")</f>
        <v>206.09</v>
      </c>
    </row>
    <row r="694" spans="1:14">
      <c r="A694">
        <v>50693</v>
      </c>
      <c r="B694">
        <v>30388</v>
      </c>
      <c r="C694" s="2">
        <v>45868</v>
      </c>
      <c r="D694">
        <v>2215</v>
      </c>
      <c r="E694">
        <v>1012</v>
      </c>
      <c r="F694">
        <v>2</v>
      </c>
      <c r="G694">
        <v>483.08</v>
      </c>
      <c r="H694" s="2" t="s">
        <v>1421</v>
      </c>
      <c r="I694" s="2" t="s">
        <v>1421</v>
      </c>
      <c r="J694" t="s">
        <v>16</v>
      </c>
      <c r="K694" s="2" t="str">
        <f>IFERROR(INDEX(Product_lookup[Category],MATCH(RawWorking[[#This Row],[ProductID]],Product_lookup[ProductID],0)),"")</f>
        <v>Office</v>
      </c>
      <c r="L694" s="9" t="str">
        <f>IF(OR(RawWorking[[#This Row],[ShipDate]]="",RawWorking[[#This Row],[DeliveryDate]]=""),"",RawWorking[[#This Row],[DeliveryDate]]-RawWorking[[#This Row],[ShipDate]])</f>
        <v/>
      </c>
      <c r="M694" s="9">
        <f>IF(COUNTIF(INDEX(RawWorking[OrderID],1):RawWorking[[#This Row],[OrderID]],RawWorking[[#This Row],[OrderID]])=1,1,0)</f>
        <v>1</v>
      </c>
      <c r="N694" s="4">
        <f>IFERROR(RawWorking[[#This Row],[LineAmount]]/RawWorking[[#This Row],[Quantity]],"")</f>
        <v>241.54</v>
      </c>
    </row>
    <row r="695" spans="1:14">
      <c r="A695">
        <v>50694</v>
      </c>
      <c r="B695">
        <v>30389</v>
      </c>
      <c r="C695" s="2">
        <v>45890</v>
      </c>
      <c r="D695">
        <v>2439</v>
      </c>
      <c r="E695">
        <v>1005</v>
      </c>
      <c r="F695">
        <v>1</v>
      </c>
      <c r="G695">
        <v>31.73</v>
      </c>
      <c r="H695" s="2">
        <v>45892</v>
      </c>
      <c r="I695" s="2">
        <v>45894</v>
      </c>
      <c r="J695" t="s">
        <v>9</v>
      </c>
      <c r="K695" s="2" t="str">
        <f>IFERROR(INDEX(Product_lookup[Category],MATCH(RawWorking[[#This Row],[ProductID]],Product_lookup[ProductID],0)),"")</f>
        <v>Electronics</v>
      </c>
      <c r="L695" s="9">
        <f>IF(OR(RawWorking[[#This Row],[ShipDate]]="",RawWorking[[#This Row],[DeliveryDate]]=""),"",RawWorking[[#This Row],[DeliveryDate]]-RawWorking[[#This Row],[ShipDate]])</f>
        <v>2</v>
      </c>
      <c r="M695" s="9">
        <f>IF(COUNTIF(INDEX(RawWorking[OrderID],1):RawWorking[[#This Row],[OrderID]],RawWorking[[#This Row],[OrderID]])=1,1,0)</f>
        <v>1</v>
      </c>
      <c r="N695" s="4">
        <f>IFERROR(RawWorking[[#This Row],[LineAmount]]/RawWorking[[#This Row],[Quantity]],"")</f>
        <v>31.73</v>
      </c>
    </row>
    <row r="696" spans="1:14">
      <c r="A696">
        <v>50695</v>
      </c>
      <c r="B696">
        <v>30390</v>
      </c>
      <c r="C696" s="2">
        <v>45814</v>
      </c>
      <c r="D696">
        <v>2212</v>
      </c>
      <c r="E696">
        <v>1002</v>
      </c>
      <c r="F696">
        <v>1</v>
      </c>
      <c r="G696">
        <v>118.6</v>
      </c>
      <c r="H696" s="2" t="s">
        <v>1421</v>
      </c>
      <c r="I696" s="2" t="s">
        <v>1421</v>
      </c>
      <c r="J696" t="s">
        <v>16</v>
      </c>
      <c r="K696" s="2" t="str">
        <f>IFERROR(INDEX(Product_lookup[Category],MATCH(RawWorking[[#This Row],[ProductID]],Product_lookup[ProductID],0)),"")</f>
        <v>Electronics</v>
      </c>
      <c r="L696" s="9" t="str">
        <f>IF(OR(RawWorking[[#This Row],[ShipDate]]="",RawWorking[[#This Row],[DeliveryDate]]=""),"",RawWorking[[#This Row],[DeliveryDate]]-RawWorking[[#This Row],[ShipDate]])</f>
        <v/>
      </c>
      <c r="M696" s="9">
        <f>IF(COUNTIF(INDEX(RawWorking[OrderID],1):RawWorking[[#This Row],[OrderID]],RawWorking[[#This Row],[OrderID]])=1,1,0)</f>
        <v>1</v>
      </c>
      <c r="N696" s="4">
        <f>IFERROR(RawWorking[[#This Row],[LineAmount]]/RawWorking[[#This Row],[Quantity]],"")</f>
        <v>118.6</v>
      </c>
    </row>
    <row r="697" spans="1:14">
      <c r="A697">
        <v>50696</v>
      </c>
      <c r="B697">
        <v>30390</v>
      </c>
      <c r="C697" s="2">
        <v>45814</v>
      </c>
      <c r="D697">
        <v>2212</v>
      </c>
      <c r="E697">
        <v>1009</v>
      </c>
      <c r="F697">
        <v>1</v>
      </c>
      <c r="G697">
        <v>40.28</v>
      </c>
      <c r="H697" s="2" t="s">
        <v>1421</v>
      </c>
      <c r="I697" s="2" t="s">
        <v>1421</v>
      </c>
      <c r="J697" t="s">
        <v>16</v>
      </c>
      <c r="K697" s="2" t="str">
        <f>IFERROR(INDEX(Product_lookup[Category],MATCH(RawWorking[[#This Row],[ProductID]],Product_lookup[ProductID],0)),"")</f>
        <v>Home</v>
      </c>
      <c r="L697" s="9" t="str">
        <f>IF(OR(RawWorking[[#This Row],[ShipDate]]="",RawWorking[[#This Row],[DeliveryDate]]=""),"",RawWorking[[#This Row],[DeliveryDate]]-RawWorking[[#This Row],[ShipDate]])</f>
        <v/>
      </c>
      <c r="M697" s="9">
        <f>IF(COUNTIF(INDEX(RawWorking[OrderID],1):RawWorking[[#This Row],[OrderID]],RawWorking[[#This Row],[OrderID]])=1,1,0)</f>
        <v>0</v>
      </c>
      <c r="N697" s="4">
        <f>IFERROR(RawWorking[[#This Row],[LineAmount]]/RawWorking[[#This Row],[Quantity]],"")</f>
        <v>40.28</v>
      </c>
    </row>
    <row r="698" spans="1:14">
      <c r="A698">
        <v>50697</v>
      </c>
      <c r="B698">
        <v>30390</v>
      </c>
      <c r="C698" s="2">
        <v>45814</v>
      </c>
      <c r="D698">
        <v>2212</v>
      </c>
      <c r="E698">
        <v>1006</v>
      </c>
      <c r="F698">
        <v>2</v>
      </c>
      <c r="G698">
        <v>507.72</v>
      </c>
      <c r="H698" s="2" t="s">
        <v>1421</v>
      </c>
      <c r="I698" s="2" t="s">
        <v>1421</v>
      </c>
      <c r="J698" t="s">
        <v>16</v>
      </c>
      <c r="K698" s="2" t="str">
        <f>IFERROR(INDEX(Product_lookup[Category],MATCH(RawWorking[[#This Row],[ProductID]],Product_lookup[ProductID],0)),"")</f>
        <v>Home</v>
      </c>
      <c r="L698" s="9" t="str">
        <f>IF(OR(RawWorking[[#This Row],[ShipDate]]="",RawWorking[[#This Row],[DeliveryDate]]=""),"",RawWorking[[#This Row],[DeliveryDate]]-RawWorking[[#This Row],[ShipDate]])</f>
        <v/>
      </c>
      <c r="M698" s="9">
        <f>IF(COUNTIF(INDEX(RawWorking[OrderID],1):RawWorking[[#This Row],[OrderID]],RawWorking[[#This Row],[OrderID]])=1,1,0)</f>
        <v>0</v>
      </c>
      <c r="N698" s="4">
        <f>IFERROR(RawWorking[[#This Row],[LineAmount]]/RawWorking[[#This Row],[Quantity]],"")</f>
        <v>253.86</v>
      </c>
    </row>
    <row r="699" spans="1:14">
      <c r="A699">
        <v>50698</v>
      </c>
      <c r="B699">
        <v>30391</v>
      </c>
      <c r="C699" s="2">
        <v>45726</v>
      </c>
      <c r="D699">
        <v>2300</v>
      </c>
      <c r="E699">
        <v>1009</v>
      </c>
      <c r="F699">
        <v>1</v>
      </c>
      <c r="G699">
        <v>40.28</v>
      </c>
      <c r="H699" s="2">
        <v>45729</v>
      </c>
      <c r="I699" s="2">
        <v>45733</v>
      </c>
      <c r="J699" t="s">
        <v>9</v>
      </c>
      <c r="K699" s="2" t="str">
        <f>IFERROR(INDEX(Product_lookup[Category],MATCH(RawWorking[[#This Row],[ProductID]],Product_lookup[ProductID],0)),"")</f>
        <v>Home</v>
      </c>
      <c r="L699" s="9">
        <f>IF(OR(RawWorking[[#This Row],[ShipDate]]="",RawWorking[[#This Row],[DeliveryDate]]=""),"",RawWorking[[#This Row],[DeliveryDate]]-RawWorking[[#This Row],[ShipDate]])</f>
        <v>4</v>
      </c>
      <c r="M699" s="9">
        <f>IF(COUNTIF(INDEX(RawWorking[OrderID],1):RawWorking[[#This Row],[OrderID]],RawWorking[[#This Row],[OrderID]])=1,1,0)</f>
        <v>1</v>
      </c>
      <c r="N699" s="4">
        <f>IFERROR(RawWorking[[#This Row],[LineAmount]]/RawWorking[[#This Row],[Quantity]],"")</f>
        <v>40.28</v>
      </c>
    </row>
    <row r="700" spans="1:14">
      <c r="A700">
        <v>50699</v>
      </c>
      <c r="B700">
        <v>30391</v>
      </c>
      <c r="C700" s="2">
        <v>45726</v>
      </c>
      <c r="D700">
        <v>2300</v>
      </c>
      <c r="E700">
        <v>1004</v>
      </c>
      <c r="F700">
        <v>1</v>
      </c>
      <c r="G700">
        <v>183.74</v>
      </c>
      <c r="H700" s="2">
        <v>45727</v>
      </c>
      <c r="I700" s="2">
        <v>45734</v>
      </c>
      <c r="J700" t="s">
        <v>9</v>
      </c>
      <c r="K700" s="2" t="str">
        <f>IFERROR(INDEX(Product_lookup[Category],MATCH(RawWorking[[#This Row],[ProductID]],Product_lookup[ProductID],0)),"")</f>
        <v>Electronics</v>
      </c>
      <c r="L700" s="9">
        <f>IF(OR(RawWorking[[#This Row],[ShipDate]]="",RawWorking[[#This Row],[DeliveryDate]]=""),"",RawWorking[[#This Row],[DeliveryDate]]-RawWorking[[#This Row],[ShipDate]])</f>
        <v>7</v>
      </c>
      <c r="M700" s="9">
        <f>IF(COUNTIF(INDEX(RawWorking[OrderID],1):RawWorking[[#This Row],[OrderID]],RawWorking[[#This Row],[OrderID]])=1,1,0)</f>
        <v>0</v>
      </c>
      <c r="N700" s="4">
        <f>IFERROR(RawWorking[[#This Row],[LineAmount]]/RawWorking[[#This Row],[Quantity]],"")</f>
        <v>183.74</v>
      </c>
    </row>
    <row r="701" spans="1:14">
      <c r="A701">
        <v>50700</v>
      </c>
      <c r="B701">
        <v>30392</v>
      </c>
      <c r="C701" s="2">
        <v>45983</v>
      </c>
      <c r="D701">
        <v>2139</v>
      </c>
      <c r="E701">
        <v>1014</v>
      </c>
      <c r="F701">
        <v>1</v>
      </c>
      <c r="G701">
        <v>215.34</v>
      </c>
      <c r="H701" s="2">
        <v>45984</v>
      </c>
      <c r="I701" s="2">
        <v>45994</v>
      </c>
      <c r="J701" t="s">
        <v>11</v>
      </c>
      <c r="K701" s="2" t="str">
        <f>IFERROR(INDEX(Product_lookup[Category],MATCH(RawWorking[[#This Row],[ProductID]],Product_lookup[ProductID],0)),"")</f>
        <v>Sports</v>
      </c>
      <c r="L701" s="9">
        <f>IF(OR(RawWorking[[#This Row],[ShipDate]]="",RawWorking[[#This Row],[DeliveryDate]]=""),"",RawWorking[[#This Row],[DeliveryDate]]-RawWorking[[#This Row],[ShipDate]])</f>
        <v>10</v>
      </c>
      <c r="M701" s="9">
        <f>IF(COUNTIF(INDEX(RawWorking[OrderID],1):RawWorking[[#This Row],[OrderID]],RawWorking[[#This Row],[OrderID]])=1,1,0)</f>
        <v>1</v>
      </c>
      <c r="N701" s="4">
        <f>IFERROR(RawWorking[[#This Row],[LineAmount]]/RawWorking[[#This Row],[Quantity]],"")</f>
        <v>215.34</v>
      </c>
    </row>
    <row r="702" spans="1:14">
      <c r="A702">
        <v>50701</v>
      </c>
      <c r="B702">
        <v>30393</v>
      </c>
      <c r="C702" s="2">
        <v>45870</v>
      </c>
      <c r="D702">
        <v>2061</v>
      </c>
      <c r="E702">
        <v>1005</v>
      </c>
      <c r="F702">
        <v>3</v>
      </c>
      <c r="G702">
        <v>95.19</v>
      </c>
      <c r="H702" s="2">
        <v>45871</v>
      </c>
      <c r="I702" s="2">
        <v>45873</v>
      </c>
      <c r="J702" t="s">
        <v>11</v>
      </c>
      <c r="K702" s="2" t="str">
        <f>IFERROR(INDEX(Product_lookup[Category],MATCH(RawWorking[[#This Row],[ProductID]],Product_lookup[ProductID],0)),"")</f>
        <v>Electronics</v>
      </c>
      <c r="L702" s="9">
        <f>IF(OR(RawWorking[[#This Row],[ShipDate]]="",RawWorking[[#This Row],[DeliveryDate]]=""),"",RawWorking[[#This Row],[DeliveryDate]]-RawWorking[[#This Row],[ShipDate]])</f>
        <v>2</v>
      </c>
      <c r="M702" s="9">
        <f>IF(COUNTIF(INDEX(RawWorking[OrderID],1):RawWorking[[#This Row],[OrderID]],RawWorking[[#This Row],[OrderID]])=1,1,0)</f>
        <v>1</v>
      </c>
      <c r="N702" s="4">
        <f>IFERROR(RawWorking[[#This Row],[LineAmount]]/RawWorking[[#This Row],[Quantity]],"")</f>
        <v>31.73</v>
      </c>
    </row>
    <row r="703" spans="1:14">
      <c r="A703">
        <v>50702</v>
      </c>
      <c r="B703">
        <v>30394</v>
      </c>
      <c r="C703" s="2">
        <v>45847</v>
      </c>
      <c r="D703">
        <v>2136</v>
      </c>
      <c r="E703">
        <v>1011</v>
      </c>
      <c r="F703">
        <v>1</v>
      </c>
      <c r="G703">
        <v>101.44</v>
      </c>
      <c r="H703" s="2">
        <v>45849</v>
      </c>
      <c r="I703" s="2">
        <v>45853</v>
      </c>
      <c r="J703" t="s">
        <v>9</v>
      </c>
      <c r="K703" s="2" t="str">
        <f>IFERROR(INDEX(Product_lookup[Category],MATCH(RawWorking[[#This Row],[ProductID]],Product_lookup[ProductID],0)),"")</f>
        <v>Office</v>
      </c>
      <c r="L703" s="9">
        <f>IF(OR(RawWorking[[#This Row],[ShipDate]]="",RawWorking[[#This Row],[DeliveryDate]]=""),"",RawWorking[[#This Row],[DeliveryDate]]-RawWorking[[#This Row],[ShipDate]])</f>
        <v>4</v>
      </c>
      <c r="M703" s="9">
        <f>IF(COUNTIF(INDEX(RawWorking[OrderID],1):RawWorking[[#This Row],[OrderID]],RawWorking[[#This Row],[OrderID]])=1,1,0)</f>
        <v>1</v>
      </c>
      <c r="N703" s="4">
        <f>IFERROR(RawWorking[[#This Row],[LineAmount]]/RawWorking[[#This Row],[Quantity]],"")</f>
        <v>101.44</v>
      </c>
    </row>
    <row r="704" spans="1:14">
      <c r="A704">
        <v>50703</v>
      </c>
      <c r="B704">
        <v>30395</v>
      </c>
      <c r="C704" s="2">
        <v>45684</v>
      </c>
      <c r="D704">
        <v>2254</v>
      </c>
      <c r="E704">
        <v>1013</v>
      </c>
      <c r="F704">
        <v>3</v>
      </c>
      <c r="G704">
        <v>510.75</v>
      </c>
      <c r="H704" s="2" t="s">
        <v>1421</v>
      </c>
      <c r="I704" s="2" t="s">
        <v>1421</v>
      </c>
      <c r="J704" t="s">
        <v>16</v>
      </c>
      <c r="K704" s="2" t="str">
        <f>IFERROR(INDEX(Product_lookup[Category],MATCH(RawWorking[[#This Row],[ProductID]],Product_lookup[ProductID],0)),"")</f>
        <v>Office</v>
      </c>
      <c r="L704" s="9" t="str">
        <f>IF(OR(RawWorking[[#This Row],[ShipDate]]="",RawWorking[[#This Row],[DeliveryDate]]=""),"",RawWorking[[#This Row],[DeliveryDate]]-RawWorking[[#This Row],[ShipDate]])</f>
        <v/>
      </c>
      <c r="M704" s="9">
        <f>IF(COUNTIF(INDEX(RawWorking[OrderID],1):RawWorking[[#This Row],[OrderID]],RawWorking[[#This Row],[OrderID]])=1,1,0)</f>
        <v>1</v>
      </c>
      <c r="N704" s="4">
        <f>IFERROR(RawWorking[[#This Row],[LineAmount]]/RawWorking[[#This Row],[Quantity]],"")</f>
        <v>170.25</v>
      </c>
    </row>
    <row r="705" spans="1:14">
      <c r="A705">
        <v>50704</v>
      </c>
      <c r="B705">
        <v>30395</v>
      </c>
      <c r="C705" s="2">
        <v>45684</v>
      </c>
      <c r="D705">
        <v>2254</v>
      </c>
      <c r="E705">
        <v>1009</v>
      </c>
      <c r="F705">
        <v>1</v>
      </c>
      <c r="G705">
        <v>40.28</v>
      </c>
      <c r="H705" s="2" t="s">
        <v>1421</v>
      </c>
      <c r="I705" s="2" t="s">
        <v>1421</v>
      </c>
      <c r="J705" t="s">
        <v>16</v>
      </c>
      <c r="K705" s="2" t="str">
        <f>IFERROR(INDEX(Product_lookup[Category],MATCH(RawWorking[[#This Row],[ProductID]],Product_lookup[ProductID],0)),"")</f>
        <v>Home</v>
      </c>
      <c r="L705" s="9" t="str">
        <f>IF(OR(RawWorking[[#This Row],[ShipDate]]="",RawWorking[[#This Row],[DeliveryDate]]=""),"",RawWorking[[#This Row],[DeliveryDate]]-RawWorking[[#This Row],[ShipDate]])</f>
        <v/>
      </c>
      <c r="M705" s="9">
        <f>IF(COUNTIF(INDEX(RawWorking[OrderID],1):RawWorking[[#This Row],[OrderID]],RawWorking[[#This Row],[OrderID]])=1,1,0)</f>
        <v>0</v>
      </c>
      <c r="N705" s="4">
        <f>IFERROR(RawWorking[[#This Row],[LineAmount]]/RawWorking[[#This Row],[Quantity]],"")</f>
        <v>40.28</v>
      </c>
    </row>
    <row r="706" spans="1:14">
      <c r="A706">
        <v>50705</v>
      </c>
      <c r="B706">
        <v>30395</v>
      </c>
      <c r="C706" s="2">
        <v>45684</v>
      </c>
      <c r="D706">
        <v>2254</v>
      </c>
      <c r="E706">
        <v>1013</v>
      </c>
      <c r="F706">
        <v>1</v>
      </c>
      <c r="G706">
        <v>170.25</v>
      </c>
      <c r="H706" s="2" t="s">
        <v>1421</v>
      </c>
      <c r="I706" s="2" t="s">
        <v>1421</v>
      </c>
      <c r="J706" t="s">
        <v>16</v>
      </c>
      <c r="K706" s="2" t="str">
        <f>IFERROR(INDEX(Product_lookup[Category],MATCH(RawWorking[[#This Row],[ProductID]],Product_lookup[ProductID],0)),"")</f>
        <v>Office</v>
      </c>
      <c r="L706" s="9" t="str">
        <f>IF(OR(RawWorking[[#This Row],[ShipDate]]="",RawWorking[[#This Row],[DeliveryDate]]=""),"",RawWorking[[#This Row],[DeliveryDate]]-RawWorking[[#This Row],[ShipDate]])</f>
        <v/>
      </c>
      <c r="M706" s="9">
        <f>IF(COUNTIF(INDEX(RawWorking[OrderID],1):RawWorking[[#This Row],[OrderID]],RawWorking[[#This Row],[OrderID]])=1,1,0)</f>
        <v>0</v>
      </c>
      <c r="N706" s="4">
        <f>IFERROR(RawWorking[[#This Row],[LineAmount]]/RawWorking[[#This Row],[Quantity]],"")</f>
        <v>170.25</v>
      </c>
    </row>
    <row r="707" spans="1:14">
      <c r="A707">
        <v>50706</v>
      </c>
      <c r="B707">
        <v>30396</v>
      </c>
      <c r="C707" s="2">
        <v>45874</v>
      </c>
      <c r="D707">
        <v>2096</v>
      </c>
      <c r="E707">
        <v>1009</v>
      </c>
      <c r="F707">
        <v>1</v>
      </c>
      <c r="G707">
        <v>40.28</v>
      </c>
      <c r="H707" s="2">
        <v>45877</v>
      </c>
      <c r="I707" s="2">
        <v>45886</v>
      </c>
      <c r="J707" t="s">
        <v>9</v>
      </c>
      <c r="K707" s="2" t="str">
        <f>IFERROR(INDEX(Product_lookup[Category],MATCH(RawWorking[[#This Row],[ProductID]],Product_lookup[ProductID],0)),"")</f>
        <v>Home</v>
      </c>
      <c r="L707" s="9">
        <f>IF(OR(RawWorking[[#This Row],[ShipDate]]="",RawWorking[[#This Row],[DeliveryDate]]=""),"",RawWorking[[#This Row],[DeliveryDate]]-RawWorking[[#This Row],[ShipDate]])</f>
        <v>9</v>
      </c>
      <c r="M707" s="9">
        <f>IF(COUNTIF(INDEX(RawWorking[OrderID],1):RawWorking[[#This Row],[OrderID]],RawWorking[[#This Row],[OrderID]])=1,1,0)</f>
        <v>1</v>
      </c>
      <c r="N707" s="4">
        <f>IFERROR(RawWorking[[#This Row],[LineAmount]]/RawWorking[[#This Row],[Quantity]],"")</f>
        <v>40.28</v>
      </c>
    </row>
    <row r="708" spans="1:14">
      <c r="A708">
        <v>50707</v>
      </c>
      <c r="B708">
        <v>30396</v>
      </c>
      <c r="C708" s="2">
        <v>45874</v>
      </c>
      <c r="D708">
        <v>2096</v>
      </c>
      <c r="E708">
        <v>1012</v>
      </c>
      <c r="F708">
        <v>2</v>
      </c>
      <c r="G708">
        <v>483.08</v>
      </c>
      <c r="H708" s="2">
        <v>45875</v>
      </c>
      <c r="I708" s="2">
        <v>45877</v>
      </c>
      <c r="J708" t="s">
        <v>9</v>
      </c>
      <c r="K708" s="2" t="str">
        <f>IFERROR(INDEX(Product_lookup[Category],MATCH(RawWorking[[#This Row],[ProductID]],Product_lookup[ProductID],0)),"")</f>
        <v>Office</v>
      </c>
      <c r="L708" s="9">
        <f>IF(OR(RawWorking[[#This Row],[ShipDate]]="",RawWorking[[#This Row],[DeliveryDate]]=""),"",RawWorking[[#This Row],[DeliveryDate]]-RawWorking[[#This Row],[ShipDate]])</f>
        <v>2</v>
      </c>
      <c r="M708" s="9">
        <f>IF(COUNTIF(INDEX(RawWorking[OrderID],1):RawWorking[[#This Row],[OrderID]],RawWorking[[#This Row],[OrderID]])=1,1,0)</f>
        <v>0</v>
      </c>
      <c r="N708" s="4">
        <f>IFERROR(RawWorking[[#This Row],[LineAmount]]/RawWorking[[#This Row],[Quantity]],"")</f>
        <v>241.54</v>
      </c>
    </row>
    <row r="709" spans="1:14">
      <c r="A709">
        <v>50708</v>
      </c>
      <c r="B709">
        <v>30397</v>
      </c>
      <c r="C709" s="2">
        <v>45922</v>
      </c>
      <c r="D709">
        <v>2466</v>
      </c>
      <c r="E709">
        <v>1011</v>
      </c>
      <c r="F709">
        <v>4</v>
      </c>
      <c r="G709">
        <v>405.76</v>
      </c>
      <c r="H709" s="2">
        <v>45925</v>
      </c>
      <c r="I709" s="2">
        <v>45930</v>
      </c>
      <c r="J709" t="s">
        <v>11</v>
      </c>
      <c r="K709" s="2" t="str">
        <f>IFERROR(INDEX(Product_lookup[Category],MATCH(RawWorking[[#This Row],[ProductID]],Product_lookup[ProductID],0)),"")</f>
        <v>Office</v>
      </c>
      <c r="L709" s="9">
        <f>IF(OR(RawWorking[[#This Row],[ShipDate]]="",RawWorking[[#This Row],[DeliveryDate]]=""),"",RawWorking[[#This Row],[DeliveryDate]]-RawWorking[[#This Row],[ShipDate]])</f>
        <v>5</v>
      </c>
      <c r="M709" s="9">
        <f>IF(COUNTIF(INDEX(RawWorking[OrderID],1):RawWorking[[#This Row],[OrderID]],RawWorking[[#This Row],[OrderID]])=1,1,0)</f>
        <v>1</v>
      </c>
      <c r="N709" s="4">
        <f>IFERROR(RawWorking[[#This Row],[LineAmount]]/RawWorking[[#This Row],[Quantity]],"")</f>
        <v>101.44</v>
      </c>
    </row>
    <row r="710" spans="1:14">
      <c r="A710">
        <v>50709</v>
      </c>
      <c r="B710">
        <v>30397</v>
      </c>
      <c r="C710" s="2">
        <v>45922</v>
      </c>
      <c r="D710">
        <v>2466</v>
      </c>
      <c r="E710">
        <v>1001</v>
      </c>
      <c r="F710">
        <v>1</v>
      </c>
      <c r="G710">
        <v>203.04</v>
      </c>
      <c r="H710" s="2">
        <v>45925</v>
      </c>
      <c r="I710" s="2">
        <v>45930</v>
      </c>
      <c r="J710" t="s">
        <v>11</v>
      </c>
      <c r="K710" s="2" t="str">
        <f>IFERROR(INDEX(Product_lookup[Category],MATCH(RawWorking[[#This Row],[ProductID]],Product_lookup[ProductID],0)),"")</f>
        <v>Electronics</v>
      </c>
      <c r="L710" s="9">
        <f>IF(OR(RawWorking[[#This Row],[ShipDate]]="",RawWorking[[#This Row],[DeliveryDate]]=""),"",RawWorking[[#This Row],[DeliveryDate]]-RawWorking[[#This Row],[ShipDate]])</f>
        <v>5</v>
      </c>
      <c r="M710" s="9">
        <f>IF(COUNTIF(INDEX(RawWorking[OrderID],1):RawWorking[[#This Row],[OrderID]],RawWorking[[#This Row],[OrderID]])=1,1,0)</f>
        <v>0</v>
      </c>
      <c r="N710" s="4">
        <f>IFERROR(RawWorking[[#This Row],[LineAmount]]/RawWorking[[#This Row],[Quantity]],"")</f>
        <v>203.04</v>
      </c>
    </row>
    <row r="711" spans="1:14">
      <c r="A711">
        <v>50710</v>
      </c>
      <c r="B711">
        <v>30398</v>
      </c>
      <c r="C711" s="2">
        <v>45910</v>
      </c>
      <c r="D711">
        <v>2096</v>
      </c>
      <c r="E711">
        <v>1015</v>
      </c>
      <c r="F711">
        <v>1</v>
      </c>
      <c r="G711">
        <v>119.74</v>
      </c>
      <c r="H711" s="2">
        <v>45941</v>
      </c>
      <c r="I711" s="2">
        <v>45943</v>
      </c>
      <c r="J711" t="s">
        <v>9</v>
      </c>
      <c r="K711" s="2" t="str">
        <f>IFERROR(INDEX(Product_lookup[Category],MATCH(RawWorking[[#This Row],[ProductID]],Product_lookup[ProductID],0)),"")</f>
        <v>Sports</v>
      </c>
      <c r="L711" s="9">
        <f>IF(OR(RawWorking[[#This Row],[ShipDate]]="",RawWorking[[#This Row],[DeliveryDate]]=""),"",RawWorking[[#This Row],[DeliveryDate]]-RawWorking[[#This Row],[ShipDate]])</f>
        <v>2</v>
      </c>
      <c r="M711" s="9">
        <f>IF(COUNTIF(INDEX(RawWorking[OrderID],1):RawWorking[[#This Row],[OrderID]],RawWorking[[#This Row],[OrderID]])=1,1,0)</f>
        <v>1</v>
      </c>
      <c r="N711" s="4">
        <f>IFERROR(RawWorking[[#This Row],[LineAmount]]/RawWorking[[#This Row],[Quantity]],"")</f>
        <v>119.74</v>
      </c>
    </row>
    <row r="712" spans="1:14">
      <c r="A712">
        <v>50711</v>
      </c>
      <c r="B712">
        <v>30399</v>
      </c>
      <c r="C712" s="2">
        <v>45786</v>
      </c>
      <c r="D712">
        <v>2367</v>
      </c>
      <c r="E712">
        <v>1013</v>
      </c>
      <c r="F712">
        <v>1</v>
      </c>
      <c r="G712">
        <v>170.25</v>
      </c>
      <c r="H712" s="2">
        <v>45788</v>
      </c>
      <c r="I712" s="2" t="s">
        <v>1421</v>
      </c>
      <c r="J712" t="s">
        <v>16</v>
      </c>
      <c r="K712" s="2" t="str">
        <f>IFERROR(INDEX(Product_lookup[Category],MATCH(RawWorking[[#This Row],[ProductID]],Product_lookup[ProductID],0)),"")</f>
        <v>Office</v>
      </c>
      <c r="L712" s="9" t="str">
        <f>IF(OR(RawWorking[[#This Row],[ShipDate]]="",RawWorking[[#This Row],[DeliveryDate]]=""),"",RawWorking[[#This Row],[DeliveryDate]]-RawWorking[[#This Row],[ShipDate]])</f>
        <v/>
      </c>
      <c r="M712" s="9">
        <f>IF(COUNTIF(INDEX(RawWorking[OrderID],1):RawWorking[[#This Row],[OrderID]],RawWorking[[#This Row],[OrderID]])=1,1,0)</f>
        <v>1</v>
      </c>
      <c r="N712" s="4">
        <f>IFERROR(RawWorking[[#This Row],[LineAmount]]/RawWorking[[#This Row],[Quantity]],"")</f>
        <v>170.25</v>
      </c>
    </row>
    <row r="713" spans="1:14">
      <c r="A713">
        <v>50712</v>
      </c>
      <c r="B713">
        <v>30399</v>
      </c>
      <c r="C713" s="2">
        <v>45905</v>
      </c>
      <c r="D713">
        <v>2367</v>
      </c>
      <c r="E713">
        <v>1014</v>
      </c>
      <c r="F713">
        <v>2</v>
      </c>
      <c r="G713">
        <v>430.68</v>
      </c>
      <c r="H713" s="2" t="s">
        <v>1421</v>
      </c>
      <c r="I713" s="2" t="s">
        <v>1421</v>
      </c>
      <c r="J713" t="s">
        <v>16</v>
      </c>
      <c r="K713" s="2" t="str">
        <f>IFERROR(INDEX(Product_lookup[Category],MATCH(RawWorking[[#This Row],[ProductID]],Product_lookup[ProductID],0)),"")</f>
        <v>Sports</v>
      </c>
      <c r="L713" s="9" t="str">
        <f>IF(OR(RawWorking[[#This Row],[ShipDate]]="",RawWorking[[#This Row],[DeliveryDate]]=""),"",RawWorking[[#This Row],[DeliveryDate]]-RawWorking[[#This Row],[ShipDate]])</f>
        <v/>
      </c>
      <c r="M713" s="9">
        <f>IF(COUNTIF(INDEX(RawWorking[OrderID],1):RawWorking[[#This Row],[OrderID]],RawWorking[[#This Row],[OrderID]])=1,1,0)</f>
        <v>0</v>
      </c>
      <c r="N713" s="4">
        <f>IFERROR(RawWorking[[#This Row],[LineAmount]]/RawWorking[[#This Row],[Quantity]],"")</f>
        <v>215.34</v>
      </c>
    </row>
    <row r="714" spans="1:14">
      <c r="A714">
        <v>50713</v>
      </c>
      <c r="B714">
        <v>30400</v>
      </c>
      <c r="C714" s="2">
        <v>45818</v>
      </c>
      <c r="D714">
        <v>2507</v>
      </c>
      <c r="E714">
        <v>1010</v>
      </c>
      <c r="F714">
        <v>2</v>
      </c>
      <c r="G714">
        <v>243</v>
      </c>
      <c r="H714" s="2">
        <v>45820</v>
      </c>
      <c r="I714" s="2">
        <v>45829</v>
      </c>
      <c r="J714" t="s">
        <v>9</v>
      </c>
      <c r="K714" s="2" t="str">
        <f>IFERROR(INDEX(Product_lookup[Category],MATCH(RawWorking[[#This Row],[ProductID]],Product_lookup[ProductID],0)),"")</f>
        <v>Office</v>
      </c>
      <c r="L714" s="9">
        <f>IF(OR(RawWorking[[#This Row],[ShipDate]]="",RawWorking[[#This Row],[DeliveryDate]]=""),"",RawWorking[[#This Row],[DeliveryDate]]-RawWorking[[#This Row],[ShipDate]])</f>
        <v>9</v>
      </c>
      <c r="M714" s="9">
        <f>IF(COUNTIF(INDEX(RawWorking[OrderID],1):RawWorking[[#This Row],[OrderID]],RawWorking[[#This Row],[OrderID]])=1,1,0)</f>
        <v>1</v>
      </c>
      <c r="N714" s="4">
        <f>IFERROR(RawWorking[[#This Row],[LineAmount]]/RawWorking[[#This Row],[Quantity]],"")</f>
        <v>121.5</v>
      </c>
    </row>
    <row r="715" spans="1:14">
      <c r="A715">
        <v>50714</v>
      </c>
      <c r="B715">
        <v>30400</v>
      </c>
      <c r="C715" s="2">
        <v>45818</v>
      </c>
      <c r="D715">
        <v>2507</v>
      </c>
      <c r="E715">
        <v>1011</v>
      </c>
      <c r="F715">
        <v>2</v>
      </c>
      <c r="G715">
        <v>202.88</v>
      </c>
      <c r="H715" s="2">
        <v>45819</v>
      </c>
      <c r="I715" s="2">
        <v>45821</v>
      </c>
      <c r="J715" t="s">
        <v>9</v>
      </c>
      <c r="K715" s="2" t="str">
        <f>IFERROR(INDEX(Product_lookup[Category],MATCH(RawWorking[[#This Row],[ProductID]],Product_lookup[ProductID],0)),"")</f>
        <v>Office</v>
      </c>
      <c r="L715" s="9">
        <f>IF(OR(RawWorking[[#This Row],[ShipDate]]="",RawWorking[[#This Row],[DeliveryDate]]=""),"",RawWorking[[#This Row],[DeliveryDate]]-RawWorking[[#This Row],[ShipDate]])</f>
        <v>2</v>
      </c>
      <c r="M715" s="9">
        <f>IF(COUNTIF(INDEX(RawWorking[OrderID],1):RawWorking[[#This Row],[OrderID]],RawWorking[[#This Row],[OrderID]])=1,1,0)</f>
        <v>0</v>
      </c>
      <c r="N715" s="4">
        <f>IFERROR(RawWorking[[#This Row],[LineAmount]]/RawWorking[[#This Row],[Quantity]],"")</f>
        <v>101.44</v>
      </c>
    </row>
    <row r="716" spans="1:14">
      <c r="A716">
        <v>50715</v>
      </c>
      <c r="B716">
        <v>30401</v>
      </c>
      <c r="C716" s="2">
        <v>45973</v>
      </c>
      <c r="D716">
        <v>2561</v>
      </c>
      <c r="E716">
        <v>1016</v>
      </c>
      <c r="F716">
        <v>1</v>
      </c>
      <c r="G716">
        <v>65.260000000000005</v>
      </c>
      <c r="H716" s="2">
        <v>45975</v>
      </c>
      <c r="I716" s="2">
        <v>45977</v>
      </c>
      <c r="J716" t="s">
        <v>9</v>
      </c>
      <c r="K716" s="2" t="str">
        <f>IFERROR(INDEX(Product_lookup[Category],MATCH(RawWorking[[#This Row],[ProductID]],Product_lookup[ProductID],0)),"")</f>
        <v>Sports</v>
      </c>
      <c r="L716" s="9">
        <f>IF(OR(RawWorking[[#This Row],[ShipDate]]="",RawWorking[[#This Row],[DeliveryDate]]=""),"",RawWorking[[#This Row],[DeliveryDate]]-RawWorking[[#This Row],[ShipDate]])</f>
        <v>2</v>
      </c>
      <c r="M716" s="9">
        <f>IF(COUNTIF(INDEX(RawWorking[OrderID],1):RawWorking[[#This Row],[OrderID]],RawWorking[[#This Row],[OrderID]])=1,1,0)</f>
        <v>1</v>
      </c>
      <c r="N716" s="4">
        <f>IFERROR(RawWorking[[#This Row],[LineAmount]]/RawWorking[[#This Row],[Quantity]],"")</f>
        <v>65.260000000000005</v>
      </c>
    </row>
    <row r="717" spans="1:14">
      <c r="A717">
        <v>50716</v>
      </c>
      <c r="B717">
        <v>30401</v>
      </c>
      <c r="C717" s="2">
        <v>45973</v>
      </c>
      <c r="D717">
        <v>2561</v>
      </c>
      <c r="E717">
        <v>1011</v>
      </c>
      <c r="F717">
        <v>1</v>
      </c>
      <c r="G717">
        <v>101.44</v>
      </c>
      <c r="H717" s="2">
        <v>45974</v>
      </c>
      <c r="I717" s="2">
        <v>45980</v>
      </c>
      <c r="J717" t="s">
        <v>9</v>
      </c>
      <c r="K717" s="2" t="str">
        <f>IFERROR(INDEX(Product_lookup[Category],MATCH(RawWorking[[#This Row],[ProductID]],Product_lookup[ProductID],0)),"")</f>
        <v>Office</v>
      </c>
      <c r="L717" s="9">
        <f>IF(OR(RawWorking[[#This Row],[ShipDate]]="",RawWorking[[#This Row],[DeliveryDate]]=""),"",RawWorking[[#This Row],[DeliveryDate]]-RawWorking[[#This Row],[ShipDate]])</f>
        <v>6</v>
      </c>
      <c r="M717" s="9">
        <f>IF(COUNTIF(INDEX(RawWorking[OrderID],1):RawWorking[[#This Row],[OrderID]],RawWorking[[#This Row],[OrderID]])=1,1,0)</f>
        <v>0</v>
      </c>
      <c r="N717" s="4">
        <f>IFERROR(RawWorking[[#This Row],[LineAmount]]/RawWorking[[#This Row],[Quantity]],"")</f>
        <v>101.44</v>
      </c>
    </row>
    <row r="718" spans="1:14">
      <c r="A718">
        <v>50717</v>
      </c>
      <c r="B718">
        <v>30402</v>
      </c>
      <c r="C718" s="2">
        <v>45824</v>
      </c>
      <c r="D718">
        <v>2050</v>
      </c>
      <c r="E718">
        <v>1015</v>
      </c>
      <c r="F718">
        <v>1</v>
      </c>
      <c r="G718">
        <v>119.74</v>
      </c>
      <c r="H718" s="2">
        <v>45825</v>
      </c>
      <c r="I718" s="2">
        <v>45834</v>
      </c>
      <c r="J718" t="s">
        <v>9</v>
      </c>
      <c r="K718" s="2" t="str">
        <f>IFERROR(INDEX(Product_lookup[Category],MATCH(RawWorking[[#This Row],[ProductID]],Product_lookup[ProductID],0)),"")</f>
        <v>Sports</v>
      </c>
      <c r="L718" s="9">
        <f>IF(OR(RawWorking[[#This Row],[ShipDate]]="",RawWorking[[#This Row],[DeliveryDate]]=""),"",RawWorking[[#This Row],[DeliveryDate]]-RawWorking[[#This Row],[ShipDate]])</f>
        <v>9</v>
      </c>
      <c r="M718" s="9">
        <f>IF(COUNTIF(INDEX(RawWorking[OrderID],1):RawWorking[[#This Row],[OrderID]],RawWorking[[#This Row],[OrderID]])=1,1,0)</f>
        <v>1</v>
      </c>
      <c r="N718" s="4">
        <f>IFERROR(RawWorking[[#This Row],[LineAmount]]/RawWorking[[#This Row],[Quantity]],"")</f>
        <v>119.74</v>
      </c>
    </row>
    <row r="719" spans="1:14">
      <c r="A719">
        <v>50718</v>
      </c>
      <c r="B719">
        <v>30403</v>
      </c>
      <c r="C719" s="2">
        <v>45865</v>
      </c>
      <c r="D719">
        <v>2017</v>
      </c>
      <c r="E719">
        <v>1006</v>
      </c>
      <c r="F719">
        <v>4</v>
      </c>
      <c r="G719">
        <v>1015.44</v>
      </c>
      <c r="H719" s="2">
        <v>45868</v>
      </c>
      <c r="I719" s="2">
        <v>45874</v>
      </c>
      <c r="J719" t="s">
        <v>9</v>
      </c>
      <c r="K719" s="2" t="str">
        <f>IFERROR(INDEX(Product_lookup[Category],MATCH(RawWorking[[#This Row],[ProductID]],Product_lookup[ProductID],0)),"")</f>
        <v>Home</v>
      </c>
      <c r="L719" s="9">
        <f>IF(OR(RawWorking[[#This Row],[ShipDate]]="",RawWorking[[#This Row],[DeliveryDate]]=""),"",RawWorking[[#This Row],[DeliveryDate]]-RawWorking[[#This Row],[ShipDate]])</f>
        <v>6</v>
      </c>
      <c r="M719" s="9">
        <f>IF(COUNTIF(INDEX(RawWorking[OrderID],1):RawWorking[[#This Row],[OrderID]],RawWorking[[#This Row],[OrderID]])=1,1,0)</f>
        <v>1</v>
      </c>
      <c r="N719" s="4">
        <f>IFERROR(RawWorking[[#This Row],[LineAmount]]/RawWorking[[#This Row],[Quantity]],"")</f>
        <v>253.86</v>
      </c>
    </row>
    <row r="720" spans="1:14">
      <c r="A720">
        <v>50719</v>
      </c>
      <c r="B720">
        <v>30404</v>
      </c>
      <c r="C720" s="2">
        <v>45664</v>
      </c>
      <c r="D720">
        <v>2452</v>
      </c>
      <c r="E720">
        <v>1014</v>
      </c>
      <c r="F720">
        <v>4</v>
      </c>
      <c r="G720">
        <v>861.36</v>
      </c>
      <c r="H720" s="2">
        <v>45666</v>
      </c>
      <c r="I720" s="2">
        <v>45667</v>
      </c>
      <c r="J720" t="s">
        <v>9</v>
      </c>
      <c r="K720" s="2" t="str">
        <f>IFERROR(INDEX(Product_lookup[Category],MATCH(RawWorking[[#This Row],[ProductID]],Product_lookup[ProductID],0)),"")</f>
        <v>Sports</v>
      </c>
      <c r="L720" s="9">
        <f>IF(OR(RawWorking[[#This Row],[ShipDate]]="",RawWorking[[#This Row],[DeliveryDate]]=""),"",RawWorking[[#This Row],[DeliveryDate]]-RawWorking[[#This Row],[ShipDate]])</f>
        <v>1</v>
      </c>
      <c r="M720" s="9">
        <f>IF(COUNTIF(INDEX(RawWorking[OrderID],1):RawWorking[[#This Row],[OrderID]],RawWorking[[#This Row],[OrderID]])=1,1,0)</f>
        <v>1</v>
      </c>
      <c r="N720" s="4">
        <f>IFERROR(RawWorking[[#This Row],[LineAmount]]/RawWorking[[#This Row],[Quantity]],"")</f>
        <v>215.34</v>
      </c>
    </row>
    <row r="721" spans="1:14">
      <c r="A721">
        <v>50720</v>
      </c>
      <c r="B721">
        <v>30404</v>
      </c>
      <c r="C721" s="2">
        <v>45664</v>
      </c>
      <c r="D721">
        <v>2452</v>
      </c>
      <c r="E721">
        <v>1007</v>
      </c>
      <c r="F721">
        <v>2</v>
      </c>
      <c r="G721">
        <v>399.62</v>
      </c>
      <c r="H721" s="2">
        <v>45667</v>
      </c>
      <c r="I721" s="2">
        <v>45677</v>
      </c>
      <c r="J721" t="s">
        <v>9</v>
      </c>
      <c r="K721" s="2" t="str">
        <f>IFERROR(INDEX(Product_lookup[Category],MATCH(RawWorking[[#This Row],[ProductID]],Product_lookup[ProductID],0)),"")</f>
        <v>Home</v>
      </c>
      <c r="L721" s="9">
        <f>IF(OR(RawWorking[[#This Row],[ShipDate]]="",RawWorking[[#This Row],[DeliveryDate]]=""),"",RawWorking[[#This Row],[DeliveryDate]]-RawWorking[[#This Row],[ShipDate]])</f>
        <v>10</v>
      </c>
      <c r="M721" s="9">
        <f>IF(COUNTIF(INDEX(RawWorking[OrderID],1):RawWorking[[#This Row],[OrderID]],RawWorking[[#This Row],[OrderID]])=1,1,0)</f>
        <v>0</v>
      </c>
      <c r="N721" s="4">
        <f>IFERROR(RawWorking[[#This Row],[LineAmount]]/RawWorking[[#This Row],[Quantity]],"")</f>
        <v>199.81</v>
      </c>
    </row>
    <row r="722" spans="1:14">
      <c r="A722">
        <v>50721</v>
      </c>
      <c r="B722">
        <v>30404</v>
      </c>
      <c r="C722" s="2">
        <v>45664</v>
      </c>
      <c r="D722">
        <v>2452</v>
      </c>
      <c r="E722">
        <v>1005</v>
      </c>
      <c r="F722">
        <v>3</v>
      </c>
      <c r="G722">
        <v>95.19</v>
      </c>
      <c r="H722" s="2">
        <v>45665</v>
      </c>
      <c r="I722" s="2">
        <v>45675</v>
      </c>
      <c r="J722" t="s">
        <v>9</v>
      </c>
      <c r="K722" s="2" t="str">
        <f>IFERROR(INDEX(Product_lookup[Category],MATCH(RawWorking[[#This Row],[ProductID]],Product_lookup[ProductID],0)),"")</f>
        <v>Electronics</v>
      </c>
      <c r="L722" s="9">
        <f>IF(OR(RawWorking[[#This Row],[ShipDate]]="",RawWorking[[#This Row],[DeliveryDate]]=""),"",RawWorking[[#This Row],[DeliveryDate]]-RawWorking[[#This Row],[ShipDate]])</f>
        <v>10</v>
      </c>
      <c r="M722" s="9">
        <f>IF(COUNTIF(INDEX(RawWorking[OrderID],1):RawWorking[[#This Row],[OrderID]],RawWorking[[#This Row],[OrderID]])=1,1,0)</f>
        <v>0</v>
      </c>
      <c r="N722" s="4">
        <f>IFERROR(RawWorking[[#This Row],[LineAmount]]/RawWorking[[#This Row],[Quantity]],"")</f>
        <v>31.73</v>
      </c>
    </row>
    <row r="723" spans="1:14">
      <c r="A723">
        <v>50722</v>
      </c>
      <c r="B723">
        <v>30405</v>
      </c>
      <c r="C723" s="2">
        <v>45727</v>
      </c>
      <c r="D723">
        <v>2310</v>
      </c>
      <c r="E723">
        <v>1009</v>
      </c>
      <c r="F723">
        <v>3</v>
      </c>
      <c r="G723">
        <v>120.84</v>
      </c>
      <c r="H723" s="2">
        <v>45729</v>
      </c>
      <c r="I723" s="2">
        <v>45730</v>
      </c>
      <c r="J723" t="s">
        <v>9</v>
      </c>
      <c r="K723" s="2" t="str">
        <f>IFERROR(INDEX(Product_lookup[Category],MATCH(RawWorking[[#This Row],[ProductID]],Product_lookup[ProductID],0)),"")</f>
        <v>Home</v>
      </c>
      <c r="L723" s="9">
        <f>IF(OR(RawWorking[[#This Row],[ShipDate]]="",RawWorking[[#This Row],[DeliveryDate]]=""),"",RawWorking[[#This Row],[DeliveryDate]]-RawWorking[[#This Row],[ShipDate]])</f>
        <v>1</v>
      </c>
      <c r="M723" s="9">
        <f>IF(COUNTIF(INDEX(RawWorking[OrderID],1):RawWorking[[#This Row],[OrderID]],RawWorking[[#This Row],[OrderID]])=1,1,0)</f>
        <v>1</v>
      </c>
      <c r="N723" s="4">
        <f>IFERROR(RawWorking[[#This Row],[LineAmount]]/RawWorking[[#This Row],[Quantity]],"")</f>
        <v>40.28</v>
      </c>
    </row>
    <row r="724" spans="1:14">
      <c r="A724">
        <v>50723</v>
      </c>
      <c r="B724">
        <v>30406</v>
      </c>
      <c r="C724" s="2">
        <v>45882</v>
      </c>
      <c r="D724">
        <v>2096</v>
      </c>
      <c r="E724">
        <v>1009</v>
      </c>
      <c r="F724">
        <v>1</v>
      </c>
      <c r="G724">
        <v>40.28</v>
      </c>
      <c r="H724" s="2">
        <v>45884</v>
      </c>
      <c r="I724" s="2">
        <v>45890</v>
      </c>
      <c r="J724" t="s">
        <v>9</v>
      </c>
      <c r="K724" s="2" t="str">
        <f>IFERROR(INDEX(Product_lookup[Category],MATCH(RawWorking[[#This Row],[ProductID]],Product_lookup[ProductID],0)),"")</f>
        <v>Home</v>
      </c>
      <c r="L724" s="9">
        <f>IF(OR(RawWorking[[#This Row],[ShipDate]]="",RawWorking[[#This Row],[DeliveryDate]]=""),"",RawWorking[[#This Row],[DeliveryDate]]-RawWorking[[#This Row],[ShipDate]])</f>
        <v>6</v>
      </c>
      <c r="M724" s="9">
        <f>IF(COUNTIF(INDEX(RawWorking[OrderID],1):RawWorking[[#This Row],[OrderID]],RawWorking[[#This Row],[OrderID]])=1,1,0)</f>
        <v>1</v>
      </c>
      <c r="N724" s="4">
        <f>IFERROR(RawWorking[[#This Row],[LineAmount]]/RawWorking[[#This Row],[Quantity]],"")</f>
        <v>40.28</v>
      </c>
    </row>
    <row r="725" spans="1:14">
      <c r="A725">
        <v>50724</v>
      </c>
      <c r="B725">
        <v>30406</v>
      </c>
      <c r="C725" s="2">
        <v>45882</v>
      </c>
      <c r="D725">
        <v>2096</v>
      </c>
      <c r="E725">
        <v>1003</v>
      </c>
      <c r="F725">
        <v>1</v>
      </c>
      <c r="G725">
        <v>224.37</v>
      </c>
      <c r="H725" s="2">
        <v>45884</v>
      </c>
      <c r="I725" s="2">
        <v>45892</v>
      </c>
      <c r="J725" t="s">
        <v>9</v>
      </c>
      <c r="K725" s="2" t="str">
        <f>IFERROR(INDEX(Product_lookup[Category],MATCH(RawWorking[[#This Row],[ProductID]],Product_lookup[ProductID],0)),"")</f>
        <v>Electronics</v>
      </c>
      <c r="L725" s="9">
        <f>IF(OR(RawWorking[[#This Row],[ShipDate]]="",RawWorking[[#This Row],[DeliveryDate]]=""),"",RawWorking[[#This Row],[DeliveryDate]]-RawWorking[[#This Row],[ShipDate]])</f>
        <v>8</v>
      </c>
      <c r="M725" s="9">
        <f>IF(COUNTIF(INDEX(RawWorking[OrderID],1):RawWorking[[#This Row],[OrderID]],RawWorking[[#This Row],[OrderID]])=1,1,0)</f>
        <v>0</v>
      </c>
      <c r="N725" s="4">
        <f>IFERROR(RawWorking[[#This Row],[LineAmount]]/RawWorking[[#This Row],[Quantity]],"")</f>
        <v>224.37</v>
      </c>
    </row>
    <row r="726" spans="1:14">
      <c r="A726">
        <v>50725</v>
      </c>
      <c r="B726">
        <v>30407</v>
      </c>
      <c r="C726" s="2">
        <v>45916</v>
      </c>
      <c r="D726">
        <v>2381</v>
      </c>
      <c r="E726">
        <v>1006</v>
      </c>
      <c r="F726">
        <v>3</v>
      </c>
      <c r="G726">
        <v>761.58</v>
      </c>
      <c r="H726" s="2">
        <v>45917</v>
      </c>
      <c r="I726" s="2">
        <v>45923</v>
      </c>
      <c r="J726" t="s">
        <v>9</v>
      </c>
      <c r="K726" s="2" t="str">
        <f>IFERROR(INDEX(Product_lookup[Category],MATCH(RawWorking[[#This Row],[ProductID]],Product_lookup[ProductID],0)),"")</f>
        <v>Home</v>
      </c>
      <c r="L726" s="9">
        <f>IF(OR(RawWorking[[#This Row],[ShipDate]]="",RawWorking[[#This Row],[DeliveryDate]]=""),"",RawWorking[[#This Row],[DeliveryDate]]-RawWorking[[#This Row],[ShipDate]])</f>
        <v>6</v>
      </c>
      <c r="M726" s="9">
        <f>IF(COUNTIF(INDEX(RawWorking[OrderID],1):RawWorking[[#This Row],[OrderID]],RawWorking[[#This Row],[OrderID]])=1,1,0)</f>
        <v>1</v>
      </c>
      <c r="N726" s="4">
        <f>IFERROR(RawWorking[[#This Row],[LineAmount]]/RawWorking[[#This Row],[Quantity]],"")</f>
        <v>253.86</v>
      </c>
    </row>
    <row r="727" spans="1:14">
      <c r="A727">
        <v>50726</v>
      </c>
      <c r="B727">
        <v>30407</v>
      </c>
      <c r="C727" s="2">
        <v>45916</v>
      </c>
      <c r="D727">
        <v>2381</v>
      </c>
      <c r="E727">
        <v>1002</v>
      </c>
      <c r="F727">
        <v>1</v>
      </c>
      <c r="G727">
        <v>118.6</v>
      </c>
      <c r="H727" s="2">
        <v>45918</v>
      </c>
      <c r="I727" s="2">
        <v>45924</v>
      </c>
      <c r="J727" t="s">
        <v>9</v>
      </c>
      <c r="K727" s="2" t="str">
        <f>IFERROR(INDEX(Product_lookup[Category],MATCH(RawWorking[[#This Row],[ProductID]],Product_lookup[ProductID],0)),"")</f>
        <v>Electronics</v>
      </c>
      <c r="L727" s="9">
        <f>IF(OR(RawWorking[[#This Row],[ShipDate]]="",RawWorking[[#This Row],[DeliveryDate]]=""),"",RawWorking[[#This Row],[DeliveryDate]]-RawWorking[[#This Row],[ShipDate]])</f>
        <v>6</v>
      </c>
      <c r="M727" s="9">
        <f>IF(COUNTIF(INDEX(RawWorking[OrderID],1):RawWorking[[#This Row],[OrderID]],RawWorking[[#This Row],[OrderID]])=1,1,0)</f>
        <v>0</v>
      </c>
      <c r="N727" s="4">
        <f>IFERROR(RawWorking[[#This Row],[LineAmount]]/RawWorking[[#This Row],[Quantity]],"")</f>
        <v>118.6</v>
      </c>
    </row>
    <row r="728" spans="1:14">
      <c r="A728">
        <v>50727</v>
      </c>
      <c r="B728">
        <v>30408</v>
      </c>
      <c r="C728" s="2">
        <v>45771</v>
      </c>
      <c r="D728">
        <v>2406</v>
      </c>
      <c r="E728">
        <v>1008</v>
      </c>
      <c r="F728">
        <v>2</v>
      </c>
      <c r="G728">
        <v>412.18</v>
      </c>
      <c r="H728" s="2">
        <v>45772</v>
      </c>
      <c r="I728" s="2">
        <v>45776</v>
      </c>
      <c r="J728" t="s">
        <v>9</v>
      </c>
      <c r="K728" s="2" t="str">
        <f>IFERROR(INDEX(Product_lookup[Category],MATCH(RawWorking[[#This Row],[ProductID]],Product_lookup[ProductID],0)),"")</f>
        <v>Home</v>
      </c>
      <c r="L728" s="9">
        <f>IF(OR(RawWorking[[#This Row],[ShipDate]]="",RawWorking[[#This Row],[DeliveryDate]]=""),"",RawWorking[[#This Row],[DeliveryDate]]-RawWorking[[#This Row],[ShipDate]])</f>
        <v>4</v>
      </c>
      <c r="M728" s="9">
        <f>IF(COUNTIF(INDEX(RawWorking[OrderID],1):RawWorking[[#This Row],[OrderID]],RawWorking[[#This Row],[OrderID]])=1,1,0)</f>
        <v>1</v>
      </c>
      <c r="N728" s="4">
        <f>IFERROR(RawWorking[[#This Row],[LineAmount]]/RawWorking[[#This Row],[Quantity]],"")</f>
        <v>206.09</v>
      </c>
    </row>
    <row r="729" spans="1:14">
      <c r="A729">
        <v>50728</v>
      </c>
      <c r="B729">
        <v>30408</v>
      </c>
      <c r="C729" s="2">
        <v>45771</v>
      </c>
      <c r="D729">
        <v>2406</v>
      </c>
      <c r="E729">
        <v>1014</v>
      </c>
      <c r="F729">
        <v>1</v>
      </c>
      <c r="G729">
        <v>215.34</v>
      </c>
      <c r="H729" s="2">
        <v>45773</v>
      </c>
      <c r="I729" s="2">
        <v>45776</v>
      </c>
      <c r="J729" t="s">
        <v>9</v>
      </c>
      <c r="K729" s="2" t="str">
        <f>IFERROR(INDEX(Product_lookup[Category],MATCH(RawWorking[[#This Row],[ProductID]],Product_lookup[ProductID],0)),"")</f>
        <v>Sports</v>
      </c>
      <c r="L729" s="9">
        <f>IF(OR(RawWorking[[#This Row],[ShipDate]]="",RawWorking[[#This Row],[DeliveryDate]]=""),"",RawWorking[[#This Row],[DeliveryDate]]-RawWorking[[#This Row],[ShipDate]])</f>
        <v>3</v>
      </c>
      <c r="M729" s="9">
        <f>IF(COUNTIF(INDEX(RawWorking[OrderID],1):RawWorking[[#This Row],[OrderID]],RawWorking[[#This Row],[OrderID]])=1,1,0)</f>
        <v>0</v>
      </c>
      <c r="N729" s="4">
        <f>IFERROR(RawWorking[[#This Row],[LineAmount]]/RawWorking[[#This Row],[Quantity]],"")</f>
        <v>215.34</v>
      </c>
    </row>
    <row r="730" spans="1:14">
      <c r="A730">
        <v>50729</v>
      </c>
      <c r="B730">
        <v>30408</v>
      </c>
      <c r="C730" s="2">
        <v>45771</v>
      </c>
      <c r="D730">
        <v>2406</v>
      </c>
      <c r="E730">
        <v>1003</v>
      </c>
      <c r="F730">
        <v>1</v>
      </c>
      <c r="G730">
        <v>224.37</v>
      </c>
      <c r="H730" s="2">
        <v>45773</v>
      </c>
      <c r="I730" s="2">
        <v>45783</v>
      </c>
      <c r="J730" t="s">
        <v>9</v>
      </c>
      <c r="K730" s="2" t="str">
        <f>IFERROR(INDEX(Product_lookup[Category],MATCH(RawWorking[[#This Row],[ProductID]],Product_lookup[ProductID],0)),"")</f>
        <v>Electronics</v>
      </c>
      <c r="L730" s="9">
        <f>IF(OR(RawWorking[[#This Row],[ShipDate]]="",RawWorking[[#This Row],[DeliveryDate]]=""),"",RawWorking[[#This Row],[DeliveryDate]]-RawWorking[[#This Row],[ShipDate]])</f>
        <v>10</v>
      </c>
      <c r="M730" s="9">
        <f>IF(COUNTIF(INDEX(RawWorking[OrderID],1):RawWorking[[#This Row],[OrderID]],RawWorking[[#This Row],[OrderID]])=1,1,0)</f>
        <v>0</v>
      </c>
      <c r="N730" s="4">
        <f>IFERROR(RawWorking[[#This Row],[LineAmount]]/RawWorking[[#This Row],[Quantity]],"")</f>
        <v>224.37</v>
      </c>
    </row>
    <row r="731" spans="1:14">
      <c r="A731">
        <v>50730</v>
      </c>
      <c r="B731">
        <v>30408</v>
      </c>
      <c r="C731" s="2">
        <v>45771</v>
      </c>
      <c r="D731">
        <v>2406</v>
      </c>
      <c r="E731">
        <v>1004</v>
      </c>
      <c r="F731">
        <v>2</v>
      </c>
      <c r="G731">
        <v>367.48</v>
      </c>
      <c r="H731" s="2">
        <v>45772</v>
      </c>
      <c r="I731" s="2">
        <v>45775</v>
      </c>
      <c r="J731" t="s">
        <v>9</v>
      </c>
      <c r="K731" s="2" t="str">
        <f>IFERROR(INDEX(Product_lookup[Category],MATCH(RawWorking[[#This Row],[ProductID]],Product_lookup[ProductID],0)),"")</f>
        <v>Electronics</v>
      </c>
      <c r="L731" s="9">
        <f>IF(OR(RawWorking[[#This Row],[ShipDate]]="",RawWorking[[#This Row],[DeliveryDate]]=""),"",RawWorking[[#This Row],[DeliveryDate]]-RawWorking[[#This Row],[ShipDate]])</f>
        <v>3</v>
      </c>
      <c r="M731" s="9">
        <f>IF(COUNTIF(INDEX(RawWorking[OrderID],1):RawWorking[[#This Row],[OrderID]],RawWorking[[#This Row],[OrderID]])=1,1,0)</f>
        <v>0</v>
      </c>
      <c r="N731" s="4">
        <f>IFERROR(RawWorking[[#This Row],[LineAmount]]/RawWorking[[#This Row],[Quantity]],"")</f>
        <v>183.74</v>
      </c>
    </row>
    <row r="732" spans="1:14">
      <c r="A732">
        <v>50731</v>
      </c>
      <c r="B732">
        <v>30409</v>
      </c>
      <c r="C732" s="2">
        <v>46003</v>
      </c>
      <c r="D732">
        <v>2002</v>
      </c>
      <c r="E732">
        <v>1003</v>
      </c>
      <c r="F732">
        <v>3</v>
      </c>
      <c r="G732">
        <v>673.11</v>
      </c>
      <c r="H732" s="2">
        <v>46006</v>
      </c>
      <c r="I732" s="2">
        <v>46014</v>
      </c>
      <c r="J732" t="s">
        <v>9</v>
      </c>
      <c r="K732" s="2" t="str">
        <f>IFERROR(INDEX(Product_lookup[Category],MATCH(RawWorking[[#This Row],[ProductID]],Product_lookup[ProductID],0)),"")</f>
        <v>Electronics</v>
      </c>
      <c r="L732" s="9">
        <f>IF(OR(RawWorking[[#This Row],[ShipDate]]="",RawWorking[[#This Row],[DeliveryDate]]=""),"",RawWorking[[#This Row],[DeliveryDate]]-RawWorking[[#This Row],[ShipDate]])</f>
        <v>8</v>
      </c>
      <c r="M732" s="9">
        <f>IF(COUNTIF(INDEX(RawWorking[OrderID],1):RawWorking[[#This Row],[OrderID]],RawWorking[[#This Row],[OrderID]])=1,1,0)</f>
        <v>1</v>
      </c>
      <c r="N732" s="4">
        <f>IFERROR(RawWorking[[#This Row],[LineAmount]]/RawWorking[[#This Row],[Quantity]],"")</f>
        <v>224.37</v>
      </c>
    </row>
    <row r="733" spans="1:14">
      <c r="A733">
        <v>50732</v>
      </c>
      <c r="B733">
        <v>30410</v>
      </c>
      <c r="C733" s="2">
        <v>45746</v>
      </c>
      <c r="D733">
        <v>2136</v>
      </c>
      <c r="E733">
        <v>1015</v>
      </c>
      <c r="F733">
        <v>4</v>
      </c>
      <c r="G733">
        <v>478.96</v>
      </c>
      <c r="H733" s="2">
        <v>45747</v>
      </c>
      <c r="I733" s="2">
        <v>45750</v>
      </c>
      <c r="J733" t="s">
        <v>9</v>
      </c>
      <c r="K733" s="2" t="str">
        <f>IFERROR(INDEX(Product_lookup[Category],MATCH(RawWorking[[#This Row],[ProductID]],Product_lookup[ProductID],0)),"")</f>
        <v>Sports</v>
      </c>
      <c r="L733" s="9">
        <f>IF(OR(RawWorking[[#This Row],[ShipDate]]="",RawWorking[[#This Row],[DeliveryDate]]=""),"",RawWorking[[#This Row],[DeliveryDate]]-RawWorking[[#This Row],[ShipDate]])</f>
        <v>3</v>
      </c>
      <c r="M733" s="9">
        <f>IF(COUNTIF(INDEX(RawWorking[OrderID],1):RawWorking[[#This Row],[OrderID]],RawWorking[[#This Row],[OrderID]])=1,1,0)</f>
        <v>1</v>
      </c>
      <c r="N733" s="4">
        <f>IFERROR(RawWorking[[#This Row],[LineAmount]]/RawWorking[[#This Row],[Quantity]],"")</f>
        <v>119.74</v>
      </c>
    </row>
    <row r="734" spans="1:14">
      <c r="A734">
        <v>50733</v>
      </c>
      <c r="B734">
        <v>30410</v>
      </c>
      <c r="C734" s="2">
        <v>45746</v>
      </c>
      <c r="D734">
        <v>2136</v>
      </c>
      <c r="E734">
        <v>1001</v>
      </c>
      <c r="F734">
        <v>2</v>
      </c>
      <c r="G734">
        <v>406.08</v>
      </c>
      <c r="H734" s="2">
        <v>45748</v>
      </c>
      <c r="I734" s="2">
        <v>45965</v>
      </c>
      <c r="J734" t="s">
        <v>9</v>
      </c>
      <c r="K734" s="2" t="str">
        <f>IFERROR(INDEX(Product_lookup[Category],MATCH(RawWorking[[#This Row],[ProductID]],Product_lookup[ProductID],0)),"")</f>
        <v>Electronics</v>
      </c>
      <c r="L734" s="9">
        <f>IF(OR(RawWorking[[#This Row],[ShipDate]]="",RawWorking[[#This Row],[DeliveryDate]]=""),"",RawWorking[[#This Row],[DeliveryDate]]-RawWorking[[#This Row],[ShipDate]])</f>
        <v>217</v>
      </c>
      <c r="M734" s="9">
        <f>IF(COUNTIF(INDEX(RawWorking[OrderID],1):RawWorking[[#This Row],[OrderID]],RawWorking[[#This Row],[OrderID]])=1,1,0)</f>
        <v>0</v>
      </c>
      <c r="N734" s="4">
        <f>IFERROR(RawWorking[[#This Row],[LineAmount]]/RawWorking[[#This Row],[Quantity]],"")</f>
        <v>203.04</v>
      </c>
    </row>
    <row r="735" spans="1:14">
      <c r="A735">
        <v>50734</v>
      </c>
      <c r="B735">
        <v>30411</v>
      </c>
      <c r="C735" s="2">
        <v>45855</v>
      </c>
      <c r="D735">
        <v>2009</v>
      </c>
      <c r="E735">
        <v>1004</v>
      </c>
      <c r="F735">
        <v>2</v>
      </c>
      <c r="G735">
        <v>367.48</v>
      </c>
      <c r="H735" s="2">
        <v>45856</v>
      </c>
      <c r="I735" s="2">
        <v>45865</v>
      </c>
      <c r="J735" t="s">
        <v>9</v>
      </c>
      <c r="K735" s="2" t="str">
        <f>IFERROR(INDEX(Product_lookup[Category],MATCH(RawWorking[[#This Row],[ProductID]],Product_lookup[ProductID],0)),"")</f>
        <v>Electronics</v>
      </c>
      <c r="L735" s="9">
        <f>IF(OR(RawWorking[[#This Row],[ShipDate]]="",RawWorking[[#This Row],[DeliveryDate]]=""),"",RawWorking[[#This Row],[DeliveryDate]]-RawWorking[[#This Row],[ShipDate]])</f>
        <v>9</v>
      </c>
      <c r="M735" s="9">
        <f>IF(COUNTIF(INDEX(RawWorking[OrderID],1):RawWorking[[#This Row],[OrderID]],RawWorking[[#This Row],[OrderID]])=1,1,0)</f>
        <v>1</v>
      </c>
      <c r="N735" s="4">
        <f>IFERROR(RawWorking[[#This Row],[LineAmount]]/RawWorking[[#This Row],[Quantity]],"")</f>
        <v>183.74</v>
      </c>
    </row>
    <row r="736" spans="1:14">
      <c r="A736">
        <v>50735</v>
      </c>
      <c r="B736">
        <v>30412</v>
      </c>
      <c r="C736" s="2">
        <v>45782</v>
      </c>
      <c r="D736">
        <v>2433</v>
      </c>
      <c r="E736">
        <v>1016</v>
      </c>
      <c r="F736">
        <v>1</v>
      </c>
      <c r="G736">
        <v>65.260000000000005</v>
      </c>
      <c r="H736" s="2">
        <v>45785</v>
      </c>
      <c r="I736" s="2">
        <v>45793</v>
      </c>
      <c r="J736" t="s">
        <v>9</v>
      </c>
      <c r="K736" s="2" t="str">
        <f>IFERROR(INDEX(Product_lookup[Category],MATCH(RawWorking[[#This Row],[ProductID]],Product_lookup[ProductID],0)),"")</f>
        <v>Sports</v>
      </c>
      <c r="L736" s="9">
        <f>IF(OR(RawWorking[[#This Row],[ShipDate]]="",RawWorking[[#This Row],[DeliveryDate]]=""),"",RawWorking[[#This Row],[DeliveryDate]]-RawWorking[[#This Row],[ShipDate]])</f>
        <v>8</v>
      </c>
      <c r="M736" s="9">
        <f>IF(COUNTIF(INDEX(RawWorking[OrderID],1):RawWorking[[#This Row],[OrderID]],RawWorking[[#This Row],[OrderID]])=1,1,0)</f>
        <v>1</v>
      </c>
      <c r="N736" s="4">
        <f>IFERROR(RawWorking[[#This Row],[LineAmount]]/RawWorking[[#This Row],[Quantity]],"")</f>
        <v>65.260000000000005</v>
      </c>
    </row>
    <row r="737" spans="1:14">
      <c r="A737">
        <v>50736</v>
      </c>
      <c r="B737">
        <v>30413</v>
      </c>
      <c r="C737" s="2">
        <v>45709</v>
      </c>
      <c r="D737">
        <v>2073</v>
      </c>
      <c r="E737">
        <v>1003</v>
      </c>
      <c r="F737">
        <v>3</v>
      </c>
      <c r="G737">
        <v>673.11</v>
      </c>
      <c r="H737" s="2">
        <v>45710</v>
      </c>
      <c r="I737" s="2">
        <v>45718</v>
      </c>
      <c r="J737" t="s">
        <v>9</v>
      </c>
      <c r="K737" s="2" t="str">
        <f>IFERROR(INDEX(Product_lookup[Category],MATCH(RawWorking[[#This Row],[ProductID]],Product_lookup[ProductID],0)),"")</f>
        <v>Electronics</v>
      </c>
      <c r="L737" s="9">
        <f>IF(OR(RawWorking[[#This Row],[ShipDate]]="",RawWorking[[#This Row],[DeliveryDate]]=""),"",RawWorking[[#This Row],[DeliveryDate]]-RawWorking[[#This Row],[ShipDate]])</f>
        <v>8</v>
      </c>
      <c r="M737" s="9">
        <f>IF(COUNTIF(INDEX(RawWorking[OrderID],1):RawWorking[[#This Row],[OrderID]],RawWorking[[#This Row],[OrderID]])=1,1,0)</f>
        <v>1</v>
      </c>
      <c r="N737" s="4">
        <f>IFERROR(RawWorking[[#This Row],[LineAmount]]/RawWorking[[#This Row],[Quantity]],"")</f>
        <v>224.37</v>
      </c>
    </row>
    <row r="738" spans="1:14">
      <c r="A738">
        <v>50737</v>
      </c>
      <c r="B738">
        <v>30414</v>
      </c>
      <c r="C738" s="2">
        <v>45847</v>
      </c>
      <c r="D738">
        <v>2105</v>
      </c>
      <c r="E738">
        <v>1012</v>
      </c>
      <c r="F738">
        <v>1</v>
      </c>
      <c r="G738">
        <v>241.54</v>
      </c>
      <c r="H738" s="2">
        <v>45850</v>
      </c>
      <c r="I738" s="2">
        <v>45860</v>
      </c>
      <c r="J738" t="s">
        <v>9</v>
      </c>
      <c r="K738" s="2" t="str">
        <f>IFERROR(INDEX(Product_lookup[Category],MATCH(RawWorking[[#This Row],[ProductID]],Product_lookup[ProductID],0)),"")</f>
        <v>Office</v>
      </c>
      <c r="L738" s="9">
        <f>IF(OR(RawWorking[[#This Row],[ShipDate]]="",RawWorking[[#This Row],[DeliveryDate]]=""),"",RawWorking[[#This Row],[DeliveryDate]]-RawWorking[[#This Row],[ShipDate]])</f>
        <v>10</v>
      </c>
      <c r="M738" s="9">
        <f>IF(COUNTIF(INDEX(RawWorking[OrderID],1):RawWorking[[#This Row],[OrderID]],RawWorking[[#This Row],[OrderID]])=1,1,0)</f>
        <v>1</v>
      </c>
      <c r="N738" s="4">
        <f>IFERROR(RawWorking[[#This Row],[LineAmount]]/RawWorking[[#This Row],[Quantity]],"")</f>
        <v>241.54</v>
      </c>
    </row>
    <row r="739" spans="1:14">
      <c r="A739">
        <v>50738</v>
      </c>
      <c r="B739">
        <v>30414</v>
      </c>
      <c r="C739" s="2">
        <v>45847</v>
      </c>
      <c r="D739">
        <v>2105</v>
      </c>
      <c r="E739">
        <v>1010</v>
      </c>
      <c r="F739">
        <v>2</v>
      </c>
      <c r="G739">
        <v>243</v>
      </c>
      <c r="H739" s="2">
        <v>45848</v>
      </c>
      <c r="I739" s="2">
        <v>45850</v>
      </c>
      <c r="J739" t="s">
        <v>9</v>
      </c>
      <c r="K739" s="2" t="str">
        <f>IFERROR(INDEX(Product_lookup[Category],MATCH(RawWorking[[#This Row],[ProductID]],Product_lookup[ProductID],0)),"")</f>
        <v>Office</v>
      </c>
      <c r="L739" s="9">
        <f>IF(OR(RawWorking[[#This Row],[ShipDate]]="",RawWorking[[#This Row],[DeliveryDate]]=""),"",RawWorking[[#This Row],[DeliveryDate]]-RawWorking[[#This Row],[ShipDate]])</f>
        <v>2</v>
      </c>
      <c r="M739" s="9">
        <f>IF(COUNTIF(INDEX(RawWorking[OrderID],1):RawWorking[[#This Row],[OrderID]],RawWorking[[#This Row],[OrderID]])=1,1,0)</f>
        <v>0</v>
      </c>
      <c r="N739" s="4">
        <f>IFERROR(RawWorking[[#This Row],[LineAmount]]/RawWorking[[#This Row],[Quantity]],"")</f>
        <v>121.5</v>
      </c>
    </row>
    <row r="740" spans="1:14">
      <c r="A740">
        <v>50739</v>
      </c>
      <c r="B740">
        <v>30414</v>
      </c>
      <c r="C740" s="2">
        <v>45847</v>
      </c>
      <c r="D740">
        <v>2105</v>
      </c>
      <c r="E740">
        <v>1005</v>
      </c>
      <c r="F740">
        <v>3</v>
      </c>
      <c r="G740">
        <v>95.19</v>
      </c>
      <c r="H740" s="2">
        <v>45850</v>
      </c>
      <c r="I740" s="2">
        <v>45855</v>
      </c>
      <c r="J740" t="s">
        <v>9</v>
      </c>
      <c r="K740" s="2" t="str">
        <f>IFERROR(INDEX(Product_lookup[Category],MATCH(RawWorking[[#This Row],[ProductID]],Product_lookup[ProductID],0)),"")</f>
        <v>Electronics</v>
      </c>
      <c r="L740" s="9">
        <f>IF(OR(RawWorking[[#This Row],[ShipDate]]="",RawWorking[[#This Row],[DeliveryDate]]=""),"",RawWorking[[#This Row],[DeliveryDate]]-RawWorking[[#This Row],[ShipDate]])</f>
        <v>5</v>
      </c>
      <c r="M740" s="9">
        <f>IF(COUNTIF(INDEX(RawWorking[OrderID],1):RawWorking[[#This Row],[OrderID]],RawWorking[[#This Row],[OrderID]])=1,1,0)</f>
        <v>0</v>
      </c>
      <c r="N740" s="4">
        <f>IFERROR(RawWorking[[#This Row],[LineAmount]]/RawWorking[[#This Row],[Quantity]],"")</f>
        <v>31.73</v>
      </c>
    </row>
    <row r="741" spans="1:14">
      <c r="A741">
        <v>50740</v>
      </c>
      <c r="B741">
        <v>30415</v>
      </c>
      <c r="C741" s="2">
        <v>45761</v>
      </c>
      <c r="D741">
        <v>2392</v>
      </c>
      <c r="E741">
        <v>1005</v>
      </c>
      <c r="F741">
        <v>2</v>
      </c>
      <c r="G741">
        <v>63.46</v>
      </c>
      <c r="H741" s="2" t="s">
        <v>1421</v>
      </c>
      <c r="I741" s="2" t="s">
        <v>1421</v>
      </c>
      <c r="J741" t="s">
        <v>16</v>
      </c>
      <c r="K741" s="2" t="str">
        <f>IFERROR(INDEX(Product_lookup[Category],MATCH(RawWorking[[#This Row],[ProductID]],Product_lookup[ProductID],0)),"")</f>
        <v>Electronics</v>
      </c>
      <c r="L741" s="9" t="str">
        <f>IF(OR(RawWorking[[#This Row],[ShipDate]]="",RawWorking[[#This Row],[DeliveryDate]]=""),"",RawWorking[[#This Row],[DeliveryDate]]-RawWorking[[#This Row],[ShipDate]])</f>
        <v/>
      </c>
      <c r="M741" s="9">
        <f>IF(COUNTIF(INDEX(RawWorking[OrderID],1):RawWorking[[#This Row],[OrderID]],RawWorking[[#This Row],[OrderID]])=1,1,0)</f>
        <v>1</v>
      </c>
      <c r="N741" s="4">
        <f>IFERROR(RawWorking[[#This Row],[LineAmount]]/RawWorking[[#This Row],[Quantity]],"")</f>
        <v>31.73</v>
      </c>
    </row>
    <row r="742" spans="1:14">
      <c r="A742">
        <v>50741</v>
      </c>
      <c r="B742">
        <v>30416</v>
      </c>
      <c r="C742" s="2">
        <v>45709</v>
      </c>
      <c r="D742">
        <v>2147</v>
      </c>
      <c r="E742">
        <v>1001</v>
      </c>
      <c r="F742">
        <v>1</v>
      </c>
      <c r="G742">
        <v>203.04</v>
      </c>
      <c r="H742" s="2">
        <v>45711</v>
      </c>
      <c r="I742" s="2">
        <v>45713</v>
      </c>
      <c r="J742" t="s">
        <v>9</v>
      </c>
      <c r="K742" s="2" t="str">
        <f>IFERROR(INDEX(Product_lookup[Category],MATCH(RawWorking[[#This Row],[ProductID]],Product_lookup[ProductID],0)),"")</f>
        <v>Electronics</v>
      </c>
      <c r="L742" s="9">
        <f>IF(OR(RawWorking[[#This Row],[ShipDate]]="",RawWorking[[#This Row],[DeliveryDate]]=""),"",RawWorking[[#This Row],[DeliveryDate]]-RawWorking[[#This Row],[ShipDate]])</f>
        <v>2</v>
      </c>
      <c r="M742" s="9">
        <f>IF(COUNTIF(INDEX(RawWorking[OrderID],1):RawWorking[[#This Row],[OrderID]],RawWorking[[#This Row],[OrderID]])=1,1,0)</f>
        <v>1</v>
      </c>
      <c r="N742" s="4">
        <f>IFERROR(RawWorking[[#This Row],[LineAmount]]/RawWorking[[#This Row],[Quantity]],"")</f>
        <v>203.04</v>
      </c>
    </row>
    <row r="743" spans="1:14">
      <c r="A743">
        <v>50742</v>
      </c>
      <c r="B743">
        <v>30417</v>
      </c>
      <c r="C743" s="2">
        <v>45734</v>
      </c>
      <c r="D743">
        <v>2169</v>
      </c>
      <c r="E743">
        <v>1007</v>
      </c>
      <c r="F743">
        <v>1</v>
      </c>
      <c r="G743">
        <v>199.81</v>
      </c>
      <c r="H743" s="2">
        <v>45736</v>
      </c>
      <c r="I743" s="2">
        <v>45739</v>
      </c>
      <c r="J743" t="s">
        <v>9</v>
      </c>
      <c r="K743" s="2" t="str">
        <f>IFERROR(INDEX(Product_lookup[Category],MATCH(RawWorking[[#This Row],[ProductID]],Product_lookup[ProductID],0)),"")</f>
        <v>Home</v>
      </c>
      <c r="L743" s="9">
        <f>IF(OR(RawWorking[[#This Row],[ShipDate]]="",RawWorking[[#This Row],[DeliveryDate]]=""),"",RawWorking[[#This Row],[DeliveryDate]]-RawWorking[[#This Row],[ShipDate]])</f>
        <v>3</v>
      </c>
      <c r="M743" s="9">
        <f>IF(COUNTIF(INDEX(RawWorking[OrderID],1):RawWorking[[#This Row],[OrderID]],RawWorking[[#This Row],[OrderID]])=1,1,0)</f>
        <v>1</v>
      </c>
      <c r="N743" s="4">
        <f>IFERROR(RawWorking[[#This Row],[LineAmount]]/RawWorking[[#This Row],[Quantity]],"")</f>
        <v>199.81</v>
      </c>
    </row>
    <row r="744" spans="1:14">
      <c r="A744">
        <v>50743</v>
      </c>
      <c r="B744">
        <v>30418</v>
      </c>
      <c r="C744" s="2">
        <v>45760</v>
      </c>
      <c r="D744">
        <v>2156</v>
      </c>
      <c r="E744">
        <v>1015</v>
      </c>
      <c r="F744">
        <v>2</v>
      </c>
      <c r="G744">
        <v>239.48</v>
      </c>
      <c r="H744" s="2" t="s">
        <v>1421</v>
      </c>
      <c r="I744" s="2" t="s">
        <v>1421</v>
      </c>
      <c r="J744" t="s">
        <v>12</v>
      </c>
      <c r="K744" s="2" t="str">
        <f>IFERROR(INDEX(Product_lookup[Category],MATCH(RawWorking[[#This Row],[ProductID]],Product_lookup[ProductID],0)),"")</f>
        <v>Sports</v>
      </c>
      <c r="L744" s="9" t="str">
        <f>IF(OR(RawWorking[[#This Row],[ShipDate]]="",RawWorking[[#This Row],[DeliveryDate]]=""),"",RawWorking[[#This Row],[DeliveryDate]]-RawWorking[[#This Row],[ShipDate]])</f>
        <v/>
      </c>
      <c r="M744" s="9">
        <f>IF(COUNTIF(INDEX(RawWorking[OrderID],1):RawWorking[[#This Row],[OrderID]],RawWorking[[#This Row],[OrderID]])=1,1,0)</f>
        <v>1</v>
      </c>
      <c r="N744" s="4">
        <f>IFERROR(RawWorking[[#This Row],[LineAmount]]/RawWorking[[#This Row],[Quantity]],"")</f>
        <v>119.74</v>
      </c>
    </row>
    <row r="745" spans="1:14">
      <c r="A745">
        <v>50744</v>
      </c>
      <c r="B745">
        <v>30419</v>
      </c>
      <c r="C745" s="2">
        <v>45769</v>
      </c>
      <c r="D745">
        <v>2223</v>
      </c>
      <c r="E745">
        <v>1004</v>
      </c>
      <c r="F745">
        <v>1</v>
      </c>
      <c r="G745">
        <v>183.74</v>
      </c>
      <c r="H745" s="2">
        <v>45771</v>
      </c>
      <c r="I745" s="2">
        <v>45776</v>
      </c>
      <c r="J745" t="s">
        <v>9</v>
      </c>
      <c r="K745" s="2" t="str">
        <f>IFERROR(INDEX(Product_lookup[Category],MATCH(RawWorking[[#This Row],[ProductID]],Product_lookup[ProductID],0)),"")</f>
        <v>Electronics</v>
      </c>
      <c r="L745" s="9">
        <f>IF(OR(RawWorking[[#This Row],[ShipDate]]="",RawWorking[[#This Row],[DeliveryDate]]=""),"",RawWorking[[#This Row],[DeliveryDate]]-RawWorking[[#This Row],[ShipDate]])</f>
        <v>5</v>
      </c>
      <c r="M745" s="9">
        <f>IF(COUNTIF(INDEX(RawWorking[OrderID],1):RawWorking[[#This Row],[OrderID]],RawWorking[[#This Row],[OrderID]])=1,1,0)</f>
        <v>1</v>
      </c>
      <c r="N745" s="4">
        <f>IFERROR(RawWorking[[#This Row],[LineAmount]]/RawWorking[[#This Row],[Quantity]],"")</f>
        <v>183.74</v>
      </c>
    </row>
    <row r="746" spans="1:14">
      <c r="A746">
        <v>50745</v>
      </c>
      <c r="B746">
        <v>30419</v>
      </c>
      <c r="C746" s="2">
        <v>45769</v>
      </c>
      <c r="D746">
        <v>2223</v>
      </c>
      <c r="E746">
        <v>1005</v>
      </c>
      <c r="F746">
        <v>1</v>
      </c>
      <c r="G746">
        <v>31.73</v>
      </c>
      <c r="H746" s="2">
        <v>45770</v>
      </c>
      <c r="I746" s="2">
        <v>45774</v>
      </c>
      <c r="J746" t="s">
        <v>9</v>
      </c>
      <c r="K746" s="2" t="str">
        <f>IFERROR(INDEX(Product_lookup[Category],MATCH(RawWorking[[#This Row],[ProductID]],Product_lookup[ProductID],0)),"")</f>
        <v>Electronics</v>
      </c>
      <c r="L746" s="9">
        <f>IF(OR(RawWorking[[#This Row],[ShipDate]]="",RawWorking[[#This Row],[DeliveryDate]]=""),"",RawWorking[[#This Row],[DeliveryDate]]-RawWorking[[#This Row],[ShipDate]])</f>
        <v>4</v>
      </c>
      <c r="M746" s="9">
        <f>IF(COUNTIF(INDEX(RawWorking[OrderID],1):RawWorking[[#This Row],[OrderID]],RawWorking[[#This Row],[OrderID]])=1,1,0)</f>
        <v>0</v>
      </c>
      <c r="N746" s="4">
        <f>IFERROR(RawWorking[[#This Row],[LineAmount]]/RawWorking[[#This Row],[Quantity]],"")</f>
        <v>31.73</v>
      </c>
    </row>
    <row r="747" spans="1:14">
      <c r="A747">
        <v>50746</v>
      </c>
      <c r="B747">
        <v>30420</v>
      </c>
      <c r="C747" s="2">
        <v>45824</v>
      </c>
      <c r="D747">
        <v>2127</v>
      </c>
      <c r="E747">
        <v>1013</v>
      </c>
      <c r="F747">
        <v>3</v>
      </c>
      <c r="G747">
        <v>510.75</v>
      </c>
      <c r="H747" s="2">
        <v>45825</v>
      </c>
      <c r="I747" s="2">
        <v>45829</v>
      </c>
      <c r="J747" t="s">
        <v>9</v>
      </c>
      <c r="K747" s="2" t="str">
        <f>IFERROR(INDEX(Product_lookup[Category],MATCH(RawWorking[[#This Row],[ProductID]],Product_lookup[ProductID],0)),"")</f>
        <v>Office</v>
      </c>
      <c r="L747" s="9">
        <f>IF(OR(RawWorking[[#This Row],[ShipDate]]="",RawWorking[[#This Row],[DeliveryDate]]=""),"",RawWorking[[#This Row],[DeliveryDate]]-RawWorking[[#This Row],[ShipDate]])</f>
        <v>4</v>
      </c>
      <c r="M747" s="9">
        <f>IF(COUNTIF(INDEX(RawWorking[OrderID],1):RawWorking[[#This Row],[OrderID]],RawWorking[[#This Row],[OrderID]])=1,1,0)</f>
        <v>1</v>
      </c>
      <c r="N747" s="4">
        <f>IFERROR(RawWorking[[#This Row],[LineAmount]]/RawWorking[[#This Row],[Quantity]],"")</f>
        <v>170.25</v>
      </c>
    </row>
    <row r="748" spans="1:14">
      <c r="A748">
        <v>50747</v>
      </c>
      <c r="B748">
        <v>30421</v>
      </c>
      <c r="C748" s="2">
        <v>45967</v>
      </c>
      <c r="D748">
        <v>2360</v>
      </c>
      <c r="E748">
        <v>1011</v>
      </c>
      <c r="F748">
        <v>1</v>
      </c>
      <c r="G748">
        <v>101.44</v>
      </c>
      <c r="H748" s="2">
        <v>45969</v>
      </c>
      <c r="I748" s="2">
        <v>45976</v>
      </c>
      <c r="J748" t="s">
        <v>11</v>
      </c>
      <c r="K748" s="2" t="str">
        <f>IFERROR(INDEX(Product_lookup[Category],MATCH(RawWorking[[#This Row],[ProductID]],Product_lookup[ProductID],0)),"")</f>
        <v>Office</v>
      </c>
      <c r="L748" s="9">
        <f>IF(OR(RawWorking[[#This Row],[ShipDate]]="",RawWorking[[#This Row],[DeliveryDate]]=""),"",RawWorking[[#This Row],[DeliveryDate]]-RawWorking[[#This Row],[ShipDate]])</f>
        <v>7</v>
      </c>
      <c r="M748" s="9">
        <f>IF(COUNTIF(INDEX(RawWorking[OrderID],1):RawWorking[[#This Row],[OrderID]],RawWorking[[#This Row],[OrderID]])=1,1,0)</f>
        <v>1</v>
      </c>
      <c r="N748" s="4">
        <f>IFERROR(RawWorking[[#This Row],[LineAmount]]/RawWorking[[#This Row],[Quantity]],"")</f>
        <v>101.44</v>
      </c>
    </row>
    <row r="749" spans="1:14">
      <c r="A749">
        <v>50748</v>
      </c>
      <c r="B749">
        <v>30421</v>
      </c>
      <c r="C749" s="2">
        <v>45819</v>
      </c>
      <c r="D749">
        <v>2360</v>
      </c>
      <c r="E749">
        <v>1005</v>
      </c>
      <c r="F749">
        <v>1</v>
      </c>
      <c r="G749">
        <v>31.73</v>
      </c>
      <c r="H749" s="2">
        <v>45880</v>
      </c>
      <c r="I749" s="2">
        <v>45978</v>
      </c>
      <c r="J749" t="s">
        <v>11</v>
      </c>
      <c r="K749" s="2" t="str">
        <f>IFERROR(INDEX(Product_lookup[Category],MATCH(RawWorking[[#This Row],[ProductID]],Product_lookup[ProductID],0)),"")</f>
        <v>Electronics</v>
      </c>
      <c r="L749" s="9">
        <f>IF(OR(RawWorking[[#This Row],[ShipDate]]="",RawWorking[[#This Row],[DeliveryDate]]=""),"",RawWorking[[#This Row],[DeliveryDate]]-RawWorking[[#This Row],[ShipDate]])</f>
        <v>98</v>
      </c>
      <c r="M749" s="9">
        <f>IF(COUNTIF(INDEX(RawWorking[OrderID],1):RawWorking[[#This Row],[OrderID]],RawWorking[[#This Row],[OrderID]])=1,1,0)</f>
        <v>0</v>
      </c>
      <c r="N749" s="4">
        <f>IFERROR(RawWorking[[#This Row],[LineAmount]]/RawWorking[[#This Row],[Quantity]],"")</f>
        <v>31.73</v>
      </c>
    </row>
    <row r="750" spans="1:14">
      <c r="A750">
        <v>50749</v>
      </c>
      <c r="B750">
        <v>30422</v>
      </c>
      <c r="C750" s="2">
        <v>45811</v>
      </c>
      <c r="D750">
        <v>2254</v>
      </c>
      <c r="E750">
        <v>1003</v>
      </c>
      <c r="F750">
        <v>2</v>
      </c>
      <c r="G750">
        <v>448.74</v>
      </c>
      <c r="H750" s="2">
        <v>45814</v>
      </c>
      <c r="I750" s="2">
        <v>45824</v>
      </c>
      <c r="J750" t="s">
        <v>9</v>
      </c>
      <c r="K750" s="2" t="str">
        <f>IFERROR(INDEX(Product_lookup[Category],MATCH(RawWorking[[#This Row],[ProductID]],Product_lookup[ProductID],0)),"")</f>
        <v>Electronics</v>
      </c>
      <c r="L750" s="9">
        <f>IF(OR(RawWorking[[#This Row],[ShipDate]]="",RawWorking[[#This Row],[DeliveryDate]]=""),"",RawWorking[[#This Row],[DeliveryDate]]-RawWorking[[#This Row],[ShipDate]])</f>
        <v>10</v>
      </c>
      <c r="M750" s="9">
        <f>IF(COUNTIF(INDEX(RawWorking[OrderID],1):RawWorking[[#This Row],[OrderID]],RawWorking[[#This Row],[OrderID]])=1,1,0)</f>
        <v>1</v>
      </c>
      <c r="N750" s="4">
        <f>IFERROR(RawWorking[[#This Row],[LineAmount]]/RawWorking[[#This Row],[Quantity]],"")</f>
        <v>224.37</v>
      </c>
    </row>
    <row r="751" spans="1:14">
      <c r="A751">
        <v>50750</v>
      </c>
      <c r="B751">
        <v>30423</v>
      </c>
      <c r="C751" s="2">
        <v>45776</v>
      </c>
      <c r="D751">
        <v>2255</v>
      </c>
      <c r="E751">
        <v>1010</v>
      </c>
      <c r="F751">
        <v>2</v>
      </c>
      <c r="G751">
        <v>243</v>
      </c>
      <c r="H751" s="2">
        <v>45777</v>
      </c>
      <c r="I751" s="2">
        <v>45935</v>
      </c>
      <c r="J751" t="s">
        <v>9</v>
      </c>
      <c r="K751" s="2" t="str">
        <f>IFERROR(INDEX(Product_lookup[Category],MATCH(RawWorking[[#This Row],[ProductID]],Product_lookup[ProductID],0)),"")</f>
        <v>Office</v>
      </c>
      <c r="L751" s="9">
        <f>IF(OR(RawWorking[[#This Row],[ShipDate]]="",RawWorking[[#This Row],[DeliveryDate]]=""),"",RawWorking[[#This Row],[DeliveryDate]]-RawWorking[[#This Row],[ShipDate]])</f>
        <v>158</v>
      </c>
      <c r="M751" s="9">
        <f>IF(COUNTIF(INDEX(RawWorking[OrderID],1):RawWorking[[#This Row],[OrderID]],RawWorking[[#This Row],[OrderID]])=1,1,0)</f>
        <v>1</v>
      </c>
      <c r="N751" s="4">
        <f>IFERROR(RawWorking[[#This Row],[LineAmount]]/RawWorking[[#This Row],[Quantity]],"")</f>
        <v>121.5</v>
      </c>
    </row>
    <row r="752" spans="1:14">
      <c r="A752">
        <v>50751</v>
      </c>
      <c r="B752">
        <v>30423</v>
      </c>
      <c r="C752" s="2">
        <v>45776</v>
      </c>
      <c r="D752">
        <v>2255</v>
      </c>
      <c r="E752">
        <v>1001</v>
      </c>
      <c r="F752">
        <v>2</v>
      </c>
      <c r="G752">
        <v>406.08</v>
      </c>
      <c r="H752" s="2">
        <v>45777</v>
      </c>
      <c r="I752" s="2">
        <v>45783</v>
      </c>
      <c r="J752" t="s">
        <v>9</v>
      </c>
      <c r="K752" s="2" t="str">
        <f>IFERROR(INDEX(Product_lookup[Category],MATCH(RawWorking[[#This Row],[ProductID]],Product_lookup[ProductID],0)),"")</f>
        <v>Electronics</v>
      </c>
      <c r="L752" s="9">
        <f>IF(OR(RawWorking[[#This Row],[ShipDate]]="",RawWorking[[#This Row],[DeliveryDate]]=""),"",RawWorking[[#This Row],[DeliveryDate]]-RawWorking[[#This Row],[ShipDate]])</f>
        <v>6</v>
      </c>
      <c r="M752" s="9">
        <f>IF(COUNTIF(INDEX(RawWorking[OrderID],1):RawWorking[[#This Row],[OrderID]],RawWorking[[#This Row],[OrderID]])=1,1,0)</f>
        <v>0</v>
      </c>
      <c r="N752" s="4">
        <f>IFERROR(RawWorking[[#This Row],[LineAmount]]/RawWorking[[#This Row],[Quantity]],"")</f>
        <v>203.04</v>
      </c>
    </row>
    <row r="753" spans="1:14">
      <c r="A753">
        <v>50752</v>
      </c>
      <c r="B753">
        <v>30424</v>
      </c>
      <c r="C753" s="2">
        <v>45888</v>
      </c>
      <c r="D753">
        <v>2309</v>
      </c>
      <c r="E753">
        <v>1007</v>
      </c>
      <c r="F753">
        <v>5</v>
      </c>
      <c r="G753">
        <v>999.05</v>
      </c>
      <c r="H753" s="2">
        <v>45891</v>
      </c>
      <c r="I753" s="2">
        <v>45892</v>
      </c>
      <c r="J753" t="s">
        <v>9</v>
      </c>
      <c r="K753" s="2" t="str">
        <f>IFERROR(INDEX(Product_lookup[Category],MATCH(RawWorking[[#This Row],[ProductID]],Product_lookup[ProductID],0)),"")</f>
        <v>Home</v>
      </c>
      <c r="L753" s="9">
        <f>IF(OR(RawWorking[[#This Row],[ShipDate]]="",RawWorking[[#This Row],[DeliveryDate]]=""),"",RawWorking[[#This Row],[DeliveryDate]]-RawWorking[[#This Row],[ShipDate]])</f>
        <v>1</v>
      </c>
      <c r="M753" s="9">
        <f>IF(COUNTIF(INDEX(RawWorking[OrderID],1):RawWorking[[#This Row],[OrderID]],RawWorking[[#This Row],[OrderID]])=1,1,0)</f>
        <v>1</v>
      </c>
      <c r="N753" s="4">
        <f>IFERROR(RawWorking[[#This Row],[LineAmount]]/RawWorking[[#This Row],[Quantity]],"")</f>
        <v>199.81</v>
      </c>
    </row>
    <row r="754" spans="1:14">
      <c r="A754">
        <v>50753</v>
      </c>
      <c r="B754">
        <v>30424</v>
      </c>
      <c r="C754" s="2">
        <v>45888</v>
      </c>
      <c r="D754">
        <v>2309</v>
      </c>
      <c r="E754">
        <v>1013</v>
      </c>
      <c r="F754">
        <v>1</v>
      </c>
      <c r="G754">
        <v>170.25</v>
      </c>
      <c r="H754" s="2">
        <v>45891</v>
      </c>
      <c r="I754" s="2">
        <v>45897</v>
      </c>
      <c r="J754" t="s">
        <v>9</v>
      </c>
      <c r="K754" s="2" t="str">
        <f>IFERROR(INDEX(Product_lookup[Category],MATCH(RawWorking[[#This Row],[ProductID]],Product_lookup[ProductID],0)),"")</f>
        <v>Office</v>
      </c>
      <c r="L754" s="9">
        <f>IF(OR(RawWorking[[#This Row],[ShipDate]]="",RawWorking[[#This Row],[DeliveryDate]]=""),"",RawWorking[[#This Row],[DeliveryDate]]-RawWorking[[#This Row],[ShipDate]])</f>
        <v>6</v>
      </c>
      <c r="M754" s="9">
        <f>IF(COUNTIF(INDEX(RawWorking[OrderID],1):RawWorking[[#This Row],[OrderID]],RawWorking[[#This Row],[OrderID]])=1,1,0)</f>
        <v>0</v>
      </c>
      <c r="N754" s="4">
        <f>IFERROR(RawWorking[[#This Row],[LineAmount]]/RawWorking[[#This Row],[Quantity]],"")</f>
        <v>170.25</v>
      </c>
    </row>
    <row r="755" spans="1:14">
      <c r="A755">
        <v>50754</v>
      </c>
      <c r="B755">
        <v>30424</v>
      </c>
      <c r="C755" s="2">
        <v>45888</v>
      </c>
      <c r="D755">
        <v>2309</v>
      </c>
      <c r="E755">
        <v>1010</v>
      </c>
      <c r="F755">
        <v>1</v>
      </c>
      <c r="G755">
        <v>121.5</v>
      </c>
      <c r="H755" s="2">
        <v>45891</v>
      </c>
      <c r="I755" s="2">
        <v>45895</v>
      </c>
      <c r="J755" t="s">
        <v>9</v>
      </c>
      <c r="K755" s="2" t="str">
        <f>IFERROR(INDEX(Product_lookup[Category],MATCH(RawWorking[[#This Row],[ProductID]],Product_lookup[ProductID],0)),"")</f>
        <v>Office</v>
      </c>
      <c r="L755" s="9">
        <f>IF(OR(RawWorking[[#This Row],[ShipDate]]="",RawWorking[[#This Row],[DeliveryDate]]=""),"",RawWorking[[#This Row],[DeliveryDate]]-RawWorking[[#This Row],[ShipDate]])</f>
        <v>4</v>
      </c>
      <c r="M755" s="9">
        <f>IF(COUNTIF(INDEX(RawWorking[OrderID],1):RawWorking[[#This Row],[OrderID]],RawWorking[[#This Row],[OrderID]])=1,1,0)</f>
        <v>0</v>
      </c>
      <c r="N755" s="4">
        <f>IFERROR(RawWorking[[#This Row],[LineAmount]]/RawWorking[[#This Row],[Quantity]],"")</f>
        <v>121.5</v>
      </c>
    </row>
    <row r="756" spans="1:14">
      <c r="A756">
        <v>50755</v>
      </c>
      <c r="B756">
        <v>30425</v>
      </c>
      <c r="C756" s="2">
        <v>45718</v>
      </c>
      <c r="D756">
        <v>2056</v>
      </c>
      <c r="E756">
        <v>1008</v>
      </c>
      <c r="F756">
        <v>1</v>
      </c>
      <c r="G756">
        <v>206.09</v>
      </c>
      <c r="H756" s="2" t="s">
        <v>1421</v>
      </c>
      <c r="I756" s="2" t="s">
        <v>1421</v>
      </c>
      <c r="J756" t="s">
        <v>16</v>
      </c>
      <c r="K756" s="2" t="str">
        <f>IFERROR(INDEX(Product_lookup[Category],MATCH(RawWorking[[#This Row],[ProductID]],Product_lookup[ProductID],0)),"")</f>
        <v>Home</v>
      </c>
      <c r="L756" s="9" t="str">
        <f>IF(OR(RawWorking[[#This Row],[ShipDate]]="",RawWorking[[#This Row],[DeliveryDate]]=""),"",RawWorking[[#This Row],[DeliveryDate]]-RawWorking[[#This Row],[ShipDate]])</f>
        <v/>
      </c>
      <c r="M756" s="9">
        <f>IF(COUNTIF(INDEX(RawWorking[OrderID],1):RawWorking[[#This Row],[OrderID]],RawWorking[[#This Row],[OrderID]])=1,1,0)</f>
        <v>1</v>
      </c>
      <c r="N756" s="4">
        <f>IFERROR(RawWorking[[#This Row],[LineAmount]]/RawWorking[[#This Row],[Quantity]],"")</f>
        <v>206.09</v>
      </c>
    </row>
    <row r="757" spans="1:14">
      <c r="A757">
        <v>50756</v>
      </c>
      <c r="B757">
        <v>30426</v>
      </c>
      <c r="C757" s="2">
        <v>46018</v>
      </c>
      <c r="D757">
        <v>2116</v>
      </c>
      <c r="E757">
        <v>1003</v>
      </c>
      <c r="F757">
        <v>1</v>
      </c>
      <c r="G757">
        <v>224.37</v>
      </c>
      <c r="H757" s="2">
        <v>46019</v>
      </c>
      <c r="I757" s="2">
        <v>46024</v>
      </c>
      <c r="J757" t="s">
        <v>9</v>
      </c>
      <c r="K757" s="2" t="str">
        <f>IFERROR(INDEX(Product_lookup[Category],MATCH(RawWorking[[#This Row],[ProductID]],Product_lookup[ProductID],0)),"")</f>
        <v>Electronics</v>
      </c>
      <c r="L757" s="9">
        <f>IF(OR(RawWorking[[#This Row],[ShipDate]]="",RawWorking[[#This Row],[DeliveryDate]]=""),"",RawWorking[[#This Row],[DeliveryDate]]-RawWorking[[#This Row],[ShipDate]])</f>
        <v>5</v>
      </c>
      <c r="M757" s="9">
        <f>IF(COUNTIF(INDEX(RawWorking[OrderID],1):RawWorking[[#This Row],[OrderID]],RawWorking[[#This Row],[OrderID]])=1,1,0)</f>
        <v>1</v>
      </c>
      <c r="N757" s="4">
        <f>IFERROR(RawWorking[[#This Row],[LineAmount]]/RawWorking[[#This Row],[Quantity]],"")</f>
        <v>224.37</v>
      </c>
    </row>
    <row r="758" spans="1:14">
      <c r="A758">
        <v>50757</v>
      </c>
      <c r="B758">
        <v>30426</v>
      </c>
      <c r="C758" s="2">
        <v>46018</v>
      </c>
      <c r="D758">
        <v>2116</v>
      </c>
      <c r="E758">
        <v>1001</v>
      </c>
      <c r="F758">
        <v>4</v>
      </c>
      <c r="G758">
        <v>812.16</v>
      </c>
      <c r="H758" s="2">
        <v>46019</v>
      </c>
      <c r="I758" s="2">
        <v>46054</v>
      </c>
      <c r="J758" t="s">
        <v>9</v>
      </c>
      <c r="K758" s="2" t="str">
        <f>IFERROR(INDEX(Product_lookup[Category],MATCH(RawWorking[[#This Row],[ProductID]],Product_lookup[ProductID],0)),"")</f>
        <v>Electronics</v>
      </c>
      <c r="L758" s="9">
        <f>IF(OR(RawWorking[[#This Row],[ShipDate]]="",RawWorking[[#This Row],[DeliveryDate]]=""),"",RawWorking[[#This Row],[DeliveryDate]]-RawWorking[[#This Row],[ShipDate]])</f>
        <v>35</v>
      </c>
      <c r="M758" s="9">
        <f>IF(COUNTIF(INDEX(RawWorking[OrderID],1):RawWorking[[#This Row],[OrderID]],RawWorking[[#This Row],[OrderID]])=1,1,0)</f>
        <v>0</v>
      </c>
      <c r="N758" s="4">
        <f>IFERROR(RawWorking[[#This Row],[LineAmount]]/RawWorking[[#This Row],[Quantity]],"")</f>
        <v>203.04</v>
      </c>
    </row>
    <row r="759" spans="1:14">
      <c r="A759">
        <v>50758</v>
      </c>
      <c r="B759">
        <v>30426</v>
      </c>
      <c r="C759" s="2">
        <v>46018</v>
      </c>
      <c r="D759">
        <v>2116</v>
      </c>
      <c r="E759">
        <v>1012</v>
      </c>
      <c r="F759">
        <v>1</v>
      </c>
      <c r="G759">
        <v>241.54</v>
      </c>
      <c r="H759" s="2">
        <v>46019</v>
      </c>
      <c r="I759" s="2">
        <v>46020</v>
      </c>
      <c r="J759" t="s">
        <v>9</v>
      </c>
      <c r="K759" s="2" t="str">
        <f>IFERROR(INDEX(Product_lookup[Category],MATCH(RawWorking[[#This Row],[ProductID]],Product_lookup[ProductID],0)),"")</f>
        <v>Office</v>
      </c>
      <c r="L759" s="9">
        <f>IF(OR(RawWorking[[#This Row],[ShipDate]]="",RawWorking[[#This Row],[DeliveryDate]]=""),"",RawWorking[[#This Row],[DeliveryDate]]-RawWorking[[#This Row],[ShipDate]])</f>
        <v>1</v>
      </c>
      <c r="M759" s="9">
        <f>IF(COUNTIF(INDEX(RawWorking[OrderID],1):RawWorking[[#This Row],[OrderID]],RawWorking[[#This Row],[OrderID]])=1,1,0)</f>
        <v>0</v>
      </c>
      <c r="N759" s="4">
        <f>IFERROR(RawWorking[[#This Row],[LineAmount]]/RawWorking[[#This Row],[Quantity]],"")</f>
        <v>241.54</v>
      </c>
    </row>
    <row r="760" spans="1:14">
      <c r="A760">
        <v>50759</v>
      </c>
      <c r="B760">
        <v>30427</v>
      </c>
      <c r="C760" s="2">
        <v>45922</v>
      </c>
      <c r="D760">
        <v>2325</v>
      </c>
      <c r="E760">
        <v>1014</v>
      </c>
      <c r="F760">
        <v>1</v>
      </c>
      <c r="G760">
        <v>215.34</v>
      </c>
      <c r="H760" s="2">
        <v>45925</v>
      </c>
      <c r="I760" s="2">
        <v>45926</v>
      </c>
      <c r="J760" t="s">
        <v>9</v>
      </c>
      <c r="K760" s="2" t="str">
        <f>IFERROR(INDEX(Product_lookup[Category],MATCH(RawWorking[[#This Row],[ProductID]],Product_lookup[ProductID],0)),"")</f>
        <v>Sports</v>
      </c>
      <c r="L760" s="9">
        <f>IF(OR(RawWorking[[#This Row],[ShipDate]]="",RawWorking[[#This Row],[DeliveryDate]]=""),"",RawWorking[[#This Row],[DeliveryDate]]-RawWorking[[#This Row],[ShipDate]])</f>
        <v>1</v>
      </c>
      <c r="M760" s="9">
        <f>IF(COUNTIF(INDEX(RawWorking[OrderID],1):RawWorking[[#This Row],[OrderID]],RawWorking[[#This Row],[OrderID]])=1,1,0)</f>
        <v>1</v>
      </c>
      <c r="N760" s="4">
        <f>IFERROR(RawWorking[[#This Row],[LineAmount]]/RawWorking[[#This Row],[Quantity]],"")</f>
        <v>215.34</v>
      </c>
    </row>
    <row r="761" spans="1:14">
      <c r="A761">
        <v>50760</v>
      </c>
      <c r="B761">
        <v>30428</v>
      </c>
      <c r="C761" s="2">
        <v>45691</v>
      </c>
      <c r="D761">
        <v>2375</v>
      </c>
      <c r="E761">
        <v>1006</v>
      </c>
      <c r="F761">
        <v>4</v>
      </c>
      <c r="G761">
        <v>1015.44</v>
      </c>
      <c r="H761" s="2">
        <v>45694</v>
      </c>
      <c r="I761" s="2">
        <v>45700</v>
      </c>
      <c r="J761" t="s">
        <v>9</v>
      </c>
      <c r="K761" s="2" t="str">
        <f>IFERROR(INDEX(Product_lookup[Category],MATCH(RawWorking[[#This Row],[ProductID]],Product_lookup[ProductID],0)),"")</f>
        <v>Home</v>
      </c>
      <c r="L761" s="9">
        <f>IF(OR(RawWorking[[#This Row],[ShipDate]]="",RawWorking[[#This Row],[DeliveryDate]]=""),"",RawWorking[[#This Row],[DeliveryDate]]-RawWorking[[#This Row],[ShipDate]])</f>
        <v>6</v>
      </c>
      <c r="M761" s="9">
        <f>IF(COUNTIF(INDEX(RawWorking[OrderID],1):RawWorking[[#This Row],[OrderID]],RawWorking[[#This Row],[OrderID]])=1,1,0)</f>
        <v>1</v>
      </c>
      <c r="N761" s="4">
        <f>IFERROR(RawWorking[[#This Row],[LineAmount]]/RawWorking[[#This Row],[Quantity]],"")</f>
        <v>253.86</v>
      </c>
    </row>
    <row r="762" spans="1:14">
      <c r="A762">
        <v>50761</v>
      </c>
      <c r="B762">
        <v>30429</v>
      </c>
      <c r="C762" s="2">
        <v>46018</v>
      </c>
      <c r="D762">
        <v>2483</v>
      </c>
      <c r="E762">
        <v>1003</v>
      </c>
      <c r="F762">
        <v>1</v>
      </c>
      <c r="G762">
        <v>224.37</v>
      </c>
      <c r="H762" s="2">
        <v>46021</v>
      </c>
      <c r="I762" s="2">
        <v>46204</v>
      </c>
      <c r="J762" t="s">
        <v>11</v>
      </c>
      <c r="K762" s="2" t="str">
        <f>IFERROR(INDEX(Product_lookup[Category],MATCH(RawWorking[[#This Row],[ProductID]],Product_lookup[ProductID],0)),"")</f>
        <v>Electronics</v>
      </c>
      <c r="L762" s="9">
        <f>IF(OR(RawWorking[[#This Row],[ShipDate]]="",RawWorking[[#This Row],[DeliveryDate]]=""),"",RawWorking[[#This Row],[DeliveryDate]]-RawWorking[[#This Row],[ShipDate]])</f>
        <v>183</v>
      </c>
      <c r="M762" s="9">
        <f>IF(COUNTIF(INDEX(RawWorking[OrderID],1):RawWorking[[#This Row],[OrderID]],RawWorking[[#This Row],[OrderID]])=1,1,0)</f>
        <v>1</v>
      </c>
      <c r="N762" s="4">
        <f>IFERROR(RawWorking[[#This Row],[LineAmount]]/RawWorking[[#This Row],[Quantity]],"")</f>
        <v>224.37</v>
      </c>
    </row>
    <row r="763" spans="1:14">
      <c r="A763">
        <v>50762</v>
      </c>
      <c r="B763">
        <v>30430</v>
      </c>
      <c r="C763" s="2">
        <v>45971</v>
      </c>
      <c r="D763">
        <v>2018</v>
      </c>
      <c r="E763">
        <v>1001</v>
      </c>
      <c r="F763">
        <v>1</v>
      </c>
      <c r="G763">
        <v>203.04</v>
      </c>
      <c r="H763" s="2">
        <v>45973</v>
      </c>
      <c r="I763" s="2">
        <v>45982</v>
      </c>
      <c r="J763" t="s">
        <v>9</v>
      </c>
      <c r="K763" s="2" t="str">
        <f>IFERROR(INDEX(Product_lookup[Category],MATCH(RawWorking[[#This Row],[ProductID]],Product_lookup[ProductID],0)),"")</f>
        <v>Electronics</v>
      </c>
      <c r="L763" s="9">
        <f>IF(OR(RawWorking[[#This Row],[ShipDate]]="",RawWorking[[#This Row],[DeliveryDate]]=""),"",RawWorking[[#This Row],[DeliveryDate]]-RawWorking[[#This Row],[ShipDate]])</f>
        <v>9</v>
      </c>
      <c r="M763" s="9">
        <f>IF(COUNTIF(INDEX(RawWorking[OrderID],1):RawWorking[[#This Row],[OrderID]],RawWorking[[#This Row],[OrderID]])=1,1,0)</f>
        <v>1</v>
      </c>
      <c r="N763" s="4">
        <f>IFERROR(RawWorking[[#This Row],[LineAmount]]/RawWorking[[#This Row],[Quantity]],"")</f>
        <v>203.04</v>
      </c>
    </row>
    <row r="764" spans="1:14">
      <c r="A764">
        <v>50763</v>
      </c>
      <c r="B764">
        <v>30431</v>
      </c>
      <c r="C764" s="2">
        <v>45972</v>
      </c>
      <c r="D764">
        <v>2269</v>
      </c>
      <c r="E764">
        <v>1002</v>
      </c>
      <c r="F764">
        <v>4</v>
      </c>
      <c r="G764">
        <v>474.4</v>
      </c>
      <c r="H764" s="2">
        <v>45974</v>
      </c>
      <c r="I764" s="2">
        <v>45977</v>
      </c>
      <c r="J764" t="s">
        <v>9</v>
      </c>
      <c r="K764" s="2" t="str">
        <f>IFERROR(INDEX(Product_lookup[Category],MATCH(RawWorking[[#This Row],[ProductID]],Product_lookup[ProductID],0)),"")</f>
        <v>Electronics</v>
      </c>
      <c r="L764" s="9">
        <f>IF(OR(RawWorking[[#This Row],[ShipDate]]="",RawWorking[[#This Row],[DeliveryDate]]=""),"",RawWorking[[#This Row],[DeliveryDate]]-RawWorking[[#This Row],[ShipDate]])</f>
        <v>3</v>
      </c>
      <c r="M764" s="9">
        <f>IF(COUNTIF(INDEX(RawWorking[OrderID],1):RawWorking[[#This Row],[OrderID]],RawWorking[[#This Row],[OrderID]])=1,1,0)</f>
        <v>1</v>
      </c>
      <c r="N764" s="4">
        <f>IFERROR(RawWorking[[#This Row],[LineAmount]]/RawWorking[[#This Row],[Quantity]],"")</f>
        <v>118.6</v>
      </c>
    </row>
    <row r="765" spans="1:14">
      <c r="A765">
        <v>50764</v>
      </c>
      <c r="B765">
        <v>30431</v>
      </c>
      <c r="C765" s="2">
        <v>45972</v>
      </c>
      <c r="D765">
        <v>2269</v>
      </c>
      <c r="E765">
        <v>1013</v>
      </c>
      <c r="F765">
        <v>1</v>
      </c>
      <c r="G765">
        <v>170.25</v>
      </c>
      <c r="H765" s="2">
        <v>45973</v>
      </c>
      <c r="I765" s="2">
        <v>45975</v>
      </c>
      <c r="J765" t="s">
        <v>9</v>
      </c>
      <c r="K765" s="2" t="str">
        <f>IFERROR(INDEX(Product_lookup[Category],MATCH(RawWorking[[#This Row],[ProductID]],Product_lookup[ProductID],0)),"")</f>
        <v>Office</v>
      </c>
      <c r="L765" s="9">
        <f>IF(OR(RawWorking[[#This Row],[ShipDate]]="",RawWorking[[#This Row],[DeliveryDate]]=""),"",RawWorking[[#This Row],[DeliveryDate]]-RawWorking[[#This Row],[ShipDate]])</f>
        <v>2</v>
      </c>
      <c r="M765" s="9">
        <f>IF(COUNTIF(INDEX(RawWorking[OrderID],1):RawWorking[[#This Row],[OrderID]],RawWorking[[#This Row],[OrderID]])=1,1,0)</f>
        <v>0</v>
      </c>
      <c r="N765" s="4">
        <f>IFERROR(RawWorking[[#This Row],[LineAmount]]/RawWorking[[#This Row],[Quantity]],"")</f>
        <v>170.25</v>
      </c>
    </row>
    <row r="766" spans="1:14">
      <c r="A766">
        <v>50765</v>
      </c>
      <c r="B766">
        <v>30432</v>
      </c>
      <c r="C766" s="2">
        <v>45669</v>
      </c>
      <c r="D766">
        <v>2519</v>
      </c>
      <c r="E766">
        <v>1014</v>
      </c>
      <c r="F766">
        <v>1</v>
      </c>
      <c r="G766">
        <v>215.34</v>
      </c>
      <c r="H766" s="2">
        <v>45672</v>
      </c>
      <c r="I766" s="2">
        <v>45679</v>
      </c>
      <c r="J766" t="s">
        <v>9</v>
      </c>
      <c r="K766" s="2" t="str">
        <f>IFERROR(INDEX(Product_lookup[Category],MATCH(RawWorking[[#This Row],[ProductID]],Product_lookup[ProductID],0)),"")</f>
        <v>Sports</v>
      </c>
      <c r="L766" s="9">
        <f>IF(OR(RawWorking[[#This Row],[ShipDate]]="",RawWorking[[#This Row],[DeliveryDate]]=""),"",RawWorking[[#This Row],[DeliveryDate]]-RawWorking[[#This Row],[ShipDate]])</f>
        <v>7</v>
      </c>
      <c r="M766" s="9">
        <f>IF(COUNTIF(INDEX(RawWorking[OrderID],1):RawWorking[[#This Row],[OrderID]],RawWorking[[#This Row],[OrderID]])=1,1,0)</f>
        <v>1</v>
      </c>
      <c r="N766" s="4">
        <f>IFERROR(RawWorking[[#This Row],[LineAmount]]/RawWorking[[#This Row],[Quantity]],"")</f>
        <v>215.34</v>
      </c>
    </row>
    <row r="767" spans="1:14">
      <c r="A767">
        <v>50766</v>
      </c>
      <c r="B767">
        <v>30433</v>
      </c>
      <c r="C767" s="2">
        <v>45826</v>
      </c>
      <c r="D767">
        <v>2434</v>
      </c>
      <c r="E767">
        <v>1003</v>
      </c>
      <c r="F767">
        <v>1</v>
      </c>
      <c r="G767">
        <v>224.37</v>
      </c>
      <c r="H767" s="2">
        <v>45827</v>
      </c>
      <c r="I767" s="2">
        <v>45833</v>
      </c>
      <c r="J767" t="s">
        <v>9</v>
      </c>
      <c r="K767" s="2" t="str">
        <f>IFERROR(INDEX(Product_lookup[Category],MATCH(RawWorking[[#This Row],[ProductID]],Product_lookup[ProductID],0)),"")</f>
        <v>Electronics</v>
      </c>
      <c r="L767" s="9">
        <f>IF(OR(RawWorking[[#This Row],[ShipDate]]="",RawWorking[[#This Row],[DeliveryDate]]=""),"",RawWorking[[#This Row],[DeliveryDate]]-RawWorking[[#This Row],[ShipDate]])</f>
        <v>6</v>
      </c>
      <c r="M767" s="9">
        <f>IF(COUNTIF(INDEX(RawWorking[OrderID],1):RawWorking[[#This Row],[OrderID]],RawWorking[[#This Row],[OrderID]])=1,1,0)</f>
        <v>1</v>
      </c>
      <c r="N767" s="4">
        <f>IFERROR(RawWorking[[#This Row],[LineAmount]]/RawWorking[[#This Row],[Quantity]],"")</f>
        <v>224.37</v>
      </c>
    </row>
    <row r="768" spans="1:14">
      <c r="A768">
        <v>50767</v>
      </c>
      <c r="B768">
        <v>30433</v>
      </c>
      <c r="C768" s="2">
        <v>45826</v>
      </c>
      <c r="D768">
        <v>2434</v>
      </c>
      <c r="E768">
        <v>1005</v>
      </c>
      <c r="F768">
        <v>1</v>
      </c>
      <c r="G768">
        <v>31.73</v>
      </c>
      <c r="H768" s="2">
        <v>45828</v>
      </c>
      <c r="I768" s="2">
        <v>45832</v>
      </c>
      <c r="J768" t="s">
        <v>9</v>
      </c>
      <c r="K768" s="2" t="str">
        <f>IFERROR(INDEX(Product_lookup[Category],MATCH(RawWorking[[#This Row],[ProductID]],Product_lookup[ProductID],0)),"")</f>
        <v>Electronics</v>
      </c>
      <c r="L768" s="9">
        <f>IF(OR(RawWorking[[#This Row],[ShipDate]]="",RawWorking[[#This Row],[DeliveryDate]]=""),"",RawWorking[[#This Row],[DeliveryDate]]-RawWorking[[#This Row],[ShipDate]])</f>
        <v>4</v>
      </c>
      <c r="M768" s="9">
        <f>IF(COUNTIF(INDEX(RawWorking[OrderID],1):RawWorking[[#This Row],[OrderID]],RawWorking[[#This Row],[OrderID]])=1,1,0)</f>
        <v>0</v>
      </c>
      <c r="N768" s="4">
        <f>IFERROR(RawWorking[[#This Row],[LineAmount]]/RawWorking[[#This Row],[Quantity]],"")</f>
        <v>31.73</v>
      </c>
    </row>
    <row r="769" spans="1:14">
      <c r="A769">
        <v>50768</v>
      </c>
      <c r="B769">
        <v>30434</v>
      </c>
      <c r="C769" s="2">
        <v>45919</v>
      </c>
      <c r="D769">
        <v>2285</v>
      </c>
      <c r="E769">
        <v>1003</v>
      </c>
      <c r="F769">
        <v>1</v>
      </c>
      <c r="G769">
        <v>224.37</v>
      </c>
      <c r="H769" s="2">
        <v>45920</v>
      </c>
      <c r="I769" s="2">
        <v>45929</v>
      </c>
      <c r="J769" t="s">
        <v>9</v>
      </c>
      <c r="K769" s="2" t="str">
        <f>IFERROR(INDEX(Product_lookup[Category],MATCH(RawWorking[[#This Row],[ProductID]],Product_lookup[ProductID],0)),"")</f>
        <v>Electronics</v>
      </c>
      <c r="L769" s="9">
        <f>IF(OR(RawWorking[[#This Row],[ShipDate]]="",RawWorking[[#This Row],[DeliveryDate]]=""),"",RawWorking[[#This Row],[DeliveryDate]]-RawWorking[[#This Row],[ShipDate]])</f>
        <v>9</v>
      </c>
      <c r="M769" s="9">
        <f>IF(COUNTIF(INDEX(RawWorking[OrderID],1):RawWorking[[#This Row],[OrderID]],RawWorking[[#This Row],[OrderID]])=1,1,0)</f>
        <v>1</v>
      </c>
      <c r="N769" s="4">
        <f>IFERROR(RawWorking[[#This Row],[LineAmount]]/RawWorking[[#This Row],[Quantity]],"")</f>
        <v>224.37</v>
      </c>
    </row>
    <row r="770" spans="1:14">
      <c r="A770">
        <v>50769</v>
      </c>
      <c r="B770">
        <v>30435</v>
      </c>
      <c r="C770" s="2">
        <v>45678</v>
      </c>
      <c r="D770">
        <v>2524</v>
      </c>
      <c r="E770">
        <v>1005</v>
      </c>
      <c r="F770">
        <v>3</v>
      </c>
      <c r="G770">
        <v>95.19</v>
      </c>
      <c r="H770" s="2" t="s">
        <v>1421</v>
      </c>
      <c r="I770" s="2" t="s">
        <v>1421</v>
      </c>
      <c r="J770" t="s">
        <v>12</v>
      </c>
      <c r="K770" s="2" t="str">
        <f>IFERROR(INDEX(Product_lookup[Category],MATCH(RawWorking[[#This Row],[ProductID]],Product_lookup[ProductID],0)),"")</f>
        <v>Electronics</v>
      </c>
      <c r="L770" s="9" t="str">
        <f>IF(OR(RawWorking[[#This Row],[ShipDate]]="",RawWorking[[#This Row],[DeliveryDate]]=""),"",RawWorking[[#This Row],[DeliveryDate]]-RawWorking[[#This Row],[ShipDate]])</f>
        <v/>
      </c>
      <c r="M770" s="9">
        <f>IF(COUNTIF(INDEX(RawWorking[OrderID],1):RawWorking[[#This Row],[OrderID]],RawWorking[[#This Row],[OrderID]])=1,1,0)</f>
        <v>1</v>
      </c>
      <c r="N770" s="4">
        <f>IFERROR(RawWorking[[#This Row],[LineAmount]]/RawWorking[[#This Row],[Quantity]],"")</f>
        <v>31.73</v>
      </c>
    </row>
    <row r="771" spans="1:14">
      <c r="A771">
        <v>50770</v>
      </c>
      <c r="B771">
        <v>30436</v>
      </c>
      <c r="C771" s="2">
        <v>45866</v>
      </c>
      <c r="D771">
        <v>2550</v>
      </c>
      <c r="E771">
        <v>1003</v>
      </c>
      <c r="F771">
        <v>1</v>
      </c>
      <c r="G771">
        <v>224.37</v>
      </c>
      <c r="H771" s="2">
        <v>45868</v>
      </c>
      <c r="I771" s="2">
        <v>45873</v>
      </c>
      <c r="J771" t="s">
        <v>9</v>
      </c>
      <c r="K771" s="2" t="str">
        <f>IFERROR(INDEX(Product_lookup[Category],MATCH(RawWorking[[#This Row],[ProductID]],Product_lookup[ProductID],0)),"")</f>
        <v>Electronics</v>
      </c>
      <c r="L771" s="9">
        <f>IF(OR(RawWorking[[#This Row],[ShipDate]]="",RawWorking[[#This Row],[DeliveryDate]]=""),"",RawWorking[[#This Row],[DeliveryDate]]-RawWorking[[#This Row],[ShipDate]])</f>
        <v>5</v>
      </c>
      <c r="M771" s="9">
        <f>IF(COUNTIF(INDEX(RawWorking[OrderID],1):RawWorking[[#This Row],[OrderID]],RawWorking[[#This Row],[OrderID]])=1,1,0)</f>
        <v>1</v>
      </c>
      <c r="N771" s="4">
        <f>IFERROR(RawWorking[[#This Row],[LineAmount]]/RawWorking[[#This Row],[Quantity]],"")</f>
        <v>224.37</v>
      </c>
    </row>
    <row r="772" spans="1:14">
      <c r="A772">
        <v>50771</v>
      </c>
      <c r="B772">
        <v>30437</v>
      </c>
      <c r="C772" s="2">
        <v>45860</v>
      </c>
      <c r="D772">
        <v>2318</v>
      </c>
      <c r="E772">
        <v>1008</v>
      </c>
      <c r="F772">
        <v>2</v>
      </c>
      <c r="G772">
        <v>412.18</v>
      </c>
      <c r="H772" s="2">
        <v>45861</v>
      </c>
      <c r="I772" s="2">
        <v>45865</v>
      </c>
      <c r="J772" t="s">
        <v>9</v>
      </c>
      <c r="K772" s="2" t="str">
        <f>IFERROR(INDEX(Product_lookup[Category],MATCH(RawWorking[[#This Row],[ProductID]],Product_lookup[ProductID],0)),"")</f>
        <v>Home</v>
      </c>
      <c r="L772" s="9">
        <f>IF(OR(RawWorking[[#This Row],[ShipDate]]="",RawWorking[[#This Row],[DeliveryDate]]=""),"",RawWorking[[#This Row],[DeliveryDate]]-RawWorking[[#This Row],[ShipDate]])</f>
        <v>4</v>
      </c>
      <c r="M772" s="9">
        <f>IF(COUNTIF(INDEX(RawWorking[OrderID],1):RawWorking[[#This Row],[OrderID]],RawWorking[[#This Row],[OrderID]])=1,1,0)</f>
        <v>1</v>
      </c>
      <c r="N772" s="4">
        <f>IFERROR(RawWorking[[#This Row],[LineAmount]]/RawWorking[[#This Row],[Quantity]],"")</f>
        <v>206.09</v>
      </c>
    </row>
    <row r="773" spans="1:14">
      <c r="A773">
        <v>50772</v>
      </c>
      <c r="B773">
        <v>30438</v>
      </c>
      <c r="C773" s="2">
        <v>45705</v>
      </c>
      <c r="D773">
        <v>2060</v>
      </c>
      <c r="E773">
        <v>1014</v>
      </c>
      <c r="F773">
        <v>4</v>
      </c>
      <c r="G773">
        <v>861.36</v>
      </c>
      <c r="H773" s="2">
        <v>45706</v>
      </c>
      <c r="I773" s="2">
        <v>45713</v>
      </c>
      <c r="J773" t="s">
        <v>9</v>
      </c>
      <c r="K773" s="2" t="str">
        <f>IFERROR(INDEX(Product_lookup[Category],MATCH(RawWorking[[#This Row],[ProductID]],Product_lookup[ProductID],0)),"")</f>
        <v>Sports</v>
      </c>
      <c r="L773" s="9">
        <f>IF(OR(RawWorking[[#This Row],[ShipDate]]="",RawWorking[[#This Row],[DeliveryDate]]=""),"",RawWorking[[#This Row],[DeliveryDate]]-RawWorking[[#This Row],[ShipDate]])</f>
        <v>7</v>
      </c>
      <c r="M773" s="9">
        <f>IF(COUNTIF(INDEX(RawWorking[OrderID],1):RawWorking[[#This Row],[OrderID]],RawWorking[[#This Row],[OrderID]])=1,1,0)</f>
        <v>1</v>
      </c>
      <c r="N773" s="4">
        <f>IFERROR(RawWorking[[#This Row],[LineAmount]]/RawWorking[[#This Row],[Quantity]],"")</f>
        <v>215.34</v>
      </c>
    </row>
    <row r="774" spans="1:14">
      <c r="A774">
        <v>50773</v>
      </c>
      <c r="B774">
        <v>30438</v>
      </c>
      <c r="C774" s="2">
        <v>45705</v>
      </c>
      <c r="D774">
        <v>2060</v>
      </c>
      <c r="E774">
        <v>1004</v>
      </c>
      <c r="F774">
        <v>2</v>
      </c>
      <c r="G774">
        <v>367.48</v>
      </c>
      <c r="H774" s="2">
        <v>45707</v>
      </c>
      <c r="I774" s="2">
        <v>45715</v>
      </c>
      <c r="J774" t="s">
        <v>9</v>
      </c>
      <c r="K774" s="2" t="str">
        <f>IFERROR(INDEX(Product_lookup[Category],MATCH(RawWorking[[#This Row],[ProductID]],Product_lookup[ProductID],0)),"")</f>
        <v>Electronics</v>
      </c>
      <c r="L774" s="9">
        <f>IF(OR(RawWorking[[#This Row],[ShipDate]]="",RawWorking[[#This Row],[DeliveryDate]]=""),"",RawWorking[[#This Row],[DeliveryDate]]-RawWorking[[#This Row],[ShipDate]])</f>
        <v>8</v>
      </c>
      <c r="M774" s="9">
        <f>IF(COUNTIF(INDEX(RawWorking[OrderID],1):RawWorking[[#This Row],[OrderID]],RawWorking[[#This Row],[OrderID]])=1,1,0)</f>
        <v>0</v>
      </c>
      <c r="N774" s="4">
        <f>IFERROR(RawWorking[[#This Row],[LineAmount]]/RawWorking[[#This Row],[Quantity]],"")</f>
        <v>183.74</v>
      </c>
    </row>
    <row r="775" spans="1:14">
      <c r="A775">
        <v>50774</v>
      </c>
      <c r="B775">
        <v>30438</v>
      </c>
      <c r="C775" s="2">
        <v>45705</v>
      </c>
      <c r="D775">
        <v>2060</v>
      </c>
      <c r="E775">
        <v>1015</v>
      </c>
      <c r="F775">
        <v>5</v>
      </c>
      <c r="G775">
        <v>598.70000000000005</v>
      </c>
      <c r="H775" s="2">
        <v>45707</v>
      </c>
      <c r="I775" s="2">
        <v>45711</v>
      </c>
      <c r="J775" t="s">
        <v>9</v>
      </c>
      <c r="K775" s="2" t="str">
        <f>IFERROR(INDEX(Product_lookup[Category],MATCH(RawWorking[[#This Row],[ProductID]],Product_lookup[ProductID],0)),"")</f>
        <v>Sports</v>
      </c>
      <c r="L775" s="9">
        <f>IF(OR(RawWorking[[#This Row],[ShipDate]]="",RawWorking[[#This Row],[DeliveryDate]]=""),"",RawWorking[[#This Row],[DeliveryDate]]-RawWorking[[#This Row],[ShipDate]])</f>
        <v>4</v>
      </c>
      <c r="M775" s="9">
        <f>IF(COUNTIF(INDEX(RawWorking[OrderID],1):RawWorking[[#This Row],[OrderID]],RawWorking[[#This Row],[OrderID]])=1,1,0)</f>
        <v>0</v>
      </c>
      <c r="N775" s="4">
        <f>IFERROR(RawWorking[[#This Row],[LineAmount]]/RawWorking[[#This Row],[Quantity]],"")</f>
        <v>119.74000000000001</v>
      </c>
    </row>
    <row r="776" spans="1:14">
      <c r="A776">
        <v>50775</v>
      </c>
      <c r="B776">
        <v>30439</v>
      </c>
      <c r="C776" s="2">
        <v>45850</v>
      </c>
      <c r="D776">
        <v>2057</v>
      </c>
      <c r="E776">
        <v>1006</v>
      </c>
      <c r="F776">
        <v>1</v>
      </c>
      <c r="G776">
        <v>253.86</v>
      </c>
      <c r="H776" s="2">
        <v>45851</v>
      </c>
      <c r="I776" s="2">
        <v>45859</v>
      </c>
      <c r="J776" t="s">
        <v>9</v>
      </c>
      <c r="K776" s="2" t="str">
        <f>IFERROR(INDEX(Product_lookup[Category],MATCH(RawWorking[[#This Row],[ProductID]],Product_lookup[ProductID],0)),"")</f>
        <v>Home</v>
      </c>
      <c r="L776" s="9">
        <f>IF(OR(RawWorking[[#This Row],[ShipDate]]="",RawWorking[[#This Row],[DeliveryDate]]=""),"",RawWorking[[#This Row],[DeliveryDate]]-RawWorking[[#This Row],[ShipDate]])</f>
        <v>8</v>
      </c>
      <c r="M776" s="9">
        <f>IF(COUNTIF(INDEX(RawWorking[OrderID],1):RawWorking[[#This Row],[OrderID]],RawWorking[[#This Row],[OrderID]])=1,1,0)</f>
        <v>1</v>
      </c>
      <c r="N776" s="4">
        <f>IFERROR(RawWorking[[#This Row],[LineAmount]]/RawWorking[[#This Row],[Quantity]],"")</f>
        <v>253.86</v>
      </c>
    </row>
    <row r="777" spans="1:14">
      <c r="A777">
        <v>50776</v>
      </c>
      <c r="B777">
        <v>30440</v>
      </c>
      <c r="C777" s="2">
        <v>45722</v>
      </c>
      <c r="D777">
        <v>2123</v>
      </c>
      <c r="E777">
        <v>1005</v>
      </c>
      <c r="F777">
        <v>1</v>
      </c>
      <c r="G777">
        <v>31.73</v>
      </c>
      <c r="H777" s="2">
        <v>45723</v>
      </c>
      <c r="I777" s="2">
        <v>45733</v>
      </c>
      <c r="J777" t="s">
        <v>9</v>
      </c>
      <c r="K777" s="2" t="str">
        <f>IFERROR(INDEX(Product_lookup[Category],MATCH(RawWorking[[#This Row],[ProductID]],Product_lookup[ProductID],0)),"")</f>
        <v>Electronics</v>
      </c>
      <c r="L777" s="9">
        <f>IF(OR(RawWorking[[#This Row],[ShipDate]]="",RawWorking[[#This Row],[DeliveryDate]]=""),"",RawWorking[[#This Row],[DeliveryDate]]-RawWorking[[#This Row],[ShipDate]])</f>
        <v>10</v>
      </c>
      <c r="M777" s="9">
        <f>IF(COUNTIF(INDEX(RawWorking[OrderID],1):RawWorking[[#This Row],[OrderID]],RawWorking[[#This Row],[OrderID]])=1,1,0)</f>
        <v>1</v>
      </c>
      <c r="N777" s="4">
        <f>IFERROR(RawWorking[[#This Row],[LineAmount]]/RawWorking[[#This Row],[Quantity]],"")</f>
        <v>31.73</v>
      </c>
    </row>
    <row r="778" spans="1:14">
      <c r="A778">
        <v>50777</v>
      </c>
      <c r="B778">
        <v>30440</v>
      </c>
      <c r="C778" s="2">
        <v>45722</v>
      </c>
      <c r="D778">
        <v>2123</v>
      </c>
      <c r="E778">
        <v>1001</v>
      </c>
      <c r="F778">
        <v>1</v>
      </c>
      <c r="G778">
        <v>203.04</v>
      </c>
      <c r="H778" s="2">
        <v>45723</v>
      </c>
      <c r="I778" s="2">
        <v>45724</v>
      </c>
      <c r="J778" t="s">
        <v>9</v>
      </c>
      <c r="K778" s="2" t="str">
        <f>IFERROR(INDEX(Product_lookup[Category],MATCH(RawWorking[[#This Row],[ProductID]],Product_lookup[ProductID],0)),"")</f>
        <v>Electronics</v>
      </c>
      <c r="L778" s="9">
        <f>IF(OR(RawWorking[[#This Row],[ShipDate]]="",RawWorking[[#This Row],[DeliveryDate]]=""),"",RawWorking[[#This Row],[DeliveryDate]]-RawWorking[[#This Row],[ShipDate]])</f>
        <v>1</v>
      </c>
      <c r="M778" s="9">
        <f>IF(COUNTIF(INDEX(RawWorking[OrderID],1):RawWorking[[#This Row],[OrderID]],RawWorking[[#This Row],[OrderID]])=1,1,0)</f>
        <v>0</v>
      </c>
      <c r="N778" s="4">
        <f>IFERROR(RawWorking[[#This Row],[LineAmount]]/RawWorking[[#This Row],[Quantity]],"")</f>
        <v>203.04</v>
      </c>
    </row>
    <row r="779" spans="1:14">
      <c r="A779">
        <v>50778</v>
      </c>
      <c r="B779">
        <v>30441</v>
      </c>
      <c r="C779" s="2">
        <v>46002</v>
      </c>
      <c r="D779">
        <v>2168</v>
      </c>
      <c r="E779">
        <v>1012</v>
      </c>
      <c r="F779">
        <v>1</v>
      </c>
      <c r="G779">
        <v>241.54</v>
      </c>
      <c r="H779" s="2">
        <v>46003</v>
      </c>
      <c r="I779" s="2">
        <v>46012</v>
      </c>
      <c r="J779" t="s">
        <v>9</v>
      </c>
      <c r="K779" s="2" t="str">
        <f>IFERROR(INDEX(Product_lookup[Category],MATCH(RawWorking[[#This Row],[ProductID]],Product_lookup[ProductID],0)),"")</f>
        <v>Office</v>
      </c>
      <c r="L779" s="9">
        <f>IF(OR(RawWorking[[#This Row],[ShipDate]]="",RawWorking[[#This Row],[DeliveryDate]]=""),"",RawWorking[[#This Row],[DeliveryDate]]-RawWorking[[#This Row],[ShipDate]])</f>
        <v>9</v>
      </c>
      <c r="M779" s="9">
        <f>IF(COUNTIF(INDEX(RawWorking[OrderID],1):RawWorking[[#This Row],[OrderID]],RawWorking[[#This Row],[OrderID]])=1,1,0)</f>
        <v>1</v>
      </c>
      <c r="N779" s="4">
        <f>IFERROR(RawWorking[[#This Row],[LineAmount]]/RawWorking[[#This Row],[Quantity]],"")</f>
        <v>241.54</v>
      </c>
    </row>
    <row r="780" spans="1:14">
      <c r="A780">
        <v>50779</v>
      </c>
      <c r="B780">
        <v>30442</v>
      </c>
      <c r="C780" s="2">
        <v>45669</v>
      </c>
      <c r="D780">
        <v>2536</v>
      </c>
      <c r="E780">
        <v>1009</v>
      </c>
      <c r="F780">
        <v>1</v>
      </c>
      <c r="G780">
        <v>40.28</v>
      </c>
      <c r="H780" s="2">
        <v>45672</v>
      </c>
      <c r="I780" s="2">
        <v>45676</v>
      </c>
      <c r="J780" t="s">
        <v>9</v>
      </c>
      <c r="K780" s="2" t="str">
        <f>IFERROR(INDEX(Product_lookup[Category],MATCH(RawWorking[[#This Row],[ProductID]],Product_lookup[ProductID],0)),"")</f>
        <v>Home</v>
      </c>
      <c r="L780" s="9">
        <f>IF(OR(RawWorking[[#This Row],[ShipDate]]="",RawWorking[[#This Row],[DeliveryDate]]=""),"",RawWorking[[#This Row],[DeliveryDate]]-RawWorking[[#This Row],[ShipDate]])</f>
        <v>4</v>
      </c>
      <c r="M780" s="9">
        <f>IF(COUNTIF(INDEX(RawWorking[OrderID],1):RawWorking[[#This Row],[OrderID]],RawWorking[[#This Row],[OrderID]])=1,1,0)</f>
        <v>1</v>
      </c>
      <c r="N780" s="4">
        <f>IFERROR(RawWorking[[#This Row],[LineAmount]]/RawWorking[[#This Row],[Quantity]],"")</f>
        <v>40.28</v>
      </c>
    </row>
    <row r="781" spans="1:14">
      <c r="A781">
        <v>50780</v>
      </c>
      <c r="B781">
        <v>30443</v>
      </c>
      <c r="C781" s="2">
        <v>45810</v>
      </c>
      <c r="D781">
        <v>2171</v>
      </c>
      <c r="E781">
        <v>1009</v>
      </c>
      <c r="F781">
        <v>1</v>
      </c>
      <c r="G781">
        <v>40.28</v>
      </c>
      <c r="H781" s="2">
        <v>45812</v>
      </c>
      <c r="I781" s="2">
        <v>45816</v>
      </c>
      <c r="J781" t="s">
        <v>9</v>
      </c>
      <c r="K781" s="2" t="str">
        <f>IFERROR(INDEX(Product_lookup[Category],MATCH(RawWorking[[#This Row],[ProductID]],Product_lookup[ProductID],0)),"")</f>
        <v>Home</v>
      </c>
      <c r="L781" s="9">
        <f>IF(OR(RawWorking[[#This Row],[ShipDate]]="",RawWorking[[#This Row],[DeliveryDate]]=""),"",RawWorking[[#This Row],[DeliveryDate]]-RawWorking[[#This Row],[ShipDate]])</f>
        <v>4</v>
      </c>
      <c r="M781" s="9">
        <f>IF(COUNTIF(INDEX(RawWorking[OrderID],1):RawWorking[[#This Row],[OrderID]],RawWorking[[#This Row],[OrderID]])=1,1,0)</f>
        <v>1</v>
      </c>
      <c r="N781" s="4">
        <f>IFERROR(RawWorking[[#This Row],[LineAmount]]/RawWorking[[#This Row],[Quantity]],"")</f>
        <v>40.28</v>
      </c>
    </row>
    <row r="782" spans="1:14">
      <c r="A782">
        <v>50781</v>
      </c>
      <c r="B782">
        <v>30444</v>
      </c>
      <c r="C782" s="2">
        <v>45690</v>
      </c>
      <c r="D782">
        <v>2121</v>
      </c>
      <c r="E782">
        <v>1001</v>
      </c>
      <c r="F782">
        <v>1</v>
      </c>
      <c r="G782">
        <v>203.04</v>
      </c>
      <c r="H782" s="2" t="s">
        <v>1421</v>
      </c>
      <c r="I782" s="2" t="s">
        <v>1421</v>
      </c>
      <c r="J782" t="s">
        <v>16</v>
      </c>
      <c r="K782" s="2" t="str">
        <f>IFERROR(INDEX(Product_lookup[Category],MATCH(RawWorking[[#This Row],[ProductID]],Product_lookup[ProductID],0)),"")</f>
        <v>Electronics</v>
      </c>
      <c r="L782" s="9" t="str">
        <f>IF(OR(RawWorking[[#This Row],[ShipDate]]="",RawWorking[[#This Row],[DeliveryDate]]=""),"",RawWorking[[#This Row],[DeliveryDate]]-RawWorking[[#This Row],[ShipDate]])</f>
        <v/>
      </c>
      <c r="M782" s="9">
        <f>IF(COUNTIF(INDEX(RawWorking[OrderID],1):RawWorking[[#This Row],[OrderID]],RawWorking[[#This Row],[OrderID]])=1,1,0)</f>
        <v>1</v>
      </c>
      <c r="N782" s="4">
        <f>IFERROR(RawWorking[[#This Row],[LineAmount]]/RawWorking[[#This Row],[Quantity]],"")</f>
        <v>203.04</v>
      </c>
    </row>
    <row r="783" spans="1:14">
      <c r="A783">
        <v>50782</v>
      </c>
      <c r="B783">
        <v>30445</v>
      </c>
      <c r="C783" s="2">
        <v>45764</v>
      </c>
      <c r="D783">
        <v>2440</v>
      </c>
      <c r="E783">
        <v>1003</v>
      </c>
      <c r="F783">
        <v>4</v>
      </c>
      <c r="G783">
        <v>897.48</v>
      </c>
      <c r="H783" s="2">
        <v>45767</v>
      </c>
      <c r="I783" s="2">
        <v>45768</v>
      </c>
      <c r="J783" t="s">
        <v>9</v>
      </c>
      <c r="K783" s="2" t="str">
        <f>IFERROR(INDEX(Product_lookup[Category],MATCH(RawWorking[[#This Row],[ProductID]],Product_lookup[ProductID],0)),"")</f>
        <v>Electronics</v>
      </c>
      <c r="L783" s="9">
        <f>IF(OR(RawWorking[[#This Row],[ShipDate]]="",RawWorking[[#This Row],[DeliveryDate]]=""),"",RawWorking[[#This Row],[DeliveryDate]]-RawWorking[[#This Row],[ShipDate]])</f>
        <v>1</v>
      </c>
      <c r="M783" s="9">
        <f>IF(COUNTIF(INDEX(RawWorking[OrderID],1):RawWorking[[#This Row],[OrderID]],RawWorking[[#This Row],[OrderID]])=1,1,0)</f>
        <v>1</v>
      </c>
      <c r="N783" s="4">
        <f>IFERROR(RawWorking[[#This Row],[LineAmount]]/RawWorking[[#This Row],[Quantity]],"")</f>
        <v>224.37</v>
      </c>
    </row>
    <row r="784" spans="1:14">
      <c r="A784">
        <v>50783</v>
      </c>
      <c r="B784">
        <v>30445</v>
      </c>
      <c r="C784" s="2">
        <v>45764</v>
      </c>
      <c r="D784">
        <v>2440</v>
      </c>
      <c r="E784">
        <v>1009</v>
      </c>
      <c r="F784">
        <v>1</v>
      </c>
      <c r="G784">
        <v>40.28</v>
      </c>
      <c r="H784" s="2">
        <v>45766</v>
      </c>
      <c r="I784" s="2">
        <v>45776</v>
      </c>
      <c r="J784" t="s">
        <v>9</v>
      </c>
      <c r="K784" s="2" t="str">
        <f>IFERROR(INDEX(Product_lookup[Category],MATCH(RawWorking[[#This Row],[ProductID]],Product_lookup[ProductID],0)),"")</f>
        <v>Home</v>
      </c>
      <c r="L784" s="9">
        <f>IF(OR(RawWorking[[#This Row],[ShipDate]]="",RawWorking[[#This Row],[DeliveryDate]]=""),"",RawWorking[[#This Row],[DeliveryDate]]-RawWorking[[#This Row],[ShipDate]])</f>
        <v>10</v>
      </c>
      <c r="M784" s="9">
        <f>IF(COUNTIF(INDEX(RawWorking[OrderID],1):RawWorking[[#This Row],[OrderID]],RawWorking[[#This Row],[OrderID]])=1,1,0)</f>
        <v>0</v>
      </c>
      <c r="N784" s="4">
        <f>IFERROR(RawWorking[[#This Row],[LineAmount]]/RawWorking[[#This Row],[Quantity]],"")</f>
        <v>40.28</v>
      </c>
    </row>
    <row r="785" spans="1:14">
      <c r="A785">
        <v>50784</v>
      </c>
      <c r="B785">
        <v>30445</v>
      </c>
      <c r="C785" s="2">
        <v>45764</v>
      </c>
      <c r="D785">
        <v>2440</v>
      </c>
      <c r="E785">
        <v>1003</v>
      </c>
      <c r="F785">
        <v>2</v>
      </c>
      <c r="G785">
        <v>448.74</v>
      </c>
      <c r="H785" s="2">
        <v>45765</v>
      </c>
      <c r="I785" s="2">
        <v>45766</v>
      </c>
      <c r="J785" t="s">
        <v>9</v>
      </c>
      <c r="K785" s="2" t="str">
        <f>IFERROR(INDEX(Product_lookup[Category],MATCH(RawWorking[[#This Row],[ProductID]],Product_lookup[ProductID],0)),"")</f>
        <v>Electronics</v>
      </c>
      <c r="L785" s="9">
        <f>IF(OR(RawWorking[[#This Row],[ShipDate]]="",RawWorking[[#This Row],[DeliveryDate]]=""),"",RawWorking[[#This Row],[DeliveryDate]]-RawWorking[[#This Row],[ShipDate]])</f>
        <v>1</v>
      </c>
      <c r="M785" s="9">
        <f>IF(COUNTIF(INDEX(RawWorking[OrderID],1):RawWorking[[#This Row],[OrderID]],RawWorking[[#This Row],[OrderID]])=1,1,0)</f>
        <v>0</v>
      </c>
      <c r="N785" s="4">
        <f>IFERROR(RawWorking[[#This Row],[LineAmount]]/RawWorking[[#This Row],[Quantity]],"")</f>
        <v>224.37</v>
      </c>
    </row>
    <row r="786" spans="1:14">
      <c r="A786">
        <v>50785</v>
      </c>
      <c r="B786">
        <v>30445</v>
      </c>
      <c r="C786" s="2">
        <v>45764</v>
      </c>
      <c r="D786">
        <v>2440</v>
      </c>
      <c r="E786">
        <v>1016</v>
      </c>
      <c r="F786">
        <v>3</v>
      </c>
      <c r="G786">
        <v>195.78</v>
      </c>
      <c r="H786" s="2">
        <v>45767</v>
      </c>
      <c r="I786" s="2">
        <v>45772</v>
      </c>
      <c r="J786" t="s">
        <v>9</v>
      </c>
      <c r="K786" s="2" t="str">
        <f>IFERROR(INDEX(Product_lookup[Category],MATCH(RawWorking[[#This Row],[ProductID]],Product_lookup[ProductID],0)),"")</f>
        <v>Sports</v>
      </c>
      <c r="L786" s="9">
        <f>IF(OR(RawWorking[[#This Row],[ShipDate]]="",RawWorking[[#This Row],[DeliveryDate]]=""),"",RawWorking[[#This Row],[DeliveryDate]]-RawWorking[[#This Row],[ShipDate]])</f>
        <v>5</v>
      </c>
      <c r="M786" s="9">
        <f>IF(COUNTIF(INDEX(RawWorking[OrderID],1):RawWorking[[#This Row],[OrderID]],RawWorking[[#This Row],[OrderID]])=1,1,0)</f>
        <v>0</v>
      </c>
      <c r="N786" s="4">
        <f>IFERROR(RawWorking[[#This Row],[LineAmount]]/RawWorking[[#This Row],[Quantity]],"")</f>
        <v>65.260000000000005</v>
      </c>
    </row>
    <row r="787" spans="1:14">
      <c r="A787">
        <v>50786</v>
      </c>
      <c r="B787">
        <v>30446</v>
      </c>
      <c r="C787" s="2">
        <v>45984</v>
      </c>
      <c r="D787">
        <v>2467</v>
      </c>
      <c r="E787">
        <v>1002</v>
      </c>
      <c r="F787">
        <v>2</v>
      </c>
      <c r="G787">
        <v>237.2</v>
      </c>
      <c r="H787" s="2">
        <v>45987</v>
      </c>
      <c r="I787" s="2">
        <v>45996</v>
      </c>
      <c r="J787" t="s">
        <v>9</v>
      </c>
      <c r="K787" s="2" t="str">
        <f>IFERROR(INDEX(Product_lookup[Category],MATCH(RawWorking[[#This Row],[ProductID]],Product_lookup[ProductID],0)),"")</f>
        <v>Electronics</v>
      </c>
      <c r="L787" s="9">
        <f>IF(OR(RawWorking[[#This Row],[ShipDate]]="",RawWorking[[#This Row],[DeliveryDate]]=""),"",RawWorking[[#This Row],[DeliveryDate]]-RawWorking[[#This Row],[ShipDate]])</f>
        <v>9</v>
      </c>
      <c r="M787" s="9">
        <f>IF(COUNTIF(INDEX(RawWorking[OrderID],1):RawWorking[[#This Row],[OrderID]],RawWorking[[#This Row],[OrderID]])=1,1,0)</f>
        <v>1</v>
      </c>
      <c r="N787" s="4">
        <f>IFERROR(RawWorking[[#This Row],[LineAmount]]/RawWorking[[#This Row],[Quantity]],"")</f>
        <v>118.6</v>
      </c>
    </row>
    <row r="788" spans="1:14">
      <c r="A788">
        <v>50787</v>
      </c>
      <c r="B788">
        <v>30447</v>
      </c>
      <c r="C788" s="2">
        <v>45936</v>
      </c>
      <c r="D788">
        <v>2512</v>
      </c>
      <c r="E788">
        <v>1006</v>
      </c>
      <c r="F788">
        <v>1</v>
      </c>
      <c r="G788">
        <v>253.86</v>
      </c>
      <c r="H788" s="2" t="s">
        <v>1421</v>
      </c>
      <c r="I788" s="2" t="s">
        <v>1421</v>
      </c>
      <c r="J788" t="s">
        <v>16</v>
      </c>
      <c r="K788" s="2" t="str">
        <f>IFERROR(INDEX(Product_lookup[Category],MATCH(RawWorking[[#This Row],[ProductID]],Product_lookup[ProductID],0)),"")</f>
        <v>Home</v>
      </c>
      <c r="L788" s="9" t="str">
        <f>IF(OR(RawWorking[[#This Row],[ShipDate]]="",RawWorking[[#This Row],[DeliveryDate]]=""),"",RawWorking[[#This Row],[DeliveryDate]]-RawWorking[[#This Row],[ShipDate]])</f>
        <v/>
      </c>
      <c r="M788" s="9">
        <f>IF(COUNTIF(INDEX(RawWorking[OrderID],1):RawWorking[[#This Row],[OrderID]],RawWorking[[#This Row],[OrderID]])=1,1,0)</f>
        <v>1</v>
      </c>
      <c r="N788" s="4">
        <f>IFERROR(RawWorking[[#This Row],[LineAmount]]/RawWorking[[#This Row],[Quantity]],"")</f>
        <v>253.86</v>
      </c>
    </row>
    <row r="789" spans="1:14">
      <c r="A789">
        <v>50788</v>
      </c>
      <c r="B789">
        <v>30447</v>
      </c>
      <c r="C789" s="2">
        <v>45936</v>
      </c>
      <c r="D789">
        <v>2512</v>
      </c>
      <c r="E789">
        <v>1009</v>
      </c>
      <c r="F789">
        <v>5</v>
      </c>
      <c r="G789">
        <v>201.4</v>
      </c>
      <c r="H789" s="2" t="s">
        <v>1421</v>
      </c>
      <c r="I789" s="2" t="s">
        <v>1421</v>
      </c>
      <c r="J789" t="s">
        <v>16</v>
      </c>
      <c r="K789" s="2" t="str">
        <f>IFERROR(INDEX(Product_lookup[Category],MATCH(RawWorking[[#This Row],[ProductID]],Product_lookup[ProductID],0)),"")</f>
        <v>Home</v>
      </c>
      <c r="L789" s="9" t="str">
        <f>IF(OR(RawWorking[[#This Row],[ShipDate]]="",RawWorking[[#This Row],[DeliveryDate]]=""),"",RawWorking[[#This Row],[DeliveryDate]]-RawWorking[[#This Row],[ShipDate]])</f>
        <v/>
      </c>
      <c r="M789" s="9">
        <f>IF(COUNTIF(INDEX(RawWorking[OrderID],1):RawWorking[[#This Row],[OrderID]],RawWorking[[#This Row],[OrderID]])=1,1,0)</f>
        <v>0</v>
      </c>
      <c r="N789" s="4">
        <f>IFERROR(RawWorking[[#This Row],[LineAmount]]/RawWorking[[#This Row],[Quantity]],"")</f>
        <v>40.28</v>
      </c>
    </row>
    <row r="790" spans="1:14">
      <c r="A790">
        <v>50789</v>
      </c>
      <c r="B790">
        <v>30447</v>
      </c>
      <c r="C790" s="2">
        <v>45936</v>
      </c>
      <c r="D790">
        <v>2512</v>
      </c>
      <c r="E790">
        <v>1004</v>
      </c>
      <c r="F790">
        <v>2</v>
      </c>
      <c r="G790">
        <v>367.48</v>
      </c>
      <c r="H790" s="2">
        <v>45938</v>
      </c>
      <c r="I790" s="2" t="s">
        <v>1421</v>
      </c>
      <c r="J790" t="s">
        <v>16</v>
      </c>
      <c r="K790" s="2" t="str">
        <f>IFERROR(INDEX(Product_lookup[Category],MATCH(RawWorking[[#This Row],[ProductID]],Product_lookup[ProductID],0)),"")</f>
        <v>Electronics</v>
      </c>
      <c r="L790" s="9" t="str">
        <f>IF(OR(RawWorking[[#This Row],[ShipDate]]="",RawWorking[[#This Row],[DeliveryDate]]=""),"",RawWorking[[#This Row],[DeliveryDate]]-RawWorking[[#This Row],[ShipDate]])</f>
        <v/>
      </c>
      <c r="M790" s="9">
        <f>IF(COUNTIF(INDEX(RawWorking[OrderID],1):RawWorking[[#This Row],[OrderID]],RawWorking[[#This Row],[OrderID]])=1,1,0)</f>
        <v>0</v>
      </c>
      <c r="N790" s="4">
        <f>IFERROR(RawWorking[[#This Row],[LineAmount]]/RawWorking[[#This Row],[Quantity]],"")</f>
        <v>183.74</v>
      </c>
    </row>
    <row r="791" spans="1:14">
      <c r="A791">
        <v>50790</v>
      </c>
      <c r="B791">
        <v>30448</v>
      </c>
      <c r="C791" s="2">
        <v>45671</v>
      </c>
      <c r="D791">
        <v>2522</v>
      </c>
      <c r="E791">
        <v>1001</v>
      </c>
      <c r="F791">
        <v>1</v>
      </c>
      <c r="G791">
        <v>203.04</v>
      </c>
      <c r="H791" s="2">
        <v>45672</v>
      </c>
      <c r="I791" s="2">
        <v>45679</v>
      </c>
      <c r="J791" t="s">
        <v>9</v>
      </c>
      <c r="K791" s="2" t="str">
        <f>IFERROR(INDEX(Product_lookup[Category],MATCH(RawWorking[[#This Row],[ProductID]],Product_lookup[ProductID],0)),"")</f>
        <v>Electronics</v>
      </c>
      <c r="L791" s="9">
        <f>IF(OR(RawWorking[[#This Row],[ShipDate]]="",RawWorking[[#This Row],[DeliveryDate]]=""),"",RawWorking[[#This Row],[DeliveryDate]]-RawWorking[[#This Row],[ShipDate]])</f>
        <v>7</v>
      </c>
      <c r="M791" s="9">
        <f>IF(COUNTIF(INDEX(RawWorking[OrderID],1):RawWorking[[#This Row],[OrderID]],RawWorking[[#This Row],[OrderID]])=1,1,0)</f>
        <v>1</v>
      </c>
      <c r="N791" s="4">
        <f>IFERROR(RawWorking[[#This Row],[LineAmount]]/RawWorking[[#This Row],[Quantity]],"")</f>
        <v>203.04</v>
      </c>
    </row>
    <row r="792" spans="1:14">
      <c r="A792">
        <v>50791</v>
      </c>
      <c r="B792">
        <v>30448</v>
      </c>
      <c r="C792" s="2">
        <v>45671</v>
      </c>
      <c r="D792">
        <v>2522</v>
      </c>
      <c r="E792">
        <v>1008</v>
      </c>
      <c r="F792">
        <v>2</v>
      </c>
      <c r="G792">
        <v>412.18</v>
      </c>
      <c r="H792" s="2">
        <v>45674</v>
      </c>
      <c r="I792" s="2">
        <v>45683</v>
      </c>
      <c r="J792" t="s">
        <v>9</v>
      </c>
      <c r="K792" s="2" t="str">
        <f>IFERROR(INDEX(Product_lookup[Category],MATCH(RawWorking[[#This Row],[ProductID]],Product_lookup[ProductID],0)),"")</f>
        <v>Home</v>
      </c>
      <c r="L792" s="9">
        <f>IF(OR(RawWorking[[#This Row],[ShipDate]]="",RawWorking[[#This Row],[DeliveryDate]]=""),"",RawWorking[[#This Row],[DeliveryDate]]-RawWorking[[#This Row],[ShipDate]])</f>
        <v>9</v>
      </c>
      <c r="M792" s="9">
        <f>IF(COUNTIF(INDEX(RawWorking[OrderID],1):RawWorking[[#This Row],[OrderID]],RawWorking[[#This Row],[OrderID]])=1,1,0)</f>
        <v>0</v>
      </c>
      <c r="N792" s="4">
        <f>IFERROR(RawWorking[[#This Row],[LineAmount]]/RawWorking[[#This Row],[Quantity]],"")</f>
        <v>206.09</v>
      </c>
    </row>
    <row r="793" spans="1:14">
      <c r="A793">
        <v>50792</v>
      </c>
      <c r="B793">
        <v>30449</v>
      </c>
      <c r="C793" s="2">
        <v>45877</v>
      </c>
      <c r="D793">
        <v>2048</v>
      </c>
      <c r="E793">
        <v>1013</v>
      </c>
      <c r="F793">
        <v>1</v>
      </c>
      <c r="G793">
        <v>170.25</v>
      </c>
      <c r="H793" s="2">
        <v>45880</v>
      </c>
      <c r="I793" s="2">
        <v>45883</v>
      </c>
      <c r="J793" t="s">
        <v>9</v>
      </c>
      <c r="K793" s="2" t="str">
        <f>IFERROR(INDEX(Product_lookup[Category],MATCH(RawWorking[[#This Row],[ProductID]],Product_lookup[ProductID],0)),"")</f>
        <v>Office</v>
      </c>
      <c r="L793" s="9">
        <f>IF(OR(RawWorking[[#This Row],[ShipDate]]="",RawWorking[[#This Row],[DeliveryDate]]=""),"",RawWorking[[#This Row],[DeliveryDate]]-RawWorking[[#This Row],[ShipDate]])</f>
        <v>3</v>
      </c>
      <c r="M793" s="9">
        <f>IF(COUNTIF(INDEX(RawWorking[OrderID],1):RawWorking[[#This Row],[OrderID]],RawWorking[[#This Row],[OrderID]])=1,1,0)</f>
        <v>1</v>
      </c>
      <c r="N793" s="4">
        <f>IFERROR(RawWorking[[#This Row],[LineAmount]]/RawWorking[[#This Row],[Quantity]],"")</f>
        <v>170.25</v>
      </c>
    </row>
    <row r="794" spans="1:14">
      <c r="A794">
        <v>50793</v>
      </c>
      <c r="B794">
        <v>30449</v>
      </c>
      <c r="C794" s="2">
        <v>45877</v>
      </c>
      <c r="D794">
        <v>2048</v>
      </c>
      <c r="E794">
        <v>1005</v>
      </c>
      <c r="F794">
        <v>1</v>
      </c>
      <c r="G794">
        <v>31.73</v>
      </c>
      <c r="H794" s="2">
        <v>45880</v>
      </c>
      <c r="I794" s="2">
        <v>45881</v>
      </c>
      <c r="J794" t="s">
        <v>9</v>
      </c>
      <c r="K794" s="2" t="str">
        <f>IFERROR(INDEX(Product_lookup[Category],MATCH(RawWorking[[#This Row],[ProductID]],Product_lookup[ProductID],0)),"")</f>
        <v>Electronics</v>
      </c>
      <c r="L794" s="9">
        <f>IF(OR(RawWorking[[#This Row],[ShipDate]]="",RawWorking[[#This Row],[DeliveryDate]]=""),"",RawWorking[[#This Row],[DeliveryDate]]-RawWorking[[#This Row],[ShipDate]])</f>
        <v>1</v>
      </c>
      <c r="M794" s="9">
        <f>IF(COUNTIF(INDEX(RawWorking[OrderID],1):RawWorking[[#This Row],[OrderID]],RawWorking[[#This Row],[OrderID]])=1,1,0)</f>
        <v>0</v>
      </c>
      <c r="N794" s="4">
        <f>IFERROR(RawWorking[[#This Row],[LineAmount]]/RawWorking[[#This Row],[Quantity]],"")</f>
        <v>31.73</v>
      </c>
    </row>
    <row r="795" spans="1:14">
      <c r="A795">
        <v>50794</v>
      </c>
      <c r="B795">
        <v>30449</v>
      </c>
      <c r="C795" s="2">
        <v>45877</v>
      </c>
      <c r="D795">
        <v>2048</v>
      </c>
      <c r="E795">
        <v>1006</v>
      </c>
      <c r="F795">
        <v>1</v>
      </c>
      <c r="G795">
        <v>253.86</v>
      </c>
      <c r="H795" s="2">
        <v>45879</v>
      </c>
      <c r="I795" s="2">
        <v>45882</v>
      </c>
      <c r="J795" t="s">
        <v>9</v>
      </c>
      <c r="K795" s="2" t="str">
        <f>IFERROR(INDEX(Product_lookup[Category],MATCH(RawWorking[[#This Row],[ProductID]],Product_lookup[ProductID],0)),"")</f>
        <v>Home</v>
      </c>
      <c r="L795" s="9">
        <f>IF(OR(RawWorking[[#This Row],[ShipDate]]="",RawWorking[[#This Row],[DeliveryDate]]=""),"",RawWorking[[#This Row],[DeliveryDate]]-RawWorking[[#This Row],[ShipDate]])</f>
        <v>3</v>
      </c>
      <c r="M795" s="9">
        <f>IF(COUNTIF(INDEX(RawWorking[OrderID],1):RawWorking[[#This Row],[OrderID]],RawWorking[[#This Row],[OrderID]])=1,1,0)</f>
        <v>0</v>
      </c>
      <c r="N795" s="4">
        <f>IFERROR(RawWorking[[#This Row],[LineAmount]]/RawWorking[[#This Row],[Quantity]],"")</f>
        <v>253.86</v>
      </c>
    </row>
    <row r="796" spans="1:14">
      <c r="A796">
        <v>50795</v>
      </c>
      <c r="B796">
        <v>30450</v>
      </c>
      <c r="C796" s="2">
        <v>46012</v>
      </c>
      <c r="D796">
        <v>2037</v>
      </c>
      <c r="E796">
        <v>1014</v>
      </c>
      <c r="F796">
        <v>3</v>
      </c>
      <c r="G796">
        <v>646.02</v>
      </c>
      <c r="H796" s="2">
        <v>46014</v>
      </c>
      <c r="I796" s="2">
        <v>46016</v>
      </c>
      <c r="J796" t="s">
        <v>9</v>
      </c>
      <c r="K796" s="2" t="str">
        <f>IFERROR(INDEX(Product_lookup[Category],MATCH(RawWorking[[#This Row],[ProductID]],Product_lookup[ProductID],0)),"")</f>
        <v>Sports</v>
      </c>
      <c r="L796" s="9">
        <f>IF(OR(RawWorking[[#This Row],[ShipDate]]="",RawWorking[[#This Row],[DeliveryDate]]=""),"",RawWorking[[#This Row],[DeliveryDate]]-RawWorking[[#This Row],[ShipDate]])</f>
        <v>2</v>
      </c>
      <c r="M796" s="9">
        <f>IF(COUNTIF(INDEX(RawWorking[OrderID],1):RawWorking[[#This Row],[OrderID]],RawWorking[[#This Row],[OrderID]])=1,1,0)</f>
        <v>1</v>
      </c>
      <c r="N796" s="4">
        <f>IFERROR(RawWorking[[#This Row],[LineAmount]]/RawWorking[[#This Row],[Quantity]],"")</f>
        <v>215.34</v>
      </c>
    </row>
    <row r="797" spans="1:14">
      <c r="A797">
        <v>50796</v>
      </c>
      <c r="B797">
        <v>30451</v>
      </c>
      <c r="C797" s="2">
        <v>45756</v>
      </c>
      <c r="D797">
        <v>2230</v>
      </c>
      <c r="E797">
        <v>1014</v>
      </c>
      <c r="F797">
        <v>1</v>
      </c>
      <c r="G797">
        <v>215.34</v>
      </c>
      <c r="H797" s="2">
        <v>45759</v>
      </c>
      <c r="I797" s="2">
        <v>45763</v>
      </c>
      <c r="J797" t="s">
        <v>9</v>
      </c>
      <c r="K797" s="2" t="str">
        <f>IFERROR(INDEX(Product_lookup[Category],MATCH(RawWorking[[#This Row],[ProductID]],Product_lookup[ProductID],0)),"")</f>
        <v>Sports</v>
      </c>
      <c r="L797" s="9">
        <f>IF(OR(RawWorking[[#This Row],[ShipDate]]="",RawWorking[[#This Row],[DeliveryDate]]=""),"",RawWorking[[#This Row],[DeliveryDate]]-RawWorking[[#This Row],[ShipDate]])</f>
        <v>4</v>
      </c>
      <c r="M797" s="9">
        <f>IF(COUNTIF(INDEX(RawWorking[OrderID],1):RawWorking[[#This Row],[OrderID]],RawWorking[[#This Row],[OrderID]])=1,1,0)</f>
        <v>1</v>
      </c>
      <c r="N797" s="4">
        <f>IFERROR(RawWorking[[#This Row],[LineAmount]]/RawWorking[[#This Row],[Quantity]],"")</f>
        <v>215.34</v>
      </c>
    </row>
    <row r="798" spans="1:14">
      <c r="A798">
        <v>50797</v>
      </c>
      <c r="B798">
        <v>30451</v>
      </c>
      <c r="C798" s="2">
        <v>45756</v>
      </c>
      <c r="D798">
        <v>2230</v>
      </c>
      <c r="E798">
        <v>1011</v>
      </c>
      <c r="F798">
        <v>1</v>
      </c>
      <c r="G798">
        <v>101.44</v>
      </c>
      <c r="H798" s="2">
        <v>45757</v>
      </c>
      <c r="I798" s="2">
        <v>45762</v>
      </c>
      <c r="J798" t="s">
        <v>9</v>
      </c>
      <c r="K798" s="2" t="str">
        <f>IFERROR(INDEX(Product_lookup[Category],MATCH(RawWorking[[#This Row],[ProductID]],Product_lookup[ProductID],0)),"")</f>
        <v>Office</v>
      </c>
      <c r="L798" s="9">
        <f>IF(OR(RawWorking[[#This Row],[ShipDate]]="",RawWorking[[#This Row],[DeliveryDate]]=""),"",RawWorking[[#This Row],[DeliveryDate]]-RawWorking[[#This Row],[ShipDate]])</f>
        <v>5</v>
      </c>
      <c r="M798" s="9">
        <f>IF(COUNTIF(INDEX(RawWorking[OrderID],1):RawWorking[[#This Row],[OrderID]],RawWorking[[#This Row],[OrderID]])=1,1,0)</f>
        <v>0</v>
      </c>
      <c r="N798" s="4">
        <f>IFERROR(RawWorking[[#This Row],[LineAmount]]/RawWorking[[#This Row],[Quantity]],"")</f>
        <v>101.44</v>
      </c>
    </row>
    <row r="799" spans="1:14">
      <c r="A799">
        <v>50798</v>
      </c>
      <c r="B799">
        <v>30451</v>
      </c>
      <c r="C799" s="2">
        <v>45756</v>
      </c>
      <c r="D799">
        <v>2230</v>
      </c>
      <c r="E799">
        <v>1009</v>
      </c>
      <c r="F799">
        <v>1</v>
      </c>
      <c r="G799">
        <v>40.28</v>
      </c>
      <c r="H799" s="2">
        <v>45758</v>
      </c>
      <c r="I799" s="2">
        <v>45764</v>
      </c>
      <c r="J799" t="s">
        <v>9</v>
      </c>
      <c r="K799" s="2" t="str">
        <f>IFERROR(INDEX(Product_lookup[Category],MATCH(RawWorking[[#This Row],[ProductID]],Product_lookup[ProductID],0)),"")</f>
        <v>Home</v>
      </c>
      <c r="L799" s="9">
        <f>IF(OR(RawWorking[[#This Row],[ShipDate]]="",RawWorking[[#This Row],[DeliveryDate]]=""),"",RawWorking[[#This Row],[DeliveryDate]]-RawWorking[[#This Row],[ShipDate]])</f>
        <v>6</v>
      </c>
      <c r="M799" s="9">
        <f>IF(COUNTIF(INDEX(RawWorking[OrderID],1):RawWorking[[#This Row],[OrderID]],RawWorking[[#This Row],[OrderID]])=1,1,0)</f>
        <v>0</v>
      </c>
      <c r="N799" s="4">
        <f>IFERROR(RawWorking[[#This Row],[LineAmount]]/RawWorking[[#This Row],[Quantity]],"")</f>
        <v>40.28</v>
      </c>
    </row>
    <row r="800" spans="1:14">
      <c r="A800">
        <v>50799</v>
      </c>
      <c r="B800">
        <v>30452</v>
      </c>
      <c r="C800" s="2">
        <v>45676</v>
      </c>
      <c r="D800">
        <v>2080</v>
      </c>
      <c r="E800">
        <v>1004</v>
      </c>
      <c r="F800">
        <v>1</v>
      </c>
      <c r="G800">
        <v>183.74</v>
      </c>
      <c r="H800" s="2">
        <v>45677</v>
      </c>
      <c r="I800" s="2">
        <v>45683</v>
      </c>
      <c r="J800" t="s">
        <v>9</v>
      </c>
      <c r="K800" s="2" t="str">
        <f>IFERROR(INDEX(Product_lookup[Category],MATCH(RawWorking[[#This Row],[ProductID]],Product_lookup[ProductID],0)),"")</f>
        <v>Electronics</v>
      </c>
      <c r="L800" s="9">
        <f>IF(OR(RawWorking[[#This Row],[ShipDate]]="",RawWorking[[#This Row],[DeliveryDate]]=""),"",RawWorking[[#This Row],[DeliveryDate]]-RawWorking[[#This Row],[ShipDate]])</f>
        <v>6</v>
      </c>
      <c r="M800" s="9">
        <f>IF(COUNTIF(INDEX(RawWorking[OrderID],1):RawWorking[[#This Row],[OrderID]],RawWorking[[#This Row],[OrderID]])=1,1,0)</f>
        <v>1</v>
      </c>
      <c r="N800" s="4">
        <f>IFERROR(RawWorking[[#This Row],[LineAmount]]/RawWorking[[#This Row],[Quantity]],"")</f>
        <v>183.74</v>
      </c>
    </row>
    <row r="801" spans="1:14">
      <c r="A801">
        <v>50800</v>
      </c>
      <c r="B801">
        <v>30453</v>
      </c>
      <c r="C801" s="2">
        <v>45808</v>
      </c>
      <c r="D801">
        <v>2515</v>
      </c>
      <c r="E801">
        <v>1002</v>
      </c>
      <c r="F801">
        <v>1</v>
      </c>
      <c r="G801">
        <v>118.6</v>
      </c>
      <c r="H801" s="2">
        <v>45811</v>
      </c>
      <c r="I801" s="2">
        <v>45821</v>
      </c>
      <c r="J801" t="s">
        <v>9</v>
      </c>
      <c r="K801" s="2" t="str">
        <f>IFERROR(INDEX(Product_lookup[Category],MATCH(RawWorking[[#This Row],[ProductID]],Product_lookup[ProductID],0)),"")</f>
        <v>Electronics</v>
      </c>
      <c r="L801" s="9">
        <f>IF(OR(RawWorking[[#This Row],[ShipDate]]="",RawWorking[[#This Row],[DeliveryDate]]=""),"",RawWorking[[#This Row],[DeliveryDate]]-RawWorking[[#This Row],[ShipDate]])</f>
        <v>10</v>
      </c>
      <c r="M801" s="9">
        <f>IF(COUNTIF(INDEX(RawWorking[OrderID],1):RawWorking[[#This Row],[OrderID]],RawWorking[[#This Row],[OrderID]])=1,1,0)</f>
        <v>1</v>
      </c>
      <c r="N801" s="4">
        <f>IFERROR(RawWorking[[#This Row],[LineAmount]]/RawWorking[[#This Row],[Quantity]],"")</f>
        <v>118.6</v>
      </c>
    </row>
    <row r="802" spans="1:14">
      <c r="A802">
        <v>50801</v>
      </c>
      <c r="B802">
        <v>30453</v>
      </c>
      <c r="C802" s="2">
        <v>45808</v>
      </c>
      <c r="D802">
        <v>2515</v>
      </c>
      <c r="E802">
        <v>1006</v>
      </c>
      <c r="F802">
        <v>2</v>
      </c>
      <c r="G802">
        <v>507.72</v>
      </c>
      <c r="H802" s="2">
        <v>45810</v>
      </c>
      <c r="I802" s="2">
        <v>45820</v>
      </c>
      <c r="J802" t="s">
        <v>9</v>
      </c>
      <c r="K802" s="2" t="str">
        <f>IFERROR(INDEX(Product_lookup[Category],MATCH(RawWorking[[#This Row],[ProductID]],Product_lookup[ProductID],0)),"")</f>
        <v>Home</v>
      </c>
      <c r="L802" s="9">
        <f>IF(OR(RawWorking[[#This Row],[ShipDate]]="",RawWorking[[#This Row],[DeliveryDate]]=""),"",RawWorking[[#This Row],[DeliveryDate]]-RawWorking[[#This Row],[ShipDate]])</f>
        <v>10</v>
      </c>
      <c r="M802" s="9">
        <f>IF(COUNTIF(INDEX(RawWorking[OrderID],1):RawWorking[[#This Row],[OrderID]],RawWorking[[#This Row],[OrderID]])=1,1,0)</f>
        <v>0</v>
      </c>
      <c r="N802" s="4">
        <f>IFERROR(RawWorking[[#This Row],[LineAmount]]/RawWorking[[#This Row],[Quantity]],"")</f>
        <v>253.86</v>
      </c>
    </row>
    <row r="803" spans="1:14">
      <c r="A803">
        <v>50802</v>
      </c>
      <c r="B803">
        <v>30453</v>
      </c>
      <c r="C803" s="2">
        <v>45808</v>
      </c>
      <c r="D803">
        <v>2515</v>
      </c>
      <c r="E803">
        <v>1008</v>
      </c>
      <c r="F803">
        <v>3</v>
      </c>
      <c r="G803">
        <v>618.27</v>
      </c>
      <c r="H803" s="2">
        <v>45809</v>
      </c>
      <c r="I803" s="2">
        <v>45811</v>
      </c>
      <c r="J803" t="s">
        <v>9</v>
      </c>
      <c r="K803" s="2" t="str">
        <f>IFERROR(INDEX(Product_lookup[Category],MATCH(RawWorking[[#This Row],[ProductID]],Product_lookup[ProductID],0)),"")</f>
        <v>Home</v>
      </c>
      <c r="L803" s="9">
        <f>IF(OR(RawWorking[[#This Row],[ShipDate]]="",RawWorking[[#This Row],[DeliveryDate]]=""),"",RawWorking[[#This Row],[DeliveryDate]]-RawWorking[[#This Row],[ShipDate]])</f>
        <v>2</v>
      </c>
      <c r="M803" s="9">
        <f>IF(COUNTIF(INDEX(RawWorking[OrderID],1):RawWorking[[#This Row],[OrderID]],RawWorking[[#This Row],[OrderID]])=1,1,0)</f>
        <v>0</v>
      </c>
      <c r="N803" s="4">
        <f>IFERROR(RawWorking[[#This Row],[LineAmount]]/RawWorking[[#This Row],[Quantity]],"")</f>
        <v>206.09</v>
      </c>
    </row>
    <row r="804" spans="1:14">
      <c r="A804">
        <v>50803</v>
      </c>
      <c r="B804">
        <v>30454</v>
      </c>
      <c r="C804" s="2">
        <v>45996</v>
      </c>
      <c r="D804">
        <v>2529</v>
      </c>
      <c r="E804">
        <v>1013</v>
      </c>
      <c r="F804">
        <v>3</v>
      </c>
      <c r="G804">
        <v>510.75</v>
      </c>
      <c r="H804" s="2">
        <v>45998</v>
      </c>
      <c r="I804" s="2">
        <v>46002</v>
      </c>
      <c r="J804" t="s">
        <v>11</v>
      </c>
      <c r="K804" s="2" t="str">
        <f>IFERROR(INDEX(Product_lookup[Category],MATCH(RawWorking[[#This Row],[ProductID]],Product_lookup[ProductID],0)),"")</f>
        <v>Office</v>
      </c>
      <c r="L804" s="9">
        <f>IF(OR(RawWorking[[#This Row],[ShipDate]]="",RawWorking[[#This Row],[DeliveryDate]]=""),"",RawWorking[[#This Row],[DeliveryDate]]-RawWorking[[#This Row],[ShipDate]])</f>
        <v>4</v>
      </c>
      <c r="M804" s="9">
        <f>IF(COUNTIF(INDEX(RawWorking[OrderID],1):RawWorking[[#This Row],[OrderID]],RawWorking[[#This Row],[OrderID]])=1,1,0)</f>
        <v>1</v>
      </c>
      <c r="N804" s="4">
        <f>IFERROR(RawWorking[[#This Row],[LineAmount]]/RawWorking[[#This Row],[Quantity]],"")</f>
        <v>170.25</v>
      </c>
    </row>
    <row r="805" spans="1:14">
      <c r="A805">
        <v>50804</v>
      </c>
      <c r="B805">
        <v>30455</v>
      </c>
      <c r="C805" s="2">
        <v>45871</v>
      </c>
      <c r="D805">
        <v>2071</v>
      </c>
      <c r="E805">
        <v>1010</v>
      </c>
      <c r="F805">
        <v>4</v>
      </c>
      <c r="G805">
        <v>486</v>
      </c>
      <c r="H805" s="2" t="s">
        <v>1421</v>
      </c>
      <c r="I805" s="2" t="s">
        <v>1421</v>
      </c>
      <c r="J805" t="s">
        <v>12</v>
      </c>
      <c r="K805" s="2" t="str">
        <f>IFERROR(INDEX(Product_lookup[Category],MATCH(RawWorking[[#This Row],[ProductID]],Product_lookup[ProductID],0)),"")</f>
        <v>Office</v>
      </c>
      <c r="L805" s="9" t="str">
        <f>IF(OR(RawWorking[[#This Row],[ShipDate]]="",RawWorking[[#This Row],[DeliveryDate]]=""),"",RawWorking[[#This Row],[DeliveryDate]]-RawWorking[[#This Row],[ShipDate]])</f>
        <v/>
      </c>
      <c r="M805" s="9">
        <f>IF(COUNTIF(INDEX(RawWorking[OrderID],1):RawWorking[[#This Row],[OrderID]],RawWorking[[#This Row],[OrderID]])=1,1,0)</f>
        <v>1</v>
      </c>
      <c r="N805" s="4">
        <f>IFERROR(RawWorking[[#This Row],[LineAmount]]/RawWorking[[#This Row],[Quantity]],"")</f>
        <v>121.5</v>
      </c>
    </row>
    <row r="806" spans="1:14">
      <c r="A806">
        <v>50805</v>
      </c>
      <c r="B806">
        <v>30456</v>
      </c>
      <c r="C806" s="2">
        <v>46001</v>
      </c>
      <c r="D806">
        <v>2319</v>
      </c>
      <c r="E806">
        <v>1015</v>
      </c>
      <c r="F806">
        <v>2</v>
      </c>
      <c r="G806">
        <v>239.48</v>
      </c>
      <c r="H806" s="2">
        <v>46002</v>
      </c>
      <c r="I806" s="2">
        <v>46005</v>
      </c>
      <c r="J806" t="s">
        <v>9</v>
      </c>
      <c r="K806" s="2" t="str">
        <f>IFERROR(INDEX(Product_lookup[Category],MATCH(RawWorking[[#This Row],[ProductID]],Product_lookup[ProductID],0)),"")</f>
        <v>Sports</v>
      </c>
      <c r="L806" s="9">
        <f>IF(OR(RawWorking[[#This Row],[ShipDate]]="",RawWorking[[#This Row],[DeliveryDate]]=""),"",RawWorking[[#This Row],[DeliveryDate]]-RawWorking[[#This Row],[ShipDate]])</f>
        <v>3</v>
      </c>
      <c r="M806" s="9">
        <f>IF(COUNTIF(INDEX(RawWorking[OrderID],1):RawWorking[[#This Row],[OrderID]],RawWorking[[#This Row],[OrderID]])=1,1,0)</f>
        <v>1</v>
      </c>
      <c r="N806" s="4">
        <f>IFERROR(RawWorking[[#This Row],[LineAmount]]/RawWorking[[#This Row],[Quantity]],"")</f>
        <v>119.74</v>
      </c>
    </row>
    <row r="807" spans="1:14">
      <c r="A807">
        <v>50806</v>
      </c>
      <c r="B807">
        <v>30456</v>
      </c>
      <c r="C807" s="2">
        <v>45942</v>
      </c>
      <c r="D807">
        <v>2319</v>
      </c>
      <c r="E807">
        <v>1001</v>
      </c>
      <c r="F807">
        <v>2</v>
      </c>
      <c r="G807">
        <v>406.08</v>
      </c>
      <c r="H807" s="2">
        <v>45973</v>
      </c>
      <c r="I807" s="2">
        <v>46004</v>
      </c>
      <c r="J807" t="s">
        <v>9</v>
      </c>
      <c r="K807" s="2" t="str">
        <f>IFERROR(INDEX(Product_lookup[Category],MATCH(RawWorking[[#This Row],[ProductID]],Product_lookup[ProductID],0)),"")</f>
        <v>Electronics</v>
      </c>
      <c r="L807" s="9">
        <f>IF(OR(RawWorking[[#This Row],[ShipDate]]="",RawWorking[[#This Row],[DeliveryDate]]=""),"",RawWorking[[#This Row],[DeliveryDate]]-RawWorking[[#This Row],[ShipDate]])</f>
        <v>31</v>
      </c>
      <c r="M807" s="9">
        <f>IF(COUNTIF(INDEX(RawWorking[OrderID],1):RawWorking[[#This Row],[OrderID]],RawWorking[[#This Row],[OrderID]])=1,1,0)</f>
        <v>0</v>
      </c>
      <c r="N807" s="4">
        <f>IFERROR(RawWorking[[#This Row],[LineAmount]]/RawWorking[[#This Row],[Quantity]],"")</f>
        <v>203.04</v>
      </c>
    </row>
    <row r="808" spans="1:14">
      <c r="A808">
        <v>50807</v>
      </c>
      <c r="B808">
        <v>30457</v>
      </c>
      <c r="C808" s="2">
        <v>45955</v>
      </c>
      <c r="D808">
        <v>2378</v>
      </c>
      <c r="E808">
        <v>1010</v>
      </c>
      <c r="F808">
        <v>1</v>
      </c>
      <c r="G808">
        <v>121.5</v>
      </c>
      <c r="H808" s="2">
        <v>45956</v>
      </c>
      <c r="I808" s="2">
        <v>45959</v>
      </c>
      <c r="J808" t="s">
        <v>9</v>
      </c>
      <c r="K808" s="2" t="str">
        <f>IFERROR(INDEX(Product_lookup[Category],MATCH(RawWorking[[#This Row],[ProductID]],Product_lookup[ProductID],0)),"")</f>
        <v>Office</v>
      </c>
      <c r="L808" s="9">
        <f>IF(OR(RawWorking[[#This Row],[ShipDate]]="",RawWorking[[#This Row],[DeliveryDate]]=""),"",RawWorking[[#This Row],[DeliveryDate]]-RawWorking[[#This Row],[ShipDate]])</f>
        <v>3</v>
      </c>
      <c r="M808" s="9">
        <f>IF(COUNTIF(INDEX(RawWorking[OrderID],1):RawWorking[[#This Row],[OrderID]],RawWorking[[#This Row],[OrderID]])=1,1,0)</f>
        <v>1</v>
      </c>
      <c r="N808" s="4">
        <f>IFERROR(RawWorking[[#This Row],[LineAmount]]/RawWorking[[#This Row],[Quantity]],"")</f>
        <v>121.5</v>
      </c>
    </row>
    <row r="809" spans="1:14">
      <c r="A809">
        <v>50808</v>
      </c>
      <c r="B809">
        <v>30458</v>
      </c>
      <c r="C809" s="2">
        <v>45683</v>
      </c>
      <c r="D809">
        <v>2249</v>
      </c>
      <c r="E809">
        <v>1016</v>
      </c>
      <c r="F809">
        <v>4</v>
      </c>
      <c r="G809">
        <v>261.04000000000002</v>
      </c>
      <c r="H809" s="2">
        <v>45685</v>
      </c>
      <c r="I809" s="2">
        <v>45688</v>
      </c>
      <c r="J809" t="s">
        <v>9</v>
      </c>
      <c r="K809" s="2" t="str">
        <f>IFERROR(INDEX(Product_lookup[Category],MATCH(RawWorking[[#This Row],[ProductID]],Product_lookup[ProductID],0)),"")</f>
        <v>Sports</v>
      </c>
      <c r="L809" s="9">
        <f>IF(OR(RawWorking[[#This Row],[ShipDate]]="",RawWorking[[#This Row],[DeliveryDate]]=""),"",RawWorking[[#This Row],[DeliveryDate]]-RawWorking[[#This Row],[ShipDate]])</f>
        <v>3</v>
      </c>
      <c r="M809" s="9">
        <f>IF(COUNTIF(INDEX(RawWorking[OrderID],1):RawWorking[[#This Row],[OrderID]],RawWorking[[#This Row],[OrderID]])=1,1,0)</f>
        <v>1</v>
      </c>
      <c r="N809" s="4">
        <f>IFERROR(RawWorking[[#This Row],[LineAmount]]/RawWorking[[#This Row],[Quantity]],"")</f>
        <v>65.260000000000005</v>
      </c>
    </row>
    <row r="810" spans="1:14">
      <c r="A810">
        <v>50809</v>
      </c>
      <c r="B810">
        <v>30459</v>
      </c>
      <c r="C810" s="2">
        <v>45984</v>
      </c>
      <c r="D810">
        <v>2201</v>
      </c>
      <c r="E810">
        <v>1008</v>
      </c>
      <c r="F810">
        <v>1</v>
      </c>
      <c r="G810">
        <v>206.09</v>
      </c>
      <c r="H810" s="2">
        <v>45985</v>
      </c>
      <c r="I810" s="2">
        <v>45991</v>
      </c>
      <c r="J810" t="s">
        <v>9</v>
      </c>
      <c r="K810" s="2" t="str">
        <f>IFERROR(INDEX(Product_lookup[Category],MATCH(RawWorking[[#This Row],[ProductID]],Product_lookup[ProductID],0)),"")</f>
        <v>Home</v>
      </c>
      <c r="L810" s="9">
        <f>IF(OR(RawWorking[[#This Row],[ShipDate]]="",RawWorking[[#This Row],[DeliveryDate]]=""),"",RawWorking[[#This Row],[DeliveryDate]]-RawWorking[[#This Row],[ShipDate]])</f>
        <v>6</v>
      </c>
      <c r="M810" s="9">
        <f>IF(COUNTIF(INDEX(RawWorking[OrderID],1):RawWorking[[#This Row],[OrderID]],RawWorking[[#This Row],[OrderID]])=1,1,0)</f>
        <v>1</v>
      </c>
      <c r="N810" s="4">
        <f>IFERROR(RawWorking[[#This Row],[LineAmount]]/RawWorking[[#This Row],[Quantity]],"")</f>
        <v>206.09</v>
      </c>
    </row>
    <row r="811" spans="1:14">
      <c r="A811">
        <v>50810</v>
      </c>
      <c r="B811">
        <v>30460</v>
      </c>
      <c r="C811" s="2">
        <v>45779</v>
      </c>
      <c r="D811">
        <v>2155</v>
      </c>
      <c r="E811">
        <v>1014</v>
      </c>
      <c r="F811">
        <v>1</v>
      </c>
      <c r="G811">
        <v>215.34</v>
      </c>
      <c r="H811" s="2">
        <v>45782</v>
      </c>
      <c r="I811" s="2">
        <v>45790</v>
      </c>
      <c r="J811" t="s">
        <v>9</v>
      </c>
      <c r="K811" s="2" t="str">
        <f>IFERROR(INDEX(Product_lookup[Category],MATCH(RawWorking[[#This Row],[ProductID]],Product_lookup[ProductID],0)),"")</f>
        <v>Sports</v>
      </c>
      <c r="L811" s="9">
        <f>IF(OR(RawWorking[[#This Row],[ShipDate]]="",RawWorking[[#This Row],[DeliveryDate]]=""),"",RawWorking[[#This Row],[DeliveryDate]]-RawWorking[[#This Row],[ShipDate]])</f>
        <v>8</v>
      </c>
      <c r="M811" s="9">
        <f>IF(COUNTIF(INDEX(RawWorking[OrderID],1):RawWorking[[#This Row],[OrderID]],RawWorking[[#This Row],[OrderID]])=1,1,0)</f>
        <v>1</v>
      </c>
      <c r="N811" s="4">
        <f>IFERROR(RawWorking[[#This Row],[LineAmount]]/RawWorking[[#This Row],[Quantity]],"")</f>
        <v>215.34</v>
      </c>
    </row>
    <row r="812" spans="1:14">
      <c r="A812">
        <v>50811</v>
      </c>
      <c r="B812">
        <v>30461</v>
      </c>
      <c r="C812" s="2">
        <v>45696</v>
      </c>
      <c r="D812">
        <v>2025</v>
      </c>
      <c r="E812">
        <v>1012</v>
      </c>
      <c r="F812">
        <v>1</v>
      </c>
      <c r="G812">
        <v>241.54</v>
      </c>
      <c r="H812" s="2">
        <v>45697</v>
      </c>
      <c r="I812" s="2">
        <v>45706</v>
      </c>
      <c r="J812" t="s">
        <v>9</v>
      </c>
      <c r="K812" s="2" t="str">
        <f>IFERROR(INDEX(Product_lookup[Category],MATCH(RawWorking[[#This Row],[ProductID]],Product_lookup[ProductID],0)),"")</f>
        <v>Office</v>
      </c>
      <c r="L812" s="9">
        <f>IF(OR(RawWorking[[#This Row],[ShipDate]]="",RawWorking[[#This Row],[DeliveryDate]]=""),"",RawWorking[[#This Row],[DeliveryDate]]-RawWorking[[#This Row],[ShipDate]])</f>
        <v>9</v>
      </c>
      <c r="M812" s="9">
        <f>IF(COUNTIF(INDEX(RawWorking[OrderID],1):RawWorking[[#This Row],[OrderID]],RawWorking[[#This Row],[OrderID]])=1,1,0)</f>
        <v>1</v>
      </c>
      <c r="N812" s="4">
        <f>IFERROR(RawWorking[[#This Row],[LineAmount]]/RawWorking[[#This Row],[Quantity]],"")</f>
        <v>241.54</v>
      </c>
    </row>
    <row r="813" spans="1:14">
      <c r="A813">
        <v>50812</v>
      </c>
      <c r="B813">
        <v>30461</v>
      </c>
      <c r="C813" s="2">
        <v>45696</v>
      </c>
      <c r="D813">
        <v>2025</v>
      </c>
      <c r="E813">
        <v>1001</v>
      </c>
      <c r="F813">
        <v>1</v>
      </c>
      <c r="G813">
        <v>203.04</v>
      </c>
      <c r="H813" s="2">
        <v>45699</v>
      </c>
      <c r="I813" s="2">
        <v>45709</v>
      </c>
      <c r="J813" t="s">
        <v>9</v>
      </c>
      <c r="K813" s="2" t="str">
        <f>IFERROR(INDEX(Product_lookup[Category],MATCH(RawWorking[[#This Row],[ProductID]],Product_lookup[ProductID],0)),"")</f>
        <v>Electronics</v>
      </c>
      <c r="L813" s="9">
        <f>IF(OR(RawWorking[[#This Row],[ShipDate]]="",RawWorking[[#This Row],[DeliveryDate]]=""),"",RawWorking[[#This Row],[DeliveryDate]]-RawWorking[[#This Row],[ShipDate]])</f>
        <v>10</v>
      </c>
      <c r="M813" s="9">
        <f>IF(COUNTIF(INDEX(RawWorking[OrderID],1):RawWorking[[#This Row],[OrderID]],RawWorking[[#This Row],[OrderID]])=1,1,0)</f>
        <v>0</v>
      </c>
      <c r="N813" s="4">
        <f>IFERROR(RawWorking[[#This Row],[LineAmount]]/RawWorking[[#This Row],[Quantity]],"")</f>
        <v>203.04</v>
      </c>
    </row>
    <row r="814" spans="1:14">
      <c r="A814">
        <v>50813</v>
      </c>
      <c r="B814">
        <v>30461</v>
      </c>
      <c r="C814" s="2">
        <v>45696</v>
      </c>
      <c r="D814">
        <v>2025</v>
      </c>
      <c r="E814">
        <v>1011</v>
      </c>
      <c r="F814">
        <v>1</v>
      </c>
      <c r="G814">
        <v>101.44</v>
      </c>
      <c r="H814" s="2">
        <v>45699</v>
      </c>
      <c r="I814" s="2">
        <v>45701</v>
      </c>
      <c r="J814" t="s">
        <v>9</v>
      </c>
      <c r="K814" s="2" t="str">
        <f>IFERROR(INDEX(Product_lookup[Category],MATCH(RawWorking[[#This Row],[ProductID]],Product_lookup[ProductID],0)),"")</f>
        <v>Office</v>
      </c>
      <c r="L814" s="9">
        <f>IF(OR(RawWorking[[#This Row],[ShipDate]]="",RawWorking[[#This Row],[DeliveryDate]]=""),"",RawWorking[[#This Row],[DeliveryDate]]-RawWorking[[#This Row],[ShipDate]])</f>
        <v>2</v>
      </c>
      <c r="M814" s="9">
        <f>IF(COUNTIF(INDEX(RawWorking[OrderID],1):RawWorking[[#This Row],[OrderID]],RawWorking[[#This Row],[OrderID]])=1,1,0)</f>
        <v>0</v>
      </c>
      <c r="N814" s="4">
        <f>IFERROR(RawWorking[[#This Row],[LineAmount]]/RawWorking[[#This Row],[Quantity]],"")</f>
        <v>101.44</v>
      </c>
    </row>
    <row r="815" spans="1:14">
      <c r="A815">
        <v>50814</v>
      </c>
      <c r="B815">
        <v>30461</v>
      </c>
      <c r="C815" s="2">
        <v>45696</v>
      </c>
      <c r="D815">
        <v>2025</v>
      </c>
      <c r="E815">
        <v>1001</v>
      </c>
      <c r="F815">
        <v>4</v>
      </c>
      <c r="G815">
        <v>812.16</v>
      </c>
      <c r="H815" s="2">
        <v>45698</v>
      </c>
      <c r="I815" s="2">
        <v>45708</v>
      </c>
      <c r="J815" t="s">
        <v>9</v>
      </c>
      <c r="K815" s="2" t="str">
        <f>IFERROR(INDEX(Product_lookup[Category],MATCH(RawWorking[[#This Row],[ProductID]],Product_lookup[ProductID],0)),"")</f>
        <v>Electronics</v>
      </c>
      <c r="L815" s="9">
        <f>IF(OR(RawWorking[[#This Row],[ShipDate]]="",RawWorking[[#This Row],[DeliveryDate]]=""),"",RawWorking[[#This Row],[DeliveryDate]]-RawWorking[[#This Row],[ShipDate]])</f>
        <v>10</v>
      </c>
      <c r="M815" s="9">
        <f>IF(COUNTIF(INDEX(RawWorking[OrderID],1):RawWorking[[#This Row],[OrderID]],RawWorking[[#This Row],[OrderID]])=1,1,0)</f>
        <v>0</v>
      </c>
      <c r="N815" s="4">
        <f>IFERROR(RawWorking[[#This Row],[LineAmount]]/RawWorking[[#This Row],[Quantity]],"")</f>
        <v>203.04</v>
      </c>
    </row>
    <row r="816" spans="1:14">
      <c r="A816">
        <v>50815</v>
      </c>
      <c r="B816">
        <v>30462</v>
      </c>
      <c r="C816" s="2">
        <v>45783</v>
      </c>
      <c r="D816">
        <v>2386</v>
      </c>
      <c r="E816">
        <v>1010</v>
      </c>
      <c r="F816">
        <v>1</v>
      </c>
      <c r="G816">
        <v>121.5</v>
      </c>
      <c r="H816" s="2">
        <v>45874</v>
      </c>
      <c r="I816" s="2" t="s">
        <v>1421</v>
      </c>
      <c r="J816" t="s">
        <v>16</v>
      </c>
      <c r="K816" s="2" t="str">
        <f>IFERROR(INDEX(Product_lookup[Category],MATCH(RawWorking[[#This Row],[ProductID]],Product_lookup[ProductID],0)),"")</f>
        <v>Office</v>
      </c>
      <c r="L816" s="9" t="str">
        <f>IF(OR(RawWorking[[#This Row],[ShipDate]]="",RawWorking[[#This Row],[DeliveryDate]]=""),"",RawWorking[[#This Row],[DeliveryDate]]-RawWorking[[#This Row],[ShipDate]])</f>
        <v/>
      </c>
      <c r="M816" s="9">
        <f>IF(COUNTIF(INDEX(RawWorking[OrderID],1):RawWorking[[#This Row],[OrderID]],RawWorking[[#This Row],[OrderID]])=1,1,0)</f>
        <v>1</v>
      </c>
      <c r="N816" s="4">
        <f>IFERROR(RawWorking[[#This Row],[LineAmount]]/RawWorking[[#This Row],[Quantity]],"")</f>
        <v>121.5</v>
      </c>
    </row>
    <row r="817" spans="1:14">
      <c r="A817">
        <v>50816</v>
      </c>
      <c r="B817">
        <v>30463</v>
      </c>
      <c r="C817" s="2">
        <v>45927</v>
      </c>
      <c r="D817">
        <v>2543</v>
      </c>
      <c r="E817">
        <v>1014</v>
      </c>
      <c r="F817">
        <v>3</v>
      </c>
      <c r="G817">
        <v>646.02</v>
      </c>
      <c r="H817" s="2">
        <v>45929</v>
      </c>
      <c r="I817" s="2">
        <v>45938</v>
      </c>
      <c r="J817" t="s">
        <v>11</v>
      </c>
      <c r="K817" s="2" t="str">
        <f>IFERROR(INDEX(Product_lookup[Category],MATCH(RawWorking[[#This Row],[ProductID]],Product_lookup[ProductID],0)),"")</f>
        <v>Sports</v>
      </c>
      <c r="L817" s="9">
        <f>IF(OR(RawWorking[[#This Row],[ShipDate]]="",RawWorking[[#This Row],[DeliveryDate]]=""),"",RawWorking[[#This Row],[DeliveryDate]]-RawWorking[[#This Row],[ShipDate]])</f>
        <v>9</v>
      </c>
      <c r="M817" s="9">
        <f>IF(COUNTIF(INDEX(RawWorking[OrderID],1):RawWorking[[#This Row],[OrderID]],RawWorking[[#This Row],[OrderID]])=1,1,0)</f>
        <v>1</v>
      </c>
      <c r="N817" s="4">
        <f>IFERROR(RawWorking[[#This Row],[LineAmount]]/RawWorking[[#This Row],[Quantity]],"")</f>
        <v>215.34</v>
      </c>
    </row>
    <row r="818" spans="1:14">
      <c r="A818">
        <v>50817</v>
      </c>
      <c r="B818">
        <v>30464</v>
      </c>
      <c r="C818" s="2">
        <v>45750</v>
      </c>
      <c r="D818">
        <v>2504</v>
      </c>
      <c r="E818">
        <v>1005</v>
      </c>
      <c r="F818">
        <v>1</v>
      </c>
      <c r="G818">
        <v>31.73</v>
      </c>
      <c r="H818" s="2">
        <v>45752</v>
      </c>
      <c r="I818" s="2">
        <v>45812</v>
      </c>
      <c r="J818" t="s">
        <v>11</v>
      </c>
      <c r="K818" s="2" t="str">
        <f>IFERROR(INDEX(Product_lookup[Category],MATCH(RawWorking[[#This Row],[ProductID]],Product_lookup[ProductID],0)),"")</f>
        <v>Electronics</v>
      </c>
      <c r="L818" s="9">
        <f>IF(OR(RawWorking[[#This Row],[ShipDate]]="",RawWorking[[#This Row],[DeliveryDate]]=""),"",RawWorking[[#This Row],[DeliveryDate]]-RawWorking[[#This Row],[ShipDate]])</f>
        <v>60</v>
      </c>
      <c r="M818" s="9">
        <f>IF(COUNTIF(INDEX(RawWorking[OrderID],1):RawWorking[[#This Row],[OrderID]],RawWorking[[#This Row],[OrderID]])=1,1,0)</f>
        <v>1</v>
      </c>
      <c r="N818" s="4">
        <f>IFERROR(RawWorking[[#This Row],[LineAmount]]/RawWorking[[#This Row],[Quantity]],"")</f>
        <v>31.73</v>
      </c>
    </row>
    <row r="819" spans="1:14">
      <c r="A819">
        <v>50818</v>
      </c>
      <c r="B819">
        <v>30464</v>
      </c>
      <c r="C819" s="2">
        <v>45750</v>
      </c>
      <c r="D819">
        <v>2504</v>
      </c>
      <c r="E819">
        <v>1009</v>
      </c>
      <c r="F819">
        <v>2</v>
      </c>
      <c r="G819">
        <v>80.56</v>
      </c>
      <c r="H819" s="2">
        <v>45751</v>
      </c>
      <c r="I819" s="2">
        <v>45755</v>
      </c>
      <c r="J819" t="s">
        <v>11</v>
      </c>
      <c r="K819" s="2" t="str">
        <f>IFERROR(INDEX(Product_lookup[Category],MATCH(RawWorking[[#This Row],[ProductID]],Product_lookup[ProductID],0)),"")</f>
        <v>Home</v>
      </c>
      <c r="L819" s="9">
        <f>IF(OR(RawWorking[[#This Row],[ShipDate]]="",RawWorking[[#This Row],[DeliveryDate]]=""),"",RawWorking[[#This Row],[DeliveryDate]]-RawWorking[[#This Row],[ShipDate]])</f>
        <v>4</v>
      </c>
      <c r="M819" s="9">
        <f>IF(COUNTIF(INDEX(RawWorking[OrderID],1):RawWorking[[#This Row],[OrderID]],RawWorking[[#This Row],[OrderID]])=1,1,0)</f>
        <v>0</v>
      </c>
      <c r="N819" s="4">
        <f>IFERROR(RawWorking[[#This Row],[LineAmount]]/RawWorking[[#This Row],[Quantity]],"")</f>
        <v>40.28</v>
      </c>
    </row>
    <row r="820" spans="1:14">
      <c r="A820">
        <v>50819</v>
      </c>
      <c r="B820">
        <v>30465</v>
      </c>
      <c r="C820" s="2">
        <v>45872</v>
      </c>
      <c r="D820">
        <v>2096</v>
      </c>
      <c r="E820">
        <v>1008</v>
      </c>
      <c r="F820">
        <v>4</v>
      </c>
      <c r="G820">
        <v>824.36</v>
      </c>
      <c r="H820" s="2">
        <v>45874</v>
      </c>
      <c r="I820" s="2">
        <v>45883</v>
      </c>
      <c r="J820" t="s">
        <v>9</v>
      </c>
      <c r="K820" s="2" t="str">
        <f>IFERROR(INDEX(Product_lookup[Category],MATCH(RawWorking[[#This Row],[ProductID]],Product_lookup[ProductID],0)),"")</f>
        <v>Home</v>
      </c>
      <c r="L820" s="9">
        <f>IF(OR(RawWorking[[#This Row],[ShipDate]]="",RawWorking[[#This Row],[DeliveryDate]]=""),"",RawWorking[[#This Row],[DeliveryDate]]-RawWorking[[#This Row],[ShipDate]])</f>
        <v>9</v>
      </c>
      <c r="M820" s="9">
        <f>IF(COUNTIF(INDEX(RawWorking[OrderID],1):RawWorking[[#This Row],[OrderID]],RawWorking[[#This Row],[OrderID]])=1,1,0)</f>
        <v>1</v>
      </c>
      <c r="N820" s="4">
        <f>IFERROR(RawWorking[[#This Row],[LineAmount]]/RawWorking[[#This Row],[Quantity]],"")</f>
        <v>206.09</v>
      </c>
    </row>
    <row r="821" spans="1:14">
      <c r="A821">
        <v>50820</v>
      </c>
      <c r="B821">
        <v>30466</v>
      </c>
      <c r="C821" s="2">
        <v>45931</v>
      </c>
      <c r="D821">
        <v>2533</v>
      </c>
      <c r="E821">
        <v>1012</v>
      </c>
      <c r="F821">
        <v>1</v>
      </c>
      <c r="G821">
        <v>241.54</v>
      </c>
      <c r="H821" s="2">
        <v>45934</v>
      </c>
      <c r="I821" s="2">
        <v>45938</v>
      </c>
      <c r="J821" t="s">
        <v>9</v>
      </c>
      <c r="K821" s="2" t="str">
        <f>IFERROR(INDEX(Product_lookup[Category],MATCH(RawWorking[[#This Row],[ProductID]],Product_lookup[ProductID],0)),"")</f>
        <v>Office</v>
      </c>
      <c r="L821" s="9">
        <f>IF(OR(RawWorking[[#This Row],[ShipDate]]="",RawWorking[[#This Row],[DeliveryDate]]=""),"",RawWorking[[#This Row],[DeliveryDate]]-RawWorking[[#This Row],[ShipDate]])</f>
        <v>4</v>
      </c>
      <c r="M821" s="9">
        <f>IF(COUNTIF(INDEX(RawWorking[OrderID],1):RawWorking[[#This Row],[OrderID]],RawWorking[[#This Row],[OrderID]])=1,1,0)</f>
        <v>1</v>
      </c>
      <c r="N821" s="4">
        <f>IFERROR(RawWorking[[#This Row],[LineAmount]]/RawWorking[[#This Row],[Quantity]],"")</f>
        <v>241.54</v>
      </c>
    </row>
    <row r="822" spans="1:14">
      <c r="A822">
        <v>50821</v>
      </c>
      <c r="B822">
        <v>30466</v>
      </c>
      <c r="C822" s="2">
        <v>45667</v>
      </c>
      <c r="D822">
        <v>2533</v>
      </c>
      <c r="E822">
        <v>1015</v>
      </c>
      <c r="F822">
        <v>1</v>
      </c>
      <c r="G822">
        <v>119.74</v>
      </c>
      <c r="H822" s="2">
        <v>45934</v>
      </c>
      <c r="I822" s="2">
        <v>45940</v>
      </c>
      <c r="J822" t="s">
        <v>9</v>
      </c>
      <c r="K822" s="2" t="str">
        <f>IFERROR(INDEX(Product_lookup[Category],MATCH(RawWorking[[#This Row],[ProductID]],Product_lookup[ProductID],0)),"")</f>
        <v>Sports</v>
      </c>
      <c r="L822" s="9">
        <f>IF(OR(RawWorking[[#This Row],[ShipDate]]="",RawWorking[[#This Row],[DeliveryDate]]=""),"",RawWorking[[#This Row],[DeliveryDate]]-RawWorking[[#This Row],[ShipDate]])</f>
        <v>6</v>
      </c>
      <c r="M822" s="9">
        <f>IF(COUNTIF(INDEX(RawWorking[OrderID],1):RawWorking[[#This Row],[OrderID]],RawWorking[[#This Row],[OrderID]])=1,1,0)</f>
        <v>0</v>
      </c>
      <c r="N822" s="4">
        <f>IFERROR(RawWorking[[#This Row],[LineAmount]]/RawWorking[[#This Row],[Quantity]],"")</f>
        <v>119.74</v>
      </c>
    </row>
    <row r="823" spans="1:14">
      <c r="A823">
        <v>50822</v>
      </c>
      <c r="B823">
        <v>30466</v>
      </c>
      <c r="C823" s="2">
        <v>45931</v>
      </c>
      <c r="D823">
        <v>2533</v>
      </c>
      <c r="E823">
        <v>1003</v>
      </c>
      <c r="F823">
        <v>1</v>
      </c>
      <c r="G823">
        <v>224.37</v>
      </c>
      <c r="H823" s="2">
        <v>45934</v>
      </c>
      <c r="I823" s="2">
        <v>45935</v>
      </c>
      <c r="J823" t="s">
        <v>9</v>
      </c>
      <c r="K823" s="2" t="str">
        <f>IFERROR(INDEX(Product_lookup[Category],MATCH(RawWorking[[#This Row],[ProductID]],Product_lookup[ProductID],0)),"")</f>
        <v>Electronics</v>
      </c>
      <c r="L823" s="9">
        <f>IF(OR(RawWorking[[#This Row],[ShipDate]]="",RawWorking[[#This Row],[DeliveryDate]]=""),"",RawWorking[[#This Row],[DeliveryDate]]-RawWorking[[#This Row],[ShipDate]])</f>
        <v>1</v>
      </c>
      <c r="M823" s="9">
        <f>IF(COUNTIF(INDEX(RawWorking[OrderID],1):RawWorking[[#This Row],[OrderID]],RawWorking[[#This Row],[OrderID]])=1,1,0)</f>
        <v>0</v>
      </c>
      <c r="N823" s="4">
        <f>IFERROR(RawWorking[[#This Row],[LineAmount]]/RawWorking[[#This Row],[Quantity]],"")</f>
        <v>224.37</v>
      </c>
    </row>
    <row r="824" spans="1:14">
      <c r="A824">
        <v>50823</v>
      </c>
      <c r="B824">
        <v>30467</v>
      </c>
      <c r="C824" s="2">
        <v>45829</v>
      </c>
      <c r="D824">
        <v>2595</v>
      </c>
      <c r="E824">
        <v>1005</v>
      </c>
      <c r="F824">
        <v>1</v>
      </c>
      <c r="G824">
        <v>31.73</v>
      </c>
      <c r="H824" s="2">
        <v>45831</v>
      </c>
      <c r="I824" s="2">
        <v>45833</v>
      </c>
      <c r="J824" t="s">
        <v>9</v>
      </c>
      <c r="K824" s="2" t="str">
        <f>IFERROR(INDEX(Product_lookup[Category],MATCH(RawWorking[[#This Row],[ProductID]],Product_lookup[ProductID],0)),"")</f>
        <v>Electronics</v>
      </c>
      <c r="L824" s="9">
        <f>IF(OR(RawWorking[[#This Row],[ShipDate]]="",RawWorking[[#This Row],[DeliveryDate]]=""),"",RawWorking[[#This Row],[DeliveryDate]]-RawWorking[[#This Row],[ShipDate]])</f>
        <v>2</v>
      </c>
      <c r="M824" s="9">
        <f>IF(COUNTIF(INDEX(RawWorking[OrderID],1):RawWorking[[#This Row],[OrderID]],RawWorking[[#This Row],[OrderID]])=1,1,0)</f>
        <v>1</v>
      </c>
      <c r="N824" s="4">
        <f>IFERROR(RawWorking[[#This Row],[LineAmount]]/RawWorking[[#This Row],[Quantity]],"")</f>
        <v>31.73</v>
      </c>
    </row>
    <row r="825" spans="1:14">
      <c r="A825">
        <v>50824</v>
      </c>
      <c r="B825">
        <v>30468</v>
      </c>
      <c r="C825" s="2">
        <v>45729</v>
      </c>
      <c r="D825">
        <v>2404</v>
      </c>
      <c r="E825">
        <v>1002</v>
      </c>
      <c r="F825">
        <v>2</v>
      </c>
      <c r="G825">
        <v>237.2</v>
      </c>
      <c r="H825" s="2">
        <v>45730</v>
      </c>
      <c r="I825" s="2">
        <v>45734</v>
      </c>
      <c r="J825" t="s">
        <v>9</v>
      </c>
      <c r="K825" s="2" t="str">
        <f>IFERROR(INDEX(Product_lookup[Category],MATCH(RawWorking[[#This Row],[ProductID]],Product_lookup[ProductID],0)),"")</f>
        <v>Electronics</v>
      </c>
      <c r="L825" s="9">
        <f>IF(OR(RawWorking[[#This Row],[ShipDate]]="",RawWorking[[#This Row],[DeliveryDate]]=""),"",RawWorking[[#This Row],[DeliveryDate]]-RawWorking[[#This Row],[ShipDate]])</f>
        <v>4</v>
      </c>
      <c r="M825" s="9">
        <f>IF(COUNTIF(INDEX(RawWorking[OrderID],1):RawWorking[[#This Row],[OrderID]],RawWorking[[#This Row],[OrderID]])=1,1,0)</f>
        <v>1</v>
      </c>
      <c r="N825" s="4">
        <f>IFERROR(RawWorking[[#This Row],[LineAmount]]/RawWorking[[#This Row],[Quantity]],"")</f>
        <v>118.6</v>
      </c>
    </row>
    <row r="826" spans="1:14">
      <c r="A826">
        <v>50825</v>
      </c>
      <c r="B826">
        <v>30469</v>
      </c>
      <c r="C826" s="2">
        <v>45747</v>
      </c>
      <c r="D826">
        <v>2446</v>
      </c>
      <c r="E826">
        <v>1005</v>
      </c>
      <c r="F826">
        <v>2</v>
      </c>
      <c r="G826">
        <v>63.46</v>
      </c>
      <c r="H826" s="2">
        <v>45749</v>
      </c>
      <c r="I826" s="2">
        <v>45750</v>
      </c>
      <c r="J826" t="s">
        <v>9</v>
      </c>
      <c r="K826" s="2" t="str">
        <f>IFERROR(INDEX(Product_lookup[Category],MATCH(RawWorking[[#This Row],[ProductID]],Product_lookup[ProductID],0)),"")</f>
        <v>Electronics</v>
      </c>
      <c r="L826" s="9">
        <f>IF(OR(RawWorking[[#This Row],[ShipDate]]="",RawWorking[[#This Row],[DeliveryDate]]=""),"",RawWorking[[#This Row],[DeliveryDate]]-RawWorking[[#This Row],[ShipDate]])</f>
        <v>1</v>
      </c>
      <c r="M826" s="9">
        <f>IF(COUNTIF(INDEX(RawWorking[OrderID],1):RawWorking[[#This Row],[OrderID]],RawWorking[[#This Row],[OrderID]])=1,1,0)</f>
        <v>1</v>
      </c>
      <c r="N826" s="4">
        <f>IFERROR(RawWorking[[#This Row],[LineAmount]]/RawWorking[[#This Row],[Quantity]],"")</f>
        <v>31.73</v>
      </c>
    </row>
    <row r="827" spans="1:14">
      <c r="A827">
        <v>50826</v>
      </c>
      <c r="B827">
        <v>30469</v>
      </c>
      <c r="C827" s="2">
        <v>45747</v>
      </c>
      <c r="D827">
        <v>2446</v>
      </c>
      <c r="E827">
        <v>1008</v>
      </c>
      <c r="F827">
        <v>2</v>
      </c>
      <c r="G827">
        <v>412.18</v>
      </c>
      <c r="H827" s="2">
        <v>45749</v>
      </c>
      <c r="I827" s="2">
        <v>45781</v>
      </c>
      <c r="J827" t="s">
        <v>9</v>
      </c>
      <c r="K827" s="2" t="str">
        <f>IFERROR(INDEX(Product_lookup[Category],MATCH(RawWorking[[#This Row],[ProductID]],Product_lookup[ProductID],0)),"")</f>
        <v>Home</v>
      </c>
      <c r="L827" s="9">
        <f>IF(OR(RawWorking[[#This Row],[ShipDate]]="",RawWorking[[#This Row],[DeliveryDate]]=""),"",RawWorking[[#This Row],[DeliveryDate]]-RawWorking[[#This Row],[ShipDate]])</f>
        <v>32</v>
      </c>
      <c r="M827" s="9">
        <f>IF(COUNTIF(INDEX(RawWorking[OrderID],1):RawWorking[[#This Row],[OrderID]],RawWorking[[#This Row],[OrderID]])=1,1,0)</f>
        <v>0</v>
      </c>
      <c r="N827" s="4">
        <f>IFERROR(RawWorking[[#This Row],[LineAmount]]/RawWorking[[#This Row],[Quantity]],"")</f>
        <v>206.09</v>
      </c>
    </row>
    <row r="828" spans="1:14">
      <c r="A828">
        <v>50827</v>
      </c>
      <c r="B828">
        <v>30470</v>
      </c>
      <c r="C828" s="2">
        <v>46010</v>
      </c>
      <c r="D828">
        <v>2299</v>
      </c>
      <c r="E828">
        <v>1011</v>
      </c>
      <c r="F828">
        <v>3</v>
      </c>
      <c r="G828">
        <v>304.32</v>
      </c>
      <c r="H828" s="2">
        <v>46013</v>
      </c>
      <c r="I828" s="2">
        <v>46021</v>
      </c>
      <c r="J828" t="s">
        <v>9</v>
      </c>
      <c r="K828" s="2" t="str">
        <f>IFERROR(INDEX(Product_lookup[Category],MATCH(RawWorking[[#This Row],[ProductID]],Product_lookup[ProductID],0)),"")</f>
        <v>Office</v>
      </c>
      <c r="L828" s="9">
        <f>IF(OR(RawWorking[[#This Row],[ShipDate]]="",RawWorking[[#This Row],[DeliveryDate]]=""),"",RawWorking[[#This Row],[DeliveryDate]]-RawWorking[[#This Row],[ShipDate]])</f>
        <v>8</v>
      </c>
      <c r="M828" s="9">
        <f>IF(COUNTIF(INDEX(RawWorking[OrderID],1):RawWorking[[#This Row],[OrderID]],RawWorking[[#This Row],[OrderID]])=1,1,0)</f>
        <v>1</v>
      </c>
      <c r="N828" s="4">
        <f>IFERROR(RawWorking[[#This Row],[LineAmount]]/RawWorking[[#This Row],[Quantity]],"")</f>
        <v>101.44</v>
      </c>
    </row>
    <row r="829" spans="1:14">
      <c r="A829">
        <v>50828</v>
      </c>
      <c r="B829">
        <v>30470</v>
      </c>
      <c r="C829" s="2">
        <v>46010</v>
      </c>
      <c r="D829">
        <v>2299</v>
      </c>
      <c r="E829">
        <v>1013</v>
      </c>
      <c r="F829">
        <v>1</v>
      </c>
      <c r="G829">
        <v>170.25</v>
      </c>
      <c r="H829" s="2">
        <v>46013</v>
      </c>
      <c r="I829" s="2">
        <v>46018</v>
      </c>
      <c r="J829" t="s">
        <v>9</v>
      </c>
      <c r="K829" s="2" t="str">
        <f>IFERROR(INDEX(Product_lookup[Category],MATCH(RawWorking[[#This Row],[ProductID]],Product_lookup[ProductID],0)),"")</f>
        <v>Office</v>
      </c>
      <c r="L829" s="9">
        <f>IF(OR(RawWorking[[#This Row],[ShipDate]]="",RawWorking[[#This Row],[DeliveryDate]]=""),"",RawWorking[[#This Row],[DeliveryDate]]-RawWorking[[#This Row],[ShipDate]])</f>
        <v>5</v>
      </c>
      <c r="M829" s="9">
        <f>IF(COUNTIF(INDEX(RawWorking[OrderID],1):RawWorking[[#This Row],[OrderID]],RawWorking[[#This Row],[OrderID]])=1,1,0)</f>
        <v>0</v>
      </c>
      <c r="N829" s="4">
        <f>IFERROR(RawWorking[[#This Row],[LineAmount]]/RawWorking[[#This Row],[Quantity]],"")</f>
        <v>170.25</v>
      </c>
    </row>
    <row r="830" spans="1:14">
      <c r="A830">
        <v>50829</v>
      </c>
      <c r="B830">
        <v>30471</v>
      </c>
      <c r="C830" s="2">
        <v>46019</v>
      </c>
      <c r="D830">
        <v>2335</v>
      </c>
      <c r="E830">
        <v>1009</v>
      </c>
      <c r="F830">
        <v>1</v>
      </c>
      <c r="G830">
        <v>40.28</v>
      </c>
      <c r="H830" s="2">
        <v>46022</v>
      </c>
      <c r="I830" s="2">
        <v>46023</v>
      </c>
      <c r="J830" t="s">
        <v>9</v>
      </c>
      <c r="K830" s="2" t="str">
        <f>IFERROR(INDEX(Product_lookup[Category],MATCH(RawWorking[[#This Row],[ProductID]],Product_lookup[ProductID],0)),"")</f>
        <v>Home</v>
      </c>
      <c r="L830" s="9">
        <f>IF(OR(RawWorking[[#This Row],[ShipDate]]="",RawWorking[[#This Row],[DeliveryDate]]=""),"",RawWorking[[#This Row],[DeliveryDate]]-RawWorking[[#This Row],[ShipDate]])</f>
        <v>1</v>
      </c>
      <c r="M830" s="9">
        <f>IF(COUNTIF(INDEX(RawWorking[OrderID],1):RawWorking[[#This Row],[OrderID]],RawWorking[[#This Row],[OrderID]])=1,1,0)</f>
        <v>1</v>
      </c>
      <c r="N830" s="4">
        <f>IFERROR(RawWorking[[#This Row],[LineAmount]]/RawWorking[[#This Row],[Quantity]],"")</f>
        <v>40.28</v>
      </c>
    </row>
    <row r="831" spans="1:14">
      <c r="A831">
        <v>50830</v>
      </c>
      <c r="B831">
        <v>30471</v>
      </c>
      <c r="C831" s="2">
        <v>46019</v>
      </c>
      <c r="D831">
        <v>2335</v>
      </c>
      <c r="E831">
        <v>1008</v>
      </c>
      <c r="F831">
        <v>1</v>
      </c>
      <c r="G831">
        <v>206.09</v>
      </c>
      <c r="H831" s="2">
        <v>46020</v>
      </c>
      <c r="I831" s="2">
        <v>46021</v>
      </c>
      <c r="J831" t="s">
        <v>9</v>
      </c>
      <c r="K831" s="2" t="str">
        <f>IFERROR(INDEX(Product_lookup[Category],MATCH(RawWorking[[#This Row],[ProductID]],Product_lookup[ProductID],0)),"")</f>
        <v>Home</v>
      </c>
      <c r="L831" s="9">
        <f>IF(OR(RawWorking[[#This Row],[ShipDate]]="",RawWorking[[#This Row],[DeliveryDate]]=""),"",RawWorking[[#This Row],[DeliveryDate]]-RawWorking[[#This Row],[ShipDate]])</f>
        <v>1</v>
      </c>
      <c r="M831" s="9">
        <f>IF(COUNTIF(INDEX(RawWorking[OrderID],1):RawWorking[[#This Row],[OrderID]],RawWorking[[#This Row],[OrderID]])=1,1,0)</f>
        <v>0</v>
      </c>
      <c r="N831" s="4">
        <f>IFERROR(RawWorking[[#This Row],[LineAmount]]/RawWorking[[#This Row],[Quantity]],"")</f>
        <v>206.09</v>
      </c>
    </row>
    <row r="832" spans="1:14">
      <c r="A832">
        <v>50831</v>
      </c>
      <c r="B832">
        <v>30471</v>
      </c>
      <c r="C832" s="2">
        <v>46019</v>
      </c>
      <c r="D832">
        <v>2335</v>
      </c>
      <c r="E832">
        <v>1003</v>
      </c>
      <c r="F832">
        <v>2</v>
      </c>
      <c r="G832">
        <v>448.74</v>
      </c>
      <c r="H832" s="2">
        <v>46020</v>
      </c>
      <c r="I832" s="2">
        <v>46021</v>
      </c>
      <c r="J832" t="s">
        <v>9</v>
      </c>
      <c r="K832" s="2" t="str">
        <f>IFERROR(INDEX(Product_lookup[Category],MATCH(RawWorking[[#This Row],[ProductID]],Product_lookup[ProductID],0)),"")</f>
        <v>Electronics</v>
      </c>
      <c r="L832" s="9">
        <f>IF(OR(RawWorking[[#This Row],[ShipDate]]="",RawWorking[[#This Row],[DeliveryDate]]=""),"",RawWorking[[#This Row],[DeliveryDate]]-RawWorking[[#This Row],[ShipDate]])</f>
        <v>1</v>
      </c>
      <c r="M832" s="9">
        <f>IF(COUNTIF(INDEX(RawWorking[OrderID],1):RawWorking[[#This Row],[OrderID]],RawWorking[[#This Row],[OrderID]])=1,1,0)</f>
        <v>0</v>
      </c>
      <c r="N832" s="4">
        <f>IFERROR(RawWorking[[#This Row],[LineAmount]]/RawWorking[[#This Row],[Quantity]],"")</f>
        <v>224.37</v>
      </c>
    </row>
    <row r="833" spans="1:14">
      <c r="A833">
        <v>50832</v>
      </c>
      <c r="B833">
        <v>30471</v>
      </c>
      <c r="C833" s="2">
        <v>46019</v>
      </c>
      <c r="D833">
        <v>2335</v>
      </c>
      <c r="E833">
        <v>1007</v>
      </c>
      <c r="F833">
        <v>2</v>
      </c>
      <c r="G833">
        <v>399.62</v>
      </c>
      <c r="H833" s="2">
        <v>46021</v>
      </c>
      <c r="I833" s="2">
        <v>46030</v>
      </c>
      <c r="J833" t="s">
        <v>9</v>
      </c>
      <c r="K833" s="2" t="str">
        <f>IFERROR(INDEX(Product_lookup[Category],MATCH(RawWorking[[#This Row],[ProductID]],Product_lookup[ProductID],0)),"")</f>
        <v>Home</v>
      </c>
      <c r="L833" s="9">
        <f>IF(OR(RawWorking[[#This Row],[ShipDate]]="",RawWorking[[#This Row],[DeliveryDate]]=""),"",RawWorking[[#This Row],[DeliveryDate]]-RawWorking[[#This Row],[ShipDate]])</f>
        <v>9</v>
      </c>
      <c r="M833" s="9">
        <f>IF(COUNTIF(INDEX(RawWorking[OrderID],1):RawWorking[[#This Row],[OrderID]],RawWorking[[#This Row],[OrderID]])=1,1,0)</f>
        <v>0</v>
      </c>
      <c r="N833" s="4">
        <f>IFERROR(RawWorking[[#This Row],[LineAmount]]/RawWorking[[#This Row],[Quantity]],"")</f>
        <v>199.81</v>
      </c>
    </row>
    <row r="834" spans="1:14">
      <c r="A834">
        <v>50833</v>
      </c>
      <c r="B834">
        <v>30472</v>
      </c>
      <c r="C834" s="2">
        <v>45975</v>
      </c>
      <c r="D834">
        <v>2140</v>
      </c>
      <c r="E834">
        <v>1004</v>
      </c>
      <c r="F834">
        <v>2</v>
      </c>
      <c r="G834">
        <v>367.48</v>
      </c>
      <c r="H834" s="2">
        <v>46123</v>
      </c>
      <c r="I834" s="2" t="s">
        <v>1421</v>
      </c>
      <c r="J834" t="s">
        <v>16</v>
      </c>
      <c r="K834" s="2" t="str">
        <f>IFERROR(INDEX(Product_lookup[Category],MATCH(RawWorking[[#This Row],[ProductID]],Product_lookup[ProductID],0)),"")</f>
        <v>Electronics</v>
      </c>
      <c r="L834" s="9" t="str">
        <f>IF(OR(RawWorking[[#This Row],[ShipDate]]="",RawWorking[[#This Row],[DeliveryDate]]=""),"",RawWorking[[#This Row],[DeliveryDate]]-RawWorking[[#This Row],[ShipDate]])</f>
        <v/>
      </c>
      <c r="M834" s="9">
        <f>IF(COUNTIF(INDEX(RawWorking[OrderID],1):RawWorking[[#This Row],[OrderID]],RawWorking[[#This Row],[OrderID]])=1,1,0)</f>
        <v>1</v>
      </c>
      <c r="N834" s="4">
        <f>IFERROR(RawWorking[[#This Row],[LineAmount]]/RawWorking[[#This Row],[Quantity]],"")</f>
        <v>183.74</v>
      </c>
    </row>
    <row r="835" spans="1:14">
      <c r="A835">
        <v>50834</v>
      </c>
      <c r="B835">
        <v>30472</v>
      </c>
      <c r="C835" s="2">
        <v>45975</v>
      </c>
      <c r="D835">
        <v>2140</v>
      </c>
      <c r="E835">
        <v>1006</v>
      </c>
      <c r="F835">
        <v>3</v>
      </c>
      <c r="G835">
        <v>761.58</v>
      </c>
      <c r="H835" s="2" t="s">
        <v>1421</v>
      </c>
      <c r="I835" s="2" t="s">
        <v>1421</v>
      </c>
      <c r="J835" t="s">
        <v>16</v>
      </c>
      <c r="K835" s="2" t="str">
        <f>IFERROR(INDEX(Product_lookup[Category],MATCH(RawWorking[[#This Row],[ProductID]],Product_lookup[ProductID],0)),"")</f>
        <v>Home</v>
      </c>
      <c r="L835" s="9" t="str">
        <f>IF(OR(RawWorking[[#This Row],[ShipDate]]="",RawWorking[[#This Row],[DeliveryDate]]=""),"",RawWorking[[#This Row],[DeliveryDate]]-RawWorking[[#This Row],[ShipDate]])</f>
        <v/>
      </c>
      <c r="M835" s="9">
        <f>IF(COUNTIF(INDEX(RawWorking[OrderID],1):RawWorking[[#This Row],[OrderID]],RawWorking[[#This Row],[OrderID]])=1,1,0)</f>
        <v>0</v>
      </c>
      <c r="N835" s="4">
        <f>IFERROR(RawWorking[[#This Row],[LineAmount]]/RawWorking[[#This Row],[Quantity]],"")</f>
        <v>253.86</v>
      </c>
    </row>
    <row r="836" spans="1:14">
      <c r="A836">
        <v>50835</v>
      </c>
      <c r="B836">
        <v>30473</v>
      </c>
      <c r="C836" s="2">
        <v>45726</v>
      </c>
      <c r="D836">
        <v>2322</v>
      </c>
      <c r="E836">
        <v>1012</v>
      </c>
      <c r="F836">
        <v>1</v>
      </c>
      <c r="G836">
        <v>241.54</v>
      </c>
      <c r="H836" s="2">
        <v>45934</v>
      </c>
      <c r="I836" s="2">
        <v>45940</v>
      </c>
      <c r="J836" t="s">
        <v>9</v>
      </c>
      <c r="K836" s="2" t="str">
        <f>IFERROR(INDEX(Product_lookup[Category],MATCH(RawWorking[[#This Row],[ProductID]],Product_lookup[ProductID],0)),"")</f>
        <v>Office</v>
      </c>
      <c r="L836" s="9">
        <f>IF(OR(RawWorking[[#This Row],[ShipDate]]="",RawWorking[[#This Row],[DeliveryDate]]=""),"",RawWorking[[#This Row],[DeliveryDate]]-RawWorking[[#This Row],[ShipDate]])</f>
        <v>6</v>
      </c>
      <c r="M836" s="9">
        <f>IF(COUNTIF(INDEX(RawWorking[OrderID],1):RawWorking[[#This Row],[OrderID]],RawWorking[[#This Row],[OrderID]])=1,1,0)</f>
        <v>1</v>
      </c>
      <c r="N836" s="4">
        <f>IFERROR(RawWorking[[#This Row],[LineAmount]]/RawWorking[[#This Row],[Quantity]],"")</f>
        <v>241.54</v>
      </c>
    </row>
    <row r="837" spans="1:14">
      <c r="A837">
        <v>50836</v>
      </c>
      <c r="B837">
        <v>30473</v>
      </c>
      <c r="C837" s="2">
        <v>45726</v>
      </c>
      <c r="D837">
        <v>2322</v>
      </c>
      <c r="E837">
        <v>1007</v>
      </c>
      <c r="F837">
        <v>1</v>
      </c>
      <c r="G837">
        <v>199.81</v>
      </c>
      <c r="H837" s="2">
        <v>45757</v>
      </c>
      <c r="I837" s="2">
        <v>45943</v>
      </c>
      <c r="J837" t="s">
        <v>9</v>
      </c>
      <c r="K837" s="2" t="str">
        <f>IFERROR(INDEX(Product_lookup[Category],MATCH(RawWorking[[#This Row],[ProductID]],Product_lookup[ProductID],0)),"")</f>
        <v>Home</v>
      </c>
      <c r="L837" s="9">
        <f>IF(OR(RawWorking[[#This Row],[ShipDate]]="",RawWorking[[#This Row],[DeliveryDate]]=""),"",RawWorking[[#This Row],[DeliveryDate]]-RawWorking[[#This Row],[ShipDate]])</f>
        <v>186</v>
      </c>
      <c r="M837" s="9">
        <f>IF(COUNTIF(INDEX(RawWorking[OrderID],1):RawWorking[[#This Row],[OrderID]],RawWorking[[#This Row],[OrderID]])=1,1,0)</f>
        <v>0</v>
      </c>
      <c r="N837" s="4">
        <f>IFERROR(RawWorking[[#This Row],[LineAmount]]/RawWorking[[#This Row],[Quantity]],"")</f>
        <v>199.81</v>
      </c>
    </row>
    <row r="838" spans="1:14">
      <c r="A838">
        <v>50837</v>
      </c>
      <c r="B838">
        <v>30473</v>
      </c>
      <c r="C838" s="2">
        <v>45933</v>
      </c>
      <c r="D838">
        <v>2322</v>
      </c>
      <c r="E838">
        <v>1015</v>
      </c>
      <c r="F838">
        <v>2</v>
      </c>
      <c r="G838">
        <v>239.48</v>
      </c>
      <c r="H838" s="2">
        <v>45935</v>
      </c>
      <c r="I838" s="2">
        <v>45940</v>
      </c>
      <c r="J838" t="s">
        <v>9</v>
      </c>
      <c r="K838" s="2" t="str">
        <f>IFERROR(INDEX(Product_lookup[Category],MATCH(RawWorking[[#This Row],[ProductID]],Product_lookup[ProductID],0)),"")</f>
        <v>Sports</v>
      </c>
      <c r="L838" s="9">
        <f>IF(OR(RawWorking[[#This Row],[ShipDate]]="",RawWorking[[#This Row],[DeliveryDate]]=""),"",RawWorking[[#This Row],[DeliveryDate]]-RawWorking[[#This Row],[ShipDate]])</f>
        <v>5</v>
      </c>
      <c r="M838" s="9">
        <f>IF(COUNTIF(INDEX(RawWorking[OrderID],1):RawWorking[[#This Row],[OrderID]],RawWorking[[#This Row],[OrderID]])=1,1,0)</f>
        <v>0</v>
      </c>
      <c r="N838" s="4">
        <f>IFERROR(RawWorking[[#This Row],[LineAmount]]/RawWorking[[#This Row],[Quantity]],"")</f>
        <v>119.74</v>
      </c>
    </row>
    <row r="839" spans="1:14">
      <c r="A839">
        <v>50838</v>
      </c>
      <c r="B839">
        <v>30474</v>
      </c>
      <c r="C839" s="2">
        <v>45665</v>
      </c>
      <c r="D839">
        <v>2316</v>
      </c>
      <c r="E839">
        <v>1004</v>
      </c>
      <c r="F839">
        <v>2</v>
      </c>
      <c r="G839">
        <v>367.48</v>
      </c>
      <c r="H839" s="2">
        <v>45666</v>
      </c>
      <c r="I839" s="2">
        <v>45670</v>
      </c>
      <c r="J839" t="s">
        <v>9</v>
      </c>
      <c r="K839" s="2" t="str">
        <f>IFERROR(INDEX(Product_lookup[Category],MATCH(RawWorking[[#This Row],[ProductID]],Product_lookup[ProductID],0)),"")</f>
        <v>Electronics</v>
      </c>
      <c r="L839" s="9">
        <f>IF(OR(RawWorking[[#This Row],[ShipDate]]="",RawWorking[[#This Row],[DeliveryDate]]=""),"",RawWorking[[#This Row],[DeliveryDate]]-RawWorking[[#This Row],[ShipDate]])</f>
        <v>4</v>
      </c>
      <c r="M839" s="9">
        <f>IF(COUNTIF(INDEX(RawWorking[OrderID],1):RawWorking[[#This Row],[OrderID]],RawWorking[[#This Row],[OrderID]])=1,1,0)</f>
        <v>1</v>
      </c>
      <c r="N839" s="4">
        <f>IFERROR(RawWorking[[#This Row],[LineAmount]]/RawWorking[[#This Row],[Quantity]],"")</f>
        <v>183.74</v>
      </c>
    </row>
    <row r="840" spans="1:14">
      <c r="A840">
        <v>50839</v>
      </c>
      <c r="B840">
        <v>30475</v>
      </c>
      <c r="C840" s="2">
        <v>45732</v>
      </c>
      <c r="D840">
        <v>2093</v>
      </c>
      <c r="E840">
        <v>1010</v>
      </c>
      <c r="F840">
        <v>3</v>
      </c>
      <c r="G840">
        <v>364.5</v>
      </c>
      <c r="H840" s="2">
        <v>45735</v>
      </c>
      <c r="I840" s="2">
        <v>45743</v>
      </c>
      <c r="J840" t="s">
        <v>9</v>
      </c>
      <c r="K840" s="2" t="str">
        <f>IFERROR(INDEX(Product_lookup[Category],MATCH(RawWorking[[#This Row],[ProductID]],Product_lookup[ProductID],0)),"")</f>
        <v>Office</v>
      </c>
      <c r="L840" s="9">
        <f>IF(OR(RawWorking[[#This Row],[ShipDate]]="",RawWorking[[#This Row],[DeliveryDate]]=""),"",RawWorking[[#This Row],[DeliveryDate]]-RawWorking[[#This Row],[ShipDate]])</f>
        <v>8</v>
      </c>
      <c r="M840" s="9">
        <f>IF(COUNTIF(INDEX(RawWorking[OrderID],1):RawWorking[[#This Row],[OrderID]],RawWorking[[#This Row],[OrderID]])=1,1,0)</f>
        <v>1</v>
      </c>
      <c r="N840" s="4">
        <f>IFERROR(RawWorking[[#This Row],[LineAmount]]/RawWorking[[#This Row],[Quantity]],"")</f>
        <v>121.5</v>
      </c>
    </row>
    <row r="841" spans="1:14">
      <c r="A841">
        <v>50840</v>
      </c>
      <c r="B841">
        <v>30476</v>
      </c>
      <c r="C841" s="2">
        <v>45688</v>
      </c>
      <c r="D841">
        <v>2042</v>
      </c>
      <c r="E841">
        <v>1011</v>
      </c>
      <c r="F841">
        <v>4</v>
      </c>
      <c r="G841">
        <v>405.76</v>
      </c>
      <c r="H841" s="2">
        <v>45689</v>
      </c>
      <c r="I841" s="2">
        <v>45691</v>
      </c>
      <c r="J841" t="s">
        <v>9</v>
      </c>
      <c r="K841" s="2" t="str">
        <f>IFERROR(INDEX(Product_lookup[Category],MATCH(RawWorking[[#This Row],[ProductID]],Product_lookup[ProductID],0)),"")</f>
        <v>Office</v>
      </c>
      <c r="L841" s="9">
        <f>IF(OR(RawWorking[[#This Row],[ShipDate]]="",RawWorking[[#This Row],[DeliveryDate]]=""),"",RawWorking[[#This Row],[DeliveryDate]]-RawWorking[[#This Row],[ShipDate]])</f>
        <v>2</v>
      </c>
      <c r="M841" s="9">
        <f>IF(COUNTIF(INDEX(RawWorking[OrderID],1):RawWorking[[#This Row],[OrderID]],RawWorking[[#This Row],[OrderID]])=1,1,0)</f>
        <v>1</v>
      </c>
      <c r="N841" s="4">
        <f>IFERROR(RawWorking[[#This Row],[LineAmount]]/RawWorking[[#This Row],[Quantity]],"")</f>
        <v>101.44</v>
      </c>
    </row>
    <row r="842" spans="1:14">
      <c r="A842">
        <v>50841</v>
      </c>
      <c r="B842">
        <v>30477</v>
      </c>
      <c r="C842" s="2">
        <v>45916</v>
      </c>
      <c r="D842">
        <v>2152</v>
      </c>
      <c r="E842">
        <v>1008</v>
      </c>
      <c r="F842">
        <v>1</v>
      </c>
      <c r="G842">
        <v>206.09</v>
      </c>
      <c r="H842" s="2">
        <v>45918</v>
      </c>
      <c r="I842" s="2">
        <v>45921</v>
      </c>
      <c r="J842" t="s">
        <v>9</v>
      </c>
      <c r="K842" s="2" t="str">
        <f>IFERROR(INDEX(Product_lookup[Category],MATCH(RawWorking[[#This Row],[ProductID]],Product_lookup[ProductID],0)),"")</f>
        <v>Home</v>
      </c>
      <c r="L842" s="9">
        <f>IF(OR(RawWorking[[#This Row],[ShipDate]]="",RawWorking[[#This Row],[DeliveryDate]]=""),"",RawWorking[[#This Row],[DeliveryDate]]-RawWorking[[#This Row],[ShipDate]])</f>
        <v>3</v>
      </c>
      <c r="M842" s="9">
        <f>IF(COUNTIF(INDEX(RawWorking[OrderID],1):RawWorking[[#This Row],[OrderID]],RawWorking[[#This Row],[OrderID]])=1,1,0)</f>
        <v>1</v>
      </c>
      <c r="N842" s="4">
        <f>IFERROR(RawWorking[[#This Row],[LineAmount]]/RawWorking[[#This Row],[Quantity]],"")</f>
        <v>206.09</v>
      </c>
    </row>
    <row r="843" spans="1:14">
      <c r="A843">
        <v>50842</v>
      </c>
      <c r="B843">
        <v>30477</v>
      </c>
      <c r="C843" s="2">
        <v>45916</v>
      </c>
      <c r="D843">
        <v>2152</v>
      </c>
      <c r="E843">
        <v>1012</v>
      </c>
      <c r="F843">
        <v>1</v>
      </c>
      <c r="G843">
        <v>241.54</v>
      </c>
      <c r="H843" s="2">
        <v>45917</v>
      </c>
      <c r="I843" s="2">
        <v>45925</v>
      </c>
      <c r="J843" t="s">
        <v>9</v>
      </c>
      <c r="K843" s="2" t="str">
        <f>IFERROR(INDEX(Product_lookup[Category],MATCH(RawWorking[[#This Row],[ProductID]],Product_lookup[ProductID],0)),"")</f>
        <v>Office</v>
      </c>
      <c r="L843" s="9">
        <f>IF(OR(RawWorking[[#This Row],[ShipDate]]="",RawWorking[[#This Row],[DeliveryDate]]=""),"",RawWorking[[#This Row],[DeliveryDate]]-RawWorking[[#This Row],[ShipDate]])</f>
        <v>8</v>
      </c>
      <c r="M843" s="9">
        <f>IF(COUNTIF(INDEX(RawWorking[OrderID],1):RawWorking[[#This Row],[OrderID]],RawWorking[[#This Row],[OrderID]])=1,1,0)</f>
        <v>0</v>
      </c>
      <c r="N843" s="4">
        <f>IFERROR(RawWorking[[#This Row],[LineAmount]]/RawWorking[[#This Row],[Quantity]],"")</f>
        <v>241.54</v>
      </c>
    </row>
    <row r="844" spans="1:14">
      <c r="A844">
        <v>50843</v>
      </c>
      <c r="B844">
        <v>30478</v>
      </c>
      <c r="C844" s="2">
        <v>45883</v>
      </c>
      <c r="D844">
        <v>2406</v>
      </c>
      <c r="E844">
        <v>1010</v>
      </c>
      <c r="F844">
        <v>2</v>
      </c>
      <c r="G844">
        <v>243</v>
      </c>
      <c r="H844" s="2">
        <v>45884</v>
      </c>
      <c r="I844" s="2">
        <v>45894</v>
      </c>
      <c r="J844" t="s">
        <v>9</v>
      </c>
      <c r="K844" s="2" t="str">
        <f>IFERROR(INDEX(Product_lookup[Category],MATCH(RawWorking[[#This Row],[ProductID]],Product_lookup[ProductID],0)),"")</f>
        <v>Office</v>
      </c>
      <c r="L844" s="9">
        <f>IF(OR(RawWorking[[#This Row],[ShipDate]]="",RawWorking[[#This Row],[DeliveryDate]]=""),"",RawWorking[[#This Row],[DeliveryDate]]-RawWorking[[#This Row],[ShipDate]])</f>
        <v>10</v>
      </c>
      <c r="M844" s="9">
        <f>IF(COUNTIF(INDEX(RawWorking[OrderID],1):RawWorking[[#This Row],[OrderID]],RawWorking[[#This Row],[OrderID]])=1,1,0)</f>
        <v>1</v>
      </c>
      <c r="N844" s="4">
        <f>IFERROR(RawWorking[[#This Row],[LineAmount]]/RawWorking[[#This Row],[Quantity]],"")</f>
        <v>121.5</v>
      </c>
    </row>
    <row r="845" spans="1:14">
      <c r="A845">
        <v>50844</v>
      </c>
      <c r="B845">
        <v>30479</v>
      </c>
      <c r="C845" s="2">
        <v>46004</v>
      </c>
      <c r="D845">
        <v>2267</v>
      </c>
      <c r="E845">
        <v>1006</v>
      </c>
      <c r="F845">
        <v>1</v>
      </c>
      <c r="G845">
        <v>253.86</v>
      </c>
      <c r="H845" s="2">
        <v>46005</v>
      </c>
      <c r="I845" s="2" t="s">
        <v>1421</v>
      </c>
      <c r="J845" t="s">
        <v>16</v>
      </c>
      <c r="K845" s="2" t="str">
        <f>IFERROR(INDEX(Product_lookup[Category],MATCH(RawWorking[[#This Row],[ProductID]],Product_lookup[ProductID],0)),"")</f>
        <v>Home</v>
      </c>
      <c r="L845" s="9" t="str">
        <f>IF(OR(RawWorking[[#This Row],[ShipDate]]="",RawWorking[[#This Row],[DeliveryDate]]=""),"",RawWorking[[#This Row],[DeliveryDate]]-RawWorking[[#This Row],[ShipDate]])</f>
        <v/>
      </c>
      <c r="M845" s="9">
        <f>IF(COUNTIF(INDEX(RawWorking[OrderID],1):RawWorking[[#This Row],[OrderID]],RawWorking[[#This Row],[OrderID]])=1,1,0)</f>
        <v>1</v>
      </c>
      <c r="N845" s="4">
        <f>IFERROR(RawWorking[[#This Row],[LineAmount]]/RawWorking[[#This Row],[Quantity]],"")</f>
        <v>253.86</v>
      </c>
    </row>
    <row r="846" spans="1:14">
      <c r="A846">
        <v>50845</v>
      </c>
      <c r="B846">
        <v>30479</v>
      </c>
      <c r="C846" s="2">
        <v>46004</v>
      </c>
      <c r="D846">
        <v>2267</v>
      </c>
      <c r="E846">
        <v>1013</v>
      </c>
      <c r="F846">
        <v>1</v>
      </c>
      <c r="G846">
        <v>170.25</v>
      </c>
      <c r="H846" s="2" t="s">
        <v>1421</v>
      </c>
      <c r="I846" s="2" t="s">
        <v>1421</v>
      </c>
      <c r="J846" t="s">
        <v>16</v>
      </c>
      <c r="K846" s="2" t="str">
        <f>IFERROR(INDEX(Product_lookup[Category],MATCH(RawWorking[[#This Row],[ProductID]],Product_lookup[ProductID],0)),"")</f>
        <v>Office</v>
      </c>
      <c r="L846" s="9" t="str">
        <f>IF(OR(RawWorking[[#This Row],[ShipDate]]="",RawWorking[[#This Row],[DeliveryDate]]=""),"",RawWorking[[#This Row],[DeliveryDate]]-RawWorking[[#This Row],[ShipDate]])</f>
        <v/>
      </c>
      <c r="M846" s="9">
        <f>IF(COUNTIF(INDEX(RawWorking[OrderID],1):RawWorking[[#This Row],[OrderID]],RawWorking[[#This Row],[OrderID]])=1,1,0)</f>
        <v>0</v>
      </c>
      <c r="N846" s="4">
        <f>IFERROR(RawWorking[[#This Row],[LineAmount]]/RawWorking[[#This Row],[Quantity]],"")</f>
        <v>170.25</v>
      </c>
    </row>
    <row r="847" spans="1:14">
      <c r="A847">
        <v>50846</v>
      </c>
      <c r="B847">
        <v>30480</v>
      </c>
      <c r="C847" s="2">
        <v>45835</v>
      </c>
      <c r="D847">
        <v>2570</v>
      </c>
      <c r="E847">
        <v>1008</v>
      </c>
      <c r="F847">
        <v>1</v>
      </c>
      <c r="G847">
        <v>206.09</v>
      </c>
      <c r="H847" s="2">
        <v>45837</v>
      </c>
      <c r="I847" s="2">
        <v>45842</v>
      </c>
      <c r="J847" t="s">
        <v>9</v>
      </c>
      <c r="K847" s="2" t="str">
        <f>IFERROR(INDEX(Product_lookup[Category],MATCH(RawWorking[[#This Row],[ProductID]],Product_lookup[ProductID],0)),"")</f>
        <v>Home</v>
      </c>
      <c r="L847" s="9">
        <f>IF(OR(RawWorking[[#This Row],[ShipDate]]="",RawWorking[[#This Row],[DeliveryDate]]=""),"",RawWorking[[#This Row],[DeliveryDate]]-RawWorking[[#This Row],[ShipDate]])</f>
        <v>5</v>
      </c>
      <c r="M847" s="9">
        <f>IF(COUNTIF(INDEX(RawWorking[OrderID],1):RawWorking[[#This Row],[OrderID]],RawWorking[[#This Row],[OrderID]])=1,1,0)</f>
        <v>1</v>
      </c>
      <c r="N847" s="4">
        <f>IFERROR(RawWorking[[#This Row],[LineAmount]]/RawWorking[[#This Row],[Quantity]],"")</f>
        <v>206.09</v>
      </c>
    </row>
    <row r="848" spans="1:14">
      <c r="A848">
        <v>50847</v>
      </c>
      <c r="B848">
        <v>30481</v>
      </c>
      <c r="C848" s="2">
        <v>45764</v>
      </c>
      <c r="D848">
        <v>2097</v>
      </c>
      <c r="E848">
        <v>1005</v>
      </c>
      <c r="F848">
        <v>5</v>
      </c>
      <c r="G848">
        <v>158.65</v>
      </c>
      <c r="H848" s="2">
        <v>45766</v>
      </c>
      <c r="I848" s="2">
        <v>45775</v>
      </c>
      <c r="J848" t="s">
        <v>9</v>
      </c>
      <c r="K848" s="2" t="str">
        <f>IFERROR(INDEX(Product_lookup[Category],MATCH(RawWorking[[#This Row],[ProductID]],Product_lookup[ProductID],0)),"")</f>
        <v>Electronics</v>
      </c>
      <c r="L848" s="9">
        <f>IF(OR(RawWorking[[#This Row],[ShipDate]]="",RawWorking[[#This Row],[DeliveryDate]]=""),"",RawWorking[[#This Row],[DeliveryDate]]-RawWorking[[#This Row],[ShipDate]])</f>
        <v>9</v>
      </c>
      <c r="M848" s="9">
        <f>IF(COUNTIF(INDEX(RawWorking[OrderID],1):RawWorking[[#This Row],[OrderID]],RawWorking[[#This Row],[OrderID]])=1,1,0)</f>
        <v>1</v>
      </c>
      <c r="N848" s="4">
        <f>IFERROR(RawWorking[[#This Row],[LineAmount]]/RawWorking[[#This Row],[Quantity]],"")</f>
        <v>31.73</v>
      </c>
    </row>
    <row r="849" spans="1:14">
      <c r="A849">
        <v>50848</v>
      </c>
      <c r="B849">
        <v>30481</v>
      </c>
      <c r="C849" s="2">
        <v>45764</v>
      </c>
      <c r="D849">
        <v>2097</v>
      </c>
      <c r="E849">
        <v>1004</v>
      </c>
      <c r="F849">
        <v>1</v>
      </c>
      <c r="G849">
        <v>183.74</v>
      </c>
      <c r="H849" s="2">
        <v>45765</v>
      </c>
      <c r="I849" s="2">
        <v>45766</v>
      </c>
      <c r="J849" t="s">
        <v>9</v>
      </c>
      <c r="K849" s="2" t="str">
        <f>IFERROR(INDEX(Product_lookup[Category],MATCH(RawWorking[[#This Row],[ProductID]],Product_lookup[ProductID],0)),"")</f>
        <v>Electronics</v>
      </c>
      <c r="L849" s="9">
        <f>IF(OR(RawWorking[[#This Row],[ShipDate]]="",RawWorking[[#This Row],[DeliveryDate]]=""),"",RawWorking[[#This Row],[DeliveryDate]]-RawWorking[[#This Row],[ShipDate]])</f>
        <v>1</v>
      </c>
      <c r="M849" s="9">
        <f>IF(COUNTIF(INDEX(RawWorking[OrderID],1):RawWorking[[#This Row],[OrderID]],RawWorking[[#This Row],[OrderID]])=1,1,0)</f>
        <v>0</v>
      </c>
      <c r="N849" s="4">
        <f>IFERROR(RawWorking[[#This Row],[LineAmount]]/RawWorking[[#This Row],[Quantity]],"")</f>
        <v>183.74</v>
      </c>
    </row>
    <row r="850" spans="1:14">
      <c r="A850">
        <v>50849</v>
      </c>
      <c r="B850">
        <v>30481</v>
      </c>
      <c r="C850" s="2">
        <v>45764</v>
      </c>
      <c r="D850">
        <v>2097</v>
      </c>
      <c r="E850">
        <v>1001</v>
      </c>
      <c r="F850">
        <v>1</v>
      </c>
      <c r="G850">
        <v>203.04</v>
      </c>
      <c r="H850" s="2">
        <v>45765</v>
      </c>
      <c r="I850" s="2">
        <v>45767</v>
      </c>
      <c r="J850" t="s">
        <v>9</v>
      </c>
      <c r="K850" s="2" t="str">
        <f>IFERROR(INDEX(Product_lookup[Category],MATCH(RawWorking[[#This Row],[ProductID]],Product_lookup[ProductID],0)),"")</f>
        <v>Electronics</v>
      </c>
      <c r="L850" s="9">
        <f>IF(OR(RawWorking[[#This Row],[ShipDate]]="",RawWorking[[#This Row],[DeliveryDate]]=""),"",RawWorking[[#This Row],[DeliveryDate]]-RawWorking[[#This Row],[ShipDate]])</f>
        <v>2</v>
      </c>
      <c r="M850" s="9">
        <f>IF(COUNTIF(INDEX(RawWorking[OrderID],1):RawWorking[[#This Row],[OrderID]],RawWorking[[#This Row],[OrderID]])=1,1,0)</f>
        <v>0</v>
      </c>
      <c r="N850" s="4">
        <f>IFERROR(RawWorking[[#This Row],[LineAmount]]/RawWorking[[#This Row],[Quantity]],"")</f>
        <v>203.04</v>
      </c>
    </row>
    <row r="851" spans="1:14">
      <c r="A851">
        <v>50850</v>
      </c>
      <c r="B851">
        <v>30482</v>
      </c>
      <c r="C851" s="2">
        <v>45762</v>
      </c>
      <c r="D851">
        <v>2064</v>
      </c>
      <c r="E851">
        <v>1008</v>
      </c>
      <c r="F851">
        <v>2</v>
      </c>
      <c r="G851">
        <v>412.18</v>
      </c>
      <c r="H851" s="2">
        <v>45766</v>
      </c>
      <c r="I851" s="2" t="s">
        <v>1421</v>
      </c>
      <c r="J851" t="s">
        <v>16</v>
      </c>
      <c r="K851" s="2" t="str">
        <f>IFERROR(INDEX(Product_lookup[Category],MATCH(RawWorking[[#This Row],[ProductID]],Product_lookup[ProductID],0)),"")</f>
        <v>Home</v>
      </c>
      <c r="L851" s="9" t="str">
        <f>IF(OR(RawWorking[[#This Row],[ShipDate]]="",RawWorking[[#This Row],[DeliveryDate]]=""),"",RawWorking[[#This Row],[DeliveryDate]]-RawWorking[[#This Row],[ShipDate]])</f>
        <v/>
      </c>
      <c r="M851" s="9">
        <f>IF(COUNTIF(INDEX(RawWorking[OrderID],1):RawWorking[[#This Row],[OrderID]],RawWorking[[#This Row],[OrderID]])=1,1,0)</f>
        <v>1</v>
      </c>
      <c r="N851" s="4">
        <f>IFERROR(RawWorking[[#This Row],[LineAmount]]/RawWorking[[#This Row],[Quantity]],"")</f>
        <v>206.09</v>
      </c>
    </row>
    <row r="852" spans="1:14">
      <c r="A852">
        <v>50851</v>
      </c>
      <c r="B852">
        <v>30483</v>
      </c>
      <c r="C852" s="2">
        <v>45839</v>
      </c>
      <c r="D852">
        <v>2411</v>
      </c>
      <c r="E852">
        <v>1003</v>
      </c>
      <c r="F852">
        <v>1</v>
      </c>
      <c r="G852">
        <v>224.37</v>
      </c>
      <c r="H852" s="2">
        <v>45842</v>
      </c>
      <c r="I852" s="2">
        <v>45843</v>
      </c>
      <c r="J852" t="s">
        <v>9</v>
      </c>
      <c r="K852" s="2" t="str">
        <f>IFERROR(INDEX(Product_lookup[Category],MATCH(RawWorking[[#This Row],[ProductID]],Product_lookup[ProductID],0)),"")</f>
        <v>Electronics</v>
      </c>
      <c r="L852" s="9">
        <f>IF(OR(RawWorking[[#This Row],[ShipDate]]="",RawWorking[[#This Row],[DeliveryDate]]=""),"",RawWorking[[#This Row],[DeliveryDate]]-RawWorking[[#This Row],[ShipDate]])</f>
        <v>1</v>
      </c>
      <c r="M852" s="9">
        <f>IF(COUNTIF(INDEX(RawWorking[OrderID],1):RawWorking[[#This Row],[OrderID]],RawWorking[[#This Row],[OrderID]])=1,1,0)</f>
        <v>1</v>
      </c>
      <c r="N852" s="4">
        <f>IFERROR(RawWorking[[#This Row],[LineAmount]]/RawWorking[[#This Row],[Quantity]],"")</f>
        <v>224.37</v>
      </c>
    </row>
    <row r="853" spans="1:14">
      <c r="A853">
        <v>50852</v>
      </c>
      <c r="B853">
        <v>30483</v>
      </c>
      <c r="C853" s="2">
        <v>45839</v>
      </c>
      <c r="D853">
        <v>2411</v>
      </c>
      <c r="E853">
        <v>1009</v>
      </c>
      <c r="F853">
        <v>1</v>
      </c>
      <c r="G853">
        <v>40.28</v>
      </c>
      <c r="H853" s="2">
        <v>45842</v>
      </c>
      <c r="I853" s="2">
        <v>45843</v>
      </c>
      <c r="J853" t="s">
        <v>9</v>
      </c>
      <c r="K853" s="2" t="str">
        <f>IFERROR(INDEX(Product_lookup[Category],MATCH(RawWorking[[#This Row],[ProductID]],Product_lookup[ProductID],0)),"")</f>
        <v>Home</v>
      </c>
      <c r="L853" s="9">
        <f>IF(OR(RawWorking[[#This Row],[ShipDate]]="",RawWorking[[#This Row],[DeliveryDate]]=""),"",RawWorking[[#This Row],[DeliveryDate]]-RawWorking[[#This Row],[ShipDate]])</f>
        <v>1</v>
      </c>
      <c r="M853" s="9">
        <f>IF(COUNTIF(INDEX(RawWorking[OrderID],1):RawWorking[[#This Row],[OrderID]],RawWorking[[#This Row],[OrderID]])=1,1,0)</f>
        <v>0</v>
      </c>
      <c r="N853" s="4">
        <f>IFERROR(RawWorking[[#This Row],[LineAmount]]/RawWorking[[#This Row],[Quantity]],"")</f>
        <v>40.28</v>
      </c>
    </row>
    <row r="854" spans="1:14">
      <c r="A854">
        <v>50853</v>
      </c>
      <c r="B854">
        <v>30483</v>
      </c>
      <c r="C854" s="2">
        <v>45839</v>
      </c>
      <c r="D854">
        <v>2411</v>
      </c>
      <c r="E854">
        <v>1003</v>
      </c>
      <c r="F854">
        <v>1</v>
      </c>
      <c r="G854">
        <v>224.37</v>
      </c>
      <c r="H854" s="2">
        <v>45841</v>
      </c>
      <c r="I854" s="2">
        <v>45851</v>
      </c>
      <c r="J854" t="s">
        <v>9</v>
      </c>
      <c r="K854" s="2" t="str">
        <f>IFERROR(INDEX(Product_lookup[Category],MATCH(RawWorking[[#This Row],[ProductID]],Product_lookup[ProductID],0)),"")</f>
        <v>Electronics</v>
      </c>
      <c r="L854" s="9">
        <f>IF(OR(RawWorking[[#This Row],[ShipDate]]="",RawWorking[[#This Row],[DeliveryDate]]=""),"",RawWorking[[#This Row],[DeliveryDate]]-RawWorking[[#This Row],[ShipDate]])</f>
        <v>10</v>
      </c>
      <c r="M854" s="9">
        <f>IF(COUNTIF(INDEX(RawWorking[OrderID],1):RawWorking[[#This Row],[OrderID]],RawWorking[[#This Row],[OrderID]])=1,1,0)</f>
        <v>0</v>
      </c>
      <c r="N854" s="4">
        <f>IFERROR(RawWorking[[#This Row],[LineAmount]]/RawWorking[[#This Row],[Quantity]],"")</f>
        <v>224.37</v>
      </c>
    </row>
    <row r="855" spans="1:14">
      <c r="A855">
        <v>50854</v>
      </c>
      <c r="B855">
        <v>30484</v>
      </c>
      <c r="C855" s="2">
        <v>45778</v>
      </c>
      <c r="D855">
        <v>2023</v>
      </c>
      <c r="E855">
        <v>1007</v>
      </c>
      <c r="F855">
        <v>1</v>
      </c>
      <c r="G855">
        <v>199.81</v>
      </c>
      <c r="H855" s="2">
        <v>45779</v>
      </c>
      <c r="I855" s="2">
        <v>45784</v>
      </c>
      <c r="J855" t="s">
        <v>11</v>
      </c>
      <c r="K855" s="2" t="str">
        <f>IFERROR(INDEX(Product_lookup[Category],MATCH(RawWorking[[#This Row],[ProductID]],Product_lookup[ProductID],0)),"")</f>
        <v>Home</v>
      </c>
      <c r="L855" s="9">
        <f>IF(OR(RawWorking[[#This Row],[ShipDate]]="",RawWorking[[#This Row],[DeliveryDate]]=""),"",RawWorking[[#This Row],[DeliveryDate]]-RawWorking[[#This Row],[ShipDate]])</f>
        <v>5</v>
      </c>
      <c r="M855" s="9">
        <f>IF(COUNTIF(INDEX(RawWorking[OrderID],1):RawWorking[[#This Row],[OrderID]],RawWorking[[#This Row],[OrderID]])=1,1,0)</f>
        <v>1</v>
      </c>
      <c r="N855" s="4">
        <f>IFERROR(RawWorking[[#This Row],[LineAmount]]/RawWorking[[#This Row],[Quantity]],"")</f>
        <v>199.81</v>
      </c>
    </row>
    <row r="856" spans="1:14">
      <c r="A856">
        <v>50855</v>
      </c>
      <c r="B856">
        <v>30485</v>
      </c>
      <c r="C856" s="2">
        <v>45839</v>
      </c>
      <c r="D856">
        <v>2455</v>
      </c>
      <c r="E856">
        <v>1003</v>
      </c>
      <c r="F856">
        <v>1</v>
      </c>
      <c r="G856">
        <v>224.37</v>
      </c>
      <c r="H856" s="2" t="s">
        <v>1421</v>
      </c>
      <c r="I856" s="2" t="s">
        <v>1421</v>
      </c>
      <c r="J856" t="s">
        <v>16</v>
      </c>
      <c r="K856" s="2" t="str">
        <f>IFERROR(INDEX(Product_lookup[Category],MATCH(RawWorking[[#This Row],[ProductID]],Product_lookup[ProductID],0)),"")</f>
        <v>Electronics</v>
      </c>
      <c r="L856" s="9" t="str">
        <f>IF(OR(RawWorking[[#This Row],[ShipDate]]="",RawWorking[[#This Row],[DeliveryDate]]=""),"",RawWorking[[#This Row],[DeliveryDate]]-RawWorking[[#This Row],[ShipDate]])</f>
        <v/>
      </c>
      <c r="M856" s="9">
        <f>IF(COUNTIF(INDEX(RawWorking[OrderID],1):RawWorking[[#This Row],[OrderID]],RawWorking[[#This Row],[OrderID]])=1,1,0)</f>
        <v>1</v>
      </c>
      <c r="N856" s="4">
        <f>IFERROR(RawWorking[[#This Row],[LineAmount]]/RawWorking[[#This Row],[Quantity]],"")</f>
        <v>224.37</v>
      </c>
    </row>
    <row r="857" spans="1:14">
      <c r="A857">
        <v>50856</v>
      </c>
      <c r="B857">
        <v>30485</v>
      </c>
      <c r="C857" s="2">
        <v>45839</v>
      </c>
      <c r="D857">
        <v>2455</v>
      </c>
      <c r="E857">
        <v>1011</v>
      </c>
      <c r="F857">
        <v>3</v>
      </c>
      <c r="G857">
        <v>304.32</v>
      </c>
      <c r="H857" s="2">
        <v>45841</v>
      </c>
      <c r="I857" s="2" t="s">
        <v>1421</v>
      </c>
      <c r="J857" t="s">
        <v>16</v>
      </c>
      <c r="K857" s="2" t="str">
        <f>IFERROR(INDEX(Product_lookup[Category],MATCH(RawWorking[[#This Row],[ProductID]],Product_lookup[ProductID],0)),"")</f>
        <v>Office</v>
      </c>
      <c r="L857" s="9" t="str">
        <f>IF(OR(RawWorking[[#This Row],[ShipDate]]="",RawWorking[[#This Row],[DeliveryDate]]=""),"",RawWorking[[#This Row],[DeliveryDate]]-RawWorking[[#This Row],[ShipDate]])</f>
        <v/>
      </c>
      <c r="M857" s="9">
        <f>IF(COUNTIF(INDEX(RawWorking[OrderID],1):RawWorking[[#This Row],[OrderID]],RawWorking[[#This Row],[OrderID]])=1,1,0)</f>
        <v>0</v>
      </c>
      <c r="N857" s="4">
        <f>IFERROR(RawWorking[[#This Row],[LineAmount]]/RawWorking[[#This Row],[Quantity]],"")</f>
        <v>101.44</v>
      </c>
    </row>
    <row r="858" spans="1:14">
      <c r="A858">
        <v>50857</v>
      </c>
      <c r="B858">
        <v>30486</v>
      </c>
      <c r="C858" s="2">
        <v>45708</v>
      </c>
      <c r="D858">
        <v>2473</v>
      </c>
      <c r="E858">
        <v>1016</v>
      </c>
      <c r="F858">
        <v>2</v>
      </c>
      <c r="G858">
        <v>430.68</v>
      </c>
      <c r="H858" s="2">
        <v>45709</v>
      </c>
      <c r="I858" s="2">
        <v>45718</v>
      </c>
      <c r="J858" t="s">
        <v>9</v>
      </c>
      <c r="K858" s="2" t="str">
        <f>IFERROR(INDEX(Product_lookup[Category],MATCH(RawWorking[[#This Row],[ProductID]],Product_lookup[ProductID],0)),"")</f>
        <v>Sports</v>
      </c>
      <c r="L858" s="9">
        <f>IF(OR(RawWorking[[#This Row],[ShipDate]]="",RawWorking[[#This Row],[DeliveryDate]]=""),"",RawWorking[[#This Row],[DeliveryDate]]-RawWorking[[#This Row],[ShipDate]])</f>
        <v>9</v>
      </c>
      <c r="M858" s="9">
        <f>IF(COUNTIF(INDEX(RawWorking[OrderID],1):RawWorking[[#This Row],[OrderID]],RawWorking[[#This Row],[OrderID]])=1,1,0)</f>
        <v>1</v>
      </c>
      <c r="N858" s="4">
        <f>IFERROR(RawWorking[[#This Row],[LineAmount]]/RawWorking[[#This Row],[Quantity]],"")</f>
        <v>215.34</v>
      </c>
    </row>
    <row r="859" spans="1:14">
      <c r="A859">
        <v>50858</v>
      </c>
      <c r="B859">
        <v>30487</v>
      </c>
      <c r="C859" s="2">
        <v>45961</v>
      </c>
      <c r="D859">
        <v>2405</v>
      </c>
      <c r="E859">
        <v>1015</v>
      </c>
      <c r="F859">
        <v>1</v>
      </c>
      <c r="G859">
        <v>170.25</v>
      </c>
      <c r="H859" s="2">
        <v>45963</v>
      </c>
      <c r="I859" s="2">
        <v>45967</v>
      </c>
      <c r="J859" t="s">
        <v>9</v>
      </c>
      <c r="K859" s="2" t="str">
        <f>IFERROR(INDEX(Product_lookup[Category],MATCH(RawWorking[[#This Row],[ProductID]],Product_lookup[ProductID],0)),"")</f>
        <v>Sports</v>
      </c>
      <c r="L859" s="9">
        <f>IF(OR(RawWorking[[#This Row],[ShipDate]]="",RawWorking[[#This Row],[DeliveryDate]]=""),"",RawWorking[[#This Row],[DeliveryDate]]-RawWorking[[#This Row],[ShipDate]])</f>
        <v>4</v>
      </c>
      <c r="M859" s="9">
        <f>IF(COUNTIF(INDEX(RawWorking[OrderID],1):RawWorking[[#This Row],[OrderID]],RawWorking[[#This Row],[OrderID]])=1,1,0)</f>
        <v>1</v>
      </c>
      <c r="N859" s="4">
        <f>IFERROR(RawWorking[[#This Row],[LineAmount]]/RawWorking[[#This Row],[Quantity]],"")</f>
        <v>170.25</v>
      </c>
    </row>
    <row r="860" spans="1:14">
      <c r="A860">
        <v>50859</v>
      </c>
      <c r="B860">
        <v>30487</v>
      </c>
      <c r="C860" s="2">
        <v>45961</v>
      </c>
      <c r="D860">
        <v>2405</v>
      </c>
      <c r="E860">
        <v>1014</v>
      </c>
      <c r="F860">
        <v>1</v>
      </c>
      <c r="G860">
        <v>215.34</v>
      </c>
      <c r="H860" s="2">
        <v>45962</v>
      </c>
      <c r="I860" s="2">
        <v>45968</v>
      </c>
      <c r="J860" t="s">
        <v>9</v>
      </c>
      <c r="K860" s="2" t="str">
        <f>IFERROR(INDEX(Product_lookup[Category],MATCH(RawWorking[[#This Row],[ProductID]],Product_lookup[ProductID],0)),"")</f>
        <v>Sports</v>
      </c>
      <c r="L860" s="9">
        <f>IF(OR(RawWorking[[#This Row],[ShipDate]]="",RawWorking[[#This Row],[DeliveryDate]]=""),"",RawWorking[[#This Row],[DeliveryDate]]-RawWorking[[#This Row],[ShipDate]])</f>
        <v>6</v>
      </c>
      <c r="M860" s="9">
        <f>IF(COUNTIF(INDEX(RawWorking[OrderID],1):RawWorking[[#This Row],[OrderID]],RawWorking[[#This Row],[OrderID]])=1,1,0)</f>
        <v>0</v>
      </c>
      <c r="N860" s="4">
        <f>IFERROR(RawWorking[[#This Row],[LineAmount]]/RawWorking[[#This Row],[Quantity]],"")</f>
        <v>215.34</v>
      </c>
    </row>
    <row r="861" spans="1:14">
      <c r="A861">
        <v>50860</v>
      </c>
      <c r="B861">
        <v>30488</v>
      </c>
      <c r="C861" s="2">
        <v>45923</v>
      </c>
      <c r="D861">
        <v>2177</v>
      </c>
      <c r="E861">
        <v>1009</v>
      </c>
      <c r="F861">
        <v>2</v>
      </c>
      <c r="G861">
        <v>507.72</v>
      </c>
      <c r="H861" s="2">
        <v>45924</v>
      </c>
      <c r="I861" s="2">
        <v>45925</v>
      </c>
      <c r="J861" t="s">
        <v>9</v>
      </c>
      <c r="K861" s="2" t="str">
        <f>IFERROR(INDEX(Product_lookup[Category],MATCH(RawWorking[[#This Row],[ProductID]],Product_lookup[ProductID],0)),"")</f>
        <v>Home</v>
      </c>
      <c r="L861" s="9">
        <f>IF(OR(RawWorking[[#This Row],[ShipDate]]="",RawWorking[[#This Row],[DeliveryDate]]=""),"",RawWorking[[#This Row],[DeliveryDate]]-RawWorking[[#This Row],[ShipDate]])</f>
        <v>1</v>
      </c>
      <c r="M861" s="9">
        <f>IF(COUNTIF(INDEX(RawWorking[OrderID],1):RawWorking[[#This Row],[OrderID]],RawWorking[[#This Row],[OrderID]])=1,1,0)</f>
        <v>1</v>
      </c>
      <c r="N861" s="4">
        <f>IFERROR(RawWorking[[#This Row],[LineAmount]]/RawWorking[[#This Row],[Quantity]],"")</f>
        <v>253.86</v>
      </c>
    </row>
    <row r="862" spans="1:14">
      <c r="A862">
        <v>50861</v>
      </c>
      <c r="B862">
        <v>30489</v>
      </c>
      <c r="C862" s="2">
        <v>46019</v>
      </c>
      <c r="D862">
        <v>2282</v>
      </c>
      <c r="E862">
        <v>1006</v>
      </c>
      <c r="F862">
        <v>1</v>
      </c>
      <c r="G862">
        <v>31.73</v>
      </c>
      <c r="H862" s="2">
        <v>46022</v>
      </c>
      <c r="I862" s="2">
        <v>46026</v>
      </c>
      <c r="J862" t="s">
        <v>9</v>
      </c>
      <c r="K862" s="2" t="str">
        <f>IFERROR(INDEX(Product_lookup[Category],MATCH(RawWorking[[#This Row],[ProductID]],Product_lookup[ProductID],0)),"")</f>
        <v>Home</v>
      </c>
      <c r="L862" s="9">
        <f>IF(OR(RawWorking[[#This Row],[ShipDate]]="",RawWorking[[#This Row],[DeliveryDate]]=""),"",RawWorking[[#This Row],[DeliveryDate]]-RawWorking[[#This Row],[ShipDate]])</f>
        <v>4</v>
      </c>
      <c r="M862" s="9">
        <f>IF(COUNTIF(INDEX(RawWorking[OrderID],1):RawWorking[[#This Row],[OrderID]],RawWorking[[#This Row],[OrderID]])=1,1,0)</f>
        <v>1</v>
      </c>
      <c r="N862" s="4">
        <f>IFERROR(RawWorking[[#This Row],[LineAmount]]/RawWorking[[#This Row],[Quantity]],"")</f>
        <v>31.73</v>
      </c>
    </row>
    <row r="863" spans="1:14">
      <c r="A863">
        <v>50862</v>
      </c>
      <c r="B863">
        <v>30489</v>
      </c>
      <c r="C863" s="2">
        <v>46019</v>
      </c>
      <c r="D863">
        <v>2282</v>
      </c>
      <c r="E863">
        <v>1002</v>
      </c>
      <c r="F863">
        <v>1</v>
      </c>
      <c r="G863">
        <v>118.6</v>
      </c>
      <c r="H863" s="2">
        <v>46020</v>
      </c>
      <c r="I863" s="2">
        <v>46026</v>
      </c>
      <c r="J863" t="s">
        <v>9</v>
      </c>
      <c r="K863" s="2" t="str">
        <f>IFERROR(INDEX(Product_lookup[Category],MATCH(RawWorking[[#This Row],[ProductID]],Product_lookup[ProductID],0)),"")</f>
        <v>Electronics</v>
      </c>
      <c r="L863" s="9">
        <f>IF(OR(RawWorking[[#This Row],[ShipDate]]="",RawWorking[[#This Row],[DeliveryDate]]=""),"",RawWorking[[#This Row],[DeliveryDate]]-RawWorking[[#This Row],[ShipDate]])</f>
        <v>6</v>
      </c>
      <c r="M863" s="9">
        <f>IF(COUNTIF(INDEX(RawWorking[OrderID],1):RawWorking[[#This Row],[OrderID]],RawWorking[[#This Row],[OrderID]])=1,1,0)</f>
        <v>0</v>
      </c>
      <c r="N863" s="4">
        <f>IFERROR(RawWorking[[#This Row],[LineAmount]]/RawWorking[[#This Row],[Quantity]],"")</f>
        <v>118.6</v>
      </c>
    </row>
    <row r="864" spans="1:14">
      <c r="A864">
        <v>50863</v>
      </c>
      <c r="B864">
        <v>30489</v>
      </c>
      <c r="C864" s="2">
        <v>46019</v>
      </c>
      <c r="D864">
        <v>2282</v>
      </c>
      <c r="E864">
        <v>1008</v>
      </c>
      <c r="F864">
        <v>1</v>
      </c>
      <c r="G864">
        <v>206.09</v>
      </c>
      <c r="H864" s="2">
        <v>46022</v>
      </c>
      <c r="I864" s="2">
        <v>46027</v>
      </c>
      <c r="J864" t="s">
        <v>9</v>
      </c>
      <c r="K864" s="2" t="str">
        <f>IFERROR(INDEX(Product_lookup[Category],MATCH(RawWorking[[#This Row],[ProductID]],Product_lookup[ProductID],0)),"")</f>
        <v>Home</v>
      </c>
      <c r="L864" s="9">
        <f>IF(OR(RawWorking[[#This Row],[ShipDate]]="",RawWorking[[#This Row],[DeliveryDate]]=""),"",RawWorking[[#This Row],[DeliveryDate]]-RawWorking[[#This Row],[ShipDate]])</f>
        <v>5</v>
      </c>
      <c r="M864" s="9">
        <f>IF(COUNTIF(INDEX(RawWorking[OrderID],1):RawWorking[[#This Row],[OrderID]],RawWorking[[#This Row],[OrderID]])=1,1,0)</f>
        <v>0</v>
      </c>
      <c r="N864" s="4">
        <f>IFERROR(RawWorking[[#This Row],[LineAmount]]/RawWorking[[#This Row],[Quantity]],"")</f>
        <v>206.09</v>
      </c>
    </row>
    <row r="865" spans="1:14">
      <c r="A865">
        <v>50864</v>
      </c>
      <c r="B865">
        <v>30490</v>
      </c>
      <c r="C865" s="2">
        <v>45858</v>
      </c>
      <c r="D865">
        <v>2303</v>
      </c>
      <c r="E865">
        <v>1016</v>
      </c>
      <c r="F865">
        <v>2</v>
      </c>
      <c r="G865">
        <v>130.52000000000001</v>
      </c>
      <c r="H865" s="2">
        <v>45861</v>
      </c>
      <c r="I865" s="2">
        <v>45866</v>
      </c>
      <c r="J865" t="s">
        <v>9</v>
      </c>
      <c r="K865" s="2" t="str">
        <f>IFERROR(INDEX(Product_lookup[Category],MATCH(RawWorking[[#This Row],[ProductID]],Product_lookup[ProductID],0)),"")</f>
        <v>Sports</v>
      </c>
      <c r="L865" s="9">
        <f>IF(OR(RawWorking[[#This Row],[ShipDate]]="",RawWorking[[#This Row],[DeliveryDate]]=""),"",RawWorking[[#This Row],[DeliveryDate]]-RawWorking[[#This Row],[ShipDate]])</f>
        <v>5</v>
      </c>
      <c r="M865" s="9">
        <f>IF(COUNTIF(INDEX(RawWorking[OrderID],1):RawWorking[[#This Row],[OrderID]],RawWorking[[#This Row],[OrderID]])=1,1,0)</f>
        <v>1</v>
      </c>
      <c r="N865" s="4">
        <f>IFERROR(RawWorking[[#This Row],[LineAmount]]/RawWorking[[#This Row],[Quantity]],"")</f>
        <v>65.260000000000005</v>
      </c>
    </row>
    <row r="866" spans="1:14">
      <c r="A866">
        <v>50865</v>
      </c>
      <c r="B866">
        <v>30491</v>
      </c>
      <c r="C866" s="2">
        <v>45668</v>
      </c>
      <c r="D866">
        <v>2063</v>
      </c>
      <c r="E866">
        <v>1013</v>
      </c>
      <c r="F866">
        <v>1</v>
      </c>
      <c r="G866">
        <v>170.25</v>
      </c>
      <c r="H866" s="2">
        <v>45670</v>
      </c>
      <c r="I866" s="2">
        <v>45676</v>
      </c>
      <c r="J866" t="s">
        <v>9</v>
      </c>
      <c r="K866" s="2" t="str">
        <f>IFERROR(INDEX(Product_lookup[Category],MATCH(RawWorking[[#This Row],[ProductID]],Product_lookup[ProductID],0)),"")</f>
        <v>Office</v>
      </c>
      <c r="L866" s="9">
        <f>IF(OR(RawWorking[[#This Row],[ShipDate]]="",RawWorking[[#This Row],[DeliveryDate]]=""),"",RawWorking[[#This Row],[DeliveryDate]]-RawWorking[[#This Row],[ShipDate]])</f>
        <v>6</v>
      </c>
      <c r="M866" s="9">
        <f>IF(COUNTIF(INDEX(RawWorking[OrderID],1):RawWorking[[#This Row],[OrderID]],RawWorking[[#This Row],[OrderID]])=1,1,0)</f>
        <v>1</v>
      </c>
      <c r="N866" s="4">
        <f>IFERROR(RawWorking[[#This Row],[LineAmount]]/RawWorking[[#This Row],[Quantity]],"")</f>
        <v>170.25</v>
      </c>
    </row>
    <row r="867" spans="1:14">
      <c r="A867">
        <v>50866</v>
      </c>
      <c r="B867">
        <v>30491</v>
      </c>
      <c r="C867" s="2">
        <v>45668</v>
      </c>
      <c r="D867">
        <v>2063</v>
      </c>
      <c r="E867">
        <v>1005</v>
      </c>
      <c r="F867">
        <v>1</v>
      </c>
      <c r="G867">
        <v>31.73</v>
      </c>
      <c r="H867" s="2">
        <v>45671</v>
      </c>
      <c r="I867" s="2">
        <v>45674</v>
      </c>
      <c r="J867" t="s">
        <v>9</v>
      </c>
      <c r="K867" s="2" t="str">
        <f>IFERROR(INDEX(Product_lookup[Category],MATCH(RawWorking[[#This Row],[ProductID]],Product_lookup[ProductID],0)),"")</f>
        <v>Electronics</v>
      </c>
      <c r="L867" s="9">
        <f>IF(OR(RawWorking[[#This Row],[ShipDate]]="",RawWorking[[#This Row],[DeliveryDate]]=""),"",RawWorking[[#This Row],[DeliveryDate]]-RawWorking[[#This Row],[ShipDate]])</f>
        <v>3</v>
      </c>
      <c r="M867" s="9">
        <f>IF(COUNTIF(INDEX(RawWorking[OrderID],1):RawWorking[[#This Row],[OrderID]],RawWorking[[#This Row],[OrderID]])=1,1,0)</f>
        <v>0</v>
      </c>
      <c r="N867" s="4">
        <f>IFERROR(RawWorking[[#This Row],[LineAmount]]/RawWorking[[#This Row],[Quantity]],"")</f>
        <v>31.73</v>
      </c>
    </row>
    <row r="868" spans="1:14">
      <c r="A868">
        <v>50867</v>
      </c>
      <c r="B868">
        <v>30491</v>
      </c>
      <c r="C868" s="2">
        <v>45668</v>
      </c>
      <c r="D868">
        <v>2063</v>
      </c>
      <c r="E868">
        <v>1014</v>
      </c>
      <c r="F868">
        <v>3</v>
      </c>
      <c r="G868">
        <v>646.02</v>
      </c>
      <c r="H868" s="2">
        <v>45670</v>
      </c>
      <c r="I868" s="2">
        <v>45672</v>
      </c>
      <c r="J868" t="s">
        <v>9</v>
      </c>
      <c r="K868" s="2" t="str">
        <f>IFERROR(INDEX(Product_lookup[Category],MATCH(RawWorking[[#This Row],[ProductID]],Product_lookup[ProductID],0)),"")</f>
        <v>Sports</v>
      </c>
      <c r="L868" s="9">
        <f>IF(OR(RawWorking[[#This Row],[ShipDate]]="",RawWorking[[#This Row],[DeliveryDate]]=""),"",RawWorking[[#This Row],[DeliveryDate]]-RawWorking[[#This Row],[ShipDate]])</f>
        <v>2</v>
      </c>
      <c r="M868" s="9">
        <f>IF(COUNTIF(INDEX(RawWorking[OrderID],1):RawWorking[[#This Row],[OrderID]],RawWorking[[#This Row],[OrderID]])=1,1,0)</f>
        <v>0</v>
      </c>
      <c r="N868" s="4">
        <f>IFERROR(RawWorking[[#This Row],[LineAmount]]/RawWorking[[#This Row],[Quantity]],"")</f>
        <v>215.34</v>
      </c>
    </row>
    <row r="869" spans="1:14">
      <c r="A869">
        <v>50868</v>
      </c>
      <c r="B869">
        <v>30491</v>
      </c>
      <c r="C869" s="2">
        <v>45668</v>
      </c>
      <c r="D869">
        <v>2063</v>
      </c>
      <c r="E869">
        <v>1007</v>
      </c>
      <c r="F869">
        <v>2</v>
      </c>
      <c r="G869">
        <v>399.62</v>
      </c>
      <c r="H869" s="2">
        <v>45670</v>
      </c>
      <c r="I869" s="2">
        <v>45678</v>
      </c>
      <c r="J869" t="s">
        <v>9</v>
      </c>
      <c r="K869" s="2" t="str">
        <f>IFERROR(INDEX(Product_lookup[Category],MATCH(RawWorking[[#This Row],[ProductID]],Product_lookup[ProductID],0)),"")</f>
        <v>Home</v>
      </c>
      <c r="L869" s="9">
        <f>IF(OR(RawWorking[[#This Row],[ShipDate]]="",RawWorking[[#This Row],[DeliveryDate]]=""),"",RawWorking[[#This Row],[DeliveryDate]]-RawWorking[[#This Row],[ShipDate]])</f>
        <v>8</v>
      </c>
      <c r="M869" s="9">
        <f>IF(COUNTIF(INDEX(RawWorking[OrderID],1):RawWorking[[#This Row],[OrderID]],RawWorking[[#This Row],[OrderID]])=1,1,0)</f>
        <v>0</v>
      </c>
      <c r="N869" s="4">
        <f>IFERROR(RawWorking[[#This Row],[LineAmount]]/RawWorking[[#This Row],[Quantity]],"")</f>
        <v>199.81</v>
      </c>
    </row>
    <row r="870" spans="1:14">
      <c r="A870">
        <v>50869</v>
      </c>
      <c r="B870">
        <v>30492</v>
      </c>
      <c r="C870" s="2">
        <v>45754</v>
      </c>
      <c r="D870">
        <v>2539</v>
      </c>
      <c r="E870">
        <v>1001</v>
      </c>
      <c r="F870">
        <v>1</v>
      </c>
      <c r="G870">
        <v>203.04</v>
      </c>
      <c r="H870" s="2">
        <v>45756</v>
      </c>
      <c r="I870" s="2">
        <v>45762</v>
      </c>
      <c r="J870" t="s">
        <v>9</v>
      </c>
      <c r="K870" s="2" t="str">
        <f>IFERROR(INDEX(Product_lookup[Category],MATCH(RawWorking[[#This Row],[ProductID]],Product_lookup[ProductID],0)),"")</f>
        <v>Electronics</v>
      </c>
      <c r="L870" s="9">
        <f>IF(OR(RawWorking[[#This Row],[ShipDate]]="",RawWorking[[#This Row],[DeliveryDate]]=""),"",RawWorking[[#This Row],[DeliveryDate]]-RawWorking[[#This Row],[ShipDate]])</f>
        <v>6</v>
      </c>
      <c r="M870" s="9">
        <f>IF(COUNTIF(INDEX(RawWorking[OrderID],1):RawWorking[[#This Row],[OrderID]],RawWorking[[#This Row],[OrderID]])=1,1,0)</f>
        <v>1</v>
      </c>
      <c r="N870" s="4">
        <f>IFERROR(RawWorking[[#This Row],[LineAmount]]/RawWorking[[#This Row],[Quantity]],"")</f>
        <v>203.04</v>
      </c>
    </row>
    <row r="871" spans="1:14">
      <c r="A871">
        <v>50870</v>
      </c>
      <c r="B871">
        <v>30493</v>
      </c>
      <c r="C871" s="2">
        <v>45754</v>
      </c>
      <c r="D871">
        <v>2392</v>
      </c>
      <c r="E871">
        <v>1012</v>
      </c>
      <c r="F871">
        <v>1</v>
      </c>
      <c r="G871">
        <v>241.54</v>
      </c>
      <c r="H871" s="2" t="s">
        <v>1421</v>
      </c>
      <c r="I871" s="2" t="s">
        <v>1421</v>
      </c>
      <c r="J871" t="s">
        <v>16</v>
      </c>
      <c r="K871" s="2" t="str">
        <f>IFERROR(INDEX(Product_lookup[Category],MATCH(RawWorking[[#This Row],[ProductID]],Product_lookup[ProductID],0)),"")</f>
        <v>Office</v>
      </c>
      <c r="L871" s="9" t="str">
        <f>IF(OR(RawWorking[[#This Row],[ShipDate]]="",RawWorking[[#This Row],[DeliveryDate]]=""),"",RawWorking[[#This Row],[DeliveryDate]]-RawWorking[[#This Row],[ShipDate]])</f>
        <v/>
      </c>
      <c r="M871" s="9">
        <f>IF(COUNTIF(INDEX(RawWorking[OrderID],1):RawWorking[[#This Row],[OrderID]],RawWorking[[#This Row],[OrderID]])=1,1,0)</f>
        <v>1</v>
      </c>
      <c r="N871" s="4">
        <f>IFERROR(RawWorking[[#This Row],[LineAmount]]/RawWorking[[#This Row],[Quantity]],"")</f>
        <v>241.54</v>
      </c>
    </row>
    <row r="872" spans="1:14">
      <c r="A872">
        <v>50871</v>
      </c>
      <c r="B872">
        <v>30494</v>
      </c>
      <c r="C872" s="2">
        <v>45826</v>
      </c>
      <c r="D872">
        <v>2497</v>
      </c>
      <c r="E872">
        <v>1011</v>
      </c>
      <c r="F872">
        <v>1</v>
      </c>
      <c r="G872">
        <v>101.44</v>
      </c>
      <c r="H872" s="2">
        <v>45827</v>
      </c>
      <c r="I872" s="2">
        <v>45829</v>
      </c>
      <c r="J872" t="s">
        <v>9</v>
      </c>
      <c r="K872" s="2" t="str">
        <f>IFERROR(INDEX(Product_lookup[Category],MATCH(RawWorking[[#This Row],[ProductID]],Product_lookup[ProductID],0)),"")</f>
        <v>Office</v>
      </c>
      <c r="L872" s="9">
        <f>IF(OR(RawWorking[[#This Row],[ShipDate]]="",RawWorking[[#This Row],[DeliveryDate]]=""),"",RawWorking[[#This Row],[DeliveryDate]]-RawWorking[[#This Row],[ShipDate]])</f>
        <v>2</v>
      </c>
      <c r="M872" s="9">
        <f>IF(COUNTIF(INDEX(RawWorking[OrderID],1):RawWorking[[#This Row],[OrderID]],RawWorking[[#This Row],[OrderID]])=1,1,0)</f>
        <v>1</v>
      </c>
      <c r="N872" s="4">
        <f>IFERROR(RawWorking[[#This Row],[LineAmount]]/RawWorking[[#This Row],[Quantity]],"")</f>
        <v>101.44</v>
      </c>
    </row>
    <row r="873" spans="1:14">
      <c r="A873">
        <v>50872</v>
      </c>
      <c r="B873">
        <v>30495</v>
      </c>
      <c r="C873" s="2">
        <v>45952</v>
      </c>
      <c r="D873">
        <v>2398</v>
      </c>
      <c r="E873">
        <v>1001</v>
      </c>
      <c r="F873">
        <v>1</v>
      </c>
      <c r="G873">
        <v>203.04</v>
      </c>
      <c r="H873" s="2">
        <v>45955</v>
      </c>
      <c r="I873" s="2">
        <v>45960</v>
      </c>
      <c r="J873" t="s">
        <v>9</v>
      </c>
      <c r="K873" s="2" t="str">
        <f>IFERROR(INDEX(Product_lookup[Category],MATCH(RawWorking[[#This Row],[ProductID]],Product_lookup[ProductID],0)),"")</f>
        <v>Electronics</v>
      </c>
      <c r="L873" s="9">
        <f>IF(OR(RawWorking[[#This Row],[ShipDate]]="",RawWorking[[#This Row],[DeliveryDate]]=""),"",RawWorking[[#This Row],[DeliveryDate]]-RawWorking[[#This Row],[ShipDate]])</f>
        <v>5</v>
      </c>
      <c r="M873" s="9">
        <f>IF(COUNTIF(INDEX(RawWorking[OrderID],1):RawWorking[[#This Row],[OrderID]],RawWorking[[#This Row],[OrderID]])=1,1,0)</f>
        <v>1</v>
      </c>
      <c r="N873" s="4">
        <f>IFERROR(RawWorking[[#This Row],[LineAmount]]/RawWorking[[#This Row],[Quantity]],"")</f>
        <v>203.04</v>
      </c>
    </row>
    <row r="874" spans="1:14">
      <c r="A874">
        <v>50873</v>
      </c>
      <c r="B874">
        <v>30495</v>
      </c>
      <c r="C874" s="2">
        <v>45952</v>
      </c>
      <c r="D874">
        <v>2398</v>
      </c>
      <c r="E874">
        <v>1011</v>
      </c>
      <c r="F874">
        <v>3</v>
      </c>
      <c r="G874">
        <v>304.32</v>
      </c>
      <c r="H874" s="2">
        <v>45955</v>
      </c>
      <c r="I874" s="2">
        <v>45956</v>
      </c>
      <c r="J874" t="s">
        <v>9</v>
      </c>
      <c r="K874" s="2" t="str">
        <f>IFERROR(INDEX(Product_lookup[Category],MATCH(RawWorking[[#This Row],[ProductID]],Product_lookup[ProductID],0)),"")</f>
        <v>Office</v>
      </c>
      <c r="L874" s="9">
        <f>IF(OR(RawWorking[[#This Row],[ShipDate]]="",RawWorking[[#This Row],[DeliveryDate]]=""),"",RawWorking[[#This Row],[DeliveryDate]]-RawWorking[[#This Row],[ShipDate]])</f>
        <v>1</v>
      </c>
      <c r="M874" s="9">
        <f>IF(COUNTIF(INDEX(RawWorking[OrderID],1):RawWorking[[#This Row],[OrderID]],RawWorking[[#This Row],[OrderID]])=1,1,0)</f>
        <v>0</v>
      </c>
      <c r="N874" s="4">
        <f>IFERROR(RawWorking[[#This Row],[LineAmount]]/RawWorking[[#This Row],[Quantity]],"")</f>
        <v>101.44</v>
      </c>
    </row>
    <row r="875" spans="1:14">
      <c r="A875">
        <v>50874</v>
      </c>
      <c r="B875">
        <v>30496</v>
      </c>
      <c r="C875" s="2">
        <v>45744</v>
      </c>
      <c r="D875">
        <v>2225</v>
      </c>
      <c r="E875">
        <v>1009</v>
      </c>
      <c r="F875">
        <v>1</v>
      </c>
      <c r="G875">
        <v>40.28</v>
      </c>
      <c r="H875" s="2">
        <v>45745</v>
      </c>
      <c r="I875" s="2">
        <v>45746</v>
      </c>
      <c r="J875" t="s">
        <v>9</v>
      </c>
      <c r="K875" s="2" t="str">
        <f>IFERROR(INDEX(Product_lookup[Category],MATCH(RawWorking[[#This Row],[ProductID]],Product_lookup[ProductID],0)),"")</f>
        <v>Home</v>
      </c>
      <c r="L875" s="9">
        <f>IF(OR(RawWorking[[#This Row],[ShipDate]]="",RawWorking[[#This Row],[DeliveryDate]]=""),"",RawWorking[[#This Row],[DeliveryDate]]-RawWorking[[#This Row],[ShipDate]])</f>
        <v>1</v>
      </c>
      <c r="M875" s="9">
        <f>IF(COUNTIF(INDEX(RawWorking[OrderID],1):RawWorking[[#This Row],[OrderID]],RawWorking[[#This Row],[OrderID]])=1,1,0)</f>
        <v>1</v>
      </c>
      <c r="N875" s="4">
        <f>IFERROR(RawWorking[[#This Row],[LineAmount]]/RawWorking[[#This Row],[Quantity]],"")</f>
        <v>40.28</v>
      </c>
    </row>
    <row r="876" spans="1:14">
      <c r="A876">
        <v>50875</v>
      </c>
      <c r="B876">
        <v>30497</v>
      </c>
      <c r="C876" s="2">
        <v>45765</v>
      </c>
      <c r="D876">
        <v>2060</v>
      </c>
      <c r="E876">
        <v>1016</v>
      </c>
      <c r="F876">
        <v>1</v>
      </c>
      <c r="G876">
        <v>65.260000000000005</v>
      </c>
      <c r="H876" s="2" t="s">
        <v>1421</v>
      </c>
      <c r="I876" s="2" t="s">
        <v>1421</v>
      </c>
      <c r="J876" t="s">
        <v>16</v>
      </c>
      <c r="K876" s="2" t="str">
        <f>IFERROR(INDEX(Product_lookup[Category],MATCH(RawWorking[[#This Row],[ProductID]],Product_lookup[ProductID],0)),"")</f>
        <v>Sports</v>
      </c>
      <c r="L876" s="9" t="str">
        <f>IF(OR(RawWorking[[#This Row],[ShipDate]]="",RawWorking[[#This Row],[DeliveryDate]]=""),"",RawWorking[[#This Row],[DeliveryDate]]-RawWorking[[#This Row],[ShipDate]])</f>
        <v/>
      </c>
      <c r="M876" s="9">
        <f>IF(COUNTIF(INDEX(RawWorking[OrderID],1):RawWorking[[#This Row],[OrderID]],RawWorking[[#This Row],[OrderID]])=1,1,0)</f>
        <v>1</v>
      </c>
      <c r="N876" s="4">
        <f>IFERROR(RawWorking[[#This Row],[LineAmount]]/RawWorking[[#This Row],[Quantity]],"")</f>
        <v>65.260000000000005</v>
      </c>
    </row>
    <row r="877" spans="1:14">
      <c r="A877">
        <v>50876</v>
      </c>
      <c r="B877">
        <v>30497</v>
      </c>
      <c r="C877" s="2">
        <v>45765</v>
      </c>
      <c r="D877">
        <v>2060</v>
      </c>
      <c r="E877">
        <v>1008</v>
      </c>
      <c r="F877">
        <v>2</v>
      </c>
      <c r="G877">
        <v>412.18</v>
      </c>
      <c r="H877" s="2" t="s">
        <v>1421</v>
      </c>
      <c r="I877" s="2" t="s">
        <v>1421</v>
      </c>
      <c r="J877" t="s">
        <v>16</v>
      </c>
      <c r="K877" s="2" t="str">
        <f>IFERROR(INDEX(Product_lookup[Category],MATCH(RawWorking[[#This Row],[ProductID]],Product_lookup[ProductID],0)),"")</f>
        <v>Home</v>
      </c>
      <c r="L877" s="9" t="str">
        <f>IF(OR(RawWorking[[#This Row],[ShipDate]]="",RawWorking[[#This Row],[DeliveryDate]]=""),"",RawWorking[[#This Row],[DeliveryDate]]-RawWorking[[#This Row],[ShipDate]])</f>
        <v/>
      </c>
      <c r="M877" s="9">
        <f>IF(COUNTIF(INDEX(RawWorking[OrderID],1):RawWorking[[#This Row],[OrderID]],RawWorking[[#This Row],[OrderID]])=1,1,0)</f>
        <v>0</v>
      </c>
      <c r="N877" s="4">
        <f>IFERROR(RawWorking[[#This Row],[LineAmount]]/RawWorking[[#This Row],[Quantity]],"")</f>
        <v>206.09</v>
      </c>
    </row>
    <row r="878" spans="1:14">
      <c r="A878">
        <v>50877</v>
      </c>
      <c r="B878">
        <v>30497</v>
      </c>
      <c r="C878" s="2">
        <v>45765</v>
      </c>
      <c r="D878">
        <v>2060</v>
      </c>
      <c r="E878">
        <v>1004</v>
      </c>
      <c r="F878">
        <v>1</v>
      </c>
      <c r="G878">
        <v>183.74</v>
      </c>
      <c r="H878" s="2">
        <v>45769</v>
      </c>
      <c r="I878" s="2" t="s">
        <v>1421</v>
      </c>
      <c r="J878" t="s">
        <v>16</v>
      </c>
      <c r="K878" s="2" t="str">
        <f>IFERROR(INDEX(Product_lookup[Category],MATCH(RawWorking[[#This Row],[ProductID]],Product_lookup[ProductID],0)),"")</f>
        <v>Electronics</v>
      </c>
      <c r="L878" s="9" t="str">
        <f>IF(OR(RawWorking[[#This Row],[ShipDate]]="",RawWorking[[#This Row],[DeliveryDate]]=""),"",RawWorking[[#This Row],[DeliveryDate]]-RawWorking[[#This Row],[ShipDate]])</f>
        <v/>
      </c>
      <c r="M878" s="9">
        <f>IF(COUNTIF(INDEX(RawWorking[OrderID],1):RawWorking[[#This Row],[OrderID]],RawWorking[[#This Row],[OrderID]])=1,1,0)</f>
        <v>0</v>
      </c>
      <c r="N878" s="4">
        <f>IFERROR(RawWorking[[#This Row],[LineAmount]]/RawWorking[[#This Row],[Quantity]],"")</f>
        <v>183.74</v>
      </c>
    </row>
    <row r="879" spans="1:14">
      <c r="A879">
        <v>50878</v>
      </c>
      <c r="B879">
        <v>30497</v>
      </c>
      <c r="C879" s="2">
        <v>45765</v>
      </c>
      <c r="D879">
        <v>2060</v>
      </c>
      <c r="E879">
        <v>1008</v>
      </c>
      <c r="F879">
        <v>2</v>
      </c>
      <c r="G879">
        <v>412.18</v>
      </c>
      <c r="H879" s="2" t="s">
        <v>1421</v>
      </c>
      <c r="I879" s="2" t="s">
        <v>1421</v>
      </c>
      <c r="J879" t="s">
        <v>16</v>
      </c>
      <c r="K879" s="2" t="str">
        <f>IFERROR(INDEX(Product_lookup[Category],MATCH(RawWorking[[#This Row],[ProductID]],Product_lookup[ProductID],0)),"")</f>
        <v>Home</v>
      </c>
      <c r="L879" s="9" t="str">
        <f>IF(OR(RawWorking[[#This Row],[ShipDate]]="",RawWorking[[#This Row],[DeliveryDate]]=""),"",RawWorking[[#This Row],[DeliveryDate]]-RawWorking[[#This Row],[ShipDate]])</f>
        <v/>
      </c>
      <c r="M879" s="9">
        <f>IF(COUNTIF(INDEX(RawWorking[OrderID],1):RawWorking[[#This Row],[OrderID]],RawWorking[[#This Row],[OrderID]])=1,1,0)</f>
        <v>0</v>
      </c>
      <c r="N879" s="4">
        <f>IFERROR(RawWorking[[#This Row],[LineAmount]]/RawWorking[[#This Row],[Quantity]],"")</f>
        <v>206.09</v>
      </c>
    </row>
    <row r="880" spans="1:14">
      <c r="A880">
        <v>50879</v>
      </c>
      <c r="B880">
        <v>30498</v>
      </c>
      <c r="C880" s="2">
        <v>45813</v>
      </c>
      <c r="D880">
        <v>2058</v>
      </c>
      <c r="E880">
        <v>1008</v>
      </c>
      <c r="F880">
        <v>1</v>
      </c>
      <c r="G880">
        <v>206.09</v>
      </c>
      <c r="H880" s="2" t="s">
        <v>1421</v>
      </c>
      <c r="I880" s="2" t="s">
        <v>1421</v>
      </c>
      <c r="J880" t="s">
        <v>16</v>
      </c>
      <c r="K880" s="2" t="str">
        <f>IFERROR(INDEX(Product_lookup[Category],MATCH(RawWorking[[#This Row],[ProductID]],Product_lookup[ProductID],0)),"")</f>
        <v>Home</v>
      </c>
      <c r="L880" s="9" t="str">
        <f>IF(OR(RawWorking[[#This Row],[ShipDate]]="",RawWorking[[#This Row],[DeliveryDate]]=""),"",RawWorking[[#This Row],[DeliveryDate]]-RawWorking[[#This Row],[ShipDate]])</f>
        <v/>
      </c>
      <c r="M880" s="9">
        <f>IF(COUNTIF(INDEX(RawWorking[OrderID],1):RawWorking[[#This Row],[OrderID]],RawWorking[[#This Row],[OrderID]])=1,1,0)</f>
        <v>1</v>
      </c>
      <c r="N880" s="4">
        <f>IFERROR(RawWorking[[#This Row],[LineAmount]]/RawWorking[[#This Row],[Quantity]],"")</f>
        <v>206.09</v>
      </c>
    </row>
    <row r="881" spans="1:14">
      <c r="A881">
        <v>50880</v>
      </c>
      <c r="B881">
        <v>30499</v>
      </c>
      <c r="C881" s="2">
        <v>45933</v>
      </c>
      <c r="D881">
        <v>2398</v>
      </c>
      <c r="E881">
        <v>1006</v>
      </c>
      <c r="F881">
        <v>5</v>
      </c>
      <c r="G881">
        <v>1269.3</v>
      </c>
      <c r="H881" s="2">
        <v>45936</v>
      </c>
      <c r="I881" s="2">
        <v>45939</v>
      </c>
      <c r="J881" t="s">
        <v>9</v>
      </c>
      <c r="K881" s="2" t="str">
        <f>IFERROR(INDEX(Product_lookup[Category],MATCH(RawWorking[[#This Row],[ProductID]],Product_lookup[ProductID],0)),"")</f>
        <v>Home</v>
      </c>
      <c r="L881" s="9">
        <f>IF(OR(RawWorking[[#This Row],[ShipDate]]="",RawWorking[[#This Row],[DeliveryDate]]=""),"",RawWorking[[#This Row],[DeliveryDate]]-RawWorking[[#This Row],[ShipDate]])</f>
        <v>3</v>
      </c>
      <c r="M881" s="9">
        <f>IF(COUNTIF(INDEX(RawWorking[OrderID],1):RawWorking[[#This Row],[OrderID]],RawWorking[[#This Row],[OrderID]])=1,1,0)</f>
        <v>1</v>
      </c>
      <c r="N881" s="4">
        <f>IFERROR(RawWorking[[#This Row],[LineAmount]]/RawWorking[[#This Row],[Quantity]],"")</f>
        <v>253.85999999999999</v>
      </c>
    </row>
    <row r="882" spans="1:14">
      <c r="A882">
        <v>50881</v>
      </c>
      <c r="B882">
        <v>30499</v>
      </c>
      <c r="C882" s="2">
        <v>45933</v>
      </c>
      <c r="D882">
        <v>2398</v>
      </c>
      <c r="E882">
        <v>1006</v>
      </c>
      <c r="F882">
        <v>1</v>
      </c>
      <c r="G882">
        <v>253.86</v>
      </c>
      <c r="H882" s="2">
        <v>45935</v>
      </c>
      <c r="I882" s="2">
        <v>45937</v>
      </c>
      <c r="J882" t="s">
        <v>9</v>
      </c>
      <c r="K882" s="2" t="str">
        <f>IFERROR(INDEX(Product_lookup[Category],MATCH(RawWorking[[#This Row],[ProductID]],Product_lookup[ProductID],0)),"")</f>
        <v>Home</v>
      </c>
      <c r="L882" s="9">
        <f>IF(OR(RawWorking[[#This Row],[ShipDate]]="",RawWorking[[#This Row],[DeliveryDate]]=""),"",RawWorking[[#This Row],[DeliveryDate]]-RawWorking[[#This Row],[ShipDate]])</f>
        <v>2</v>
      </c>
      <c r="M882" s="9">
        <f>IF(COUNTIF(INDEX(RawWorking[OrderID],1):RawWorking[[#This Row],[OrderID]],RawWorking[[#This Row],[OrderID]])=1,1,0)</f>
        <v>0</v>
      </c>
      <c r="N882" s="4">
        <f>IFERROR(RawWorking[[#This Row],[LineAmount]]/RawWorking[[#This Row],[Quantity]],"")</f>
        <v>253.86</v>
      </c>
    </row>
    <row r="883" spans="1:14">
      <c r="A883">
        <v>50882</v>
      </c>
      <c r="B883">
        <v>30500</v>
      </c>
      <c r="C883" s="2">
        <v>45800</v>
      </c>
      <c r="D883">
        <v>2243</v>
      </c>
      <c r="E883">
        <v>1012</v>
      </c>
      <c r="F883">
        <v>2</v>
      </c>
      <c r="G883">
        <v>483.08</v>
      </c>
      <c r="H883" s="2">
        <v>45802</v>
      </c>
      <c r="I883" s="2">
        <v>45809</v>
      </c>
      <c r="J883" t="s">
        <v>9</v>
      </c>
      <c r="K883" s="2" t="str">
        <f>IFERROR(INDEX(Product_lookup[Category],MATCH(RawWorking[[#This Row],[ProductID]],Product_lookup[ProductID],0)),"")</f>
        <v>Office</v>
      </c>
      <c r="L883" s="9">
        <f>IF(OR(RawWorking[[#This Row],[ShipDate]]="",RawWorking[[#This Row],[DeliveryDate]]=""),"",RawWorking[[#This Row],[DeliveryDate]]-RawWorking[[#This Row],[ShipDate]])</f>
        <v>7</v>
      </c>
      <c r="M883" s="9">
        <f>IF(COUNTIF(INDEX(RawWorking[OrderID],1):RawWorking[[#This Row],[OrderID]],RawWorking[[#This Row],[OrderID]])=1,1,0)</f>
        <v>1</v>
      </c>
      <c r="N883" s="4">
        <f>IFERROR(RawWorking[[#This Row],[LineAmount]]/RawWorking[[#This Row],[Quantity]],"")</f>
        <v>241.54</v>
      </c>
    </row>
    <row r="884" spans="1:14">
      <c r="A884">
        <v>50883</v>
      </c>
      <c r="B884">
        <v>30500</v>
      </c>
      <c r="C884" s="2">
        <v>45800</v>
      </c>
      <c r="D884">
        <v>2243</v>
      </c>
      <c r="E884">
        <v>1001</v>
      </c>
      <c r="F884">
        <v>3</v>
      </c>
      <c r="G884">
        <v>609.12</v>
      </c>
      <c r="H884" s="2">
        <v>45803</v>
      </c>
      <c r="I884" s="2">
        <v>45807</v>
      </c>
      <c r="J884" t="s">
        <v>9</v>
      </c>
      <c r="K884" s="2" t="str">
        <f>IFERROR(INDEX(Product_lookup[Category],MATCH(RawWorking[[#This Row],[ProductID]],Product_lookup[ProductID],0)),"")</f>
        <v>Electronics</v>
      </c>
      <c r="L884" s="9">
        <f>IF(OR(RawWorking[[#This Row],[ShipDate]]="",RawWorking[[#This Row],[DeliveryDate]]=""),"",RawWorking[[#This Row],[DeliveryDate]]-RawWorking[[#This Row],[ShipDate]])</f>
        <v>4</v>
      </c>
      <c r="M884" s="9">
        <f>IF(COUNTIF(INDEX(RawWorking[OrderID],1):RawWorking[[#This Row],[OrderID]],RawWorking[[#This Row],[OrderID]])=1,1,0)</f>
        <v>0</v>
      </c>
      <c r="N884" s="4">
        <f>IFERROR(RawWorking[[#This Row],[LineAmount]]/RawWorking[[#This Row],[Quantity]],"")</f>
        <v>203.04</v>
      </c>
    </row>
    <row r="885" spans="1:14">
      <c r="A885">
        <v>50884</v>
      </c>
      <c r="B885">
        <v>30501</v>
      </c>
      <c r="C885" s="2">
        <v>45952</v>
      </c>
      <c r="D885">
        <v>2361</v>
      </c>
      <c r="E885">
        <v>1005</v>
      </c>
      <c r="F885">
        <v>1</v>
      </c>
      <c r="G885">
        <v>31.73</v>
      </c>
      <c r="H885" s="2">
        <v>45955</v>
      </c>
      <c r="I885" s="2">
        <v>45958</v>
      </c>
      <c r="J885" t="s">
        <v>11</v>
      </c>
      <c r="K885" s="2" t="str">
        <f>IFERROR(INDEX(Product_lookup[Category],MATCH(RawWorking[[#This Row],[ProductID]],Product_lookup[ProductID],0)),"")</f>
        <v>Electronics</v>
      </c>
      <c r="L885" s="9">
        <f>IF(OR(RawWorking[[#This Row],[ShipDate]]="",RawWorking[[#This Row],[DeliveryDate]]=""),"",RawWorking[[#This Row],[DeliveryDate]]-RawWorking[[#This Row],[ShipDate]])</f>
        <v>3</v>
      </c>
      <c r="M885" s="9">
        <f>IF(COUNTIF(INDEX(RawWorking[OrderID],1):RawWorking[[#This Row],[OrderID]],RawWorking[[#This Row],[OrderID]])=1,1,0)</f>
        <v>1</v>
      </c>
      <c r="N885" s="4">
        <f>IFERROR(RawWorking[[#This Row],[LineAmount]]/RawWorking[[#This Row],[Quantity]],"")</f>
        <v>31.73</v>
      </c>
    </row>
    <row r="886" spans="1:14">
      <c r="A886">
        <v>50885</v>
      </c>
      <c r="B886">
        <v>30502</v>
      </c>
      <c r="C886" s="2">
        <v>45976</v>
      </c>
      <c r="D886">
        <v>2577</v>
      </c>
      <c r="E886">
        <v>1016</v>
      </c>
      <c r="F886">
        <v>2</v>
      </c>
      <c r="G886">
        <v>130.52000000000001</v>
      </c>
      <c r="H886" s="2">
        <v>45977</v>
      </c>
      <c r="I886" s="2">
        <v>45987</v>
      </c>
      <c r="J886" t="s">
        <v>11</v>
      </c>
      <c r="K886" s="2" t="str">
        <f>IFERROR(INDEX(Product_lookup[Category],MATCH(RawWorking[[#This Row],[ProductID]],Product_lookup[ProductID],0)),"")</f>
        <v>Sports</v>
      </c>
      <c r="L886" s="9">
        <f>IF(OR(RawWorking[[#This Row],[ShipDate]]="",RawWorking[[#This Row],[DeliveryDate]]=""),"",RawWorking[[#This Row],[DeliveryDate]]-RawWorking[[#This Row],[ShipDate]])</f>
        <v>10</v>
      </c>
      <c r="M886" s="9">
        <f>IF(COUNTIF(INDEX(RawWorking[OrderID],1):RawWorking[[#This Row],[OrderID]],RawWorking[[#This Row],[OrderID]])=1,1,0)</f>
        <v>1</v>
      </c>
      <c r="N886" s="4">
        <f>IFERROR(RawWorking[[#This Row],[LineAmount]]/RawWorking[[#This Row],[Quantity]],"")</f>
        <v>65.260000000000005</v>
      </c>
    </row>
    <row r="887" spans="1:14">
      <c r="A887">
        <v>50886</v>
      </c>
      <c r="B887">
        <v>30502</v>
      </c>
      <c r="C887" s="2">
        <v>45976</v>
      </c>
      <c r="D887">
        <v>2577</v>
      </c>
      <c r="E887">
        <v>1010</v>
      </c>
      <c r="F887">
        <v>1</v>
      </c>
      <c r="G887">
        <v>121.5</v>
      </c>
      <c r="H887" s="2">
        <v>45979</v>
      </c>
      <c r="I887" s="2">
        <v>45981</v>
      </c>
      <c r="J887" t="s">
        <v>11</v>
      </c>
      <c r="K887" s="2" t="str">
        <f>IFERROR(INDEX(Product_lookup[Category],MATCH(RawWorking[[#This Row],[ProductID]],Product_lookup[ProductID],0)),"")</f>
        <v>Office</v>
      </c>
      <c r="L887" s="9">
        <f>IF(OR(RawWorking[[#This Row],[ShipDate]]="",RawWorking[[#This Row],[DeliveryDate]]=""),"",RawWorking[[#This Row],[DeliveryDate]]-RawWorking[[#This Row],[ShipDate]])</f>
        <v>2</v>
      </c>
      <c r="M887" s="9">
        <f>IF(COUNTIF(INDEX(RawWorking[OrderID],1):RawWorking[[#This Row],[OrderID]],RawWorking[[#This Row],[OrderID]])=1,1,0)</f>
        <v>0</v>
      </c>
      <c r="N887" s="4">
        <f>IFERROR(RawWorking[[#This Row],[LineAmount]]/RawWorking[[#This Row],[Quantity]],"")</f>
        <v>121.5</v>
      </c>
    </row>
    <row r="888" spans="1:14">
      <c r="A888">
        <v>50887</v>
      </c>
      <c r="B888">
        <v>30502</v>
      </c>
      <c r="C888" s="2">
        <v>45976</v>
      </c>
      <c r="D888">
        <v>2577</v>
      </c>
      <c r="E888">
        <v>1006</v>
      </c>
      <c r="F888">
        <v>1</v>
      </c>
      <c r="G888">
        <v>253.86</v>
      </c>
      <c r="H888" s="2">
        <v>45978</v>
      </c>
      <c r="I888" s="2">
        <v>45982</v>
      </c>
      <c r="J888" t="s">
        <v>11</v>
      </c>
      <c r="K888" s="2" t="str">
        <f>IFERROR(INDEX(Product_lookup[Category],MATCH(RawWorking[[#This Row],[ProductID]],Product_lookup[ProductID],0)),"")</f>
        <v>Home</v>
      </c>
      <c r="L888" s="9">
        <f>IF(OR(RawWorking[[#This Row],[ShipDate]]="",RawWorking[[#This Row],[DeliveryDate]]=""),"",RawWorking[[#This Row],[DeliveryDate]]-RawWorking[[#This Row],[ShipDate]])</f>
        <v>4</v>
      </c>
      <c r="M888" s="9">
        <f>IF(COUNTIF(INDEX(RawWorking[OrderID],1):RawWorking[[#This Row],[OrderID]],RawWorking[[#This Row],[OrderID]])=1,1,0)</f>
        <v>0</v>
      </c>
      <c r="N888" s="4">
        <f>IFERROR(RawWorking[[#This Row],[LineAmount]]/RawWorking[[#This Row],[Quantity]],"")</f>
        <v>253.86</v>
      </c>
    </row>
    <row r="889" spans="1:14">
      <c r="A889">
        <v>50888</v>
      </c>
      <c r="B889">
        <v>30503</v>
      </c>
      <c r="C889" s="2">
        <v>45697</v>
      </c>
      <c r="D889">
        <v>2503</v>
      </c>
      <c r="E889">
        <v>1002</v>
      </c>
      <c r="F889">
        <v>1</v>
      </c>
      <c r="G889">
        <v>118.6</v>
      </c>
      <c r="H889" s="2">
        <v>45698</v>
      </c>
      <c r="I889" s="2">
        <v>45963</v>
      </c>
      <c r="J889" t="s">
        <v>9</v>
      </c>
      <c r="K889" s="2" t="str">
        <f>IFERROR(INDEX(Product_lookup[Category],MATCH(RawWorking[[#This Row],[ProductID]],Product_lookup[ProductID],0)),"")</f>
        <v>Electronics</v>
      </c>
      <c r="L889" s="9">
        <f>IF(OR(RawWorking[[#This Row],[ShipDate]]="",RawWorking[[#This Row],[DeliveryDate]]=""),"",RawWorking[[#This Row],[DeliveryDate]]-RawWorking[[#This Row],[ShipDate]])</f>
        <v>265</v>
      </c>
      <c r="M889" s="9">
        <f>IF(COUNTIF(INDEX(RawWorking[OrderID],1):RawWorking[[#This Row],[OrderID]],RawWorking[[#This Row],[OrderID]])=1,1,0)</f>
        <v>1</v>
      </c>
      <c r="N889" s="4">
        <f>IFERROR(RawWorking[[#This Row],[LineAmount]]/RawWorking[[#This Row],[Quantity]],"")</f>
        <v>118.6</v>
      </c>
    </row>
    <row r="890" spans="1:14">
      <c r="A890">
        <v>50889</v>
      </c>
      <c r="B890">
        <v>30504</v>
      </c>
      <c r="C890" s="2">
        <v>45849</v>
      </c>
      <c r="D890">
        <v>2239</v>
      </c>
      <c r="E890">
        <v>1001</v>
      </c>
      <c r="F890">
        <v>1</v>
      </c>
      <c r="G890">
        <v>203.04</v>
      </c>
      <c r="H890" s="2">
        <v>45971</v>
      </c>
      <c r="I890" s="2">
        <v>45979</v>
      </c>
      <c r="J890" t="s">
        <v>9</v>
      </c>
      <c r="K890" s="2" t="str">
        <f>IFERROR(INDEX(Product_lookup[Category],MATCH(RawWorking[[#This Row],[ProductID]],Product_lookup[ProductID],0)),"")</f>
        <v>Electronics</v>
      </c>
      <c r="L890" s="9">
        <f>IF(OR(RawWorking[[#This Row],[ShipDate]]="",RawWorking[[#This Row],[DeliveryDate]]=""),"",RawWorking[[#This Row],[DeliveryDate]]-RawWorking[[#This Row],[ShipDate]])</f>
        <v>8</v>
      </c>
      <c r="M890" s="9">
        <f>IF(COUNTIF(INDEX(RawWorking[OrderID],1):RawWorking[[#This Row],[OrderID]],RawWorking[[#This Row],[OrderID]])=1,1,0)</f>
        <v>1</v>
      </c>
      <c r="N890" s="4">
        <f>IFERROR(RawWorking[[#This Row],[LineAmount]]/RawWorking[[#This Row],[Quantity]],"")</f>
        <v>203.04</v>
      </c>
    </row>
    <row r="891" spans="1:14">
      <c r="A891">
        <v>50890</v>
      </c>
      <c r="B891">
        <v>30505</v>
      </c>
      <c r="C891" s="2">
        <v>45937</v>
      </c>
      <c r="D891">
        <v>2540</v>
      </c>
      <c r="E891">
        <v>1011</v>
      </c>
      <c r="F891">
        <v>3</v>
      </c>
      <c r="G891">
        <v>304.32</v>
      </c>
      <c r="H891" s="2">
        <v>45940</v>
      </c>
      <c r="I891" s="2">
        <v>45948</v>
      </c>
      <c r="J891" t="s">
        <v>9</v>
      </c>
      <c r="K891" s="2" t="str">
        <f>IFERROR(INDEX(Product_lookup[Category],MATCH(RawWorking[[#This Row],[ProductID]],Product_lookup[ProductID],0)),"")</f>
        <v>Office</v>
      </c>
      <c r="L891" s="9">
        <f>IF(OR(RawWorking[[#This Row],[ShipDate]]="",RawWorking[[#This Row],[DeliveryDate]]=""),"",RawWorking[[#This Row],[DeliveryDate]]-RawWorking[[#This Row],[ShipDate]])</f>
        <v>8</v>
      </c>
      <c r="M891" s="9">
        <f>IF(COUNTIF(INDEX(RawWorking[OrderID],1):RawWorking[[#This Row],[OrderID]],RawWorking[[#This Row],[OrderID]])=1,1,0)</f>
        <v>1</v>
      </c>
      <c r="N891" s="4">
        <f>IFERROR(RawWorking[[#This Row],[LineAmount]]/RawWorking[[#This Row],[Quantity]],"")</f>
        <v>101.44</v>
      </c>
    </row>
    <row r="892" spans="1:14">
      <c r="A892">
        <v>50891</v>
      </c>
      <c r="B892">
        <v>30506</v>
      </c>
      <c r="C892" s="2">
        <v>45871</v>
      </c>
      <c r="D892">
        <v>2207</v>
      </c>
      <c r="E892">
        <v>1011</v>
      </c>
      <c r="F892">
        <v>2</v>
      </c>
      <c r="G892">
        <v>202.88</v>
      </c>
      <c r="H892" s="2" t="s">
        <v>1421</v>
      </c>
      <c r="I892" s="2" t="s">
        <v>1421</v>
      </c>
      <c r="J892" t="s">
        <v>16</v>
      </c>
      <c r="K892" s="2" t="str">
        <f>IFERROR(INDEX(Product_lookup[Category],MATCH(RawWorking[[#This Row],[ProductID]],Product_lookup[ProductID],0)),"")</f>
        <v>Office</v>
      </c>
      <c r="L892" s="9" t="str">
        <f>IF(OR(RawWorking[[#This Row],[ShipDate]]="",RawWorking[[#This Row],[DeliveryDate]]=""),"",RawWorking[[#This Row],[DeliveryDate]]-RawWorking[[#This Row],[ShipDate]])</f>
        <v/>
      </c>
      <c r="M892" s="9">
        <f>IF(COUNTIF(INDEX(RawWorking[OrderID],1):RawWorking[[#This Row],[OrderID]],RawWorking[[#This Row],[OrderID]])=1,1,0)</f>
        <v>1</v>
      </c>
      <c r="N892" s="4">
        <f>IFERROR(RawWorking[[#This Row],[LineAmount]]/RawWorking[[#This Row],[Quantity]],"")</f>
        <v>101.44</v>
      </c>
    </row>
    <row r="893" spans="1:14">
      <c r="A893">
        <v>50892</v>
      </c>
      <c r="B893">
        <v>30506</v>
      </c>
      <c r="C893" s="2">
        <v>45696</v>
      </c>
      <c r="D893">
        <v>2207</v>
      </c>
      <c r="E893">
        <v>1011</v>
      </c>
      <c r="F893">
        <v>2</v>
      </c>
      <c r="G893">
        <v>202.88</v>
      </c>
      <c r="H893" s="2">
        <v>45697</v>
      </c>
      <c r="I893" s="2" t="s">
        <v>1421</v>
      </c>
      <c r="J893" t="s">
        <v>16</v>
      </c>
      <c r="K893" s="2" t="str">
        <f>IFERROR(INDEX(Product_lookup[Category],MATCH(RawWorking[[#This Row],[ProductID]],Product_lookup[ProductID],0)),"")</f>
        <v>Office</v>
      </c>
      <c r="L893" s="9" t="str">
        <f>IF(OR(RawWorking[[#This Row],[ShipDate]]="",RawWorking[[#This Row],[DeliveryDate]]=""),"",RawWorking[[#This Row],[DeliveryDate]]-RawWorking[[#This Row],[ShipDate]])</f>
        <v/>
      </c>
      <c r="M893" s="9">
        <f>IF(COUNTIF(INDEX(RawWorking[OrderID],1):RawWorking[[#This Row],[OrderID]],RawWorking[[#This Row],[OrderID]])=1,1,0)</f>
        <v>0</v>
      </c>
      <c r="N893" s="4">
        <f>IFERROR(RawWorking[[#This Row],[LineAmount]]/RawWorking[[#This Row],[Quantity]],"")</f>
        <v>101.44</v>
      </c>
    </row>
    <row r="894" spans="1:14">
      <c r="A894">
        <v>50893</v>
      </c>
      <c r="B894">
        <v>30507</v>
      </c>
      <c r="C894" s="2">
        <v>45679</v>
      </c>
      <c r="D894">
        <v>2152</v>
      </c>
      <c r="E894">
        <v>1005</v>
      </c>
      <c r="F894">
        <v>2</v>
      </c>
      <c r="G894">
        <v>63.46</v>
      </c>
      <c r="H894" s="2">
        <v>45682</v>
      </c>
      <c r="I894" s="2">
        <v>45687</v>
      </c>
      <c r="J894" t="s">
        <v>9</v>
      </c>
      <c r="K894" s="2" t="str">
        <f>IFERROR(INDEX(Product_lookup[Category],MATCH(RawWorking[[#This Row],[ProductID]],Product_lookup[ProductID],0)),"")</f>
        <v>Electronics</v>
      </c>
      <c r="L894" s="9">
        <f>IF(OR(RawWorking[[#This Row],[ShipDate]]="",RawWorking[[#This Row],[DeliveryDate]]=""),"",RawWorking[[#This Row],[DeliveryDate]]-RawWorking[[#This Row],[ShipDate]])</f>
        <v>5</v>
      </c>
      <c r="M894" s="9">
        <f>IF(COUNTIF(INDEX(RawWorking[OrderID],1):RawWorking[[#This Row],[OrderID]],RawWorking[[#This Row],[OrderID]])=1,1,0)</f>
        <v>1</v>
      </c>
      <c r="N894" s="4">
        <f>IFERROR(RawWorking[[#This Row],[LineAmount]]/RawWorking[[#This Row],[Quantity]],"")</f>
        <v>31.73</v>
      </c>
    </row>
    <row r="895" spans="1:14">
      <c r="A895">
        <v>50894</v>
      </c>
      <c r="B895">
        <v>30507</v>
      </c>
      <c r="C895" s="2">
        <v>45679</v>
      </c>
      <c r="D895">
        <v>2152</v>
      </c>
      <c r="E895">
        <v>1004</v>
      </c>
      <c r="F895">
        <v>2</v>
      </c>
      <c r="G895">
        <v>367.48</v>
      </c>
      <c r="H895" s="2">
        <v>45680</v>
      </c>
      <c r="I895" s="2">
        <v>45682</v>
      </c>
      <c r="J895" t="s">
        <v>9</v>
      </c>
      <c r="K895" s="2" t="str">
        <f>IFERROR(INDEX(Product_lookup[Category],MATCH(RawWorking[[#This Row],[ProductID]],Product_lookup[ProductID],0)),"")</f>
        <v>Electronics</v>
      </c>
      <c r="L895" s="9">
        <f>IF(OR(RawWorking[[#This Row],[ShipDate]]="",RawWorking[[#This Row],[DeliveryDate]]=""),"",RawWorking[[#This Row],[DeliveryDate]]-RawWorking[[#This Row],[ShipDate]])</f>
        <v>2</v>
      </c>
      <c r="M895" s="9">
        <f>IF(COUNTIF(INDEX(RawWorking[OrderID],1):RawWorking[[#This Row],[OrderID]],RawWorking[[#This Row],[OrderID]])=1,1,0)</f>
        <v>0</v>
      </c>
      <c r="N895" s="4">
        <f>IFERROR(RawWorking[[#This Row],[LineAmount]]/RawWorking[[#This Row],[Quantity]],"")</f>
        <v>183.74</v>
      </c>
    </row>
    <row r="896" spans="1:14">
      <c r="A896">
        <v>50895</v>
      </c>
      <c r="B896">
        <v>30508</v>
      </c>
      <c r="C896" s="2">
        <v>46007</v>
      </c>
      <c r="D896">
        <v>2539</v>
      </c>
      <c r="E896">
        <v>1003</v>
      </c>
      <c r="F896">
        <v>2</v>
      </c>
      <c r="G896">
        <v>448.74</v>
      </c>
      <c r="H896" s="2" t="s">
        <v>1421</v>
      </c>
      <c r="I896" s="2" t="s">
        <v>1421</v>
      </c>
      <c r="J896" t="s">
        <v>12</v>
      </c>
      <c r="K896" s="2" t="str">
        <f>IFERROR(INDEX(Product_lookup[Category],MATCH(RawWorking[[#This Row],[ProductID]],Product_lookup[ProductID],0)),"")</f>
        <v>Electronics</v>
      </c>
      <c r="L896" s="9" t="str">
        <f>IF(OR(RawWorking[[#This Row],[ShipDate]]="",RawWorking[[#This Row],[DeliveryDate]]=""),"",RawWorking[[#This Row],[DeliveryDate]]-RawWorking[[#This Row],[ShipDate]])</f>
        <v/>
      </c>
      <c r="M896" s="9">
        <f>IF(COUNTIF(INDEX(RawWorking[OrderID],1):RawWorking[[#This Row],[OrderID]],RawWorking[[#This Row],[OrderID]])=1,1,0)</f>
        <v>1</v>
      </c>
      <c r="N896" s="4">
        <f>IFERROR(RawWorking[[#This Row],[LineAmount]]/RawWorking[[#This Row],[Quantity]],"")</f>
        <v>224.37</v>
      </c>
    </row>
    <row r="897" spans="1:14">
      <c r="A897">
        <v>50896</v>
      </c>
      <c r="B897">
        <v>30508</v>
      </c>
      <c r="C897" s="2">
        <v>46007</v>
      </c>
      <c r="D897">
        <v>2539</v>
      </c>
      <c r="E897">
        <v>1012</v>
      </c>
      <c r="F897">
        <v>1</v>
      </c>
      <c r="G897">
        <v>241.54</v>
      </c>
      <c r="H897" s="2" t="s">
        <v>1421</v>
      </c>
      <c r="I897" s="2" t="s">
        <v>1421</v>
      </c>
      <c r="J897" t="s">
        <v>12</v>
      </c>
      <c r="K897" s="2" t="str">
        <f>IFERROR(INDEX(Product_lookup[Category],MATCH(RawWorking[[#This Row],[ProductID]],Product_lookup[ProductID],0)),"")</f>
        <v>Office</v>
      </c>
      <c r="L897" s="9" t="str">
        <f>IF(OR(RawWorking[[#This Row],[ShipDate]]="",RawWorking[[#This Row],[DeliveryDate]]=""),"",RawWorking[[#This Row],[DeliveryDate]]-RawWorking[[#This Row],[ShipDate]])</f>
        <v/>
      </c>
      <c r="M897" s="9">
        <f>IF(COUNTIF(INDEX(RawWorking[OrderID],1):RawWorking[[#This Row],[OrderID]],RawWorking[[#This Row],[OrderID]])=1,1,0)</f>
        <v>0</v>
      </c>
      <c r="N897" s="4">
        <f>IFERROR(RawWorking[[#This Row],[LineAmount]]/RawWorking[[#This Row],[Quantity]],"")</f>
        <v>241.54</v>
      </c>
    </row>
    <row r="898" spans="1:14">
      <c r="A898">
        <v>50897</v>
      </c>
      <c r="B898">
        <v>30509</v>
      </c>
      <c r="C898" s="2">
        <v>45725</v>
      </c>
      <c r="D898">
        <v>2406</v>
      </c>
      <c r="E898">
        <v>1011</v>
      </c>
      <c r="F898">
        <v>1</v>
      </c>
      <c r="G898">
        <v>101.44</v>
      </c>
      <c r="H898" s="2">
        <v>45817</v>
      </c>
      <c r="I898" s="2">
        <v>45847</v>
      </c>
      <c r="J898" t="s">
        <v>9</v>
      </c>
      <c r="K898" s="2" t="str">
        <f>IFERROR(INDEX(Product_lookup[Category],MATCH(RawWorking[[#This Row],[ProductID]],Product_lookup[ProductID],0)),"")</f>
        <v>Office</v>
      </c>
      <c r="L898" s="9">
        <f>IF(OR(RawWorking[[#This Row],[ShipDate]]="",RawWorking[[#This Row],[DeliveryDate]]=""),"",RawWorking[[#This Row],[DeliveryDate]]-RawWorking[[#This Row],[ShipDate]])</f>
        <v>30</v>
      </c>
      <c r="M898" s="9">
        <f>IF(COUNTIF(INDEX(RawWorking[OrderID],1):RawWorking[[#This Row],[OrderID]],RawWorking[[#This Row],[OrderID]])=1,1,0)</f>
        <v>1</v>
      </c>
      <c r="N898" s="4">
        <f>IFERROR(RawWorking[[#This Row],[LineAmount]]/RawWorking[[#This Row],[Quantity]],"")</f>
        <v>101.44</v>
      </c>
    </row>
    <row r="899" spans="1:14">
      <c r="A899">
        <v>50898</v>
      </c>
      <c r="B899">
        <v>30509</v>
      </c>
      <c r="C899" s="2">
        <v>45903</v>
      </c>
      <c r="D899">
        <v>2406</v>
      </c>
      <c r="E899">
        <v>1010</v>
      </c>
      <c r="F899">
        <v>1</v>
      </c>
      <c r="G899">
        <v>121.5</v>
      </c>
      <c r="H899" s="2">
        <v>45904</v>
      </c>
      <c r="I899" s="2">
        <v>45908</v>
      </c>
      <c r="J899" t="s">
        <v>9</v>
      </c>
      <c r="K899" s="2" t="str">
        <f>IFERROR(INDEX(Product_lookup[Category],MATCH(RawWorking[[#This Row],[ProductID]],Product_lookup[ProductID],0)),"")</f>
        <v>Office</v>
      </c>
      <c r="L899" s="9">
        <f>IF(OR(RawWorking[[#This Row],[ShipDate]]="",RawWorking[[#This Row],[DeliveryDate]]=""),"",RawWorking[[#This Row],[DeliveryDate]]-RawWorking[[#This Row],[ShipDate]])</f>
        <v>4</v>
      </c>
      <c r="M899" s="9">
        <f>IF(COUNTIF(INDEX(RawWorking[OrderID],1):RawWorking[[#This Row],[OrderID]],RawWorking[[#This Row],[OrderID]])=1,1,0)</f>
        <v>0</v>
      </c>
      <c r="N899" s="4">
        <f>IFERROR(RawWorking[[#This Row],[LineAmount]]/RawWorking[[#This Row],[Quantity]],"")</f>
        <v>121.5</v>
      </c>
    </row>
    <row r="900" spans="1:14">
      <c r="A900">
        <v>50899</v>
      </c>
      <c r="B900">
        <v>30509</v>
      </c>
      <c r="C900" s="2">
        <v>45725</v>
      </c>
      <c r="D900">
        <v>2406</v>
      </c>
      <c r="E900">
        <v>1011</v>
      </c>
      <c r="F900">
        <v>1</v>
      </c>
      <c r="G900">
        <v>101.44</v>
      </c>
      <c r="H900" s="2">
        <v>45786</v>
      </c>
      <c r="I900" s="2">
        <v>45906</v>
      </c>
      <c r="J900" t="s">
        <v>9</v>
      </c>
      <c r="K900" s="2" t="str">
        <f>IFERROR(INDEX(Product_lookup[Category],MATCH(RawWorking[[#This Row],[ProductID]],Product_lookup[ProductID],0)),"")</f>
        <v>Office</v>
      </c>
      <c r="L900" s="9">
        <f>IF(OR(RawWorking[[#This Row],[ShipDate]]="",RawWorking[[#This Row],[DeliveryDate]]=""),"",RawWorking[[#This Row],[DeliveryDate]]-RawWorking[[#This Row],[ShipDate]])</f>
        <v>120</v>
      </c>
      <c r="M900" s="9">
        <f>IF(COUNTIF(INDEX(RawWorking[OrderID],1):RawWorking[[#This Row],[OrderID]],RawWorking[[#This Row],[OrderID]])=1,1,0)</f>
        <v>0</v>
      </c>
      <c r="N900" s="4">
        <f>IFERROR(RawWorking[[#This Row],[LineAmount]]/RawWorking[[#This Row],[Quantity]],"")</f>
        <v>101.44</v>
      </c>
    </row>
    <row r="901" spans="1:14">
      <c r="A901">
        <v>50900</v>
      </c>
      <c r="B901">
        <v>30509</v>
      </c>
      <c r="C901" s="2">
        <v>45725</v>
      </c>
      <c r="D901">
        <v>2406</v>
      </c>
      <c r="E901">
        <v>1005</v>
      </c>
      <c r="F901">
        <v>1</v>
      </c>
      <c r="G901">
        <v>31.73</v>
      </c>
      <c r="H901" s="2">
        <v>45904</v>
      </c>
      <c r="I901" s="2">
        <v>45913</v>
      </c>
      <c r="J901" t="s">
        <v>9</v>
      </c>
      <c r="K901" s="2" t="str">
        <f>IFERROR(INDEX(Product_lookup[Category],MATCH(RawWorking[[#This Row],[ProductID]],Product_lookup[ProductID],0)),"")</f>
        <v>Electronics</v>
      </c>
      <c r="L901" s="9">
        <f>IF(OR(RawWorking[[#This Row],[ShipDate]]="",RawWorking[[#This Row],[DeliveryDate]]=""),"",RawWorking[[#This Row],[DeliveryDate]]-RawWorking[[#This Row],[ShipDate]])</f>
        <v>9</v>
      </c>
      <c r="M901" s="9">
        <f>IF(COUNTIF(INDEX(RawWorking[OrderID],1):RawWorking[[#This Row],[OrderID]],RawWorking[[#This Row],[OrderID]])=1,1,0)</f>
        <v>0</v>
      </c>
      <c r="N901" s="4">
        <f>IFERROR(RawWorking[[#This Row],[LineAmount]]/RawWorking[[#This Row],[Quantity]],"")</f>
        <v>31.73</v>
      </c>
    </row>
    <row r="902" spans="1:14">
      <c r="A902">
        <v>50901</v>
      </c>
      <c r="B902">
        <v>30510</v>
      </c>
      <c r="C902" s="2">
        <v>45870</v>
      </c>
      <c r="D902">
        <v>2162</v>
      </c>
      <c r="E902">
        <v>1014</v>
      </c>
      <c r="F902">
        <v>2</v>
      </c>
      <c r="G902">
        <v>430.68</v>
      </c>
      <c r="H902" s="2">
        <v>45872</v>
      </c>
      <c r="I902" s="2">
        <v>45880</v>
      </c>
      <c r="J902" t="s">
        <v>9</v>
      </c>
      <c r="K902" s="2" t="str">
        <f>IFERROR(INDEX(Product_lookup[Category],MATCH(RawWorking[[#This Row],[ProductID]],Product_lookup[ProductID],0)),"")</f>
        <v>Sports</v>
      </c>
      <c r="L902" s="9">
        <f>IF(OR(RawWorking[[#This Row],[ShipDate]]="",RawWorking[[#This Row],[DeliveryDate]]=""),"",RawWorking[[#This Row],[DeliveryDate]]-RawWorking[[#This Row],[ShipDate]])</f>
        <v>8</v>
      </c>
      <c r="M902" s="9">
        <f>IF(COUNTIF(INDEX(RawWorking[OrderID],1):RawWorking[[#This Row],[OrderID]],RawWorking[[#This Row],[OrderID]])=1,1,0)</f>
        <v>1</v>
      </c>
      <c r="N902" s="4">
        <f>IFERROR(RawWorking[[#This Row],[LineAmount]]/RawWorking[[#This Row],[Quantity]],"")</f>
        <v>215.34</v>
      </c>
    </row>
    <row r="903" spans="1:14">
      <c r="A903">
        <v>50902</v>
      </c>
      <c r="B903">
        <v>30510</v>
      </c>
      <c r="C903" s="2">
        <v>45870</v>
      </c>
      <c r="D903">
        <v>2162</v>
      </c>
      <c r="E903">
        <v>1016</v>
      </c>
      <c r="F903">
        <v>2</v>
      </c>
      <c r="G903">
        <v>130.52000000000001</v>
      </c>
      <c r="H903" s="2">
        <v>45871</v>
      </c>
      <c r="I903" s="2">
        <v>45879</v>
      </c>
      <c r="J903" t="s">
        <v>9</v>
      </c>
      <c r="K903" s="2" t="str">
        <f>IFERROR(INDEX(Product_lookup[Category],MATCH(RawWorking[[#This Row],[ProductID]],Product_lookup[ProductID],0)),"")</f>
        <v>Sports</v>
      </c>
      <c r="L903" s="9">
        <f>IF(OR(RawWorking[[#This Row],[ShipDate]]="",RawWorking[[#This Row],[DeliveryDate]]=""),"",RawWorking[[#This Row],[DeliveryDate]]-RawWorking[[#This Row],[ShipDate]])</f>
        <v>8</v>
      </c>
      <c r="M903" s="9">
        <f>IF(COUNTIF(INDEX(RawWorking[OrderID],1):RawWorking[[#This Row],[OrderID]],RawWorking[[#This Row],[OrderID]])=1,1,0)</f>
        <v>0</v>
      </c>
      <c r="N903" s="4">
        <f>IFERROR(RawWorking[[#This Row],[LineAmount]]/RawWorking[[#This Row],[Quantity]],"")</f>
        <v>65.260000000000005</v>
      </c>
    </row>
    <row r="904" spans="1:14">
      <c r="A904">
        <v>50903</v>
      </c>
      <c r="B904">
        <v>30511</v>
      </c>
      <c r="C904" s="2">
        <v>45949</v>
      </c>
      <c r="D904">
        <v>2325</v>
      </c>
      <c r="E904">
        <v>1012</v>
      </c>
      <c r="F904">
        <v>2</v>
      </c>
      <c r="G904">
        <v>483.08</v>
      </c>
      <c r="H904" s="2">
        <v>45951</v>
      </c>
      <c r="I904" s="2">
        <v>45959</v>
      </c>
      <c r="J904" t="s">
        <v>9</v>
      </c>
      <c r="K904" s="2" t="str">
        <f>IFERROR(INDEX(Product_lookup[Category],MATCH(RawWorking[[#This Row],[ProductID]],Product_lookup[ProductID],0)),"")</f>
        <v>Office</v>
      </c>
      <c r="L904" s="9">
        <f>IF(OR(RawWorking[[#This Row],[ShipDate]]="",RawWorking[[#This Row],[DeliveryDate]]=""),"",RawWorking[[#This Row],[DeliveryDate]]-RawWorking[[#This Row],[ShipDate]])</f>
        <v>8</v>
      </c>
      <c r="M904" s="9">
        <f>IF(COUNTIF(INDEX(RawWorking[OrderID],1):RawWorking[[#This Row],[OrderID]],RawWorking[[#This Row],[OrderID]])=1,1,0)</f>
        <v>1</v>
      </c>
      <c r="N904" s="4">
        <f>IFERROR(RawWorking[[#This Row],[LineAmount]]/RawWorking[[#This Row],[Quantity]],"")</f>
        <v>241.54</v>
      </c>
    </row>
    <row r="905" spans="1:14">
      <c r="A905">
        <v>50904</v>
      </c>
      <c r="B905">
        <v>30511</v>
      </c>
      <c r="C905" s="2">
        <v>45949</v>
      </c>
      <c r="D905">
        <v>2325</v>
      </c>
      <c r="E905">
        <v>1008</v>
      </c>
      <c r="F905">
        <v>1</v>
      </c>
      <c r="G905">
        <v>206.09</v>
      </c>
      <c r="H905" s="2">
        <v>45950</v>
      </c>
      <c r="I905" s="2">
        <v>45959</v>
      </c>
      <c r="J905" t="s">
        <v>9</v>
      </c>
      <c r="K905" s="2" t="str">
        <f>IFERROR(INDEX(Product_lookup[Category],MATCH(RawWorking[[#This Row],[ProductID]],Product_lookup[ProductID],0)),"")</f>
        <v>Home</v>
      </c>
      <c r="L905" s="9">
        <f>IF(OR(RawWorking[[#This Row],[ShipDate]]="",RawWorking[[#This Row],[DeliveryDate]]=""),"",RawWorking[[#This Row],[DeliveryDate]]-RawWorking[[#This Row],[ShipDate]])</f>
        <v>9</v>
      </c>
      <c r="M905" s="9">
        <f>IF(COUNTIF(INDEX(RawWorking[OrderID],1):RawWorking[[#This Row],[OrderID]],RawWorking[[#This Row],[OrderID]])=1,1,0)</f>
        <v>0</v>
      </c>
      <c r="N905" s="4">
        <f>IFERROR(RawWorking[[#This Row],[LineAmount]]/RawWorking[[#This Row],[Quantity]],"")</f>
        <v>206.09</v>
      </c>
    </row>
    <row r="906" spans="1:14">
      <c r="A906">
        <v>50905</v>
      </c>
      <c r="B906">
        <v>30512</v>
      </c>
      <c r="C906" s="2">
        <v>45850</v>
      </c>
      <c r="D906">
        <v>2180</v>
      </c>
      <c r="E906">
        <v>1010</v>
      </c>
      <c r="F906">
        <v>2</v>
      </c>
      <c r="G906">
        <v>243</v>
      </c>
      <c r="H906" s="2">
        <v>45851</v>
      </c>
      <c r="I906" s="2">
        <v>45852</v>
      </c>
      <c r="J906" t="s">
        <v>9</v>
      </c>
      <c r="K906" s="2" t="str">
        <f>IFERROR(INDEX(Product_lookup[Category],MATCH(RawWorking[[#This Row],[ProductID]],Product_lookup[ProductID],0)),"")</f>
        <v>Office</v>
      </c>
      <c r="L906" s="9">
        <f>IF(OR(RawWorking[[#This Row],[ShipDate]]="",RawWorking[[#This Row],[DeliveryDate]]=""),"",RawWorking[[#This Row],[DeliveryDate]]-RawWorking[[#This Row],[ShipDate]])</f>
        <v>1</v>
      </c>
      <c r="M906" s="9">
        <f>IF(COUNTIF(INDEX(RawWorking[OrderID],1):RawWorking[[#This Row],[OrderID]],RawWorking[[#This Row],[OrderID]])=1,1,0)</f>
        <v>1</v>
      </c>
      <c r="N906" s="4">
        <f>IFERROR(RawWorking[[#This Row],[LineAmount]]/RawWorking[[#This Row],[Quantity]],"")</f>
        <v>121.5</v>
      </c>
    </row>
    <row r="907" spans="1:14">
      <c r="A907">
        <v>50906</v>
      </c>
      <c r="B907">
        <v>30512</v>
      </c>
      <c r="C907" s="2">
        <v>45850</v>
      </c>
      <c r="D907">
        <v>2180</v>
      </c>
      <c r="E907">
        <v>1005</v>
      </c>
      <c r="F907">
        <v>2</v>
      </c>
      <c r="G907">
        <v>63.46</v>
      </c>
      <c r="H907" s="2">
        <v>45851</v>
      </c>
      <c r="I907" s="2">
        <v>45854</v>
      </c>
      <c r="J907" t="s">
        <v>9</v>
      </c>
      <c r="K907" s="2" t="str">
        <f>IFERROR(INDEX(Product_lookup[Category],MATCH(RawWorking[[#This Row],[ProductID]],Product_lookup[ProductID],0)),"")</f>
        <v>Electronics</v>
      </c>
      <c r="L907" s="9">
        <f>IF(OR(RawWorking[[#This Row],[ShipDate]]="",RawWorking[[#This Row],[DeliveryDate]]=""),"",RawWorking[[#This Row],[DeliveryDate]]-RawWorking[[#This Row],[ShipDate]])</f>
        <v>3</v>
      </c>
      <c r="M907" s="9">
        <f>IF(COUNTIF(INDEX(RawWorking[OrderID],1):RawWorking[[#This Row],[OrderID]],RawWorking[[#This Row],[OrderID]])=1,1,0)</f>
        <v>0</v>
      </c>
      <c r="N907" s="4">
        <f>IFERROR(RawWorking[[#This Row],[LineAmount]]/RawWorking[[#This Row],[Quantity]],"")</f>
        <v>31.73</v>
      </c>
    </row>
    <row r="908" spans="1:14">
      <c r="A908">
        <v>50907</v>
      </c>
      <c r="B908">
        <v>30512</v>
      </c>
      <c r="C908" s="2">
        <v>45850</v>
      </c>
      <c r="D908">
        <v>2180</v>
      </c>
      <c r="E908">
        <v>1006</v>
      </c>
      <c r="F908">
        <v>2</v>
      </c>
      <c r="G908">
        <v>507.72</v>
      </c>
      <c r="H908" s="2">
        <v>45853</v>
      </c>
      <c r="I908" s="2">
        <v>45862</v>
      </c>
      <c r="J908" t="s">
        <v>9</v>
      </c>
      <c r="K908" s="2" t="str">
        <f>IFERROR(INDEX(Product_lookup[Category],MATCH(RawWorking[[#This Row],[ProductID]],Product_lookup[ProductID],0)),"")</f>
        <v>Home</v>
      </c>
      <c r="L908" s="9">
        <f>IF(OR(RawWorking[[#This Row],[ShipDate]]="",RawWorking[[#This Row],[DeliveryDate]]=""),"",RawWorking[[#This Row],[DeliveryDate]]-RawWorking[[#This Row],[ShipDate]])</f>
        <v>9</v>
      </c>
      <c r="M908" s="9">
        <f>IF(COUNTIF(INDEX(RawWorking[OrderID],1):RawWorking[[#This Row],[OrderID]],RawWorking[[#This Row],[OrderID]])=1,1,0)</f>
        <v>0</v>
      </c>
      <c r="N908" s="4">
        <f>IFERROR(RawWorking[[#This Row],[LineAmount]]/RawWorking[[#This Row],[Quantity]],"")</f>
        <v>253.86</v>
      </c>
    </row>
    <row r="909" spans="1:14">
      <c r="A909">
        <v>50908</v>
      </c>
      <c r="B909">
        <v>30513</v>
      </c>
      <c r="C909" s="2">
        <v>45796</v>
      </c>
      <c r="D909">
        <v>2002</v>
      </c>
      <c r="E909">
        <v>1013</v>
      </c>
      <c r="F909">
        <v>1</v>
      </c>
      <c r="G909">
        <v>170.25</v>
      </c>
      <c r="H909" s="2">
        <v>45798</v>
      </c>
      <c r="I909" s="2">
        <v>45806</v>
      </c>
      <c r="J909" t="s">
        <v>11</v>
      </c>
      <c r="K909" s="2" t="str">
        <f>IFERROR(INDEX(Product_lookup[Category],MATCH(RawWorking[[#This Row],[ProductID]],Product_lookup[ProductID],0)),"")</f>
        <v>Office</v>
      </c>
      <c r="L909" s="9">
        <f>IF(OR(RawWorking[[#This Row],[ShipDate]]="",RawWorking[[#This Row],[DeliveryDate]]=""),"",RawWorking[[#This Row],[DeliveryDate]]-RawWorking[[#This Row],[ShipDate]])</f>
        <v>8</v>
      </c>
      <c r="M909" s="9">
        <f>IF(COUNTIF(INDEX(RawWorking[OrderID],1):RawWorking[[#This Row],[OrderID]],RawWorking[[#This Row],[OrderID]])=1,1,0)</f>
        <v>1</v>
      </c>
      <c r="N909" s="4">
        <f>IFERROR(RawWorking[[#This Row],[LineAmount]]/RawWorking[[#This Row],[Quantity]],"")</f>
        <v>170.25</v>
      </c>
    </row>
    <row r="910" spans="1:14">
      <c r="A910">
        <v>50909</v>
      </c>
      <c r="B910">
        <v>30513</v>
      </c>
      <c r="C910" s="2">
        <v>45796</v>
      </c>
      <c r="D910">
        <v>2002</v>
      </c>
      <c r="E910">
        <v>1002</v>
      </c>
      <c r="F910">
        <v>3</v>
      </c>
      <c r="G910">
        <v>355.8</v>
      </c>
      <c r="H910" s="2">
        <v>45798</v>
      </c>
      <c r="I910" s="2">
        <v>45799</v>
      </c>
      <c r="J910" t="s">
        <v>11</v>
      </c>
      <c r="K910" s="2" t="str">
        <f>IFERROR(INDEX(Product_lookup[Category],MATCH(RawWorking[[#This Row],[ProductID]],Product_lookup[ProductID],0)),"")</f>
        <v>Electronics</v>
      </c>
      <c r="L910" s="9">
        <f>IF(OR(RawWorking[[#This Row],[ShipDate]]="",RawWorking[[#This Row],[DeliveryDate]]=""),"",RawWorking[[#This Row],[DeliveryDate]]-RawWorking[[#This Row],[ShipDate]])</f>
        <v>1</v>
      </c>
      <c r="M910" s="9">
        <f>IF(COUNTIF(INDEX(RawWorking[OrderID],1):RawWorking[[#This Row],[OrderID]],RawWorking[[#This Row],[OrderID]])=1,1,0)</f>
        <v>0</v>
      </c>
      <c r="N910" s="4">
        <f>IFERROR(RawWorking[[#This Row],[LineAmount]]/RawWorking[[#This Row],[Quantity]],"")</f>
        <v>118.60000000000001</v>
      </c>
    </row>
    <row r="911" spans="1:14">
      <c r="A911">
        <v>50910</v>
      </c>
      <c r="B911">
        <v>30514</v>
      </c>
      <c r="C911" s="2">
        <v>45922</v>
      </c>
      <c r="D911">
        <v>2187</v>
      </c>
      <c r="E911">
        <v>1008</v>
      </c>
      <c r="F911">
        <v>1</v>
      </c>
      <c r="G911">
        <v>206.09</v>
      </c>
      <c r="H911" s="2">
        <v>45923</v>
      </c>
      <c r="I911" s="2">
        <v>45924</v>
      </c>
      <c r="J911" t="s">
        <v>9</v>
      </c>
      <c r="K911" s="2" t="str">
        <f>IFERROR(INDEX(Product_lookup[Category],MATCH(RawWorking[[#This Row],[ProductID]],Product_lookup[ProductID],0)),"")</f>
        <v>Home</v>
      </c>
      <c r="L911" s="9">
        <f>IF(OR(RawWorking[[#This Row],[ShipDate]]="",RawWorking[[#This Row],[DeliveryDate]]=""),"",RawWorking[[#This Row],[DeliveryDate]]-RawWorking[[#This Row],[ShipDate]])</f>
        <v>1</v>
      </c>
      <c r="M911" s="9">
        <f>IF(COUNTIF(INDEX(RawWorking[OrderID],1):RawWorking[[#This Row],[OrderID]],RawWorking[[#This Row],[OrderID]])=1,1,0)</f>
        <v>1</v>
      </c>
      <c r="N911" s="4">
        <f>IFERROR(RawWorking[[#This Row],[LineAmount]]/RawWorking[[#This Row],[Quantity]],"")</f>
        <v>206.09</v>
      </c>
    </row>
    <row r="912" spans="1:14">
      <c r="A912">
        <v>50911</v>
      </c>
      <c r="B912">
        <v>30515</v>
      </c>
      <c r="C912" s="2">
        <v>45943</v>
      </c>
      <c r="D912">
        <v>2580</v>
      </c>
      <c r="E912">
        <v>1016</v>
      </c>
      <c r="F912">
        <v>1</v>
      </c>
      <c r="G912">
        <v>65.260000000000005</v>
      </c>
      <c r="H912" s="2">
        <v>45944</v>
      </c>
      <c r="I912" s="2">
        <v>45954</v>
      </c>
      <c r="J912" t="s">
        <v>9</v>
      </c>
      <c r="K912" s="2" t="str">
        <f>IFERROR(INDEX(Product_lookup[Category],MATCH(RawWorking[[#This Row],[ProductID]],Product_lookup[ProductID],0)),"")</f>
        <v>Sports</v>
      </c>
      <c r="L912" s="9">
        <f>IF(OR(RawWorking[[#This Row],[ShipDate]]="",RawWorking[[#This Row],[DeliveryDate]]=""),"",RawWorking[[#This Row],[DeliveryDate]]-RawWorking[[#This Row],[ShipDate]])</f>
        <v>10</v>
      </c>
      <c r="M912" s="9">
        <f>IF(COUNTIF(INDEX(RawWorking[OrderID],1):RawWorking[[#This Row],[OrderID]],RawWorking[[#This Row],[OrderID]])=1,1,0)</f>
        <v>1</v>
      </c>
      <c r="N912" s="4">
        <f>IFERROR(RawWorking[[#This Row],[LineAmount]]/RawWorking[[#This Row],[Quantity]],"")</f>
        <v>65.260000000000005</v>
      </c>
    </row>
    <row r="913" spans="1:14">
      <c r="A913">
        <v>50912</v>
      </c>
      <c r="B913">
        <v>30516</v>
      </c>
      <c r="C913" s="2">
        <v>46002</v>
      </c>
      <c r="D913">
        <v>2145</v>
      </c>
      <c r="E913">
        <v>1003</v>
      </c>
      <c r="F913">
        <v>1</v>
      </c>
      <c r="G913">
        <v>224.37</v>
      </c>
      <c r="H913" s="2">
        <v>46005</v>
      </c>
      <c r="I913" s="2">
        <v>46007</v>
      </c>
      <c r="J913" t="s">
        <v>9</v>
      </c>
      <c r="K913" s="2" t="str">
        <f>IFERROR(INDEX(Product_lookup[Category],MATCH(RawWorking[[#This Row],[ProductID]],Product_lookup[ProductID],0)),"")</f>
        <v>Electronics</v>
      </c>
      <c r="L913" s="9">
        <f>IF(OR(RawWorking[[#This Row],[ShipDate]]="",RawWorking[[#This Row],[DeliveryDate]]=""),"",RawWorking[[#This Row],[DeliveryDate]]-RawWorking[[#This Row],[ShipDate]])</f>
        <v>2</v>
      </c>
      <c r="M913" s="9">
        <f>IF(COUNTIF(INDEX(RawWorking[OrderID],1):RawWorking[[#This Row],[OrderID]],RawWorking[[#This Row],[OrderID]])=1,1,0)</f>
        <v>1</v>
      </c>
      <c r="N913" s="4">
        <f>IFERROR(RawWorking[[#This Row],[LineAmount]]/RawWorking[[#This Row],[Quantity]],"")</f>
        <v>224.37</v>
      </c>
    </row>
    <row r="914" spans="1:14">
      <c r="A914">
        <v>50913</v>
      </c>
      <c r="B914">
        <v>30517</v>
      </c>
      <c r="C914" s="2">
        <v>45740</v>
      </c>
      <c r="D914">
        <v>2244</v>
      </c>
      <c r="E914">
        <v>1011</v>
      </c>
      <c r="F914">
        <v>1</v>
      </c>
      <c r="G914">
        <v>101.44</v>
      </c>
      <c r="H914" s="2">
        <v>45742</v>
      </c>
      <c r="I914" s="2">
        <v>45751</v>
      </c>
      <c r="J914" t="s">
        <v>9</v>
      </c>
      <c r="K914" s="2" t="str">
        <f>IFERROR(INDEX(Product_lookup[Category],MATCH(RawWorking[[#This Row],[ProductID]],Product_lookup[ProductID],0)),"")</f>
        <v>Office</v>
      </c>
      <c r="L914" s="9">
        <f>IF(OR(RawWorking[[#This Row],[ShipDate]]="",RawWorking[[#This Row],[DeliveryDate]]=""),"",RawWorking[[#This Row],[DeliveryDate]]-RawWorking[[#This Row],[ShipDate]])</f>
        <v>9</v>
      </c>
      <c r="M914" s="9">
        <f>IF(COUNTIF(INDEX(RawWorking[OrderID],1):RawWorking[[#This Row],[OrderID]],RawWorking[[#This Row],[OrderID]])=1,1,0)</f>
        <v>1</v>
      </c>
      <c r="N914" s="4">
        <f>IFERROR(RawWorking[[#This Row],[LineAmount]]/RawWorking[[#This Row],[Quantity]],"")</f>
        <v>101.44</v>
      </c>
    </row>
    <row r="915" spans="1:14">
      <c r="A915">
        <v>50914</v>
      </c>
      <c r="B915">
        <v>30517</v>
      </c>
      <c r="C915" s="2">
        <v>45740</v>
      </c>
      <c r="D915">
        <v>2244</v>
      </c>
      <c r="E915">
        <v>1006</v>
      </c>
      <c r="F915">
        <v>2</v>
      </c>
      <c r="G915">
        <v>507.72</v>
      </c>
      <c r="H915" s="2">
        <v>45743</v>
      </c>
      <c r="I915" s="2">
        <v>45749</v>
      </c>
      <c r="J915" t="s">
        <v>9</v>
      </c>
      <c r="K915" s="2" t="str">
        <f>IFERROR(INDEX(Product_lookup[Category],MATCH(RawWorking[[#This Row],[ProductID]],Product_lookup[ProductID],0)),"")</f>
        <v>Home</v>
      </c>
      <c r="L915" s="9">
        <f>IF(OR(RawWorking[[#This Row],[ShipDate]]="",RawWorking[[#This Row],[DeliveryDate]]=""),"",RawWorking[[#This Row],[DeliveryDate]]-RawWorking[[#This Row],[ShipDate]])</f>
        <v>6</v>
      </c>
      <c r="M915" s="9">
        <f>IF(COUNTIF(INDEX(RawWorking[OrderID],1):RawWorking[[#This Row],[OrderID]],RawWorking[[#This Row],[OrderID]])=1,1,0)</f>
        <v>0</v>
      </c>
      <c r="N915" s="4">
        <f>IFERROR(RawWorking[[#This Row],[LineAmount]]/RawWorking[[#This Row],[Quantity]],"")</f>
        <v>253.86</v>
      </c>
    </row>
    <row r="916" spans="1:14">
      <c r="A916">
        <v>50915</v>
      </c>
      <c r="B916">
        <v>30517</v>
      </c>
      <c r="C916" s="2">
        <v>45740</v>
      </c>
      <c r="D916">
        <v>2244</v>
      </c>
      <c r="E916">
        <v>1003</v>
      </c>
      <c r="F916">
        <v>2</v>
      </c>
      <c r="G916">
        <v>448.74</v>
      </c>
      <c r="H916" s="2">
        <v>45741</v>
      </c>
      <c r="I916" s="2">
        <v>45751</v>
      </c>
      <c r="J916" t="s">
        <v>9</v>
      </c>
      <c r="K916" s="2" t="str">
        <f>IFERROR(INDEX(Product_lookup[Category],MATCH(RawWorking[[#This Row],[ProductID]],Product_lookup[ProductID],0)),"")</f>
        <v>Electronics</v>
      </c>
      <c r="L916" s="9">
        <f>IF(OR(RawWorking[[#This Row],[ShipDate]]="",RawWorking[[#This Row],[DeliveryDate]]=""),"",RawWorking[[#This Row],[DeliveryDate]]-RawWorking[[#This Row],[ShipDate]])</f>
        <v>10</v>
      </c>
      <c r="M916" s="9">
        <f>IF(COUNTIF(INDEX(RawWorking[OrderID],1):RawWorking[[#This Row],[OrderID]],RawWorking[[#This Row],[OrderID]])=1,1,0)</f>
        <v>0</v>
      </c>
      <c r="N916" s="4">
        <f>IFERROR(RawWorking[[#This Row],[LineAmount]]/RawWorking[[#This Row],[Quantity]],"")</f>
        <v>224.37</v>
      </c>
    </row>
    <row r="917" spans="1:14">
      <c r="A917">
        <v>50916</v>
      </c>
      <c r="B917">
        <v>30518</v>
      </c>
      <c r="C917" s="2">
        <v>46008</v>
      </c>
      <c r="D917">
        <v>2344</v>
      </c>
      <c r="E917">
        <v>1009</v>
      </c>
      <c r="F917">
        <v>1</v>
      </c>
      <c r="G917">
        <v>40.28</v>
      </c>
      <c r="H917" s="2">
        <v>46011</v>
      </c>
      <c r="I917" s="2">
        <v>46021</v>
      </c>
      <c r="J917" t="s">
        <v>9</v>
      </c>
      <c r="K917" s="2" t="str">
        <f>IFERROR(INDEX(Product_lookup[Category],MATCH(RawWorking[[#This Row],[ProductID]],Product_lookup[ProductID],0)),"")</f>
        <v>Home</v>
      </c>
      <c r="L917" s="9">
        <f>IF(OR(RawWorking[[#This Row],[ShipDate]]="",RawWorking[[#This Row],[DeliveryDate]]=""),"",RawWorking[[#This Row],[DeliveryDate]]-RawWorking[[#This Row],[ShipDate]])</f>
        <v>10</v>
      </c>
      <c r="M917" s="9">
        <f>IF(COUNTIF(INDEX(RawWorking[OrderID],1):RawWorking[[#This Row],[OrderID]],RawWorking[[#This Row],[OrderID]])=1,1,0)</f>
        <v>1</v>
      </c>
      <c r="N917" s="4">
        <f>IFERROR(RawWorking[[#This Row],[LineAmount]]/RawWorking[[#This Row],[Quantity]],"")</f>
        <v>40.28</v>
      </c>
    </row>
    <row r="918" spans="1:14">
      <c r="A918">
        <v>50917</v>
      </c>
      <c r="B918">
        <v>30519</v>
      </c>
      <c r="C918" s="2">
        <v>45850</v>
      </c>
      <c r="D918">
        <v>2215</v>
      </c>
      <c r="E918">
        <v>1003</v>
      </c>
      <c r="F918">
        <v>1</v>
      </c>
      <c r="G918">
        <v>224.37</v>
      </c>
      <c r="H918" s="2">
        <v>46001</v>
      </c>
      <c r="I918" s="2">
        <v>46008</v>
      </c>
      <c r="J918" t="s">
        <v>9</v>
      </c>
      <c r="K918" s="2" t="str">
        <f>IFERROR(INDEX(Product_lookup[Category],MATCH(RawWorking[[#This Row],[ProductID]],Product_lookup[ProductID],0)),"")</f>
        <v>Electronics</v>
      </c>
      <c r="L918" s="9">
        <f>IF(OR(RawWorking[[#This Row],[ShipDate]]="",RawWorking[[#This Row],[DeliveryDate]]=""),"",RawWorking[[#This Row],[DeliveryDate]]-RawWorking[[#This Row],[ShipDate]])</f>
        <v>7</v>
      </c>
      <c r="M918" s="9">
        <f>IF(COUNTIF(INDEX(RawWorking[OrderID],1):RawWorking[[#This Row],[OrderID]],RawWorking[[#This Row],[OrderID]])=1,1,0)</f>
        <v>1</v>
      </c>
      <c r="N918" s="4">
        <f>IFERROR(RawWorking[[#This Row],[LineAmount]]/RawWorking[[#This Row],[Quantity]],"")</f>
        <v>224.37</v>
      </c>
    </row>
    <row r="919" spans="1:14">
      <c r="A919">
        <v>50918</v>
      </c>
      <c r="B919">
        <v>30519</v>
      </c>
      <c r="C919" s="2">
        <v>45998</v>
      </c>
      <c r="D919">
        <v>2215</v>
      </c>
      <c r="E919">
        <v>1012</v>
      </c>
      <c r="F919">
        <v>3</v>
      </c>
      <c r="G919">
        <v>724.62</v>
      </c>
      <c r="H919" s="2">
        <v>45999</v>
      </c>
      <c r="I919" s="2">
        <v>46006</v>
      </c>
      <c r="J919" t="s">
        <v>9</v>
      </c>
      <c r="K919" s="2" t="str">
        <f>IFERROR(INDEX(Product_lookup[Category],MATCH(RawWorking[[#This Row],[ProductID]],Product_lookup[ProductID],0)),"")</f>
        <v>Office</v>
      </c>
      <c r="L919" s="9">
        <f>IF(OR(RawWorking[[#This Row],[ShipDate]]="",RawWorking[[#This Row],[DeliveryDate]]=""),"",RawWorking[[#This Row],[DeliveryDate]]-RawWorking[[#This Row],[ShipDate]])</f>
        <v>7</v>
      </c>
      <c r="M919" s="9">
        <f>IF(COUNTIF(INDEX(RawWorking[OrderID],1):RawWorking[[#This Row],[OrderID]],RawWorking[[#This Row],[OrderID]])=1,1,0)</f>
        <v>0</v>
      </c>
      <c r="N919" s="4">
        <f>IFERROR(RawWorking[[#This Row],[LineAmount]]/RawWorking[[#This Row],[Quantity]],"")</f>
        <v>241.54</v>
      </c>
    </row>
    <row r="920" spans="1:14">
      <c r="A920">
        <v>50919</v>
      </c>
      <c r="B920">
        <v>30520</v>
      </c>
      <c r="C920" s="2">
        <v>45839</v>
      </c>
      <c r="D920">
        <v>2263</v>
      </c>
      <c r="E920">
        <v>1001</v>
      </c>
      <c r="F920">
        <v>2</v>
      </c>
      <c r="G920">
        <v>406.08</v>
      </c>
      <c r="H920" s="2">
        <v>45843</v>
      </c>
      <c r="I920" s="2" t="s">
        <v>1421</v>
      </c>
      <c r="J920" t="s">
        <v>16</v>
      </c>
      <c r="K920" s="2" t="str">
        <f>IFERROR(INDEX(Product_lookup[Category],MATCH(RawWorking[[#This Row],[ProductID]],Product_lookup[ProductID],0)),"")</f>
        <v>Electronics</v>
      </c>
      <c r="L920" s="9" t="str">
        <f>IF(OR(RawWorking[[#This Row],[ShipDate]]="",RawWorking[[#This Row],[DeliveryDate]]=""),"",RawWorking[[#This Row],[DeliveryDate]]-RawWorking[[#This Row],[ShipDate]])</f>
        <v/>
      </c>
      <c r="M920" s="9">
        <f>IF(COUNTIF(INDEX(RawWorking[OrderID],1):RawWorking[[#This Row],[OrderID]],RawWorking[[#This Row],[OrderID]])=1,1,0)</f>
        <v>1</v>
      </c>
      <c r="N920" s="4">
        <f>IFERROR(RawWorking[[#This Row],[LineAmount]]/RawWorking[[#This Row],[Quantity]],"")</f>
        <v>203.04</v>
      </c>
    </row>
    <row r="921" spans="1:14">
      <c r="A921">
        <v>50920</v>
      </c>
      <c r="B921">
        <v>30521</v>
      </c>
      <c r="C921" s="2">
        <v>46004</v>
      </c>
      <c r="D921">
        <v>2449</v>
      </c>
      <c r="E921">
        <v>1006</v>
      </c>
      <c r="F921">
        <v>1</v>
      </c>
      <c r="G921">
        <v>253.86</v>
      </c>
      <c r="H921" s="2">
        <v>46007</v>
      </c>
      <c r="I921" s="2">
        <v>46008</v>
      </c>
      <c r="J921" t="s">
        <v>9</v>
      </c>
      <c r="K921" s="2" t="str">
        <f>IFERROR(INDEX(Product_lookup[Category],MATCH(RawWorking[[#This Row],[ProductID]],Product_lookup[ProductID],0)),"")</f>
        <v>Home</v>
      </c>
      <c r="L921" s="9">
        <f>IF(OR(RawWorking[[#This Row],[ShipDate]]="",RawWorking[[#This Row],[DeliveryDate]]=""),"",RawWorking[[#This Row],[DeliveryDate]]-RawWorking[[#This Row],[ShipDate]])</f>
        <v>1</v>
      </c>
      <c r="M921" s="9">
        <f>IF(COUNTIF(INDEX(RawWorking[OrderID],1):RawWorking[[#This Row],[OrderID]],RawWorking[[#This Row],[OrderID]])=1,1,0)</f>
        <v>1</v>
      </c>
      <c r="N921" s="4">
        <f>IFERROR(RawWorking[[#This Row],[LineAmount]]/RawWorking[[#This Row],[Quantity]],"")</f>
        <v>253.86</v>
      </c>
    </row>
    <row r="922" spans="1:14">
      <c r="A922">
        <v>50921</v>
      </c>
      <c r="B922">
        <v>30521</v>
      </c>
      <c r="C922" s="2">
        <v>46004</v>
      </c>
      <c r="D922">
        <v>2449</v>
      </c>
      <c r="E922">
        <v>1014</v>
      </c>
      <c r="F922">
        <v>4</v>
      </c>
      <c r="G922">
        <v>861.36</v>
      </c>
      <c r="H922" s="2">
        <v>46006</v>
      </c>
      <c r="I922" s="2">
        <v>46016</v>
      </c>
      <c r="J922" t="s">
        <v>9</v>
      </c>
      <c r="K922" s="2" t="str">
        <f>IFERROR(INDEX(Product_lookup[Category],MATCH(RawWorking[[#This Row],[ProductID]],Product_lookup[ProductID],0)),"")</f>
        <v>Sports</v>
      </c>
      <c r="L922" s="9">
        <f>IF(OR(RawWorking[[#This Row],[ShipDate]]="",RawWorking[[#This Row],[DeliveryDate]]=""),"",RawWorking[[#This Row],[DeliveryDate]]-RawWorking[[#This Row],[ShipDate]])</f>
        <v>10</v>
      </c>
      <c r="M922" s="9">
        <f>IF(COUNTIF(INDEX(RawWorking[OrderID],1):RawWorking[[#This Row],[OrderID]],RawWorking[[#This Row],[OrderID]])=1,1,0)</f>
        <v>0</v>
      </c>
      <c r="N922" s="4">
        <f>IFERROR(RawWorking[[#This Row],[LineAmount]]/RawWorking[[#This Row],[Quantity]],"")</f>
        <v>215.34</v>
      </c>
    </row>
    <row r="923" spans="1:14">
      <c r="A923">
        <v>50922</v>
      </c>
      <c r="B923">
        <v>30521</v>
      </c>
      <c r="C923" s="2">
        <v>46004</v>
      </c>
      <c r="D923">
        <v>2449</v>
      </c>
      <c r="E923">
        <v>1016</v>
      </c>
      <c r="F923">
        <v>1</v>
      </c>
      <c r="G923">
        <v>65.260000000000005</v>
      </c>
      <c r="H923" s="2">
        <v>46007</v>
      </c>
      <c r="I923" s="2">
        <v>46014</v>
      </c>
      <c r="J923" t="s">
        <v>9</v>
      </c>
      <c r="K923" s="2" t="str">
        <f>IFERROR(INDEX(Product_lookup[Category],MATCH(RawWorking[[#This Row],[ProductID]],Product_lookup[ProductID],0)),"")</f>
        <v>Sports</v>
      </c>
      <c r="L923" s="9">
        <f>IF(OR(RawWorking[[#This Row],[ShipDate]]="",RawWorking[[#This Row],[DeliveryDate]]=""),"",RawWorking[[#This Row],[DeliveryDate]]-RawWorking[[#This Row],[ShipDate]])</f>
        <v>7</v>
      </c>
      <c r="M923" s="9">
        <f>IF(COUNTIF(INDEX(RawWorking[OrderID],1):RawWorking[[#This Row],[OrderID]],RawWorking[[#This Row],[OrderID]])=1,1,0)</f>
        <v>0</v>
      </c>
      <c r="N923" s="4">
        <f>IFERROR(RawWorking[[#This Row],[LineAmount]]/RawWorking[[#This Row],[Quantity]],"")</f>
        <v>65.260000000000005</v>
      </c>
    </row>
    <row r="924" spans="1:14">
      <c r="A924">
        <v>50923</v>
      </c>
      <c r="B924">
        <v>30522</v>
      </c>
      <c r="C924" s="2">
        <v>45979</v>
      </c>
      <c r="D924">
        <v>2388</v>
      </c>
      <c r="E924">
        <v>1013</v>
      </c>
      <c r="F924">
        <v>1</v>
      </c>
      <c r="G924">
        <v>170.25</v>
      </c>
      <c r="H924" s="2">
        <v>45981</v>
      </c>
      <c r="I924" s="2">
        <v>45984</v>
      </c>
      <c r="J924" t="s">
        <v>9</v>
      </c>
      <c r="K924" s="2" t="str">
        <f>IFERROR(INDEX(Product_lookup[Category],MATCH(RawWorking[[#This Row],[ProductID]],Product_lookup[ProductID],0)),"")</f>
        <v>Office</v>
      </c>
      <c r="L924" s="9">
        <f>IF(OR(RawWorking[[#This Row],[ShipDate]]="",RawWorking[[#This Row],[DeliveryDate]]=""),"",RawWorking[[#This Row],[DeliveryDate]]-RawWorking[[#This Row],[ShipDate]])</f>
        <v>3</v>
      </c>
      <c r="M924" s="9">
        <f>IF(COUNTIF(INDEX(RawWorking[OrderID],1):RawWorking[[#This Row],[OrderID]],RawWorking[[#This Row],[OrderID]])=1,1,0)</f>
        <v>1</v>
      </c>
      <c r="N924" s="4">
        <f>IFERROR(RawWorking[[#This Row],[LineAmount]]/RawWorking[[#This Row],[Quantity]],"")</f>
        <v>170.25</v>
      </c>
    </row>
    <row r="925" spans="1:14">
      <c r="A925">
        <v>50924</v>
      </c>
      <c r="B925">
        <v>30523</v>
      </c>
      <c r="C925" s="2">
        <v>45693</v>
      </c>
      <c r="D925">
        <v>2104</v>
      </c>
      <c r="E925">
        <v>1008</v>
      </c>
      <c r="F925">
        <v>3</v>
      </c>
      <c r="G925">
        <v>618.27</v>
      </c>
      <c r="H925" s="2">
        <v>45695</v>
      </c>
      <c r="I925" s="2" t="s">
        <v>1421</v>
      </c>
      <c r="J925" t="s">
        <v>16</v>
      </c>
      <c r="K925" s="2" t="str">
        <f>IFERROR(INDEX(Product_lookup[Category],MATCH(RawWorking[[#This Row],[ProductID]],Product_lookup[ProductID],0)),"")</f>
        <v>Home</v>
      </c>
      <c r="L925" s="9" t="str">
        <f>IF(OR(RawWorking[[#This Row],[ShipDate]]="",RawWorking[[#This Row],[DeliveryDate]]=""),"",RawWorking[[#This Row],[DeliveryDate]]-RawWorking[[#This Row],[ShipDate]])</f>
        <v/>
      </c>
      <c r="M925" s="9">
        <f>IF(COUNTIF(INDEX(RawWorking[OrderID],1):RawWorking[[#This Row],[OrderID]],RawWorking[[#This Row],[OrderID]])=1,1,0)</f>
        <v>1</v>
      </c>
      <c r="N925" s="4">
        <f>IFERROR(RawWorking[[#This Row],[LineAmount]]/RawWorking[[#This Row],[Quantity]],"")</f>
        <v>206.09</v>
      </c>
    </row>
    <row r="926" spans="1:14">
      <c r="A926">
        <v>50925</v>
      </c>
      <c r="B926">
        <v>30524</v>
      </c>
      <c r="C926" s="2">
        <v>45711</v>
      </c>
      <c r="D926">
        <v>2076</v>
      </c>
      <c r="E926">
        <v>1002</v>
      </c>
      <c r="F926">
        <v>1</v>
      </c>
      <c r="G926">
        <v>118.6</v>
      </c>
      <c r="H926" s="2" t="s">
        <v>1421</v>
      </c>
      <c r="I926" s="2" t="s">
        <v>1421</v>
      </c>
      <c r="J926" t="s">
        <v>16</v>
      </c>
      <c r="K926" s="2" t="str">
        <f>IFERROR(INDEX(Product_lookup[Category],MATCH(RawWorking[[#This Row],[ProductID]],Product_lookup[ProductID],0)),"")</f>
        <v>Electronics</v>
      </c>
      <c r="L926" s="9" t="str">
        <f>IF(OR(RawWorking[[#This Row],[ShipDate]]="",RawWorking[[#This Row],[DeliveryDate]]=""),"",RawWorking[[#This Row],[DeliveryDate]]-RawWorking[[#This Row],[ShipDate]])</f>
        <v/>
      </c>
      <c r="M926" s="9">
        <f>IF(COUNTIF(INDEX(RawWorking[OrderID],1):RawWorking[[#This Row],[OrderID]],RawWorking[[#This Row],[OrderID]])=1,1,0)</f>
        <v>1</v>
      </c>
      <c r="N926" s="4">
        <f>IFERROR(RawWorking[[#This Row],[LineAmount]]/RawWorking[[#This Row],[Quantity]],"")</f>
        <v>118.6</v>
      </c>
    </row>
    <row r="927" spans="1:14">
      <c r="A927">
        <v>50926</v>
      </c>
      <c r="B927">
        <v>30525</v>
      </c>
      <c r="C927" s="2">
        <v>46021</v>
      </c>
      <c r="D927">
        <v>2327</v>
      </c>
      <c r="E927">
        <v>1004</v>
      </c>
      <c r="F927">
        <v>1</v>
      </c>
      <c r="G927">
        <v>183.74</v>
      </c>
      <c r="H927" s="2">
        <v>46022</v>
      </c>
      <c r="I927" s="2">
        <v>46031</v>
      </c>
      <c r="J927" t="s">
        <v>9</v>
      </c>
      <c r="K927" s="2" t="str">
        <f>IFERROR(INDEX(Product_lookup[Category],MATCH(RawWorking[[#This Row],[ProductID]],Product_lookup[ProductID],0)),"")</f>
        <v>Electronics</v>
      </c>
      <c r="L927" s="9">
        <f>IF(OR(RawWorking[[#This Row],[ShipDate]]="",RawWorking[[#This Row],[DeliveryDate]]=""),"",RawWorking[[#This Row],[DeliveryDate]]-RawWorking[[#This Row],[ShipDate]])</f>
        <v>9</v>
      </c>
      <c r="M927" s="9">
        <f>IF(COUNTIF(INDEX(RawWorking[OrderID],1):RawWorking[[#This Row],[OrderID]],RawWorking[[#This Row],[OrderID]])=1,1,0)</f>
        <v>1</v>
      </c>
      <c r="N927" s="4">
        <f>IFERROR(RawWorking[[#This Row],[LineAmount]]/RawWorking[[#This Row],[Quantity]],"")</f>
        <v>183.74</v>
      </c>
    </row>
    <row r="928" spans="1:14">
      <c r="A928">
        <v>50927</v>
      </c>
      <c r="B928">
        <v>30526</v>
      </c>
      <c r="C928" s="2">
        <v>45792</v>
      </c>
      <c r="D928">
        <v>2076</v>
      </c>
      <c r="E928">
        <v>1013</v>
      </c>
      <c r="F928">
        <v>3</v>
      </c>
      <c r="G928">
        <v>510.75</v>
      </c>
      <c r="H928" s="2">
        <v>45794</v>
      </c>
      <c r="I928" s="2">
        <v>45796</v>
      </c>
      <c r="J928" t="s">
        <v>9</v>
      </c>
      <c r="K928" s="2" t="str">
        <f>IFERROR(INDEX(Product_lookup[Category],MATCH(RawWorking[[#This Row],[ProductID]],Product_lookup[ProductID],0)),"")</f>
        <v>Office</v>
      </c>
      <c r="L928" s="9">
        <f>IF(OR(RawWorking[[#This Row],[ShipDate]]="",RawWorking[[#This Row],[DeliveryDate]]=""),"",RawWorking[[#This Row],[DeliveryDate]]-RawWorking[[#This Row],[ShipDate]])</f>
        <v>2</v>
      </c>
      <c r="M928" s="9">
        <f>IF(COUNTIF(INDEX(RawWorking[OrderID],1):RawWorking[[#This Row],[OrderID]],RawWorking[[#This Row],[OrderID]])=1,1,0)</f>
        <v>1</v>
      </c>
      <c r="N928" s="4">
        <f>IFERROR(RawWorking[[#This Row],[LineAmount]]/RawWorking[[#This Row],[Quantity]],"")</f>
        <v>170.25</v>
      </c>
    </row>
    <row r="929" spans="1:14">
      <c r="A929">
        <v>50928</v>
      </c>
      <c r="B929">
        <v>30526</v>
      </c>
      <c r="C929" s="2">
        <v>45792</v>
      </c>
      <c r="D929">
        <v>2076</v>
      </c>
      <c r="E929">
        <v>1006</v>
      </c>
      <c r="F929">
        <v>3</v>
      </c>
      <c r="G929">
        <v>761.58</v>
      </c>
      <c r="H929" s="2">
        <v>45793</v>
      </c>
      <c r="I929" s="2">
        <v>45803</v>
      </c>
      <c r="J929" t="s">
        <v>9</v>
      </c>
      <c r="K929" s="2" t="str">
        <f>IFERROR(INDEX(Product_lookup[Category],MATCH(RawWorking[[#This Row],[ProductID]],Product_lookup[ProductID],0)),"")</f>
        <v>Home</v>
      </c>
      <c r="L929" s="9">
        <f>IF(OR(RawWorking[[#This Row],[ShipDate]]="",RawWorking[[#This Row],[DeliveryDate]]=""),"",RawWorking[[#This Row],[DeliveryDate]]-RawWorking[[#This Row],[ShipDate]])</f>
        <v>10</v>
      </c>
      <c r="M929" s="9">
        <f>IF(COUNTIF(INDEX(RawWorking[OrderID],1):RawWorking[[#This Row],[OrderID]],RawWorking[[#This Row],[OrderID]])=1,1,0)</f>
        <v>0</v>
      </c>
      <c r="N929" s="4">
        <f>IFERROR(RawWorking[[#This Row],[LineAmount]]/RawWorking[[#This Row],[Quantity]],"")</f>
        <v>253.86</v>
      </c>
    </row>
    <row r="930" spans="1:14">
      <c r="A930">
        <v>50929</v>
      </c>
      <c r="B930">
        <v>30527</v>
      </c>
      <c r="C930" s="2">
        <v>46003</v>
      </c>
      <c r="D930">
        <v>2077</v>
      </c>
      <c r="E930">
        <v>1003</v>
      </c>
      <c r="F930">
        <v>2</v>
      </c>
      <c r="G930">
        <v>448.74</v>
      </c>
      <c r="H930" s="2">
        <v>46006</v>
      </c>
      <c r="I930" s="2">
        <v>46013</v>
      </c>
      <c r="J930" t="s">
        <v>9</v>
      </c>
      <c r="K930" s="2" t="str">
        <f>IFERROR(INDEX(Product_lookup[Category],MATCH(RawWorking[[#This Row],[ProductID]],Product_lookup[ProductID],0)),"")</f>
        <v>Electronics</v>
      </c>
      <c r="L930" s="9">
        <f>IF(OR(RawWorking[[#This Row],[ShipDate]]="",RawWorking[[#This Row],[DeliveryDate]]=""),"",RawWorking[[#This Row],[DeliveryDate]]-RawWorking[[#This Row],[ShipDate]])</f>
        <v>7</v>
      </c>
      <c r="M930" s="9">
        <f>IF(COUNTIF(INDEX(RawWorking[OrderID],1):RawWorking[[#This Row],[OrderID]],RawWorking[[#This Row],[OrderID]])=1,1,0)</f>
        <v>1</v>
      </c>
      <c r="N930" s="4">
        <f>IFERROR(RawWorking[[#This Row],[LineAmount]]/RawWorking[[#This Row],[Quantity]],"")</f>
        <v>224.37</v>
      </c>
    </row>
    <row r="931" spans="1:14">
      <c r="A931">
        <v>50930</v>
      </c>
      <c r="B931">
        <v>30527</v>
      </c>
      <c r="C931" s="2">
        <v>46003</v>
      </c>
      <c r="D931">
        <v>2077</v>
      </c>
      <c r="E931">
        <v>1011</v>
      </c>
      <c r="F931">
        <v>2</v>
      </c>
      <c r="G931">
        <v>202.88</v>
      </c>
      <c r="H931" s="2">
        <v>46005</v>
      </c>
      <c r="I931" s="2">
        <v>46011</v>
      </c>
      <c r="J931" t="s">
        <v>9</v>
      </c>
      <c r="K931" s="2" t="str">
        <f>IFERROR(INDEX(Product_lookup[Category],MATCH(RawWorking[[#This Row],[ProductID]],Product_lookup[ProductID],0)),"")</f>
        <v>Office</v>
      </c>
      <c r="L931" s="9">
        <f>IF(OR(RawWorking[[#This Row],[ShipDate]]="",RawWorking[[#This Row],[DeliveryDate]]=""),"",RawWorking[[#This Row],[DeliveryDate]]-RawWorking[[#This Row],[ShipDate]])</f>
        <v>6</v>
      </c>
      <c r="M931" s="9">
        <f>IF(COUNTIF(INDEX(RawWorking[OrderID],1):RawWorking[[#This Row],[OrderID]],RawWorking[[#This Row],[OrderID]])=1,1,0)</f>
        <v>0</v>
      </c>
      <c r="N931" s="4">
        <f>IFERROR(RawWorking[[#This Row],[LineAmount]]/RawWorking[[#This Row],[Quantity]],"")</f>
        <v>101.44</v>
      </c>
    </row>
    <row r="932" spans="1:14">
      <c r="A932">
        <v>50931</v>
      </c>
      <c r="B932">
        <v>30528</v>
      </c>
      <c r="C932" s="2">
        <v>45664</v>
      </c>
      <c r="D932">
        <v>2495</v>
      </c>
      <c r="E932">
        <v>1014</v>
      </c>
      <c r="F932">
        <v>2</v>
      </c>
      <c r="G932">
        <v>430.68</v>
      </c>
      <c r="H932" s="2">
        <v>45665</v>
      </c>
      <c r="I932" s="2">
        <v>45673</v>
      </c>
      <c r="J932" t="s">
        <v>9</v>
      </c>
      <c r="K932" s="2" t="str">
        <f>IFERROR(INDEX(Product_lookup[Category],MATCH(RawWorking[[#This Row],[ProductID]],Product_lookup[ProductID],0)),"")</f>
        <v>Sports</v>
      </c>
      <c r="L932" s="9">
        <f>IF(OR(RawWorking[[#This Row],[ShipDate]]="",RawWorking[[#This Row],[DeliveryDate]]=""),"",RawWorking[[#This Row],[DeliveryDate]]-RawWorking[[#This Row],[ShipDate]])</f>
        <v>8</v>
      </c>
      <c r="M932" s="9">
        <f>IF(COUNTIF(INDEX(RawWorking[OrderID],1):RawWorking[[#This Row],[OrderID]],RawWorking[[#This Row],[OrderID]])=1,1,0)</f>
        <v>1</v>
      </c>
      <c r="N932" s="4">
        <f>IFERROR(RawWorking[[#This Row],[LineAmount]]/RawWorking[[#This Row],[Quantity]],"")</f>
        <v>215.34</v>
      </c>
    </row>
    <row r="933" spans="1:14">
      <c r="A933">
        <v>50932</v>
      </c>
      <c r="B933">
        <v>30528</v>
      </c>
      <c r="C933" s="2">
        <v>45664</v>
      </c>
      <c r="D933">
        <v>2495</v>
      </c>
      <c r="E933">
        <v>1006</v>
      </c>
      <c r="F933">
        <v>1</v>
      </c>
      <c r="G933">
        <v>253.86</v>
      </c>
      <c r="H933" s="2">
        <v>45665</v>
      </c>
      <c r="I933" s="2">
        <v>45666</v>
      </c>
      <c r="J933" t="s">
        <v>9</v>
      </c>
      <c r="K933" s="2" t="str">
        <f>IFERROR(INDEX(Product_lookup[Category],MATCH(RawWorking[[#This Row],[ProductID]],Product_lookup[ProductID],0)),"")</f>
        <v>Home</v>
      </c>
      <c r="L933" s="9">
        <f>IF(OR(RawWorking[[#This Row],[ShipDate]]="",RawWorking[[#This Row],[DeliveryDate]]=""),"",RawWorking[[#This Row],[DeliveryDate]]-RawWorking[[#This Row],[ShipDate]])</f>
        <v>1</v>
      </c>
      <c r="M933" s="9">
        <f>IF(COUNTIF(INDEX(RawWorking[OrderID],1):RawWorking[[#This Row],[OrderID]],RawWorking[[#This Row],[OrderID]])=1,1,0)</f>
        <v>0</v>
      </c>
      <c r="N933" s="4">
        <f>IFERROR(RawWorking[[#This Row],[LineAmount]]/RawWorking[[#This Row],[Quantity]],"")</f>
        <v>253.86</v>
      </c>
    </row>
    <row r="934" spans="1:14">
      <c r="A934">
        <v>50933</v>
      </c>
      <c r="B934">
        <v>30528</v>
      </c>
      <c r="C934" s="2">
        <v>45664</v>
      </c>
      <c r="D934">
        <v>2495</v>
      </c>
      <c r="E934">
        <v>1014</v>
      </c>
      <c r="F934">
        <v>1</v>
      </c>
      <c r="G934">
        <v>215.34</v>
      </c>
      <c r="H934" s="2">
        <v>45665</v>
      </c>
      <c r="I934" s="2">
        <v>45671</v>
      </c>
      <c r="J934" t="s">
        <v>9</v>
      </c>
      <c r="K934" s="2" t="str">
        <f>IFERROR(INDEX(Product_lookup[Category],MATCH(RawWorking[[#This Row],[ProductID]],Product_lookup[ProductID],0)),"")</f>
        <v>Sports</v>
      </c>
      <c r="L934" s="9">
        <f>IF(OR(RawWorking[[#This Row],[ShipDate]]="",RawWorking[[#This Row],[DeliveryDate]]=""),"",RawWorking[[#This Row],[DeliveryDate]]-RawWorking[[#This Row],[ShipDate]])</f>
        <v>6</v>
      </c>
      <c r="M934" s="9">
        <f>IF(COUNTIF(INDEX(RawWorking[OrderID],1):RawWorking[[#This Row],[OrderID]],RawWorking[[#This Row],[OrderID]])=1,1,0)</f>
        <v>0</v>
      </c>
      <c r="N934" s="4">
        <f>IFERROR(RawWorking[[#This Row],[LineAmount]]/RawWorking[[#This Row],[Quantity]],"")</f>
        <v>215.34</v>
      </c>
    </row>
    <row r="935" spans="1:14">
      <c r="A935">
        <v>50934</v>
      </c>
      <c r="B935">
        <v>30528</v>
      </c>
      <c r="C935" s="2">
        <v>45664</v>
      </c>
      <c r="D935">
        <v>2495</v>
      </c>
      <c r="E935">
        <v>1006</v>
      </c>
      <c r="F935">
        <v>1</v>
      </c>
      <c r="G935">
        <v>253.86</v>
      </c>
      <c r="H935" s="2">
        <v>45666</v>
      </c>
      <c r="I935" s="2">
        <v>45670</v>
      </c>
      <c r="J935" t="s">
        <v>9</v>
      </c>
      <c r="K935" s="2" t="str">
        <f>IFERROR(INDEX(Product_lookup[Category],MATCH(RawWorking[[#This Row],[ProductID]],Product_lookup[ProductID],0)),"")</f>
        <v>Home</v>
      </c>
      <c r="L935" s="9">
        <f>IF(OR(RawWorking[[#This Row],[ShipDate]]="",RawWorking[[#This Row],[DeliveryDate]]=""),"",RawWorking[[#This Row],[DeliveryDate]]-RawWorking[[#This Row],[ShipDate]])</f>
        <v>4</v>
      </c>
      <c r="M935" s="9">
        <f>IF(COUNTIF(INDEX(RawWorking[OrderID],1):RawWorking[[#This Row],[OrderID]],RawWorking[[#This Row],[OrderID]])=1,1,0)</f>
        <v>0</v>
      </c>
      <c r="N935" s="4">
        <f>IFERROR(RawWorking[[#This Row],[LineAmount]]/RawWorking[[#This Row],[Quantity]],"")</f>
        <v>253.86</v>
      </c>
    </row>
    <row r="936" spans="1:14">
      <c r="A936">
        <v>50935</v>
      </c>
      <c r="B936">
        <v>30529</v>
      </c>
      <c r="C936" s="2">
        <v>45961</v>
      </c>
      <c r="D936">
        <v>2055</v>
      </c>
      <c r="E936">
        <v>1007</v>
      </c>
      <c r="F936">
        <v>1</v>
      </c>
      <c r="G936">
        <v>199.81</v>
      </c>
      <c r="H936" s="2">
        <v>45962</v>
      </c>
      <c r="I936" s="2">
        <v>45963</v>
      </c>
      <c r="J936" t="s">
        <v>9</v>
      </c>
      <c r="K936" s="2" t="str">
        <f>IFERROR(INDEX(Product_lookup[Category],MATCH(RawWorking[[#This Row],[ProductID]],Product_lookup[ProductID],0)),"")</f>
        <v>Home</v>
      </c>
      <c r="L936" s="9">
        <f>IF(OR(RawWorking[[#This Row],[ShipDate]]="",RawWorking[[#This Row],[DeliveryDate]]=""),"",RawWorking[[#This Row],[DeliveryDate]]-RawWorking[[#This Row],[ShipDate]])</f>
        <v>1</v>
      </c>
      <c r="M936" s="9">
        <f>IF(COUNTIF(INDEX(RawWorking[OrderID],1):RawWorking[[#This Row],[OrderID]],RawWorking[[#This Row],[OrderID]])=1,1,0)</f>
        <v>1</v>
      </c>
      <c r="N936" s="4">
        <f>IFERROR(RawWorking[[#This Row],[LineAmount]]/RawWorking[[#This Row],[Quantity]],"")</f>
        <v>199.81</v>
      </c>
    </row>
    <row r="937" spans="1:14">
      <c r="A937">
        <v>50936</v>
      </c>
      <c r="B937">
        <v>30529</v>
      </c>
      <c r="C937" s="2">
        <v>45961</v>
      </c>
      <c r="D937">
        <v>2055</v>
      </c>
      <c r="E937">
        <v>1007</v>
      </c>
      <c r="F937">
        <v>1</v>
      </c>
      <c r="G937">
        <v>199.81</v>
      </c>
      <c r="H937" s="2">
        <v>45964</v>
      </c>
      <c r="I937" s="2">
        <v>45971</v>
      </c>
      <c r="J937" t="s">
        <v>9</v>
      </c>
      <c r="K937" s="2" t="str">
        <f>IFERROR(INDEX(Product_lookup[Category],MATCH(RawWorking[[#This Row],[ProductID]],Product_lookup[ProductID],0)),"")</f>
        <v>Home</v>
      </c>
      <c r="L937" s="9">
        <f>IF(OR(RawWorking[[#This Row],[ShipDate]]="",RawWorking[[#This Row],[DeliveryDate]]=""),"",RawWorking[[#This Row],[DeliveryDate]]-RawWorking[[#This Row],[ShipDate]])</f>
        <v>7</v>
      </c>
      <c r="M937" s="9">
        <f>IF(COUNTIF(INDEX(RawWorking[OrderID],1):RawWorking[[#This Row],[OrderID]],RawWorking[[#This Row],[OrderID]])=1,1,0)</f>
        <v>0</v>
      </c>
      <c r="N937" s="4">
        <f>IFERROR(RawWorking[[#This Row],[LineAmount]]/RawWorking[[#This Row],[Quantity]],"")</f>
        <v>199.81</v>
      </c>
    </row>
    <row r="938" spans="1:14">
      <c r="A938">
        <v>50937</v>
      </c>
      <c r="B938">
        <v>30530</v>
      </c>
      <c r="C938" s="2">
        <v>45774</v>
      </c>
      <c r="D938">
        <v>2420</v>
      </c>
      <c r="E938">
        <v>1009</v>
      </c>
      <c r="F938">
        <v>1</v>
      </c>
      <c r="G938">
        <v>40.28</v>
      </c>
      <c r="H938" s="2">
        <v>45775</v>
      </c>
      <c r="I938" s="2">
        <v>45780</v>
      </c>
      <c r="J938" t="s">
        <v>9</v>
      </c>
      <c r="K938" s="2" t="str">
        <f>IFERROR(INDEX(Product_lookup[Category],MATCH(RawWorking[[#This Row],[ProductID]],Product_lookup[ProductID],0)),"")</f>
        <v>Home</v>
      </c>
      <c r="L938" s="9">
        <f>IF(OR(RawWorking[[#This Row],[ShipDate]]="",RawWorking[[#This Row],[DeliveryDate]]=""),"",RawWorking[[#This Row],[DeliveryDate]]-RawWorking[[#This Row],[ShipDate]])</f>
        <v>5</v>
      </c>
      <c r="M938" s="9">
        <f>IF(COUNTIF(INDEX(RawWorking[OrderID],1):RawWorking[[#This Row],[OrderID]],RawWorking[[#This Row],[OrderID]])=1,1,0)</f>
        <v>1</v>
      </c>
      <c r="N938" s="4">
        <f>IFERROR(RawWorking[[#This Row],[LineAmount]]/RawWorking[[#This Row],[Quantity]],"")</f>
        <v>40.28</v>
      </c>
    </row>
    <row r="939" spans="1:14">
      <c r="A939">
        <v>50938</v>
      </c>
      <c r="B939">
        <v>30531</v>
      </c>
      <c r="C939" s="2">
        <v>45697</v>
      </c>
      <c r="D939">
        <v>2289</v>
      </c>
      <c r="E939">
        <v>1004</v>
      </c>
      <c r="F939">
        <v>1</v>
      </c>
      <c r="G939">
        <v>183.74</v>
      </c>
      <c r="H939" s="2">
        <v>45699</v>
      </c>
      <c r="I939" s="2">
        <v>45705</v>
      </c>
      <c r="J939" t="s">
        <v>9</v>
      </c>
      <c r="K939" s="2" t="str">
        <f>IFERROR(INDEX(Product_lookup[Category],MATCH(RawWorking[[#This Row],[ProductID]],Product_lookup[ProductID],0)),"")</f>
        <v>Electronics</v>
      </c>
      <c r="L939" s="9">
        <f>IF(OR(RawWorking[[#This Row],[ShipDate]]="",RawWorking[[#This Row],[DeliveryDate]]=""),"",RawWorking[[#This Row],[DeliveryDate]]-RawWorking[[#This Row],[ShipDate]])</f>
        <v>6</v>
      </c>
      <c r="M939" s="9">
        <f>IF(COUNTIF(INDEX(RawWorking[OrderID],1):RawWorking[[#This Row],[OrderID]],RawWorking[[#This Row],[OrderID]])=1,1,0)</f>
        <v>1</v>
      </c>
      <c r="N939" s="4">
        <f>IFERROR(RawWorking[[#This Row],[LineAmount]]/RawWorking[[#This Row],[Quantity]],"")</f>
        <v>183.74</v>
      </c>
    </row>
    <row r="940" spans="1:14">
      <c r="A940">
        <v>50939</v>
      </c>
      <c r="B940">
        <v>30531</v>
      </c>
      <c r="C940" s="2">
        <v>45697</v>
      </c>
      <c r="D940">
        <v>2289</v>
      </c>
      <c r="E940">
        <v>1002</v>
      </c>
      <c r="F940">
        <v>1</v>
      </c>
      <c r="G940">
        <v>118.6</v>
      </c>
      <c r="H940" s="2">
        <v>45700</v>
      </c>
      <c r="I940" s="2">
        <v>45703</v>
      </c>
      <c r="J940" t="s">
        <v>9</v>
      </c>
      <c r="K940" s="2" t="str">
        <f>IFERROR(INDEX(Product_lookup[Category],MATCH(RawWorking[[#This Row],[ProductID]],Product_lookup[ProductID],0)),"")</f>
        <v>Electronics</v>
      </c>
      <c r="L940" s="9">
        <f>IF(OR(RawWorking[[#This Row],[ShipDate]]="",RawWorking[[#This Row],[DeliveryDate]]=""),"",RawWorking[[#This Row],[DeliveryDate]]-RawWorking[[#This Row],[ShipDate]])</f>
        <v>3</v>
      </c>
      <c r="M940" s="9">
        <f>IF(COUNTIF(INDEX(RawWorking[OrderID],1):RawWorking[[#This Row],[OrderID]],RawWorking[[#This Row],[OrderID]])=1,1,0)</f>
        <v>0</v>
      </c>
      <c r="N940" s="4">
        <f>IFERROR(RawWorking[[#This Row],[LineAmount]]/RawWorking[[#This Row],[Quantity]],"")</f>
        <v>118.6</v>
      </c>
    </row>
    <row r="941" spans="1:14">
      <c r="A941">
        <v>50940</v>
      </c>
      <c r="B941">
        <v>30531</v>
      </c>
      <c r="C941" s="2">
        <v>45697</v>
      </c>
      <c r="D941">
        <v>2289</v>
      </c>
      <c r="E941">
        <v>1013</v>
      </c>
      <c r="F941">
        <v>1</v>
      </c>
      <c r="G941">
        <v>170.25</v>
      </c>
      <c r="H941" s="2">
        <v>45698</v>
      </c>
      <c r="I941" s="2">
        <v>45707</v>
      </c>
      <c r="J941" t="s">
        <v>9</v>
      </c>
      <c r="K941" s="2" t="str">
        <f>IFERROR(INDEX(Product_lookup[Category],MATCH(RawWorking[[#This Row],[ProductID]],Product_lookup[ProductID],0)),"")</f>
        <v>Office</v>
      </c>
      <c r="L941" s="9">
        <f>IF(OR(RawWorking[[#This Row],[ShipDate]]="",RawWorking[[#This Row],[DeliveryDate]]=""),"",RawWorking[[#This Row],[DeliveryDate]]-RawWorking[[#This Row],[ShipDate]])</f>
        <v>9</v>
      </c>
      <c r="M941" s="9">
        <f>IF(COUNTIF(INDEX(RawWorking[OrderID],1):RawWorking[[#This Row],[OrderID]],RawWorking[[#This Row],[OrderID]])=1,1,0)</f>
        <v>0</v>
      </c>
      <c r="N941" s="4">
        <f>IFERROR(RawWorking[[#This Row],[LineAmount]]/RawWorking[[#This Row],[Quantity]],"")</f>
        <v>170.25</v>
      </c>
    </row>
    <row r="942" spans="1:14">
      <c r="A942">
        <v>50941</v>
      </c>
      <c r="B942">
        <v>30531</v>
      </c>
      <c r="C942" s="2">
        <v>45697</v>
      </c>
      <c r="D942">
        <v>2289</v>
      </c>
      <c r="E942">
        <v>1016</v>
      </c>
      <c r="F942">
        <v>2</v>
      </c>
      <c r="G942">
        <v>130.52000000000001</v>
      </c>
      <c r="H942" s="2">
        <v>45698</v>
      </c>
      <c r="I942" s="2">
        <v>45705</v>
      </c>
      <c r="J942" t="s">
        <v>9</v>
      </c>
      <c r="K942" s="2" t="str">
        <f>IFERROR(INDEX(Product_lookup[Category],MATCH(RawWorking[[#This Row],[ProductID]],Product_lookup[ProductID],0)),"")</f>
        <v>Sports</v>
      </c>
      <c r="L942" s="9">
        <f>IF(OR(RawWorking[[#This Row],[ShipDate]]="",RawWorking[[#This Row],[DeliveryDate]]=""),"",RawWorking[[#This Row],[DeliveryDate]]-RawWorking[[#This Row],[ShipDate]])</f>
        <v>7</v>
      </c>
      <c r="M942" s="9">
        <f>IF(COUNTIF(INDEX(RawWorking[OrderID],1):RawWorking[[#This Row],[OrderID]],RawWorking[[#This Row],[OrderID]])=1,1,0)</f>
        <v>0</v>
      </c>
      <c r="N942" s="4">
        <f>IFERROR(RawWorking[[#This Row],[LineAmount]]/RawWorking[[#This Row],[Quantity]],"")</f>
        <v>65.260000000000005</v>
      </c>
    </row>
    <row r="943" spans="1:14">
      <c r="A943">
        <v>50942</v>
      </c>
      <c r="B943">
        <v>30532</v>
      </c>
      <c r="C943" s="2">
        <v>45786</v>
      </c>
      <c r="E943">
        <v>1001</v>
      </c>
      <c r="F943">
        <v>1</v>
      </c>
      <c r="G943">
        <v>203.04</v>
      </c>
      <c r="H943" s="2">
        <v>45878</v>
      </c>
      <c r="I943" s="2">
        <v>45915</v>
      </c>
      <c r="J943" t="s">
        <v>9</v>
      </c>
      <c r="K943" s="2" t="str">
        <f>IFERROR(INDEX(Product_lookup[Category],MATCH(RawWorking[[#This Row],[ProductID]],Product_lookup[ProductID],0)),"")</f>
        <v>Electronics</v>
      </c>
      <c r="L943" s="9">
        <f>IF(OR(RawWorking[[#This Row],[ShipDate]]="",RawWorking[[#This Row],[DeliveryDate]]=""),"",RawWorking[[#This Row],[DeliveryDate]]-RawWorking[[#This Row],[ShipDate]])</f>
        <v>37</v>
      </c>
      <c r="M943" s="9">
        <f>IF(COUNTIF(INDEX(RawWorking[OrderID],1):RawWorking[[#This Row],[OrderID]],RawWorking[[#This Row],[OrderID]])=1,1,0)</f>
        <v>1</v>
      </c>
      <c r="N943" s="4">
        <f>IFERROR(RawWorking[[#This Row],[LineAmount]]/RawWorking[[#This Row],[Quantity]],"")</f>
        <v>203.04</v>
      </c>
    </row>
    <row r="944" spans="1:14">
      <c r="A944">
        <v>50943</v>
      </c>
      <c r="B944">
        <v>30532</v>
      </c>
      <c r="C944" s="2">
        <v>45786</v>
      </c>
      <c r="D944">
        <v>2158</v>
      </c>
      <c r="E944">
        <v>1014</v>
      </c>
      <c r="F944">
        <v>1</v>
      </c>
      <c r="G944">
        <v>215.34</v>
      </c>
      <c r="H944" s="2">
        <v>45907</v>
      </c>
      <c r="I944" s="2">
        <v>45908</v>
      </c>
      <c r="J944" t="s">
        <v>9</v>
      </c>
      <c r="K944" s="2" t="str">
        <f>IFERROR(INDEX(Product_lookup[Category],MATCH(RawWorking[[#This Row],[ProductID]],Product_lookup[ProductID],0)),"")</f>
        <v>Sports</v>
      </c>
      <c r="L944" s="9">
        <f>IF(OR(RawWorking[[#This Row],[ShipDate]]="",RawWorking[[#This Row],[DeliveryDate]]=""),"",RawWorking[[#This Row],[DeliveryDate]]-RawWorking[[#This Row],[ShipDate]])</f>
        <v>1</v>
      </c>
      <c r="M944" s="9">
        <f>IF(COUNTIF(INDEX(RawWorking[OrderID],1):RawWorking[[#This Row],[OrderID]],RawWorking[[#This Row],[OrderID]])=1,1,0)</f>
        <v>0</v>
      </c>
      <c r="N944" s="4">
        <f>IFERROR(RawWorking[[#This Row],[LineAmount]]/RawWorking[[#This Row],[Quantity]],"")</f>
        <v>215.34</v>
      </c>
    </row>
    <row r="945" spans="1:14">
      <c r="A945">
        <v>50944</v>
      </c>
      <c r="B945">
        <v>30533</v>
      </c>
      <c r="C945" s="2">
        <v>45923</v>
      </c>
      <c r="D945">
        <v>2090</v>
      </c>
      <c r="E945">
        <v>1016</v>
      </c>
      <c r="F945">
        <v>5</v>
      </c>
      <c r="G945">
        <v>326.3</v>
      </c>
      <c r="H945" s="2">
        <v>45924</v>
      </c>
      <c r="I945" s="2">
        <v>45928</v>
      </c>
      <c r="J945" t="s">
        <v>9</v>
      </c>
      <c r="K945" s="2" t="str">
        <f>IFERROR(INDEX(Product_lookup[Category],MATCH(RawWorking[[#This Row],[ProductID]],Product_lookup[ProductID],0)),"")</f>
        <v>Sports</v>
      </c>
      <c r="L945" s="9">
        <f>IF(OR(RawWorking[[#This Row],[ShipDate]]="",RawWorking[[#This Row],[DeliveryDate]]=""),"",RawWorking[[#This Row],[DeliveryDate]]-RawWorking[[#This Row],[ShipDate]])</f>
        <v>4</v>
      </c>
      <c r="M945" s="9">
        <f>IF(COUNTIF(INDEX(RawWorking[OrderID],1):RawWorking[[#This Row],[OrderID]],RawWorking[[#This Row],[OrderID]])=1,1,0)</f>
        <v>1</v>
      </c>
      <c r="N945" s="4">
        <f>IFERROR(RawWorking[[#This Row],[LineAmount]]/RawWorking[[#This Row],[Quantity]],"")</f>
        <v>65.260000000000005</v>
      </c>
    </row>
    <row r="946" spans="1:14">
      <c r="A946">
        <v>50945</v>
      </c>
      <c r="B946">
        <v>30533</v>
      </c>
      <c r="C946" s="2">
        <v>45923</v>
      </c>
      <c r="D946">
        <v>2090</v>
      </c>
      <c r="E946">
        <v>1007</v>
      </c>
      <c r="F946">
        <v>1</v>
      </c>
      <c r="G946">
        <v>199.81</v>
      </c>
      <c r="H946" s="2">
        <v>45924</v>
      </c>
      <c r="I946" s="2">
        <v>45931</v>
      </c>
      <c r="J946" t="s">
        <v>9</v>
      </c>
      <c r="K946" s="2" t="str">
        <f>IFERROR(INDEX(Product_lookup[Category],MATCH(RawWorking[[#This Row],[ProductID]],Product_lookup[ProductID],0)),"")</f>
        <v>Home</v>
      </c>
      <c r="L946" s="9">
        <f>IF(OR(RawWorking[[#This Row],[ShipDate]]="",RawWorking[[#This Row],[DeliveryDate]]=""),"",RawWorking[[#This Row],[DeliveryDate]]-RawWorking[[#This Row],[ShipDate]])</f>
        <v>7</v>
      </c>
      <c r="M946" s="9">
        <f>IF(COUNTIF(INDEX(RawWorking[OrderID],1):RawWorking[[#This Row],[OrderID]],RawWorking[[#This Row],[OrderID]])=1,1,0)</f>
        <v>0</v>
      </c>
      <c r="N946" s="4">
        <f>IFERROR(RawWorking[[#This Row],[LineAmount]]/RawWorking[[#This Row],[Quantity]],"")</f>
        <v>199.81</v>
      </c>
    </row>
    <row r="947" spans="1:14">
      <c r="A947">
        <v>50946</v>
      </c>
      <c r="B947">
        <v>30534</v>
      </c>
      <c r="C947" s="2">
        <v>45932</v>
      </c>
      <c r="D947">
        <v>2100</v>
      </c>
      <c r="E947">
        <v>1006</v>
      </c>
      <c r="F947">
        <v>1</v>
      </c>
      <c r="G947">
        <v>253.86</v>
      </c>
      <c r="H947" s="2">
        <v>45933</v>
      </c>
      <c r="I947" s="2">
        <v>45940</v>
      </c>
      <c r="J947" t="s">
        <v>9</v>
      </c>
      <c r="K947" s="2" t="str">
        <f>IFERROR(INDEX(Product_lookup[Category],MATCH(RawWorking[[#This Row],[ProductID]],Product_lookup[ProductID],0)),"")</f>
        <v>Home</v>
      </c>
      <c r="L947" s="9">
        <f>IF(OR(RawWorking[[#This Row],[ShipDate]]="",RawWorking[[#This Row],[DeliveryDate]]=""),"",RawWorking[[#This Row],[DeliveryDate]]-RawWorking[[#This Row],[ShipDate]])</f>
        <v>7</v>
      </c>
      <c r="M947" s="9">
        <f>IF(COUNTIF(INDEX(RawWorking[OrderID],1):RawWorking[[#This Row],[OrderID]],RawWorking[[#This Row],[OrderID]])=1,1,0)</f>
        <v>1</v>
      </c>
      <c r="N947" s="4">
        <f>IFERROR(RawWorking[[#This Row],[LineAmount]]/RawWorking[[#This Row],[Quantity]],"")</f>
        <v>253.86</v>
      </c>
    </row>
    <row r="948" spans="1:14">
      <c r="A948">
        <v>50947</v>
      </c>
      <c r="B948">
        <v>30534</v>
      </c>
      <c r="C948" s="2">
        <v>45932</v>
      </c>
      <c r="D948">
        <v>2100</v>
      </c>
      <c r="E948">
        <v>1010</v>
      </c>
      <c r="F948">
        <v>2</v>
      </c>
      <c r="G948">
        <v>243</v>
      </c>
      <c r="H948" s="2">
        <v>45935</v>
      </c>
      <c r="I948" s="2">
        <v>45944</v>
      </c>
      <c r="J948" t="s">
        <v>9</v>
      </c>
      <c r="K948" s="2" t="str">
        <f>IFERROR(INDEX(Product_lookup[Category],MATCH(RawWorking[[#This Row],[ProductID]],Product_lookup[ProductID],0)),"")</f>
        <v>Office</v>
      </c>
      <c r="L948" s="9">
        <f>IF(OR(RawWorking[[#This Row],[ShipDate]]="",RawWorking[[#This Row],[DeliveryDate]]=""),"",RawWorking[[#This Row],[DeliveryDate]]-RawWorking[[#This Row],[ShipDate]])</f>
        <v>9</v>
      </c>
      <c r="M948" s="9">
        <f>IF(COUNTIF(INDEX(RawWorking[OrderID],1):RawWorking[[#This Row],[OrderID]],RawWorking[[#This Row],[OrderID]])=1,1,0)</f>
        <v>0</v>
      </c>
      <c r="N948" s="4">
        <f>IFERROR(RawWorking[[#This Row],[LineAmount]]/RawWorking[[#This Row],[Quantity]],"")</f>
        <v>121.5</v>
      </c>
    </row>
    <row r="949" spans="1:14">
      <c r="A949">
        <v>50948</v>
      </c>
      <c r="B949">
        <v>30534</v>
      </c>
      <c r="C949" s="2">
        <v>45932</v>
      </c>
      <c r="D949">
        <v>2100</v>
      </c>
      <c r="E949">
        <v>1003</v>
      </c>
      <c r="F949">
        <v>1</v>
      </c>
      <c r="G949">
        <v>224.37</v>
      </c>
      <c r="H949" s="2">
        <v>45933</v>
      </c>
      <c r="I949" s="2">
        <v>45943</v>
      </c>
      <c r="J949" t="s">
        <v>9</v>
      </c>
      <c r="K949" s="2" t="str">
        <f>IFERROR(INDEX(Product_lookup[Category],MATCH(RawWorking[[#This Row],[ProductID]],Product_lookup[ProductID],0)),"")</f>
        <v>Electronics</v>
      </c>
      <c r="L949" s="9">
        <f>IF(OR(RawWorking[[#This Row],[ShipDate]]="",RawWorking[[#This Row],[DeliveryDate]]=""),"",RawWorking[[#This Row],[DeliveryDate]]-RawWorking[[#This Row],[ShipDate]])</f>
        <v>10</v>
      </c>
      <c r="M949" s="9">
        <f>IF(COUNTIF(INDEX(RawWorking[OrderID],1):RawWorking[[#This Row],[OrderID]],RawWorking[[#This Row],[OrderID]])=1,1,0)</f>
        <v>0</v>
      </c>
      <c r="N949" s="4">
        <f>IFERROR(RawWorking[[#This Row],[LineAmount]]/RawWorking[[#This Row],[Quantity]],"")</f>
        <v>224.37</v>
      </c>
    </row>
    <row r="950" spans="1:14">
      <c r="A950">
        <v>50949</v>
      </c>
      <c r="B950">
        <v>30535</v>
      </c>
      <c r="C950" s="2">
        <v>45797</v>
      </c>
      <c r="D950">
        <v>2485</v>
      </c>
      <c r="E950">
        <v>1010</v>
      </c>
      <c r="F950">
        <v>1</v>
      </c>
      <c r="G950">
        <v>121.5</v>
      </c>
      <c r="H950" s="2" t="s">
        <v>1421</v>
      </c>
      <c r="I950" s="2" t="s">
        <v>1421</v>
      </c>
      <c r="J950" t="s">
        <v>16</v>
      </c>
      <c r="K950" s="2" t="str">
        <f>IFERROR(INDEX(Product_lookup[Category],MATCH(RawWorking[[#This Row],[ProductID]],Product_lookup[ProductID],0)),"")</f>
        <v>Office</v>
      </c>
      <c r="L950" s="9" t="str">
        <f>IF(OR(RawWorking[[#This Row],[ShipDate]]="",RawWorking[[#This Row],[DeliveryDate]]=""),"",RawWorking[[#This Row],[DeliveryDate]]-RawWorking[[#This Row],[ShipDate]])</f>
        <v/>
      </c>
      <c r="M950" s="9">
        <f>IF(COUNTIF(INDEX(RawWorking[OrderID],1):RawWorking[[#This Row],[OrderID]],RawWorking[[#This Row],[OrderID]])=1,1,0)</f>
        <v>1</v>
      </c>
      <c r="N950" s="4">
        <f>IFERROR(RawWorking[[#This Row],[LineAmount]]/RawWorking[[#This Row],[Quantity]],"")</f>
        <v>121.5</v>
      </c>
    </row>
    <row r="951" spans="1:14">
      <c r="A951">
        <v>50950</v>
      </c>
      <c r="B951">
        <v>30535</v>
      </c>
      <c r="C951" s="2">
        <v>45797</v>
      </c>
      <c r="D951">
        <v>2485</v>
      </c>
      <c r="E951">
        <v>1016</v>
      </c>
      <c r="F951">
        <v>1</v>
      </c>
      <c r="G951">
        <v>65.260000000000005</v>
      </c>
      <c r="H951" s="2" t="s">
        <v>1421</v>
      </c>
      <c r="I951" s="2" t="s">
        <v>1421</v>
      </c>
      <c r="J951" t="s">
        <v>16</v>
      </c>
      <c r="K951" s="2" t="str">
        <f>IFERROR(INDEX(Product_lookup[Category],MATCH(RawWorking[[#This Row],[ProductID]],Product_lookup[ProductID],0)),"")</f>
        <v>Sports</v>
      </c>
      <c r="L951" s="9" t="str">
        <f>IF(OR(RawWorking[[#This Row],[ShipDate]]="",RawWorking[[#This Row],[DeliveryDate]]=""),"",RawWorking[[#This Row],[DeliveryDate]]-RawWorking[[#This Row],[ShipDate]])</f>
        <v/>
      </c>
      <c r="M951" s="9">
        <f>IF(COUNTIF(INDEX(RawWorking[OrderID],1):RawWorking[[#This Row],[OrderID]],RawWorking[[#This Row],[OrderID]])=1,1,0)</f>
        <v>0</v>
      </c>
      <c r="N951" s="4">
        <f>IFERROR(RawWorking[[#This Row],[LineAmount]]/RawWorking[[#This Row],[Quantity]],"")</f>
        <v>65.260000000000005</v>
      </c>
    </row>
    <row r="952" spans="1:14">
      <c r="A952">
        <v>50951</v>
      </c>
      <c r="B952">
        <v>30535</v>
      </c>
      <c r="C952" s="2">
        <v>45797</v>
      </c>
      <c r="D952">
        <v>2485</v>
      </c>
      <c r="E952">
        <v>1009</v>
      </c>
      <c r="F952">
        <v>1</v>
      </c>
      <c r="G952">
        <v>40.28</v>
      </c>
      <c r="H952" s="2">
        <v>45798</v>
      </c>
      <c r="I952" s="2" t="s">
        <v>1421</v>
      </c>
      <c r="J952" t="s">
        <v>16</v>
      </c>
      <c r="K952" s="2" t="str">
        <f>IFERROR(INDEX(Product_lookup[Category],MATCH(RawWorking[[#This Row],[ProductID]],Product_lookup[ProductID],0)),"")</f>
        <v>Home</v>
      </c>
      <c r="L952" s="9" t="str">
        <f>IF(OR(RawWorking[[#This Row],[ShipDate]]="",RawWorking[[#This Row],[DeliveryDate]]=""),"",RawWorking[[#This Row],[DeliveryDate]]-RawWorking[[#This Row],[ShipDate]])</f>
        <v/>
      </c>
      <c r="M952" s="9">
        <f>IF(COUNTIF(INDEX(RawWorking[OrderID],1):RawWorking[[#This Row],[OrderID]],RawWorking[[#This Row],[OrderID]])=1,1,0)</f>
        <v>0</v>
      </c>
      <c r="N952" s="4">
        <f>IFERROR(RawWorking[[#This Row],[LineAmount]]/RawWorking[[#This Row],[Quantity]],"")</f>
        <v>40.28</v>
      </c>
    </row>
    <row r="953" spans="1:14">
      <c r="A953">
        <v>50952</v>
      </c>
      <c r="B953">
        <v>30536</v>
      </c>
      <c r="C953" s="2">
        <v>45877</v>
      </c>
      <c r="D953">
        <v>2558</v>
      </c>
      <c r="E953">
        <v>1012</v>
      </c>
      <c r="F953">
        <v>1</v>
      </c>
      <c r="G953">
        <v>241.54</v>
      </c>
      <c r="H953" s="2">
        <v>45879</v>
      </c>
      <c r="I953" s="2">
        <v>45882</v>
      </c>
      <c r="J953" t="s">
        <v>9</v>
      </c>
      <c r="K953" s="2" t="str">
        <f>IFERROR(INDEX(Product_lookup[Category],MATCH(RawWorking[[#This Row],[ProductID]],Product_lookup[ProductID],0)),"")</f>
        <v>Office</v>
      </c>
      <c r="L953" s="9">
        <f>IF(OR(RawWorking[[#This Row],[ShipDate]]="",RawWorking[[#This Row],[DeliveryDate]]=""),"",RawWorking[[#This Row],[DeliveryDate]]-RawWorking[[#This Row],[ShipDate]])</f>
        <v>3</v>
      </c>
      <c r="M953" s="9">
        <f>IF(COUNTIF(INDEX(RawWorking[OrderID],1):RawWorking[[#This Row],[OrderID]],RawWorking[[#This Row],[OrderID]])=1,1,0)</f>
        <v>1</v>
      </c>
      <c r="N953" s="4">
        <f>IFERROR(RawWorking[[#This Row],[LineAmount]]/RawWorking[[#This Row],[Quantity]],"")</f>
        <v>241.54</v>
      </c>
    </row>
    <row r="954" spans="1:14">
      <c r="A954">
        <v>50953</v>
      </c>
      <c r="B954">
        <v>30537</v>
      </c>
      <c r="C954" s="2">
        <v>45822</v>
      </c>
      <c r="D954">
        <v>2391</v>
      </c>
      <c r="E954">
        <v>1015</v>
      </c>
      <c r="F954">
        <v>2</v>
      </c>
      <c r="G954">
        <v>239.48</v>
      </c>
      <c r="H954" s="2">
        <v>45824</v>
      </c>
      <c r="I954" s="2">
        <v>45833</v>
      </c>
      <c r="J954" t="s">
        <v>9</v>
      </c>
      <c r="K954" s="2" t="str">
        <f>IFERROR(INDEX(Product_lookup[Category],MATCH(RawWorking[[#This Row],[ProductID]],Product_lookup[ProductID],0)),"")</f>
        <v>Sports</v>
      </c>
      <c r="L954" s="9">
        <f>IF(OR(RawWorking[[#This Row],[ShipDate]]="",RawWorking[[#This Row],[DeliveryDate]]=""),"",RawWorking[[#This Row],[DeliveryDate]]-RawWorking[[#This Row],[ShipDate]])</f>
        <v>9</v>
      </c>
      <c r="M954" s="9">
        <f>IF(COUNTIF(INDEX(RawWorking[OrderID],1):RawWorking[[#This Row],[OrderID]],RawWorking[[#This Row],[OrderID]])=1,1,0)</f>
        <v>1</v>
      </c>
      <c r="N954" s="4">
        <f>IFERROR(RawWorking[[#This Row],[LineAmount]]/RawWorking[[#This Row],[Quantity]],"")</f>
        <v>119.74</v>
      </c>
    </row>
    <row r="955" spans="1:14">
      <c r="A955">
        <v>50954</v>
      </c>
      <c r="B955">
        <v>30538</v>
      </c>
      <c r="C955" s="2">
        <v>45942</v>
      </c>
      <c r="D955">
        <v>2046</v>
      </c>
      <c r="E955">
        <v>1015</v>
      </c>
      <c r="F955">
        <v>1</v>
      </c>
      <c r="G955">
        <v>119.74</v>
      </c>
      <c r="H955" s="2">
        <v>45944</v>
      </c>
      <c r="I955" s="2">
        <v>45952</v>
      </c>
      <c r="J955" t="s">
        <v>9</v>
      </c>
      <c r="K955" s="2" t="str">
        <f>IFERROR(INDEX(Product_lookup[Category],MATCH(RawWorking[[#This Row],[ProductID]],Product_lookup[ProductID],0)),"")</f>
        <v>Sports</v>
      </c>
      <c r="L955" s="9">
        <f>IF(OR(RawWorking[[#This Row],[ShipDate]]="",RawWorking[[#This Row],[DeliveryDate]]=""),"",RawWorking[[#This Row],[DeliveryDate]]-RawWorking[[#This Row],[ShipDate]])</f>
        <v>8</v>
      </c>
      <c r="M955" s="9">
        <f>IF(COUNTIF(INDEX(RawWorking[OrderID],1):RawWorking[[#This Row],[OrderID]],RawWorking[[#This Row],[OrderID]])=1,1,0)</f>
        <v>1</v>
      </c>
      <c r="N955" s="4">
        <f>IFERROR(RawWorking[[#This Row],[LineAmount]]/RawWorking[[#This Row],[Quantity]],"")</f>
        <v>119.74</v>
      </c>
    </row>
    <row r="956" spans="1:14">
      <c r="A956">
        <v>50955</v>
      </c>
      <c r="B956">
        <v>30539</v>
      </c>
      <c r="C956" s="2">
        <v>45991</v>
      </c>
      <c r="D956">
        <v>2270</v>
      </c>
      <c r="E956">
        <v>1009</v>
      </c>
      <c r="F956">
        <v>1</v>
      </c>
      <c r="G956">
        <v>40.28</v>
      </c>
      <c r="H956" s="2">
        <v>45994</v>
      </c>
      <c r="I956" s="2">
        <v>46004</v>
      </c>
      <c r="J956" t="s">
        <v>9</v>
      </c>
      <c r="K956" s="2" t="str">
        <f>IFERROR(INDEX(Product_lookup[Category],MATCH(RawWorking[[#This Row],[ProductID]],Product_lookup[ProductID],0)),"")</f>
        <v>Home</v>
      </c>
      <c r="L956" s="9">
        <f>IF(OR(RawWorking[[#This Row],[ShipDate]]="",RawWorking[[#This Row],[DeliveryDate]]=""),"",RawWorking[[#This Row],[DeliveryDate]]-RawWorking[[#This Row],[ShipDate]])</f>
        <v>10</v>
      </c>
      <c r="M956" s="9">
        <f>IF(COUNTIF(INDEX(RawWorking[OrderID],1):RawWorking[[#This Row],[OrderID]],RawWorking[[#This Row],[OrderID]])=1,1,0)</f>
        <v>1</v>
      </c>
      <c r="N956" s="4">
        <f>IFERROR(RawWorking[[#This Row],[LineAmount]]/RawWorking[[#This Row],[Quantity]],"")</f>
        <v>40.28</v>
      </c>
    </row>
    <row r="957" spans="1:14">
      <c r="A957">
        <v>50956</v>
      </c>
      <c r="B957">
        <v>30540</v>
      </c>
      <c r="C957" s="2">
        <v>45865</v>
      </c>
      <c r="D957">
        <v>2578</v>
      </c>
      <c r="E957">
        <v>1004</v>
      </c>
      <c r="F957">
        <v>2</v>
      </c>
      <c r="G957">
        <v>367.48</v>
      </c>
      <c r="H957" s="2">
        <v>45868</v>
      </c>
      <c r="I957" s="2">
        <v>45874</v>
      </c>
      <c r="J957" t="s">
        <v>9</v>
      </c>
      <c r="K957" s="2" t="str">
        <f>IFERROR(INDEX(Product_lookup[Category],MATCH(RawWorking[[#This Row],[ProductID]],Product_lookup[ProductID],0)),"")</f>
        <v>Electronics</v>
      </c>
      <c r="L957" s="9">
        <f>IF(OR(RawWorking[[#This Row],[ShipDate]]="",RawWorking[[#This Row],[DeliveryDate]]=""),"",RawWorking[[#This Row],[DeliveryDate]]-RawWorking[[#This Row],[ShipDate]])</f>
        <v>6</v>
      </c>
      <c r="M957" s="9">
        <f>IF(COUNTIF(INDEX(RawWorking[OrderID],1):RawWorking[[#This Row],[OrderID]],RawWorking[[#This Row],[OrderID]])=1,1,0)</f>
        <v>1</v>
      </c>
      <c r="N957" s="4">
        <f>IFERROR(RawWorking[[#This Row],[LineAmount]]/RawWorking[[#This Row],[Quantity]],"")</f>
        <v>183.74</v>
      </c>
    </row>
    <row r="958" spans="1:14">
      <c r="A958">
        <v>50957</v>
      </c>
      <c r="B958">
        <v>30541</v>
      </c>
      <c r="C958" s="2">
        <v>45824</v>
      </c>
      <c r="D958">
        <v>2088</v>
      </c>
      <c r="E958">
        <v>1014</v>
      </c>
      <c r="F958">
        <v>1</v>
      </c>
      <c r="G958">
        <v>215.34</v>
      </c>
      <c r="H958" s="2">
        <v>45825</v>
      </c>
      <c r="I958" s="2">
        <v>45827</v>
      </c>
      <c r="J958" t="s">
        <v>9</v>
      </c>
      <c r="K958" s="2" t="str">
        <f>IFERROR(INDEX(Product_lookup[Category],MATCH(RawWorking[[#This Row],[ProductID]],Product_lookup[ProductID],0)),"")</f>
        <v>Sports</v>
      </c>
      <c r="L958" s="9">
        <f>IF(OR(RawWorking[[#This Row],[ShipDate]]="",RawWorking[[#This Row],[DeliveryDate]]=""),"",RawWorking[[#This Row],[DeliveryDate]]-RawWorking[[#This Row],[ShipDate]])</f>
        <v>2</v>
      </c>
      <c r="M958" s="9">
        <f>IF(COUNTIF(INDEX(RawWorking[OrderID],1):RawWorking[[#This Row],[OrderID]],RawWorking[[#This Row],[OrderID]])=1,1,0)</f>
        <v>1</v>
      </c>
      <c r="N958" s="4">
        <f>IFERROR(RawWorking[[#This Row],[LineAmount]]/RawWorking[[#This Row],[Quantity]],"")</f>
        <v>215.34</v>
      </c>
    </row>
    <row r="959" spans="1:14">
      <c r="A959">
        <v>50958</v>
      </c>
      <c r="B959">
        <v>30541</v>
      </c>
      <c r="C959" s="2">
        <v>45824</v>
      </c>
      <c r="D959">
        <v>2088</v>
      </c>
      <c r="E959">
        <v>1008</v>
      </c>
      <c r="F959">
        <v>2</v>
      </c>
      <c r="G959">
        <v>412.18</v>
      </c>
      <c r="H959" s="2">
        <v>45827</v>
      </c>
      <c r="I959" s="2">
        <v>45830</v>
      </c>
      <c r="J959" t="s">
        <v>9</v>
      </c>
      <c r="K959" s="2" t="str">
        <f>IFERROR(INDEX(Product_lookup[Category],MATCH(RawWorking[[#This Row],[ProductID]],Product_lookup[ProductID],0)),"")</f>
        <v>Home</v>
      </c>
      <c r="L959" s="9">
        <f>IF(OR(RawWorking[[#This Row],[ShipDate]]="",RawWorking[[#This Row],[DeliveryDate]]=""),"",RawWorking[[#This Row],[DeliveryDate]]-RawWorking[[#This Row],[ShipDate]])</f>
        <v>3</v>
      </c>
      <c r="M959" s="9">
        <f>IF(COUNTIF(INDEX(RawWorking[OrderID],1):RawWorking[[#This Row],[OrderID]],RawWorking[[#This Row],[OrderID]])=1,1,0)</f>
        <v>0</v>
      </c>
      <c r="N959" s="4">
        <f>IFERROR(RawWorking[[#This Row],[LineAmount]]/RawWorking[[#This Row],[Quantity]],"")</f>
        <v>206.09</v>
      </c>
    </row>
    <row r="960" spans="1:14">
      <c r="A960">
        <v>50959</v>
      </c>
      <c r="B960">
        <v>30542</v>
      </c>
      <c r="C960" s="2">
        <v>45945</v>
      </c>
      <c r="D960">
        <v>2567</v>
      </c>
      <c r="E960">
        <v>1013</v>
      </c>
      <c r="F960">
        <v>3</v>
      </c>
      <c r="G960">
        <v>510.75</v>
      </c>
      <c r="H960" s="2">
        <v>45947</v>
      </c>
      <c r="I960" s="2">
        <v>45957</v>
      </c>
      <c r="J960" t="s">
        <v>9</v>
      </c>
      <c r="K960" s="2" t="str">
        <f>IFERROR(INDEX(Product_lookup[Category],MATCH(RawWorking[[#This Row],[ProductID]],Product_lookup[ProductID],0)),"")</f>
        <v>Office</v>
      </c>
      <c r="L960" s="9">
        <f>IF(OR(RawWorking[[#This Row],[ShipDate]]="",RawWorking[[#This Row],[DeliveryDate]]=""),"",RawWorking[[#This Row],[DeliveryDate]]-RawWorking[[#This Row],[ShipDate]])</f>
        <v>10</v>
      </c>
      <c r="M960" s="9">
        <f>IF(COUNTIF(INDEX(RawWorking[OrderID],1):RawWorking[[#This Row],[OrderID]],RawWorking[[#This Row],[OrderID]])=1,1,0)</f>
        <v>1</v>
      </c>
      <c r="N960" s="4">
        <f>IFERROR(RawWorking[[#This Row],[LineAmount]]/RawWorking[[#This Row],[Quantity]],"")</f>
        <v>170.25</v>
      </c>
    </row>
    <row r="961" spans="1:14">
      <c r="A961">
        <v>50960</v>
      </c>
      <c r="B961">
        <v>30543</v>
      </c>
      <c r="C961" s="2">
        <v>45957</v>
      </c>
      <c r="D961">
        <v>2536</v>
      </c>
      <c r="E961">
        <v>1016</v>
      </c>
      <c r="F961">
        <v>2</v>
      </c>
      <c r="G961">
        <v>130.52000000000001</v>
      </c>
      <c r="H961" s="2">
        <v>45958</v>
      </c>
      <c r="I961" s="2">
        <v>45961</v>
      </c>
      <c r="J961" t="s">
        <v>9</v>
      </c>
      <c r="K961" s="2" t="str">
        <f>IFERROR(INDEX(Product_lookup[Category],MATCH(RawWorking[[#This Row],[ProductID]],Product_lookup[ProductID],0)),"")</f>
        <v>Sports</v>
      </c>
      <c r="L961" s="9">
        <f>IF(OR(RawWorking[[#This Row],[ShipDate]]="",RawWorking[[#This Row],[DeliveryDate]]=""),"",RawWorking[[#This Row],[DeliveryDate]]-RawWorking[[#This Row],[ShipDate]])</f>
        <v>3</v>
      </c>
      <c r="M961" s="9">
        <f>IF(COUNTIF(INDEX(RawWorking[OrderID],1):RawWorking[[#This Row],[OrderID]],RawWorking[[#This Row],[OrderID]])=1,1,0)</f>
        <v>1</v>
      </c>
      <c r="N961" s="4">
        <f>IFERROR(RawWorking[[#This Row],[LineAmount]]/RawWorking[[#This Row],[Quantity]],"")</f>
        <v>65.260000000000005</v>
      </c>
    </row>
    <row r="962" spans="1:14">
      <c r="A962">
        <v>50961</v>
      </c>
      <c r="B962">
        <v>30544</v>
      </c>
      <c r="C962" s="2">
        <v>45707</v>
      </c>
      <c r="D962">
        <v>2587</v>
      </c>
      <c r="E962">
        <v>1016</v>
      </c>
      <c r="F962">
        <v>3</v>
      </c>
      <c r="G962">
        <v>195.78</v>
      </c>
      <c r="H962" s="2" t="s">
        <v>1421</v>
      </c>
      <c r="I962" s="2" t="s">
        <v>1421</v>
      </c>
      <c r="J962" t="s">
        <v>12</v>
      </c>
      <c r="K962" s="2" t="str">
        <f>IFERROR(INDEX(Product_lookup[Category],MATCH(RawWorking[[#This Row],[ProductID]],Product_lookup[ProductID],0)),"")</f>
        <v>Sports</v>
      </c>
      <c r="L962" s="9" t="str">
        <f>IF(OR(RawWorking[[#This Row],[ShipDate]]="",RawWorking[[#This Row],[DeliveryDate]]=""),"",RawWorking[[#This Row],[DeliveryDate]]-RawWorking[[#This Row],[ShipDate]])</f>
        <v/>
      </c>
      <c r="M962" s="9">
        <f>IF(COUNTIF(INDEX(RawWorking[OrderID],1):RawWorking[[#This Row],[OrderID]],RawWorking[[#This Row],[OrderID]])=1,1,0)</f>
        <v>1</v>
      </c>
      <c r="N962" s="4">
        <f>IFERROR(RawWorking[[#This Row],[LineAmount]]/RawWorking[[#This Row],[Quantity]],"")</f>
        <v>65.260000000000005</v>
      </c>
    </row>
    <row r="963" spans="1:14">
      <c r="A963">
        <v>50962</v>
      </c>
      <c r="B963">
        <v>30545</v>
      </c>
      <c r="C963" s="2">
        <v>45838</v>
      </c>
      <c r="D963">
        <v>2307</v>
      </c>
      <c r="E963">
        <v>1002</v>
      </c>
      <c r="F963">
        <v>3</v>
      </c>
      <c r="G963">
        <v>355.8</v>
      </c>
      <c r="H963" s="2">
        <v>45840</v>
      </c>
      <c r="I963" s="2">
        <v>45849</v>
      </c>
      <c r="J963" t="s">
        <v>9</v>
      </c>
      <c r="K963" s="2" t="str">
        <f>IFERROR(INDEX(Product_lookup[Category],MATCH(RawWorking[[#This Row],[ProductID]],Product_lookup[ProductID],0)),"")</f>
        <v>Electronics</v>
      </c>
      <c r="L963" s="9">
        <f>IF(OR(RawWorking[[#This Row],[ShipDate]]="",RawWorking[[#This Row],[DeliveryDate]]=""),"",RawWorking[[#This Row],[DeliveryDate]]-RawWorking[[#This Row],[ShipDate]])</f>
        <v>9</v>
      </c>
      <c r="M963" s="9">
        <f>IF(COUNTIF(INDEX(RawWorking[OrderID],1):RawWorking[[#This Row],[OrderID]],RawWorking[[#This Row],[OrderID]])=1,1,0)</f>
        <v>1</v>
      </c>
      <c r="N963" s="4">
        <f>IFERROR(RawWorking[[#This Row],[LineAmount]]/RawWorking[[#This Row],[Quantity]],"")</f>
        <v>118.60000000000001</v>
      </c>
    </row>
    <row r="964" spans="1:14">
      <c r="A964">
        <v>50963</v>
      </c>
      <c r="B964">
        <v>30545</v>
      </c>
      <c r="C964" s="2">
        <v>45838</v>
      </c>
      <c r="D964">
        <v>2307</v>
      </c>
      <c r="E964">
        <v>1005</v>
      </c>
      <c r="F964">
        <v>4</v>
      </c>
      <c r="G964">
        <v>126.92</v>
      </c>
      <c r="H964" s="2">
        <v>45840</v>
      </c>
      <c r="I964" s="2">
        <v>45843</v>
      </c>
      <c r="J964" t="s">
        <v>9</v>
      </c>
      <c r="K964" s="2" t="str">
        <f>IFERROR(INDEX(Product_lookup[Category],MATCH(RawWorking[[#This Row],[ProductID]],Product_lookup[ProductID],0)),"")</f>
        <v>Electronics</v>
      </c>
      <c r="L964" s="9">
        <f>IF(OR(RawWorking[[#This Row],[ShipDate]]="",RawWorking[[#This Row],[DeliveryDate]]=""),"",RawWorking[[#This Row],[DeliveryDate]]-RawWorking[[#This Row],[ShipDate]])</f>
        <v>3</v>
      </c>
      <c r="M964" s="9">
        <f>IF(COUNTIF(INDEX(RawWorking[OrderID],1):RawWorking[[#This Row],[OrderID]],RawWorking[[#This Row],[OrderID]])=1,1,0)</f>
        <v>0</v>
      </c>
      <c r="N964" s="4">
        <f>IFERROR(RawWorking[[#This Row],[LineAmount]]/RawWorking[[#This Row],[Quantity]],"")</f>
        <v>31.73</v>
      </c>
    </row>
    <row r="965" spans="1:14">
      <c r="A965">
        <v>50964</v>
      </c>
      <c r="B965">
        <v>30545</v>
      </c>
      <c r="C965" s="2">
        <v>45838</v>
      </c>
      <c r="D965">
        <v>2307</v>
      </c>
      <c r="E965">
        <v>1004</v>
      </c>
      <c r="F965">
        <v>4</v>
      </c>
      <c r="G965">
        <v>734.96</v>
      </c>
      <c r="H965" s="2">
        <v>45841</v>
      </c>
      <c r="I965" s="2">
        <v>45847</v>
      </c>
      <c r="J965" t="s">
        <v>9</v>
      </c>
      <c r="K965" s="2" t="str">
        <f>IFERROR(INDEX(Product_lookup[Category],MATCH(RawWorking[[#This Row],[ProductID]],Product_lookup[ProductID],0)),"")</f>
        <v>Electronics</v>
      </c>
      <c r="L965" s="9">
        <f>IF(OR(RawWorking[[#This Row],[ShipDate]]="",RawWorking[[#This Row],[DeliveryDate]]=""),"",RawWorking[[#This Row],[DeliveryDate]]-RawWorking[[#This Row],[ShipDate]])</f>
        <v>6</v>
      </c>
      <c r="M965" s="9">
        <f>IF(COUNTIF(INDEX(RawWorking[OrderID],1):RawWorking[[#This Row],[OrderID]],RawWorking[[#This Row],[OrderID]])=1,1,0)</f>
        <v>0</v>
      </c>
      <c r="N965" s="4">
        <f>IFERROR(RawWorking[[#This Row],[LineAmount]]/RawWorking[[#This Row],[Quantity]],"")</f>
        <v>183.74</v>
      </c>
    </row>
    <row r="966" spans="1:14">
      <c r="A966">
        <v>50965</v>
      </c>
      <c r="B966">
        <v>30546</v>
      </c>
      <c r="C966" s="2">
        <v>45712</v>
      </c>
      <c r="D966">
        <v>2460</v>
      </c>
      <c r="E966">
        <v>1006</v>
      </c>
      <c r="F966">
        <v>1</v>
      </c>
      <c r="G966">
        <v>253.86</v>
      </c>
      <c r="H966" s="2">
        <v>45714</v>
      </c>
      <c r="I966" s="2">
        <v>45715</v>
      </c>
      <c r="J966" t="s">
        <v>9</v>
      </c>
      <c r="K966" s="2" t="str">
        <f>IFERROR(INDEX(Product_lookup[Category],MATCH(RawWorking[[#This Row],[ProductID]],Product_lookup[ProductID],0)),"")</f>
        <v>Home</v>
      </c>
      <c r="L966" s="9">
        <f>IF(OR(RawWorking[[#This Row],[ShipDate]]="",RawWorking[[#This Row],[DeliveryDate]]=""),"",RawWorking[[#This Row],[DeliveryDate]]-RawWorking[[#This Row],[ShipDate]])</f>
        <v>1</v>
      </c>
      <c r="M966" s="9">
        <f>IF(COUNTIF(INDEX(RawWorking[OrderID],1):RawWorking[[#This Row],[OrderID]],RawWorking[[#This Row],[OrderID]])=1,1,0)</f>
        <v>1</v>
      </c>
      <c r="N966" s="4">
        <f>IFERROR(RawWorking[[#This Row],[LineAmount]]/RawWorking[[#This Row],[Quantity]],"")</f>
        <v>253.86</v>
      </c>
    </row>
    <row r="967" spans="1:14">
      <c r="A967">
        <v>50966</v>
      </c>
      <c r="B967">
        <v>30546</v>
      </c>
      <c r="C967" s="2">
        <v>45712</v>
      </c>
      <c r="D967">
        <v>2460</v>
      </c>
      <c r="E967">
        <v>1007</v>
      </c>
      <c r="F967">
        <v>1</v>
      </c>
      <c r="G967">
        <v>199.81</v>
      </c>
      <c r="H967" s="2">
        <v>45713</v>
      </c>
      <c r="I967" s="2">
        <v>45723</v>
      </c>
      <c r="J967" t="s">
        <v>9</v>
      </c>
      <c r="K967" s="2" t="str">
        <f>IFERROR(INDEX(Product_lookup[Category],MATCH(RawWorking[[#This Row],[ProductID]],Product_lookup[ProductID],0)),"")</f>
        <v>Home</v>
      </c>
      <c r="L967" s="9">
        <f>IF(OR(RawWorking[[#This Row],[ShipDate]]="",RawWorking[[#This Row],[DeliveryDate]]=""),"",RawWorking[[#This Row],[DeliveryDate]]-RawWorking[[#This Row],[ShipDate]])</f>
        <v>10</v>
      </c>
      <c r="M967" s="9">
        <f>IF(COUNTIF(INDEX(RawWorking[OrderID],1):RawWorking[[#This Row],[OrderID]],RawWorking[[#This Row],[OrderID]])=1,1,0)</f>
        <v>0</v>
      </c>
      <c r="N967" s="4">
        <f>IFERROR(RawWorking[[#This Row],[LineAmount]]/RawWorking[[#This Row],[Quantity]],"")</f>
        <v>199.81</v>
      </c>
    </row>
    <row r="968" spans="1:14">
      <c r="A968">
        <v>50967</v>
      </c>
      <c r="B968">
        <v>30547</v>
      </c>
      <c r="C968" s="2">
        <v>45688</v>
      </c>
      <c r="D968">
        <v>2198</v>
      </c>
      <c r="E968">
        <v>1014</v>
      </c>
      <c r="F968">
        <v>3</v>
      </c>
      <c r="G968">
        <v>646.02</v>
      </c>
      <c r="H968" s="2">
        <v>45690</v>
      </c>
      <c r="I968" s="2">
        <v>45697</v>
      </c>
      <c r="J968" t="s">
        <v>9</v>
      </c>
      <c r="K968" s="2" t="str">
        <f>IFERROR(INDEX(Product_lookup[Category],MATCH(RawWorking[[#This Row],[ProductID]],Product_lookup[ProductID],0)),"")</f>
        <v>Sports</v>
      </c>
      <c r="L968" s="9">
        <f>IF(OR(RawWorking[[#This Row],[ShipDate]]="",RawWorking[[#This Row],[DeliveryDate]]=""),"",RawWorking[[#This Row],[DeliveryDate]]-RawWorking[[#This Row],[ShipDate]])</f>
        <v>7</v>
      </c>
      <c r="M968" s="9">
        <f>IF(COUNTIF(INDEX(RawWorking[OrderID],1):RawWorking[[#This Row],[OrderID]],RawWorking[[#This Row],[OrderID]])=1,1,0)</f>
        <v>1</v>
      </c>
      <c r="N968" s="4">
        <f>IFERROR(RawWorking[[#This Row],[LineAmount]]/RawWorking[[#This Row],[Quantity]],"")</f>
        <v>215.34</v>
      </c>
    </row>
    <row r="969" spans="1:14">
      <c r="A969">
        <v>50968</v>
      </c>
      <c r="B969">
        <v>30548</v>
      </c>
      <c r="C969" s="2">
        <v>45913</v>
      </c>
      <c r="D969">
        <v>2081</v>
      </c>
      <c r="E969">
        <v>1014</v>
      </c>
      <c r="F969">
        <v>1</v>
      </c>
      <c r="G969">
        <v>215.34</v>
      </c>
      <c r="H969" s="2">
        <v>45915</v>
      </c>
      <c r="I969" s="2">
        <v>45922</v>
      </c>
      <c r="J969" t="s">
        <v>11</v>
      </c>
      <c r="K969" s="2" t="str">
        <f>IFERROR(INDEX(Product_lookup[Category],MATCH(RawWorking[[#This Row],[ProductID]],Product_lookup[ProductID],0)),"")</f>
        <v>Sports</v>
      </c>
      <c r="L969" s="9">
        <f>IF(OR(RawWorking[[#This Row],[ShipDate]]="",RawWorking[[#This Row],[DeliveryDate]]=""),"",RawWorking[[#This Row],[DeliveryDate]]-RawWorking[[#This Row],[ShipDate]])</f>
        <v>7</v>
      </c>
      <c r="M969" s="9">
        <f>IF(COUNTIF(INDEX(RawWorking[OrderID],1):RawWorking[[#This Row],[OrderID]],RawWorking[[#This Row],[OrderID]])=1,1,0)</f>
        <v>1</v>
      </c>
      <c r="N969" s="4">
        <f>IFERROR(RawWorking[[#This Row],[LineAmount]]/RawWorking[[#This Row],[Quantity]],"")</f>
        <v>215.34</v>
      </c>
    </row>
    <row r="970" spans="1:14">
      <c r="A970">
        <v>50969</v>
      </c>
      <c r="B970">
        <v>30549</v>
      </c>
      <c r="C970" s="2">
        <v>45734</v>
      </c>
      <c r="D970">
        <v>2207</v>
      </c>
      <c r="E970">
        <v>1005</v>
      </c>
      <c r="F970">
        <v>1</v>
      </c>
      <c r="G970">
        <v>31.73</v>
      </c>
      <c r="H970" s="2">
        <v>45737</v>
      </c>
      <c r="I970" s="2">
        <v>45745</v>
      </c>
      <c r="J970" t="s">
        <v>11</v>
      </c>
      <c r="K970" s="2" t="str">
        <f>IFERROR(INDEX(Product_lookup[Category],MATCH(RawWorking[[#This Row],[ProductID]],Product_lookup[ProductID],0)),"")</f>
        <v>Electronics</v>
      </c>
      <c r="L970" s="9">
        <f>IF(OR(RawWorking[[#This Row],[ShipDate]]="",RawWorking[[#This Row],[DeliveryDate]]=""),"",RawWorking[[#This Row],[DeliveryDate]]-RawWorking[[#This Row],[ShipDate]])</f>
        <v>8</v>
      </c>
      <c r="M970" s="9">
        <f>IF(COUNTIF(INDEX(RawWorking[OrderID],1):RawWorking[[#This Row],[OrderID]],RawWorking[[#This Row],[OrderID]])=1,1,0)</f>
        <v>1</v>
      </c>
      <c r="N970" s="4">
        <f>IFERROR(RawWorking[[#This Row],[LineAmount]]/RawWorking[[#This Row],[Quantity]],"")</f>
        <v>31.73</v>
      </c>
    </row>
    <row r="971" spans="1:14">
      <c r="A971">
        <v>50970</v>
      </c>
      <c r="B971">
        <v>30549</v>
      </c>
      <c r="C971" s="2">
        <v>45734</v>
      </c>
      <c r="D971">
        <v>2207</v>
      </c>
      <c r="E971">
        <v>1009</v>
      </c>
      <c r="F971">
        <v>2</v>
      </c>
      <c r="G971">
        <v>80.56</v>
      </c>
      <c r="H971" s="2">
        <v>45737</v>
      </c>
      <c r="I971" s="2">
        <v>45743</v>
      </c>
      <c r="J971" t="s">
        <v>11</v>
      </c>
      <c r="K971" s="2" t="str">
        <f>IFERROR(INDEX(Product_lookup[Category],MATCH(RawWorking[[#This Row],[ProductID]],Product_lookup[ProductID],0)),"")</f>
        <v>Home</v>
      </c>
      <c r="L971" s="9">
        <f>IF(OR(RawWorking[[#This Row],[ShipDate]]="",RawWorking[[#This Row],[DeliveryDate]]=""),"",RawWorking[[#This Row],[DeliveryDate]]-RawWorking[[#This Row],[ShipDate]])</f>
        <v>6</v>
      </c>
      <c r="M971" s="9">
        <f>IF(COUNTIF(INDEX(RawWorking[OrderID],1):RawWorking[[#This Row],[OrderID]],RawWorking[[#This Row],[OrderID]])=1,1,0)</f>
        <v>0</v>
      </c>
      <c r="N971" s="4">
        <f>IFERROR(RawWorking[[#This Row],[LineAmount]]/RawWorking[[#This Row],[Quantity]],"")</f>
        <v>40.28</v>
      </c>
    </row>
    <row r="972" spans="1:14">
      <c r="A972">
        <v>50971</v>
      </c>
      <c r="B972">
        <v>30549</v>
      </c>
      <c r="C972" s="2">
        <v>45734</v>
      </c>
      <c r="D972">
        <v>2207</v>
      </c>
      <c r="E972">
        <v>1011</v>
      </c>
      <c r="F972">
        <v>3</v>
      </c>
      <c r="G972">
        <v>304.32</v>
      </c>
      <c r="H972" s="2">
        <v>45735</v>
      </c>
      <c r="I972" s="2">
        <v>45738</v>
      </c>
      <c r="J972" t="s">
        <v>11</v>
      </c>
      <c r="K972" s="2" t="str">
        <f>IFERROR(INDEX(Product_lookup[Category],MATCH(RawWorking[[#This Row],[ProductID]],Product_lookup[ProductID],0)),"")</f>
        <v>Office</v>
      </c>
      <c r="L972" s="9">
        <f>IF(OR(RawWorking[[#This Row],[ShipDate]]="",RawWorking[[#This Row],[DeliveryDate]]=""),"",RawWorking[[#This Row],[DeliveryDate]]-RawWorking[[#This Row],[ShipDate]])</f>
        <v>3</v>
      </c>
      <c r="M972" s="9">
        <f>IF(COUNTIF(INDEX(RawWorking[OrderID],1):RawWorking[[#This Row],[OrderID]],RawWorking[[#This Row],[OrderID]])=1,1,0)</f>
        <v>0</v>
      </c>
      <c r="N972" s="4">
        <f>IFERROR(RawWorking[[#This Row],[LineAmount]]/RawWorking[[#This Row],[Quantity]],"")</f>
        <v>101.44</v>
      </c>
    </row>
    <row r="973" spans="1:14">
      <c r="A973">
        <v>50972</v>
      </c>
      <c r="B973">
        <v>30550</v>
      </c>
      <c r="C973" s="2">
        <v>45960</v>
      </c>
      <c r="D973">
        <v>2069</v>
      </c>
      <c r="E973">
        <v>1013</v>
      </c>
      <c r="F973">
        <v>2</v>
      </c>
      <c r="G973">
        <v>340.5</v>
      </c>
      <c r="H973" s="2">
        <v>45963</v>
      </c>
      <c r="I973" s="2">
        <v>45964</v>
      </c>
      <c r="J973" t="s">
        <v>9</v>
      </c>
      <c r="K973" s="2" t="str">
        <f>IFERROR(INDEX(Product_lookup[Category],MATCH(RawWorking[[#This Row],[ProductID]],Product_lookup[ProductID],0)),"")</f>
        <v>Office</v>
      </c>
      <c r="L973" s="9">
        <f>IF(OR(RawWorking[[#This Row],[ShipDate]]="",RawWorking[[#This Row],[DeliveryDate]]=""),"",RawWorking[[#This Row],[DeliveryDate]]-RawWorking[[#This Row],[ShipDate]])</f>
        <v>1</v>
      </c>
      <c r="M973" s="9">
        <f>IF(COUNTIF(INDEX(RawWorking[OrderID],1):RawWorking[[#This Row],[OrderID]],RawWorking[[#This Row],[OrderID]])=1,1,0)</f>
        <v>1</v>
      </c>
      <c r="N973" s="4">
        <f>IFERROR(RawWorking[[#This Row],[LineAmount]]/RawWorking[[#This Row],[Quantity]],"")</f>
        <v>170.25</v>
      </c>
    </row>
    <row r="974" spans="1:14">
      <c r="A974">
        <v>50973</v>
      </c>
      <c r="B974">
        <v>30550</v>
      </c>
      <c r="C974" s="2">
        <v>45960</v>
      </c>
      <c r="D974">
        <v>2069</v>
      </c>
      <c r="E974">
        <v>1011</v>
      </c>
      <c r="F974">
        <v>3</v>
      </c>
      <c r="G974">
        <v>304.32</v>
      </c>
      <c r="H974" s="2">
        <v>45962</v>
      </c>
      <c r="I974" s="2">
        <v>45963</v>
      </c>
      <c r="J974" t="s">
        <v>9</v>
      </c>
      <c r="K974" s="2" t="str">
        <f>IFERROR(INDEX(Product_lookup[Category],MATCH(RawWorking[[#This Row],[ProductID]],Product_lookup[ProductID],0)),"")</f>
        <v>Office</v>
      </c>
      <c r="L974" s="9">
        <f>IF(OR(RawWorking[[#This Row],[ShipDate]]="",RawWorking[[#This Row],[DeliveryDate]]=""),"",RawWorking[[#This Row],[DeliveryDate]]-RawWorking[[#This Row],[ShipDate]])</f>
        <v>1</v>
      </c>
      <c r="M974" s="9">
        <f>IF(COUNTIF(INDEX(RawWorking[OrderID],1):RawWorking[[#This Row],[OrderID]],RawWorking[[#This Row],[OrderID]])=1,1,0)</f>
        <v>0</v>
      </c>
      <c r="N974" s="4">
        <f>IFERROR(RawWorking[[#This Row],[LineAmount]]/RawWorking[[#This Row],[Quantity]],"")</f>
        <v>101.44</v>
      </c>
    </row>
    <row r="975" spans="1:14">
      <c r="A975">
        <v>50974</v>
      </c>
      <c r="B975">
        <v>30551</v>
      </c>
      <c r="C975" s="2">
        <v>46020</v>
      </c>
      <c r="D975">
        <v>2283</v>
      </c>
      <c r="E975">
        <v>1001</v>
      </c>
      <c r="F975">
        <v>3</v>
      </c>
      <c r="G975">
        <v>609.12</v>
      </c>
      <c r="H975" s="2">
        <v>46022</v>
      </c>
      <c r="I975" s="2">
        <v>46030</v>
      </c>
      <c r="J975" t="s">
        <v>9</v>
      </c>
      <c r="K975" s="2" t="str">
        <f>IFERROR(INDEX(Product_lookup[Category],MATCH(RawWorking[[#This Row],[ProductID]],Product_lookup[ProductID],0)),"")</f>
        <v>Electronics</v>
      </c>
      <c r="L975" s="9">
        <f>IF(OR(RawWorking[[#This Row],[ShipDate]]="",RawWorking[[#This Row],[DeliveryDate]]=""),"",RawWorking[[#This Row],[DeliveryDate]]-RawWorking[[#This Row],[ShipDate]])</f>
        <v>8</v>
      </c>
      <c r="M975" s="9">
        <f>IF(COUNTIF(INDEX(RawWorking[OrderID],1):RawWorking[[#This Row],[OrderID]],RawWorking[[#This Row],[OrderID]])=1,1,0)</f>
        <v>1</v>
      </c>
      <c r="N975" s="4">
        <f>IFERROR(RawWorking[[#This Row],[LineAmount]]/RawWorking[[#This Row],[Quantity]],"")</f>
        <v>203.04</v>
      </c>
    </row>
    <row r="976" spans="1:14">
      <c r="A976">
        <v>50975</v>
      </c>
      <c r="B976">
        <v>30552</v>
      </c>
      <c r="C976" s="2">
        <v>45682</v>
      </c>
      <c r="D976">
        <v>2536</v>
      </c>
      <c r="E976">
        <v>1004</v>
      </c>
      <c r="F976">
        <v>1</v>
      </c>
      <c r="G976">
        <v>183.74</v>
      </c>
      <c r="H976" s="2" t="s">
        <v>1421</v>
      </c>
      <c r="I976" s="2" t="s">
        <v>1421</v>
      </c>
      <c r="J976" t="s">
        <v>16</v>
      </c>
      <c r="K976" s="2" t="str">
        <f>IFERROR(INDEX(Product_lookup[Category],MATCH(RawWorking[[#This Row],[ProductID]],Product_lookup[ProductID],0)),"")</f>
        <v>Electronics</v>
      </c>
      <c r="L976" s="9" t="str">
        <f>IF(OR(RawWorking[[#This Row],[ShipDate]]="",RawWorking[[#This Row],[DeliveryDate]]=""),"",RawWorking[[#This Row],[DeliveryDate]]-RawWorking[[#This Row],[ShipDate]])</f>
        <v/>
      </c>
      <c r="M976" s="9">
        <f>IF(COUNTIF(INDEX(RawWorking[OrderID],1):RawWorking[[#This Row],[OrderID]],RawWorking[[#This Row],[OrderID]])=1,1,0)</f>
        <v>1</v>
      </c>
      <c r="N976" s="4">
        <f>IFERROR(RawWorking[[#This Row],[LineAmount]]/RawWorking[[#This Row],[Quantity]],"")</f>
        <v>183.74</v>
      </c>
    </row>
    <row r="977" spans="1:14">
      <c r="A977">
        <v>50976</v>
      </c>
      <c r="B977">
        <v>30552</v>
      </c>
      <c r="C977" s="2">
        <v>45682</v>
      </c>
      <c r="D977">
        <v>2536</v>
      </c>
      <c r="E977">
        <v>1005</v>
      </c>
      <c r="F977">
        <v>1</v>
      </c>
      <c r="G977">
        <v>31.73</v>
      </c>
      <c r="H977" s="2" t="s">
        <v>1421</v>
      </c>
      <c r="I977" s="2" t="s">
        <v>1421</v>
      </c>
      <c r="J977" t="s">
        <v>16</v>
      </c>
      <c r="K977" s="2" t="str">
        <f>IFERROR(INDEX(Product_lookup[Category],MATCH(RawWorking[[#This Row],[ProductID]],Product_lookup[ProductID],0)),"")</f>
        <v>Electronics</v>
      </c>
      <c r="L977" s="9" t="str">
        <f>IF(OR(RawWorking[[#This Row],[ShipDate]]="",RawWorking[[#This Row],[DeliveryDate]]=""),"",RawWorking[[#This Row],[DeliveryDate]]-RawWorking[[#This Row],[ShipDate]])</f>
        <v/>
      </c>
      <c r="M977" s="9">
        <f>IF(COUNTIF(INDEX(RawWorking[OrderID],1):RawWorking[[#This Row],[OrderID]],RawWorking[[#This Row],[OrderID]])=1,1,0)</f>
        <v>0</v>
      </c>
      <c r="N977" s="4">
        <f>IFERROR(RawWorking[[#This Row],[LineAmount]]/RawWorking[[#This Row],[Quantity]],"")</f>
        <v>31.73</v>
      </c>
    </row>
    <row r="978" spans="1:14">
      <c r="A978">
        <v>50977</v>
      </c>
      <c r="B978">
        <v>30552</v>
      </c>
      <c r="C978" s="2">
        <v>45682</v>
      </c>
      <c r="D978">
        <v>2536</v>
      </c>
      <c r="E978">
        <v>1004</v>
      </c>
      <c r="F978">
        <v>1</v>
      </c>
      <c r="G978">
        <v>183.74</v>
      </c>
      <c r="H978" s="2" t="s">
        <v>1421</v>
      </c>
      <c r="I978" s="2" t="s">
        <v>1421</v>
      </c>
      <c r="J978" t="s">
        <v>16</v>
      </c>
      <c r="K978" s="2" t="str">
        <f>IFERROR(INDEX(Product_lookup[Category],MATCH(RawWorking[[#This Row],[ProductID]],Product_lookup[ProductID],0)),"")</f>
        <v>Electronics</v>
      </c>
      <c r="L978" s="9" t="str">
        <f>IF(OR(RawWorking[[#This Row],[ShipDate]]="",RawWorking[[#This Row],[DeliveryDate]]=""),"",RawWorking[[#This Row],[DeliveryDate]]-RawWorking[[#This Row],[ShipDate]])</f>
        <v/>
      </c>
      <c r="M978" s="9">
        <f>IF(COUNTIF(INDEX(RawWorking[OrderID],1):RawWorking[[#This Row],[OrderID]],RawWorking[[#This Row],[OrderID]])=1,1,0)</f>
        <v>0</v>
      </c>
      <c r="N978" s="4">
        <f>IFERROR(RawWorking[[#This Row],[LineAmount]]/RawWorking[[#This Row],[Quantity]],"")</f>
        <v>183.74</v>
      </c>
    </row>
    <row r="979" spans="1:14">
      <c r="A979">
        <v>50978</v>
      </c>
      <c r="B979">
        <v>30553</v>
      </c>
      <c r="C979" s="2">
        <v>45823</v>
      </c>
      <c r="D979">
        <v>2577</v>
      </c>
      <c r="E979">
        <v>1010</v>
      </c>
      <c r="F979">
        <v>3</v>
      </c>
      <c r="G979">
        <v>364.5</v>
      </c>
      <c r="H979" s="2" t="s">
        <v>1421</v>
      </c>
      <c r="I979" s="2" t="s">
        <v>1421</v>
      </c>
      <c r="J979" t="s">
        <v>16</v>
      </c>
      <c r="K979" s="2" t="str">
        <f>IFERROR(INDEX(Product_lookup[Category],MATCH(RawWorking[[#This Row],[ProductID]],Product_lookup[ProductID],0)),"")</f>
        <v>Office</v>
      </c>
      <c r="L979" s="9" t="str">
        <f>IF(OR(RawWorking[[#This Row],[ShipDate]]="",RawWorking[[#This Row],[DeliveryDate]]=""),"",RawWorking[[#This Row],[DeliveryDate]]-RawWorking[[#This Row],[ShipDate]])</f>
        <v/>
      </c>
      <c r="M979" s="9">
        <f>IF(COUNTIF(INDEX(RawWorking[OrderID],1):RawWorking[[#This Row],[OrderID]],RawWorking[[#This Row],[OrderID]])=1,1,0)</f>
        <v>1</v>
      </c>
      <c r="N979" s="4">
        <f>IFERROR(RawWorking[[#This Row],[LineAmount]]/RawWorking[[#This Row],[Quantity]],"")</f>
        <v>121.5</v>
      </c>
    </row>
    <row r="980" spans="1:14">
      <c r="A980">
        <v>50979</v>
      </c>
      <c r="B980">
        <v>30554</v>
      </c>
      <c r="C980" s="2">
        <v>45909</v>
      </c>
      <c r="D980">
        <v>2353</v>
      </c>
      <c r="E980">
        <v>1009</v>
      </c>
      <c r="F980">
        <v>1</v>
      </c>
      <c r="G980">
        <v>40.28</v>
      </c>
      <c r="H980" s="2" t="s">
        <v>1421</v>
      </c>
      <c r="I980" s="2" t="s">
        <v>1421</v>
      </c>
      <c r="J980" t="s">
        <v>199</v>
      </c>
      <c r="K980" s="2" t="str">
        <f>IFERROR(INDEX(Product_lookup[Category],MATCH(RawWorking[[#This Row],[ProductID]],Product_lookup[ProductID],0)),"")</f>
        <v>Home</v>
      </c>
      <c r="L980" s="9" t="str">
        <f>IF(OR(RawWorking[[#This Row],[ShipDate]]="",RawWorking[[#This Row],[DeliveryDate]]=""),"",RawWorking[[#This Row],[DeliveryDate]]-RawWorking[[#This Row],[ShipDate]])</f>
        <v/>
      </c>
      <c r="M980" s="9">
        <f>IF(COUNTIF(INDEX(RawWorking[OrderID],1):RawWorking[[#This Row],[OrderID]],RawWorking[[#This Row],[OrderID]])=1,1,0)</f>
        <v>1</v>
      </c>
      <c r="N980" s="4">
        <f>IFERROR(RawWorking[[#This Row],[LineAmount]]/RawWorking[[#This Row],[Quantity]],"")</f>
        <v>40.28</v>
      </c>
    </row>
    <row r="981" spans="1:14">
      <c r="A981">
        <v>50980</v>
      </c>
      <c r="B981">
        <v>30555</v>
      </c>
      <c r="C981" s="2">
        <v>45802</v>
      </c>
      <c r="D981">
        <v>2393</v>
      </c>
      <c r="E981">
        <v>1016</v>
      </c>
      <c r="F981">
        <v>2</v>
      </c>
      <c r="G981">
        <v>130.52000000000001</v>
      </c>
      <c r="H981" s="2">
        <v>45804</v>
      </c>
      <c r="I981" s="2">
        <v>45813</v>
      </c>
      <c r="J981" t="s">
        <v>9</v>
      </c>
      <c r="K981" s="2" t="str">
        <f>IFERROR(INDEX(Product_lookup[Category],MATCH(RawWorking[[#This Row],[ProductID]],Product_lookup[ProductID],0)),"")</f>
        <v>Sports</v>
      </c>
      <c r="L981" s="9">
        <f>IF(OR(RawWorking[[#This Row],[ShipDate]]="",RawWorking[[#This Row],[DeliveryDate]]=""),"",RawWorking[[#This Row],[DeliveryDate]]-RawWorking[[#This Row],[ShipDate]])</f>
        <v>9</v>
      </c>
      <c r="M981" s="9">
        <f>IF(COUNTIF(INDEX(RawWorking[OrderID],1):RawWorking[[#This Row],[OrderID]],RawWorking[[#This Row],[OrderID]])=1,1,0)</f>
        <v>1</v>
      </c>
      <c r="N981" s="4">
        <f>IFERROR(RawWorking[[#This Row],[LineAmount]]/RawWorking[[#This Row],[Quantity]],"")</f>
        <v>65.260000000000005</v>
      </c>
    </row>
    <row r="982" spans="1:14">
      <c r="A982">
        <v>50981</v>
      </c>
      <c r="B982">
        <v>30556</v>
      </c>
      <c r="C982" s="2">
        <v>45879</v>
      </c>
      <c r="D982">
        <v>2039</v>
      </c>
      <c r="E982">
        <v>1013</v>
      </c>
      <c r="F982">
        <v>1</v>
      </c>
      <c r="G982">
        <v>170.25</v>
      </c>
      <c r="H982" s="2">
        <v>45880</v>
      </c>
      <c r="I982" s="2">
        <v>45884</v>
      </c>
      <c r="J982" t="s">
        <v>9</v>
      </c>
      <c r="K982" s="2" t="str">
        <f>IFERROR(INDEX(Product_lookup[Category],MATCH(RawWorking[[#This Row],[ProductID]],Product_lookup[ProductID],0)),"")</f>
        <v>Office</v>
      </c>
      <c r="L982" s="9">
        <f>IF(OR(RawWorking[[#This Row],[ShipDate]]="",RawWorking[[#This Row],[DeliveryDate]]=""),"",RawWorking[[#This Row],[DeliveryDate]]-RawWorking[[#This Row],[ShipDate]])</f>
        <v>4</v>
      </c>
      <c r="M982" s="9">
        <f>IF(COUNTIF(INDEX(RawWorking[OrderID],1):RawWorking[[#This Row],[OrderID]],RawWorking[[#This Row],[OrderID]])=1,1,0)</f>
        <v>1</v>
      </c>
      <c r="N982" s="4">
        <f>IFERROR(RawWorking[[#This Row],[LineAmount]]/RawWorking[[#This Row],[Quantity]],"")</f>
        <v>170.25</v>
      </c>
    </row>
    <row r="983" spans="1:14">
      <c r="A983">
        <v>50982</v>
      </c>
      <c r="B983">
        <v>30556</v>
      </c>
      <c r="C983" s="2">
        <v>45879</v>
      </c>
      <c r="D983">
        <v>2039</v>
      </c>
      <c r="E983">
        <v>1005</v>
      </c>
      <c r="F983">
        <v>1</v>
      </c>
      <c r="G983">
        <v>31.73</v>
      </c>
      <c r="H983" s="2">
        <v>45881</v>
      </c>
      <c r="I983" s="2">
        <v>45884</v>
      </c>
      <c r="J983" t="s">
        <v>9</v>
      </c>
      <c r="K983" s="2" t="str">
        <f>IFERROR(INDEX(Product_lookup[Category],MATCH(RawWorking[[#This Row],[ProductID]],Product_lookup[ProductID],0)),"")</f>
        <v>Electronics</v>
      </c>
      <c r="L983" s="9">
        <f>IF(OR(RawWorking[[#This Row],[ShipDate]]="",RawWorking[[#This Row],[DeliveryDate]]=""),"",RawWorking[[#This Row],[DeliveryDate]]-RawWorking[[#This Row],[ShipDate]])</f>
        <v>3</v>
      </c>
      <c r="M983" s="9">
        <f>IF(COUNTIF(INDEX(RawWorking[OrderID],1):RawWorking[[#This Row],[OrderID]],RawWorking[[#This Row],[OrderID]])=1,1,0)</f>
        <v>0</v>
      </c>
      <c r="N983" s="4">
        <f>IFERROR(RawWorking[[#This Row],[LineAmount]]/RawWorking[[#This Row],[Quantity]],"")</f>
        <v>31.73</v>
      </c>
    </row>
    <row r="984" spans="1:14">
      <c r="A984">
        <v>50983</v>
      </c>
      <c r="B984">
        <v>30557</v>
      </c>
      <c r="C984" s="2">
        <v>45803</v>
      </c>
      <c r="D984">
        <v>2412</v>
      </c>
      <c r="E984">
        <v>1011</v>
      </c>
      <c r="F984">
        <v>2</v>
      </c>
      <c r="G984">
        <v>202.88</v>
      </c>
      <c r="H984" s="2">
        <v>45804</v>
      </c>
      <c r="I984" s="2">
        <v>45810</v>
      </c>
      <c r="J984" t="s">
        <v>9</v>
      </c>
      <c r="K984" s="2" t="str">
        <f>IFERROR(INDEX(Product_lookup[Category],MATCH(RawWorking[[#This Row],[ProductID]],Product_lookup[ProductID],0)),"")</f>
        <v>Office</v>
      </c>
      <c r="L984" s="9">
        <f>IF(OR(RawWorking[[#This Row],[ShipDate]]="",RawWorking[[#This Row],[DeliveryDate]]=""),"",RawWorking[[#This Row],[DeliveryDate]]-RawWorking[[#This Row],[ShipDate]])</f>
        <v>6</v>
      </c>
      <c r="M984" s="9">
        <f>IF(COUNTIF(INDEX(RawWorking[OrderID],1):RawWorking[[#This Row],[OrderID]],RawWorking[[#This Row],[OrderID]])=1,1,0)</f>
        <v>1</v>
      </c>
      <c r="N984" s="4">
        <f>IFERROR(RawWorking[[#This Row],[LineAmount]]/RawWorking[[#This Row],[Quantity]],"")</f>
        <v>101.44</v>
      </c>
    </row>
    <row r="985" spans="1:14">
      <c r="A985">
        <v>50984</v>
      </c>
      <c r="B985">
        <v>30558</v>
      </c>
      <c r="C985" s="2">
        <v>45702</v>
      </c>
      <c r="D985">
        <v>2244</v>
      </c>
      <c r="E985">
        <v>1016</v>
      </c>
      <c r="F985">
        <v>2</v>
      </c>
      <c r="G985">
        <v>130.52000000000001</v>
      </c>
      <c r="H985" s="2">
        <v>45704</v>
      </c>
      <c r="I985" s="2">
        <v>45705</v>
      </c>
      <c r="J985" t="s">
        <v>9</v>
      </c>
      <c r="K985" s="2" t="str">
        <f>IFERROR(INDEX(Product_lookup[Category],MATCH(RawWorking[[#This Row],[ProductID]],Product_lookup[ProductID],0)),"")</f>
        <v>Sports</v>
      </c>
      <c r="L985" s="9">
        <f>IF(OR(RawWorking[[#This Row],[ShipDate]]="",RawWorking[[#This Row],[DeliveryDate]]=""),"",RawWorking[[#This Row],[DeliveryDate]]-RawWorking[[#This Row],[ShipDate]])</f>
        <v>1</v>
      </c>
      <c r="M985" s="9">
        <f>IF(COUNTIF(INDEX(RawWorking[OrderID],1):RawWorking[[#This Row],[OrderID]],RawWorking[[#This Row],[OrderID]])=1,1,0)</f>
        <v>1</v>
      </c>
      <c r="N985" s="4">
        <f>IFERROR(RawWorking[[#This Row],[LineAmount]]/RawWorking[[#This Row],[Quantity]],"")</f>
        <v>65.260000000000005</v>
      </c>
    </row>
    <row r="986" spans="1:14">
      <c r="A986">
        <v>50985</v>
      </c>
      <c r="B986">
        <v>30558</v>
      </c>
      <c r="C986" s="2">
        <v>45702</v>
      </c>
      <c r="D986">
        <v>2244</v>
      </c>
      <c r="E986">
        <v>1009</v>
      </c>
      <c r="F986">
        <v>2</v>
      </c>
      <c r="G986">
        <v>80.56</v>
      </c>
      <c r="H986" s="2">
        <v>45704</v>
      </c>
      <c r="I986" s="2">
        <v>45710</v>
      </c>
      <c r="J986" t="s">
        <v>9</v>
      </c>
      <c r="K986" s="2" t="str">
        <f>IFERROR(INDEX(Product_lookup[Category],MATCH(RawWorking[[#This Row],[ProductID]],Product_lookup[ProductID],0)),"")</f>
        <v>Home</v>
      </c>
      <c r="L986" s="9">
        <f>IF(OR(RawWorking[[#This Row],[ShipDate]]="",RawWorking[[#This Row],[DeliveryDate]]=""),"",RawWorking[[#This Row],[DeliveryDate]]-RawWorking[[#This Row],[ShipDate]])</f>
        <v>6</v>
      </c>
      <c r="M986" s="9">
        <f>IF(COUNTIF(INDEX(RawWorking[OrderID],1):RawWorking[[#This Row],[OrderID]],RawWorking[[#This Row],[OrderID]])=1,1,0)</f>
        <v>0</v>
      </c>
      <c r="N986" s="4">
        <f>IFERROR(RawWorking[[#This Row],[LineAmount]]/RawWorking[[#This Row],[Quantity]],"")</f>
        <v>40.28</v>
      </c>
    </row>
    <row r="987" spans="1:14">
      <c r="A987">
        <v>50986</v>
      </c>
      <c r="B987">
        <v>30558</v>
      </c>
      <c r="C987" s="2">
        <v>45702</v>
      </c>
      <c r="D987">
        <v>2244</v>
      </c>
      <c r="E987">
        <v>1012</v>
      </c>
      <c r="F987">
        <v>1</v>
      </c>
      <c r="G987">
        <v>241.54</v>
      </c>
      <c r="H987" s="2">
        <v>45705</v>
      </c>
      <c r="I987" s="2">
        <v>45706</v>
      </c>
      <c r="J987" t="s">
        <v>9</v>
      </c>
      <c r="K987" s="2" t="str">
        <f>IFERROR(INDEX(Product_lookup[Category],MATCH(RawWorking[[#This Row],[ProductID]],Product_lookup[ProductID],0)),"")</f>
        <v>Office</v>
      </c>
      <c r="L987" s="9">
        <f>IF(OR(RawWorking[[#This Row],[ShipDate]]="",RawWorking[[#This Row],[DeliveryDate]]=""),"",RawWorking[[#This Row],[DeliveryDate]]-RawWorking[[#This Row],[ShipDate]])</f>
        <v>1</v>
      </c>
      <c r="M987" s="9">
        <f>IF(COUNTIF(INDEX(RawWorking[OrderID],1):RawWorking[[#This Row],[OrderID]],RawWorking[[#This Row],[OrderID]])=1,1,0)</f>
        <v>0</v>
      </c>
      <c r="N987" s="4">
        <f>IFERROR(RawWorking[[#This Row],[LineAmount]]/RawWorking[[#This Row],[Quantity]],"")</f>
        <v>241.54</v>
      </c>
    </row>
    <row r="988" spans="1:14">
      <c r="A988">
        <v>50987</v>
      </c>
      <c r="B988">
        <v>30559</v>
      </c>
      <c r="C988" s="2">
        <v>45870</v>
      </c>
      <c r="D988">
        <v>2021</v>
      </c>
      <c r="E988">
        <v>1010</v>
      </c>
      <c r="F988">
        <v>2</v>
      </c>
      <c r="G988">
        <v>243</v>
      </c>
      <c r="H988" s="2">
        <v>45872</v>
      </c>
      <c r="I988" s="2">
        <v>45875</v>
      </c>
      <c r="J988" t="s">
        <v>9</v>
      </c>
      <c r="K988" s="2" t="str">
        <f>IFERROR(INDEX(Product_lookup[Category],MATCH(RawWorking[[#This Row],[ProductID]],Product_lookup[ProductID],0)),"")</f>
        <v>Office</v>
      </c>
      <c r="L988" s="9">
        <f>IF(OR(RawWorking[[#This Row],[ShipDate]]="",RawWorking[[#This Row],[DeliveryDate]]=""),"",RawWorking[[#This Row],[DeliveryDate]]-RawWorking[[#This Row],[ShipDate]])</f>
        <v>3</v>
      </c>
      <c r="M988" s="9">
        <f>IF(COUNTIF(INDEX(RawWorking[OrderID],1):RawWorking[[#This Row],[OrderID]],RawWorking[[#This Row],[OrderID]])=1,1,0)</f>
        <v>1</v>
      </c>
      <c r="N988" s="4">
        <f>IFERROR(RawWorking[[#This Row],[LineAmount]]/RawWorking[[#This Row],[Quantity]],"")</f>
        <v>121.5</v>
      </c>
    </row>
    <row r="989" spans="1:14">
      <c r="A989">
        <v>50988</v>
      </c>
      <c r="B989">
        <v>30560</v>
      </c>
      <c r="C989" s="2">
        <v>45928</v>
      </c>
      <c r="D989">
        <v>2319</v>
      </c>
      <c r="E989">
        <v>1016</v>
      </c>
      <c r="F989">
        <v>1</v>
      </c>
      <c r="G989">
        <v>65.260000000000005</v>
      </c>
      <c r="H989" s="2">
        <v>45931</v>
      </c>
      <c r="I989" s="2">
        <v>45933</v>
      </c>
      <c r="J989" t="s">
        <v>9</v>
      </c>
      <c r="K989" s="2" t="str">
        <f>IFERROR(INDEX(Product_lookup[Category],MATCH(RawWorking[[#This Row],[ProductID]],Product_lookup[ProductID],0)),"")</f>
        <v>Sports</v>
      </c>
      <c r="L989" s="9">
        <f>IF(OR(RawWorking[[#This Row],[ShipDate]]="",RawWorking[[#This Row],[DeliveryDate]]=""),"",RawWorking[[#This Row],[DeliveryDate]]-RawWorking[[#This Row],[ShipDate]])</f>
        <v>2</v>
      </c>
      <c r="M989" s="9">
        <f>IF(COUNTIF(INDEX(RawWorking[OrderID],1):RawWorking[[#This Row],[OrderID]],RawWorking[[#This Row],[OrderID]])=1,1,0)</f>
        <v>1</v>
      </c>
      <c r="N989" s="4">
        <f>IFERROR(RawWorking[[#This Row],[LineAmount]]/RawWorking[[#This Row],[Quantity]],"")</f>
        <v>65.260000000000005</v>
      </c>
    </row>
    <row r="990" spans="1:14">
      <c r="A990">
        <v>50989</v>
      </c>
      <c r="B990">
        <v>30561</v>
      </c>
      <c r="C990" s="2">
        <v>46004</v>
      </c>
      <c r="D990">
        <v>2101</v>
      </c>
      <c r="E990">
        <v>1008</v>
      </c>
      <c r="F990">
        <v>3</v>
      </c>
      <c r="G990">
        <v>618.27</v>
      </c>
      <c r="H990" s="2">
        <v>46005</v>
      </c>
      <c r="I990" s="2">
        <v>46015</v>
      </c>
      <c r="J990" t="s">
        <v>11</v>
      </c>
      <c r="K990" s="2" t="str">
        <f>IFERROR(INDEX(Product_lookup[Category],MATCH(RawWorking[[#This Row],[ProductID]],Product_lookup[ProductID],0)),"")</f>
        <v>Home</v>
      </c>
      <c r="L990" s="9">
        <f>IF(OR(RawWorking[[#This Row],[ShipDate]]="",RawWorking[[#This Row],[DeliveryDate]]=""),"",RawWorking[[#This Row],[DeliveryDate]]-RawWorking[[#This Row],[ShipDate]])</f>
        <v>10</v>
      </c>
      <c r="M990" s="9">
        <f>IF(COUNTIF(INDEX(RawWorking[OrderID],1):RawWorking[[#This Row],[OrderID]],RawWorking[[#This Row],[OrderID]])=1,1,0)</f>
        <v>1</v>
      </c>
      <c r="N990" s="4">
        <f>IFERROR(RawWorking[[#This Row],[LineAmount]]/RawWorking[[#This Row],[Quantity]],"")</f>
        <v>206.09</v>
      </c>
    </row>
    <row r="991" spans="1:14">
      <c r="A991">
        <v>50990</v>
      </c>
      <c r="B991">
        <v>30562</v>
      </c>
      <c r="C991" s="2">
        <v>45839</v>
      </c>
      <c r="D991">
        <v>2138</v>
      </c>
      <c r="E991">
        <v>1015</v>
      </c>
      <c r="F991">
        <v>3</v>
      </c>
      <c r="G991">
        <v>359.22</v>
      </c>
      <c r="H991" s="2">
        <v>45842</v>
      </c>
      <c r="I991" s="2">
        <v>45848</v>
      </c>
      <c r="J991" t="s">
        <v>9</v>
      </c>
      <c r="K991" s="2" t="str">
        <f>IFERROR(INDEX(Product_lookup[Category],MATCH(RawWorking[[#This Row],[ProductID]],Product_lookup[ProductID],0)),"")</f>
        <v>Sports</v>
      </c>
      <c r="L991" s="9">
        <f>IF(OR(RawWorking[[#This Row],[ShipDate]]="",RawWorking[[#This Row],[DeliveryDate]]=""),"",RawWorking[[#This Row],[DeliveryDate]]-RawWorking[[#This Row],[ShipDate]])</f>
        <v>6</v>
      </c>
      <c r="M991" s="9">
        <f>IF(COUNTIF(INDEX(RawWorking[OrderID],1):RawWorking[[#This Row],[OrderID]],RawWorking[[#This Row],[OrderID]])=1,1,0)</f>
        <v>1</v>
      </c>
      <c r="N991" s="4">
        <f>IFERROR(RawWorking[[#This Row],[LineAmount]]/RawWorking[[#This Row],[Quantity]],"")</f>
        <v>119.74000000000001</v>
      </c>
    </row>
    <row r="992" spans="1:14">
      <c r="A992">
        <v>50991</v>
      </c>
      <c r="B992">
        <v>30563</v>
      </c>
      <c r="C992" s="2">
        <v>45669</v>
      </c>
      <c r="D992">
        <v>2329</v>
      </c>
      <c r="E992">
        <v>1014</v>
      </c>
      <c r="F992">
        <v>3</v>
      </c>
      <c r="G992">
        <v>646.02</v>
      </c>
      <c r="H992" s="2">
        <v>45672</v>
      </c>
      <c r="I992" s="2">
        <v>45679</v>
      </c>
      <c r="J992" t="s">
        <v>9</v>
      </c>
      <c r="K992" s="2" t="str">
        <f>IFERROR(INDEX(Product_lookup[Category],MATCH(RawWorking[[#This Row],[ProductID]],Product_lookup[ProductID],0)),"")</f>
        <v>Sports</v>
      </c>
      <c r="L992" s="9">
        <f>IF(OR(RawWorking[[#This Row],[ShipDate]]="",RawWorking[[#This Row],[DeliveryDate]]=""),"",RawWorking[[#This Row],[DeliveryDate]]-RawWorking[[#This Row],[ShipDate]])</f>
        <v>7</v>
      </c>
      <c r="M992" s="9">
        <f>IF(COUNTIF(INDEX(RawWorking[OrderID],1):RawWorking[[#This Row],[OrderID]],RawWorking[[#This Row],[OrderID]])=1,1,0)</f>
        <v>1</v>
      </c>
      <c r="N992" s="4">
        <f>IFERROR(RawWorking[[#This Row],[LineAmount]]/RawWorking[[#This Row],[Quantity]],"")</f>
        <v>215.34</v>
      </c>
    </row>
    <row r="993" spans="1:14">
      <c r="A993">
        <v>50992</v>
      </c>
      <c r="B993">
        <v>30564</v>
      </c>
      <c r="C993" s="2">
        <v>45903</v>
      </c>
      <c r="D993">
        <v>2092</v>
      </c>
      <c r="E993">
        <v>1007</v>
      </c>
      <c r="F993">
        <v>3</v>
      </c>
      <c r="G993">
        <v>599.42999999999995</v>
      </c>
      <c r="H993" s="2">
        <v>45905</v>
      </c>
      <c r="I993" s="2">
        <v>45911</v>
      </c>
      <c r="J993" t="s">
        <v>9</v>
      </c>
      <c r="K993" s="2" t="str">
        <f>IFERROR(INDEX(Product_lookup[Category],MATCH(RawWorking[[#This Row],[ProductID]],Product_lookup[ProductID],0)),"")</f>
        <v>Home</v>
      </c>
      <c r="L993" s="9">
        <f>IF(OR(RawWorking[[#This Row],[ShipDate]]="",RawWorking[[#This Row],[DeliveryDate]]=""),"",RawWorking[[#This Row],[DeliveryDate]]-RawWorking[[#This Row],[ShipDate]])</f>
        <v>6</v>
      </c>
      <c r="M993" s="9">
        <f>IF(COUNTIF(INDEX(RawWorking[OrderID],1):RawWorking[[#This Row],[OrderID]],RawWorking[[#This Row],[OrderID]])=1,1,0)</f>
        <v>1</v>
      </c>
      <c r="N993" s="4">
        <f>IFERROR(RawWorking[[#This Row],[LineAmount]]/RawWorking[[#This Row],[Quantity]],"")</f>
        <v>199.80999999999997</v>
      </c>
    </row>
    <row r="994" spans="1:14">
      <c r="A994">
        <v>50993</v>
      </c>
      <c r="B994">
        <v>30565</v>
      </c>
      <c r="C994" s="2">
        <v>45916</v>
      </c>
      <c r="D994">
        <v>2417</v>
      </c>
      <c r="E994">
        <v>1012</v>
      </c>
      <c r="F994">
        <v>3</v>
      </c>
      <c r="G994">
        <v>724.62</v>
      </c>
      <c r="H994" s="2">
        <v>45917</v>
      </c>
      <c r="I994" s="2">
        <v>45920</v>
      </c>
      <c r="J994" t="s">
        <v>9</v>
      </c>
      <c r="K994" s="2" t="str">
        <f>IFERROR(INDEX(Product_lookup[Category],MATCH(RawWorking[[#This Row],[ProductID]],Product_lookup[ProductID],0)),"")</f>
        <v>Office</v>
      </c>
      <c r="L994" s="9">
        <f>IF(OR(RawWorking[[#This Row],[ShipDate]]="",RawWorking[[#This Row],[DeliveryDate]]=""),"",RawWorking[[#This Row],[DeliveryDate]]-RawWorking[[#This Row],[ShipDate]])</f>
        <v>3</v>
      </c>
      <c r="M994" s="9">
        <f>IF(COUNTIF(INDEX(RawWorking[OrderID],1):RawWorking[[#This Row],[OrderID]],RawWorking[[#This Row],[OrderID]])=1,1,0)</f>
        <v>1</v>
      </c>
      <c r="N994" s="4">
        <f>IFERROR(RawWorking[[#This Row],[LineAmount]]/RawWorking[[#This Row],[Quantity]],"")</f>
        <v>241.54</v>
      </c>
    </row>
    <row r="995" spans="1:14">
      <c r="A995">
        <v>50994</v>
      </c>
      <c r="B995">
        <v>30566</v>
      </c>
      <c r="C995" s="2">
        <v>45786</v>
      </c>
      <c r="D995">
        <v>2058</v>
      </c>
      <c r="E995">
        <v>1006</v>
      </c>
      <c r="F995">
        <v>4</v>
      </c>
      <c r="G995">
        <v>1015.44</v>
      </c>
      <c r="H995" s="2">
        <v>45787</v>
      </c>
      <c r="I995" s="2">
        <v>45788</v>
      </c>
      <c r="J995" t="s">
        <v>9</v>
      </c>
      <c r="K995" s="2" t="str">
        <f>IFERROR(INDEX(Product_lookup[Category],MATCH(RawWorking[[#This Row],[ProductID]],Product_lookup[ProductID],0)),"")</f>
        <v>Home</v>
      </c>
      <c r="L995" s="9">
        <f>IF(OR(RawWorking[[#This Row],[ShipDate]]="",RawWorking[[#This Row],[DeliveryDate]]=""),"",RawWorking[[#This Row],[DeliveryDate]]-RawWorking[[#This Row],[ShipDate]])</f>
        <v>1</v>
      </c>
      <c r="M995" s="9">
        <f>IF(COUNTIF(INDEX(RawWorking[OrderID],1):RawWorking[[#This Row],[OrderID]],RawWorking[[#This Row],[OrderID]])=1,1,0)</f>
        <v>1</v>
      </c>
      <c r="N995" s="4">
        <f>IFERROR(RawWorking[[#This Row],[LineAmount]]/RawWorking[[#This Row],[Quantity]],"")</f>
        <v>253.86</v>
      </c>
    </row>
    <row r="996" spans="1:14">
      <c r="A996">
        <v>50995</v>
      </c>
      <c r="B996">
        <v>30566</v>
      </c>
      <c r="C996" s="2">
        <v>45786</v>
      </c>
      <c r="D996">
        <v>2058</v>
      </c>
      <c r="E996">
        <v>1003</v>
      </c>
      <c r="F996">
        <v>1</v>
      </c>
      <c r="G996">
        <v>224.37</v>
      </c>
      <c r="H996" s="2">
        <v>45787</v>
      </c>
      <c r="I996" s="2">
        <v>45796</v>
      </c>
      <c r="J996" t="s">
        <v>9</v>
      </c>
      <c r="K996" s="2" t="str">
        <f>IFERROR(INDEX(Product_lookup[Category],MATCH(RawWorking[[#This Row],[ProductID]],Product_lookup[ProductID],0)),"")</f>
        <v>Electronics</v>
      </c>
      <c r="L996" s="9">
        <f>IF(OR(RawWorking[[#This Row],[ShipDate]]="",RawWorking[[#This Row],[DeliveryDate]]=""),"",RawWorking[[#This Row],[DeliveryDate]]-RawWorking[[#This Row],[ShipDate]])</f>
        <v>9</v>
      </c>
      <c r="M996" s="9">
        <f>IF(COUNTIF(INDEX(RawWorking[OrderID],1):RawWorking[[#This Row],[OrderID]],RawWorking[[#This Row],[OrderID]])=1,1,0)</f>
        <v>0</v>
      </c>
      <c r="N996" s="4">
        <f>IFERROR(RawWorking[[#This Row],[LineAmount]]/RawWorking[[#This Row],[Quantity]],"")</f>
        <v>224.37</v>
      </c>
    </row>
    <row r="997" spans="1:14">
      <c r="A997">
        <v>50996</v>
      </c>
      <c r="B997">
        <v>30567</v>
      </c>
      <c r="C997" s="2">
        <v>45708</v>
      </c>
      <c r="D997">
        <v>2319</v>
      </c>
      <c r="E997">
        <v>1013</v>
      </c>
      <c r="F997">
        <v>1</v>
      </c>
      <c r="G997">
        <v>170.25</v>
      </c>
      <c r="H997" s="2">
        <v>45709</v>
      </c>
      <c r="I997" s="2">
        <v>45715</v>
      </c>
      <c r="J997" t="s">
        <v>9</v>
      </c>
      <c r="K997" s="2" t="str">
        <f>IFERROR(INDEX(Product_lookup[Category],MATCH(RawWorking[[#This Row],[ProductID]],Product_lookup[ProductID],0)),"")</f>
        <v>Office</v>
      </c>
      <c r="L997" s="9">
        <f>IF(OR(RawWorking[[#This Row],[ShipDate]]="",RawWorking[[#This Row],[DeliveryDate]]=""),"",RawWorking[[#This Row],[DeliveryDate]]-RawWorking[[#This Row],[ShipDate]])</f>
        <v>6</v>
      </c>
      <c r="M997" s="9">
        <f>IF(COUNTIF(INDEX(RawWorking[OrderID],1):RawWorking[[#This Row],[OrderID]],RawWorking[[#This Row],[OrderID]])=1,1,0)</f>
        <v>1</v>
      </c>
      <c r="N997" s="4">
        <f>IFERROR(RawWorking[[#This Row],[LineAmount]]/RawWorking[[#This Row],[Quantity]],"")</f>
        <v>170.25</v>
      </c>
    </row>
    <row r="998" spans="1:14">
      <c r="A998">
        <v>50997</v>
      </c>
      <c r="B998">
        <v>30567</v>
      </c>
      <c r="C998" s="2">
        <v>45708</v>
      </c>
      <c r="D998">
        <v>2319</v>
      </c>
      <c r="E998">
        <v>1005</v>
      </c>
      <c r="F998">
        <v>5</v>
      </c>
      <c r="G998">
        <v>158.65</v>
      </c>
      <c r="H998" s="2">
        <v>45710</v>
      </c>
      <c r="I998" s="2">
        <v>45711</v>
      </c>
      <c r="J998" t="s">
        <v>9</v>
      </c>
      <c r="K998" s="2" t="str">
        <f>IFERROR(INDEX(Product_lookup[Category],MATCH(RawWorking[[#This Row],[ProductID]],Product_lookup[ProductID],0)),"")</f>
        <v>Electronics</v>
      </c>
      <c r="L998" s="9">
        <f>IF(OR(RawWorking[[#This Row],[ShipDate]]="",RawWorking[[#This Row],[DeliveryDate]]=""),"",RawWorking[[#This Row],[DeliveryDate]]-RawWorking[[#This Row],[ShipDate]])</f>
        <v>1</v>
      </c>
      <c r="M998" s="9">
        <f>IF(COUNTIF(INDEX(RawWorking[OrderID],1):RawWorking[[#This Row],[OrderID]],RawWorking[[#This Row],[OrderID]])=1,1,0)</f>
        <v>0</v>
      </c>
      <c r="N998" s="4">
        <f>IFERROR(RawWorking[[#This Row],[LineAmount]]/RawWorking[[#This Row],[Quantity]],"")</f>
        <v>31.73</v>
      </c>
    </row>
    <row r="999" spans="1:14">
      <c r="A999">
        <v>50998</v>
      </c>
      <c r="B999">
        <v>30567</v>
      </c>
      <c r="C999" s="2">
        <v>45708</v>
      </c>
      <c r="D999">
        <v>2319</v>
      </c>
      <c r="E999">
        <v>1001</v>
      </c>
      <c r="F999">
        <v>1</v>
      </c>
      <c r="G999">
        <v>203.04</v>
      </c>
      <c r="H999" s="2">
        <v>45710</v>
      </c>
      <c r="I999" s="2">
        <v>45716</v>
      </c>
      <c r="J999" t="s">
        <v>9</v>
      </c>
      <c r="K999" s="2" t="str">
        <f>IFERROR(INDEX(Product_lookup[Category],MATCH(RawWorking[[#This Row],[ProductID]],Product_lookup[ProductID],0)),"")</f>
        <v>Electronics</v>
      </c>
      <c r="L999" s="9">
        <f>IF(OR(RawWorking[[#This Row],[ShipDate]]="",RawWorking[[#This Row],[DeliveryDate]]=""),"",RawWorking[[#This Row],[DeliveryDate]]-RawWorking[[#This Row],[ShipDate]])</f>
        <v>6</v>
      </c>
      <c r="M999" s="9">
        <f>IF(COUNTIF(INDEX(RawWorking[OrderID],1):RawWorking[[#This Row],[OrderID]],RawWorking[[#This Row],[OrderID]])=1,1,0)</f>
        <v>0</v>
      </c>
      <c r="N999" s="4">
        <f>IFERROR(RawWorking[[#This Row],[LineAmount]]/RawWorking[[#This Row],[Quantity]],"")</f>
        <v>203.04</v>
      </c>
    </row>
    <row r="1000" spans="1:14">
      <c r="A1000">
        <v>50999</v>
      </c>
      <c r="B1000">
        <v>30568</v>
      </c>
      <c r="C1000" s="2">
        <v>45728</v>
      </c>
      <c r="D1000">
        <v>2178</v>
      </c>
      <c r="E1000">
        <v>1007</v>
      </c>
      <c r="F1000">
        <v>1</v>
      </c>
      <c r="G1000">
        <v>199.81</v>
      </c>
      <c r="H1000" s="2">
        <v>45820</v>
      </c>
      <c r="I1000" s="2">
        <v>46002</v>
      </c>
      <c r="J1000" t="s">
        <v>9</v>
      </c>
      <c r="K1000" s="2" t="str">
        <f>IFERROR(INDEX(Product_lookup[Category],MATCH(RawWorking[[#This Row],[ProductID]],Product_lookup[ProductID],0)),"")</f>
        <v>Home</v>
      </c>
      <c r="L1000" s="9">
        <f>IF(OR(RawWorking[[#This Row],[ShipDate]]="",RawWorking[[#This Row],[DeliveryDate]]=""),"",RawWorking[[#This Row],[DeliveryDate]]-RawWorking[[#This Row],[ShipDate]])</f>
        <v>182</v>
      </c>
      <c r="M1000" s="9">
        <f>IF(COUNTIF(INDEX(RawWorking[OrderID],1):RawWorking[[#This Row],[OrderID]],RawWorking[[#This Row],[OrderID]])=1,1,0)</f>
        <v>1</v>
      </c>
      <c r="N1000" s="4">
        <f>IFERROR(RawWorking[[#This Row],[LineAmount]]/RawWorking[[#This Row],[Quantity]],"")</f>
        <v>199.81</v>
      </c>
    </row>
    <row r="1001" spans="1:14">
      <c r="A1001">
        <v>51000</v>
      </c>
      <c r="B1001">
        <v>30569</v>
      </c>
      <c r="C1001" s="2">
        <v>45719</v>
      </c>
      <c r="D1001">
        <v>2060</v>
      </c>
      <c r="E1001">
        <v>1015</v>
      </c>
      <c r="F1001">
        <v>2</v>
      </c>
      <c r="G1001">
        <v>239.48</v>
      </c>
      <c r="H1001" s="2">
        <v>45720</v>
      </c>
      <c r="I1001" s="2">
        <v>45722</v>
      </c>
      <c r="J1001" t="s">
        <v>9</v>
      </c>
      <c r="K1001" s="2" t="str">
        <f>IFERROR(INDEX(Product_lookup[Category],MATCH(RawWorking[[#This Row],[ProductID]],Product_lookup[ProductID],0)),"")</f>
        <v>Sports</v>
      </c>
      <c r="L1001" s="9">
        <f>IF(OR(RawWorking[[#This Row],[ShipDate]]="",RawWorking[[#This Row],[DeliveryDate]]=""),"",RawWorking[[#This Row],[DeliveryDate]]-RawWorking[[#This Row],[ShipDate]])</f>
        <v>2</v>
      </c>
      <c r="M1001" s="9">
        <f>IF(COUNTIF(INDEX(RawWorking[OrderID],1):RawWorking[[#This Row],[OrderID]],RawWorking[[#This Row],[OrderID]])=1,1,0)</f>
        <v>1</v>
      </c>
      <c r="N1001" s="4">
        <f>IFERROR(RawWorking[[#This Row],[LineAmount]]/RawWorking[[#This Row],[Quantity]],"")</f>
        <v>119.74</v>
      </c>
    </row>
    <row r="1002" spans="1:14">
      <c r="A1002">
        <v>51001</v>
      </c>
      <c r="B1002">
        <v>30569</v>
      </c>
      <c r="C1002" s="2">
        <v>45719</v>
      </c>
      <c r="D1002">
        <v>2060</v>
      </c>
      <c r="E1002">
        <v>1002</v>
      </c>
      <c r="F1002">
        <v>1</v>
      </c>
      <c r="G1002">
        <v>118.6</v>
      </c>
      <c r="H1002" s="2">
        <v>45721</v>
      </c>
      <c r="I1002" s="2">
        <v>45730</v>
      </c>
      <c r="J1002" t="s">
        <v>9</v>
      </c>
      <c r="K1002" s="2" t="str">
        <f>IFERROR(INDEX(Product_lookup[Category],MATCH(RawWorking[[#This Row],[ProductID]],Product_lookup[ProductID],0)),"")</f>
        <v>Electronics</v>
      </c>
      <c r="L1002" s="9">
        <f>IF(OR(RawWorking[[#This Row],[ShipDate]]="",RawWorking[[#This Row],[DeliveryDate]]=""),"",RawWorking[[#This Row],[DeliveryDate]]-RawWorking[[#This Row],[ShipDate]])</f>
        <v>9</v>
      </c>
      <c r="M1002" s="9">
        <f>IF(COUNTIF(INDEX(RawWorking[OrderID],1):RawWorking[[#This Row],[OrderID]],RawWorking[[#This Row],[OrderID]])=1,1,0)</f>
        <v>0</v>
      </c>
      <c r="N1002" s="4">
        <f>IFERROR(RawWorking[[#This Row],[LineAmount]]/RawWorking[[#This Row],[Quantity]],"")</f>
        <v>118.6</v>
      </c>
    </row>
    <row r="1003" spans="1:14">
      <c r="A1003">
        <v>51002</v>
      </c>
      <c r="B1003">
        <v>30570</v>
      </c>
      <c r="C1003" s="2">
        <v>45986</v>
      </c>
      <c r="D1003">
        <v>2370</v>
      </c>
      <c r="E1003">
        <v>1009</v>
      </c>
      <c r="F1003">
        <v>1</v>
      </c>
      <c r="G1003">
        <v>40.28</v>
      </c>
      <c r="H1003" s="2">
        <v>45987</v>
      </c>
      <c r="I1003" s="2">
        <v>45988</v>
      </c>
      <c r="J1003" t="s">
        <v>9</v>
      </c>
      <c r="K1003" s="2" t="str">
        <f>IFERROR(INDEX(Product_lookup[Category],MATCH(RawWorking[[#This Row],[ProductID]],Product_lookup[ProductID],0)),"")</f>
        <v>Home</v>
      </c>
      <c r="L1003" s="9">
        <f>IF(OR(RawWorking[[#This Row],[ShipDate]]="",RawWorking[[#This Row],[DeliveryDate]]=""),"",RawWorking[[#This Row],[DeliveryDate]]-RawWorking[[#This Row],[ShipDate]])</f>
        <v>1</v>
      </c>
      <c r="M1003" s="9">
        <f>IF(COUNTIF(INDEX(RawWorking[OrderID],1):RawWorking[[#This Row],[OrderID]],RawWorking[[#This Row],[OrderID]])=1,1,0)</f>
        <v>1</v>
      </c>
      <c r="N1003" s="4">
        <f>IFERROR(RawWorking[[#This Row],[LineAmount]]/RawWorking[[#This Row],[Quantity]],"")</f>
        <v>40.28</v>
      </c>
    </row>
    <row r="1004" spans="1:14">
      <c r="A1004">
        <v>51003</v>
      </c>
      <c r="B1004">
        <v>30571</v>
      </c>
      <c r="C1004" s="2">
        <v>45693</v>
      </c>
      <c r="D1004">
        <v>2378</v>
      </c>
      <c r="E1004">
        <v>1013</v>
      </c>
      <c r="F1004">
        <v>1</v>
      </c>
      <c r="G1004">
        <v>170.25</v>
      </c>
      <c r="H1004" s="2" t="s">
        <v>1421</v>
      </c>
      <c r="I1004" s="2" t="s">
        <v>1421</v>
      </c>
      <c r="J1004" t="s">
        <v>16</v>
      </c>
      <c r="K1004" s="2" t="str">
        <f>IFERROR(INDEX(Product_lookup[Category],MATCH(RawWorking[[#This Row],[ProductID]],Product_lookup[ProductID],0)),"")</f>
        <v>Office</v>
      </c>
      <c r="L1004" s="9" t="str">
        <f>IF(OR(RawWorking[[#This Row],[ShipDate]]="",RawWorking[[#This Row],[DeliveryDate]]=""),"",RawWorking[[#This Row],[DeliveryDate]]-RawWorking[[#This Row],[ShipDate]])</f>
        <v/>
      </c>
      <c r="M1004" s="9">
        <f>IF(COUNTIF(INDEX(RawWorking[OrderID],1):RawWorking[[#This Row],[OrderID]],RawWorking[[#This Row],[OrderID]])=1,1,0)</f>
        <v>1</v>
      </c>
      <c r="N1004" s="4">
        <f>IFERROR(RawWorking[[#This Row],[LineAmount]]/RawWorking[[#This Row],[Quantity]],"")</f>
        <v>170.25</v>
      </c>
    </row>
    <row r="1005" spans="1:14">
      <c r="A1005">
        <v>51004</v>
      </c>
      <c r="B1005">
        <v>30572</v>
      </c>
      <c r="C1005" s="2">
        <v>45949</v>
      </c>
      <c r="D1005">
        <v>2127</v>
      </c>
      <c r="E1005">
        <v>1008</v>
      </c>
      <c r="F1005">
        <v>2</v>
      </c>
      <c r="G1005">
        <v>412.18</v>
      </c>
      <c r="H1005" s="2">
        <v>45950</v>
      </c>
      <c r="I1005" s="2">
        <v>45951</v>
      </c>
      <c r="J1005" t="s">
        <v>9</v>
      </c>
      <c r="K1005" s="2" t="str">
        <f>IFERROR(INDEX(Product_lookup[Category],MATCH(RawWorking[[#This Row],[ProductID]],Product_lookup[ProductID],0)),"")</f>
        <v>Home</v>
      </c>
      <c r="L1005" s="9">
        <f>IF(OR(RawWorking[[#This Row],[ShipDate]]="",RawWorking[[#This Row],[DeliveryDate]]=""),"",RawWorking[[#This Row],[DeliveryDate]]-RawWorking[[#This Row],[ShipDate]])</f>
        <v>1</v>
      </c>
      <c r="M1005" s="9">
        <f>IF(COUNTIF(INDEX(RawWorking[OrderID],1):RawWorking[[#This Row],[OrderID]],RawWorking[[#This Row],[OrderID]])=1,1,0)</f>
        <v>1</v>
      </c>
      <c r="N1005" s="4">
        <f>IFERROR(RawWorking[[#This Row],[LineAmount]]/RawWorking[[#This Row],[Quantity]],"")</f>
        <v>206.09</v>
      </c>
    </row>
    <row r="1006" spans="1:14">
      <c r="A1006">
        <v>51005</v>
      </c>
      <c r="B1006">
        <v>30572</v>
      </c>
      <c r="C1006" s="2">
        <v>45949</v>
      </c>
      <c r="D1006">
        <v>2127</v>
      </c>
      <c r="E1006">
        <v>1012</v>
      </c>
      <c r="F1006">
        <v>1</v>
      </c>
      <c r="G1006">
        <v>241.54</v>
      </c>
      <c r="H1006" s="2">
        <v>45951</v>
      </c>
      <c r="I1006" s="2">
        <v>45955</v>
      </c>
      <c r="J1006" t="s">
        <v>9</v>
      </c>
      <c r="K1006" s="2" t="str">
        <f>IFERROR(INDEX(Product_lookup[Category],MATCH(RawWorking[[#This Row],[ProductID]],Product_lookup[ProductID],0)),"")</f>
        <v>Office</v>
      </c>
      <c r="L1006" s="9">
        <f>IF(OR(RawWorking[[#This Row],[ShipDate]]="",RawWorking[[#This Row],[DeliveryDate]]=""),"",RawWorking[[#This Row],[DeliveryDate]]-RawWorking[[#This Row],[ShipDate]])</f>
        <v>4</v>
      </c>
      <c r="M1006" s="9">
        <f>IF(COUNTIF(INDEX(RawWorking[OrderID],1):RawWorking[[#This Row],[OrderID]],RawWorking[[#This Row],[OrderID]])=1,1,0)</f>
        <v>0</v>
      </c>
      <c r="N1006" s="4">
        <f>IFERROR(RawWorking[[#This Row],[LineAmount]]/RawWorking[[#This Row],[Quantity]],"")</f>
        <v>241.54</v>
      </c>
    </row>
    <row r="1007" spans="1:14">
      <c r="A1007">
        <v>51006</v>
      </c>
      <c r="B1007">
        <v>30573</v>
      </c>
      <c r="C1007" s="2">
        <v>45788</v>
      </c>
      <c r="D1007">
        <v>2501</v>
      </c>
      <c r="E1007">
        <v>1006</v>
      </c>
      <c r="F1007">
        <v>2</v>
      </c>
      <c r="G1007">
        <v>507.72</v>
      </c>
      <c r="H1007" s="2">
        <v>45969</v>
      </c>
      <c r="I1007" s="2">
        <v>46002</v>
      </c>
      <c r="J1007" t="s">
        <v>9</v>
      </c>
      <c r="K1007" s="2" t="str">
        <f>IFERROR(INDEX(Product_lookup[Category],MATCH(RawWorking[[#This Row],[ProductID]],Product_lookup[ProductID],0)),"")</f>
        <v>Home</v>
      </c>
      <c r="L1007" s="9">
        <f>IF(OR(RawWorking[[#This Row],[ShipDate]]="",RawWorking[[#This Row],[DeliveryDate]]=""),"",RawWorking[[#This Row],[DeliveryDate]]-RawWorking[[#This Row],[ShipDate]])</f>
        <v>33</v>
      </c>
      <c r="M1007" s="9">
        <f>IF(COUNTIF(INDEX(RawWorking[OrderID],1):RawWorking[[#This Row],[OrderID]],RawWorking[[#This Row],[OrderID]])=1,1,0)</f>
        <v>1</v>
      </c>
      <c r="N1007" s="4">
        <f>IFERROR(RawWorking[[#This Row],[LineAmount]]/RawWorking[[#This Row],[Quantity]],"")</f>
        <v>253.86</v>
      </c>
    </row>
    <row r="1008" spans="1:14">
      <c r="A1008">
        <v>51007</v>
      </c>
      <c r="B1008">
        <v>30574</v>
      </c>
      <c r="C1008" s="2">
        <v>45830</v>
      </c>
      <c r="D1008">
        <v>2486</v>
      </c>
      <c r="E1008">
        <v>1012</v>
      </c>
      <c r="F1008">
        <v>1</v>
      </c>
      <c r="G1008">
        <v>241.54</v>
      </c>
      <c r="H1008" s="2">
        <v>45833</v>
      </c>
      <c r="I1008" s="2">
        <v>45841</v>
      </c>
      <c r="J1008" t="s">
        <v>9</v>
      </c>
      <c r="K1008" s="2" t="str">
        <f>IFERROR(INDEX(Product_lookup[Category],MATCH(RawWorking[[#This Row],[ProductID]],Product_lookup[ProductID],0)),"")</f>
        <v>Office</v>
      </c>
      <c r="L1008" s="9">
        <f>IF(OR(RawWorking[[#This Row],[ShipDate]]="",RawWorking[[#This Row],[DeliveryDate]]=""),"",RawWorking[[#This Row],[DeliveryDate]]-RawWorking[[#This Row],[ShipDate]])</f>
        <v>8</v>
      </c>
      <c r="M1008" s="9">
        <f>IF(COUNTIF(INDEX(RawWorking[OrderID],1):RawWorking[[#This Row],[OrderID]],RawWorking[[#This Row],[OrderID]])=1,1,0)</f>
        <v>1</v>
      </c>
      <c r="N1008" s="4">
        <f>IFERROR(RawWorking[[#This Row],[LineAmount]]/RawWorking[[#This Row],[Quantity]],"")</f>
        <v>241.54</v>
      </c>
    </row>
    <row r="1009" spans="1:14">
      <c r="A1009">
        <v>51008</v>
      </c>
      <c r="B1009">
        <v>30575</v>
      </c>
      <c r="C1009" s="2">
        <v>45839</v>
      </c>
      <c r="D1009">
        <v>2353</v>
      </c>
      <c r="E1009">
        <v>1009</v>
      </c>
      <c r="F1009">
        <v>1</v>
      </c>
      <c r="G1009">
        <v>40.28</v>
      </c>
      <c r="H1009" s="2">
        <v>45840</v>
      </c>
      <c r="I1009" s="2">
        <v>45937</v>
      </c>
      <c r="J1009" t="s">
        <v>9</v>
      </c>
      <c r="K1009" s="2" t="str">
        <f>IFERROR(INDEX(Product_lookup[Category],MATCH(RawWorking[[#This Row],[ProductID]],Product_lookup[ProductID],0)),"")</f>
        <v>Home</v>
      </c>
      <c r="L1009" s="9">
        <f>IF(OR(RawWorking[[#This Row],[ShipDate]]="",RawWorking[[#This Row],[DeliveryDate]]=""),"",RawWorking[[#This Row],[DeliveryDate]]-RawWorking[[#This Row],[ShipDate]])</f>
        <v>97</v>
      </c>
      <c r="M1009" s="9">
        <f>IF(COUNTIF(INDEX(RawWorking[OrderID],1):RawWorking[[#This Row],[OrderID]],RawWorking[[#This Row],[OrderID]])=1,1,0)</f>
        <v>1</v>
      </c>
      <c r="N1009" s="4">
        <f>IFERROR(RawWorking[[#This Row],[LineAmount]]/RawWorking[[#This Row],[Quantity]],"")</f>
        <v>40.28</v>
      </c>
    </row>
    <row r="1010" spans="1:14">
      <c r="A1010">
        <v>51009</v>
      </c>
      <c r="B1010">
        <v>30576</v>
      </c>
      <c r="C1010" s="2">
        <v>45852</v>
      </c>
      <c r="D1010">
        <v>2093</v>
      </c>
      <c r="E1010">
        <v>1013</v>
      </c>
      <c r="F1010">
        <v>3</v>
      </c>
      <c r="G1010">
        <v>510.75</v>
      </c>
      <c r="H1010" s="2">
        <v>45855</v>
      </c>
      <c r="I1010" s="2">
        <v>45860</v>
      </c>
      <c r="J1010" t="s">
        <v>9</v>
      </c>
      <c r="K1010" s="2" t="str">
        <f>IFERROR(INDEX(Product_lookup[Category],MATCH(RawWorking[[#This Row],[ProductID]],Product_lookup[ProductID],0)),"")</f>
        <v>Office</v>
      </c>
      <c r="L1010" s="9">
        <f>IF(OR(RawWorking[[#This Row],[ShipDate]]="",RawWorking[[#This Row],[DeliveryDate]]=""),"",RawWorking[[#This Row],[DeliveryDate]]-RawWorking[[#This Row],[ShipDate]])</f>
        <v>5</v>
      </c>
      <c r="M1010" s="9">
        <f>IF(COUNTIF(INDEX(RawWorking[OrderID],1):RawWorking[[#This Row],[OrderID]],RawWorking[[#This Row],[OrderID]])=1,1,0)</f>
        <v>1</v>
      </c>
      <c r="N1010" s="4">
        <f>IFERROR(RawWorking[[#This Row],[LineAmount]]/RawWorking[[#This Row],[Quantity]],"")</f>
        <v>170.25</v>
      </c>
    </row>
    <row r="1011" spans="1:14">
      <c r="A1011">
        <v>51010</v>
      </c>
      <c r="B1011">
        <v>30577</v>
      </c>
      <c r="C1011" s="2">
        <v>45949</v>
      </c>
      <c r="D1011">
        <v>2051</v>
      </c>
      <c r="E1011">
        <v>1007</v>
      </c>
      <c r="F1011">
        <v>2</v>
      </c>
      <c r="G1011">
        <v>399.62</v>
      </c>
      <c r="H1011" s="2">
        <v>45951</v>
      </c>
      <c r="I1011" s="2">
        <v>45958</v>
      </c>
      <c r="J1011" t="s">
        <v>9</v>
      </c>
      <c r="K1011" s="2" t="str">
        <f>IFERROR(INDEX(Product_lookup[Category],MATCH(RawWorking[[#This Row],[ProductID]],Product_lookup[ProductID],0)),"")</f>
        <v>Home</v>
      </c>
      <c r="L1011" s="9">
        <f>IF(OR(RawWorking[[#This Row],[ShipDate]]="",RawWorking[[#This Row],[DeliveryDate]]=""),"",RawWorking[[#This Row],[DeliveryDate]]-RawWorking[[#This Row],[ShipDate]])</f>
        <v>7</v>
      </c>
      <c r="M1011" s="9">
        <f>IF(COUNTIF(INDEX(RawWorking[OrderID],1):RawWorking[[#This Row],[OrderID]],RawWorking[[#This Row],[OrderID]])=1,1,0)</f>
        <v>1</v>
      </c>
      <c r="N1011" s="4">
        <f>IFERROR(RawWorking[[#This Row],[LineAmount]]/RawWorking[[#This Row],[Quantity]],"")</f>
        <v>199.81</v>
      </c>
    </row>
    <row r="1012" spans="1:14">
      <c r="A1012">
        <v>51011</v>
      </c>
      <c r="B1012">
        <v>30577</v>
      </c>
      <c r="C1012" s="2">
        <v>45949</v>
      </c>
      <c r="D1012">
        <v>2051</v>
      </c>
      <c r="E1012">
        <v>1008</v>
      </c>
      <c r="F1012">
        <v>1</v>
      </c>
      <c r="G1012">
        <v>206.09</v>
      </c>
      <c r="H1012" s="2">
        <v>45951</v>
      </c>
      <c r="I1012" s="2">
        <v>45958</v>
      </c>
      <c r="J1012" t="s">
        <v>9</v>
      </c>
      <c r="K1012" s="2" t="str">
        <f>IFERROR(INDEX(Product_lookup[Category],MATCH(RawWorking[[#This Row],[ProductID]],Product_lookup[ProductID],0)),"")</f>
        <v>Home</v>
      </c>
      <c r="L1012" s="9">
        <f>IF(OR(RawWorking[[#This Row],[ShipDate]]="",RawWorking[[#This Row],[DeliveryDate]]=""),"",RawWorking[[#This Row],[DeliveryDate]]-RawWorking[[#This Row],[ShipDate]])</f>
        <v>7</v>
      </c>
      <c r="M1012" s="9">
        <f>IF(COUNTIF(INDEX(RawWorking[OrderID],1):RawWorking[[#This Row],[OrderID]],RawWorking[[#This Row],[OrderID]])=1,1,0)</f>
        <v>0</v>
      </c>
      <c r="N1012" s="4">
        <f>IFERROR(RawWorking[[#This Row],[LineAmount]]/RawWorking[[#This Row],[Quantity]],"")</f>
        <v>206.09</v>
      </c>
    </row>
    <row r="1013" spans="1:14">
      <c r="A1013">
        <v>51012</v>
      </c>
      <c r="B1013">
        <v>30577</v>
      </c>
      <c r="C1013" s="2">
        <v>45949</v>
      </c>
      <c r="D1013">
        <v>2051</v>
      </c>
      <c r="E1013">
        <v>1008</v>
      </c>
      <c r="F1013">
        <v>3</v>
      </c>
      <c r="G1013">
        <v>618.27</v>
      </c>
      <c r="H1013" s="2">
        <v>45951</v>
      </c>
      <c r="I1013" s="2">
        <v>45953</v>
      </c>
      <c r="J1013" t="s">
        <v>9</v>
      </c>
      <c r="K1013" s="2" t="str">
        <f>IFERROR(INDEX(Product_lookup[Category],MATCH(RawWorking[[#This Row],[ProductID]],Product_lookup[ProductID],0)),"")</f>
        <v>Home</v>
      </c>
      <c r="L1013" s="9">
        <f>IF(OR(RawWorking[[#This Row],[ShipDate]]="",RawWorking[[#This Row],[DeliveryDate]]=""),"",RawWorking[[#This Row],[DeliveryDate]]-RawWorking[[#This Row],[ShipDate]])</f>
        <v>2</v>
      </c>
      <c r="M1013" s="9">
        <f>IF(COUNTIF(INDEX(RawWorking[OrderID],1):RawWorking[[#This Row],[OrderID]],RawWorking[[#This Row],[OrderID]])=1,1,0)</f>
        <v>0</v>
      </c>
      <c r="N1013" s="4">
        <f>IFERROR(RawWorking[[#This Row],[LineAmount]]/RawWorking[[#This Row],[Quantity]],"")</f>
        <v>206.09</v>
      </c>
    </row>
    <row r="1014" spans="1:14">
      <c r="A1014">
        <v>51013</v>
      </c>
      <c r="B1014">
        <v>30578</v>
      </c>
      <c r="C1014" s="2">
        <v>45724</v>
      </c>
      <c r="D1014">
        <v>2212</v>
      </c>
      <c r="E1014">
        <v>1014</v>
      </c>
      <c r="F1014">
        <v>4</v>
      </c>
      <c r="G1014">
        <v>861.36</v>
      </c>
      <c r="H1014" s="2">
        <v>45873</v>
      </c>
      <c r="I1014" s="2">
        <v>45938</v>
      </c>
      <c r="J1014" t="s">
        <v>9</v>
      </c>
      <c r="K1014" s="2" t="str">
        <f>IFERROR(INDEX(Product_lookup[Category],MATCH(RawWorking[[#This Row],[ProductID]],Product_lookup[ProductID],0)),"")</f>
        <v>Sports</v>
      </c>
      <c r="L1014" s="9">
        <f>IF(OR(RawWorking[[#This Row],[ShipDate]]="",RawWorking[[#This Row],[DeliveryDate]]=""),"",RawWorking[[#This Row],[DeliveryDate]]-RawWorking[[#This Row],[ShipDate]])</f>
        <v>65</v>
      </c>
      <c r="M1014" s="9">
        <f>IF(COUNTIF(INDEX(RawWorking[OrderID],1):RawWorking[[#This Row],[OrderID]],RawWorking[[#This Row],[OrderID]])=1,1,0)</f>
        <v>1</v>
      </c>
      <c r="N1014" s="4">
        <f>IFERROR(RawWorking[[#This Row],[LineAmount]]/RawWorking[[#This Row],[Quantity]],"")</f>
        <v>215.34</v>
      </c>
    </row>
    <row r="1015" spans="1:14">
      <c r="A1015">
        <v>51014</v>
      </c>
      <c r="B1015">
        <v>30579</v>
      </c>
      <c r="C1015" s="2">
        <v>45820</v>
      </c>
      <c r="D1015">
        <v>2526</v>
      </c>
      <c r="E1015">
        <v>1001</v>
      </c>
      <c r="F1015">
        <v>3</v>
      </c>
      <c r="G1015">
        <v>609.12</v>
      </c>
      <c r="H1015" s="2">
        <v>45823</v>
      </c>
      <c r="I1015" s="2">
        <v>45833</v>
      </c>
      <c r="J1015" t="s">
        <v>9</v>
      </c>
      <c r="K1015" s="2" t="str">
        <f>IFERROR(INDEX(Product_lookup[Category],MATCH(RawWorking[[#This Row],[ProductID]],Product_lookup[ProductID],0)),"")</f>
        <v>Electronics</v>
      </c>
      <c r="L1015" s="9">
        <f>IF(OR(RawWorking[[#This Row],[ShipDate]]="",RawWorking[[#This Row],[DeliveryDate]]=""),"",RawWorking[[#This Row],[DeliveryDate]]-RawWorking[[#This Row],[ShipDate]])</f>
        <v>10</v>
      </c>
      <c r="M1015" s="9">
        <f>IF(COUNTIF(INDEX(RawWorking[OrderID],1):RawWorking[[#This Row],[OrderID]],RawWorking[[#This Row],[OrderID]])=1,1,0)</f>
        <v>1</v>
      </c>
      <c r="N1015" s="4">
        <f>IFERROR(RawWorking[[#This Row],[LineAmount]]/RawWorking[[#This Row],[Quantity]],"")</f>
        <v>203.04</v>
      </c>
    </row>
    <row r="1016" spans="1:14">
      <c r="A1016">
        <v>51015</v>
      </c>
      <c r="B1016">
        <v>30579</v>
      </c>
      <c r="C1016" s="2">
        <v>45820</v>
      </c>
      <c r="D1016">
        <v>2526</v>
      </c>
      <c r="E1016">
        <v>1016</v>
      </c>
      <c r="F1016">
        <v>1</v>
      </c>
      <c r="G1016">
        <v>65.260000000000005</v>
      </c>
      <c r="H1016" s="2">
        <v>45821</v>
      </c>
      <c r="I1016" s="2">
        <v>45829</v>
      </c>
      <c r="J1016" t="s">
        <v>9</v>
      </c>
      <c r="K1016" s="2" t="str">
        <f>IFERROR(INDEX(Product_lookup[Category],MATCH(RawWorking[[#This Row],[ProductID]],Product_lookup[ProductID],0)),"")</f>
        <v>Sports</v>
      </c>
      <c r="L1016" s="9">
        <f>IF(OR(RawWorking[[#This Row],[ShipDate]]="",RawWorking[[#This Row],[DeliveryDate]]=""),"",RawWorking[[#This Row],[DeliveryDate]]-RawWorking[[#This Row],[ShipDate]])</f>
        <v>8</v>
      </c>
      <c r="M1016" s="9">
        <f>IF(COUNTIF(INDEX(RawWorking[OrderID],1):RawWorking[[#This Row],[OrderID]],RawWorking[[#This Row],[OrderID]])=1,1,0)</f>
        <v>0</v>
      </c>
      <c r="N1016" s="4">
        <f>IFERROR(RawWorking[[#This Row],[LineAmount]]/RawWorking[[#This Row],[Quantity]],"")</f>
        <v>65.260000000000005</v>
      </c>
    </row>
    <row r="1017" spans="1:14">
      <c r="A1017">
        <v>51016</v>
      </c>
      <c r="B1017">
        <v>30580</v>
      </c>
      <c r="C1017" s="2">
        <v>45737</v>
      </c>
      <c r="D1017">
        <v>2136</v>
      </c>
      <c r="E1017">
        <v>1001</v>
      </c>
      <c r="F1017">
        <v>2</v>
      </c>
      <c r="G1017">
        <v>406.08</v>
      </c>
      <c r="H1017" s="2">
        <v>45740</v>
      </c>
      <c r="I1017" s="2">
        <v>45747</v>
      </c>
      <c r="J1017" t="s">
        <v>9</v>
      </c>
      <c r="K1017" s="2" t="str">
        <f>IFERROR(INDEX(Product_lookup[Category],MATCH(RawWorking[[#This Row],[ProductID]],Product_lookup[ProductID],0)),"")</f>
        <v>Electronics</v>
      </c>
      <c r="L1017" s="9">
        <f>IF(OR(RawWorking[[#This Row],[ShipDate]]="",RawWorking[[#This Row],[DeliveryDate]]=""),"",RawWorking[[#This Row],[DeliveryDate]]-RawWorking[[#This Row],[ShipDate]])</f>
        <v>7</v>
      </c>
      <c r="M1017" s="9">
        <f>IF(COUNTIF(INDEX(RawWorking[OrderID],1):RawWorking[[#This Row],[OrderID]],RawWorking[[#This Row],[OrderID]])=1,1,0)</f>
        <v>1</v>
      </c>
      <c r="N1017" s="4">
        <f>IFERROR(RawWorking[[#This Row],[LineAmount]]/RawWorking[[#This Row],[Quantity]],"")</f>
        <v>203.04</v>
      </c>
    </row>
    <row r="1018" spans="1:14">
      <c r="A1018">
        <v>51017</v>
      </c>
      <c r="B1018">
        <v>30581</v>
      </c>
      <c r="C1018" s="2">
        <v>45787</v>
      </c>
      <c r="D1018">
        <v>2230</v>
      </c>
      <c r="E1018">
        <v>1010</v>
      </c>
      <c r="F1018">
        <v>1</v>
      </c>
      <c r="G1018">
        <v>121.5</v>
      </c>
      <c r="H1018" s="2">
        <v>45788</v>
      </c>
      <c r="I1018" s="2">
        <v>45791</v>
      </c>
      <c r="J1018" t="s">
        <v>9</v>
      </c>
      <c r="K1018" s="2" t="str">
        <f>IFERROR(INDEX(Product_lookup[Category],MATCH(RawWorking[[#This Row],[ProductID]],Product_lookup[ProductID],0)),"")</f>
        <v>Office</v>
      </c>
      <c r="L1018" s="9">
        <f>IF(OR(RawWorking[[#This Row],[ShipDate]]="",RawWorking[[#This Row],[DeliveryDate]]=""),"",RawWorking[[#This Row],[DeliveryDate]]-RawWorking[[#This Row],[ShipDate]])</f>
        <v>3</v>
      </c>
      <c r="M1018" s="9">
        <f>IF(COUNTIF(INDEX(RawWorking[OrderID],1):RawWorking[[#This Row],[OrderID]],RawWorking[[#This Row],[OrderID]])=1,1,0)</f>
        <v>1</v>
      </c>
      <c r="N1018" s="4">
        <f>IFERROR(RawWorking[[#This Row],[LineAmount]]/RawWorking[[#This Row],[Quantity]],"")</f>
        <v>121.5</v>
      </c>
    </row>
    <row r="1019" spans="1:14">
      <c r="A1019">
        <v>51018</v>
      </c>
      <c r="B1019">
        <v>30581</v>
      </c>
      <c r="C1019" s="2">
        <v>45787</v>
      </c>
      <c r="D1019">
        <v>2230</v>
      </c>
      <c r="E1019">
        <v>1009</v>
      </c>
      <c r="F1019">
        <v>1</v>
      </c>
      <c r="G1019">
        <v>40.28</v>
      </c>
      <c r="H1019" s="2">
        <v>45789</v>
      </c>
      <c r="I1019" s="2">
        <v>45791</v>
      </c>
      <c r="J1019" t="s">
        <v>9</v>
      </c>
      <c r="K1019" s="2" t="str">
        <f>IFERROR(INDEX(Product_lookup[Category],MATCH(RawWorking[[#This Row],[ProductID]],Product_lookup[ProductID],0)),"")</f>
        <v>Home</v>
      </c>
      <c r="L1019" s="9">
        <f>IF(OR(RawWorking[[#This Row],[ShipDate]]="",RawWorking[[#This Row],[DeliveryDate]]=""),"",RawWorking[[#This Row],[DeliveryDate]]-RawWorking[[#This Row],[ShipDate]])</f>
        <v>2</v>
      </c>
      <c r="M1019" s="9">
        <f>IF(COUNTIF(INDEX(RawWorking[OrderID],1):RawWorking[[#This Row],[OrderID]],RawWorking[[#This Row],[OrderID]])=1,1,0)</f>
        <v>0</v>
      </c>
      <c r="N1019" s="4">
        <f>IFERROR(RawWorking[[#This Row],[LineAmount]]/RawWorking[[#This Row],[Quantity]],"")</f>
        <v>40.28</v>
      </c>
    </row>
    <row r="1020" spans="1:14">
      <c r="A1020">
        <v>51019</v>
      </c>
      <c r="B1020">
        <v>30582</v>
      </c>
      <c r="C1020" s="2">
        <v>45945</v>
      </c>
      <c r="D1020">
        <v>2434</v>
      </c>
      <c r="E1020">
        <v>1012</v>
      </c>
      <c r="F1020">
        <v>1</v>
      </c>
      <c r="G1020">
        <v>241.54</v>
      </c>
      <c r="H1020" s="2" t="s">
        <v>1421</v>
      </c>
      <c r="I1020" s="2" t="s">
        <v>1421</v>
      </c>
      <c r="J1020" t="s">
        <v>12</v>
      </c>
      <c r="K1020" s="2" t="str">
        <f>IFERROR(INDEX(Product_lookup[Category],MATCH(RawWorking[[#This Row],[ProductID]],Product_lookup[ProductID],0)),"")</f>
        <v>Office</v>
      </c>
      <c r="L1020" s="9" t="str">
        <f>IF(OR(RawWorking[[#This Row],[ShipDate]]="",RawWorking[[#This Row],[DeliveryDate]]=""),"",RawWorking[[#This Row],[DeliveryDate]]-RawWorking[[#This Row],[ShipDate]])</f>
        <v/>
      </c>
      <c r="M1020" s="9">
        <f>IF(COUNTIF(INDEX(RawWorking[OrderID],1):RawWorking[[#This Row],[OrderID]],RawWorking[[#This Row],[OrderID]])=1,1,0)</f>
        <v>1</v>
      </c>
      <c r="N1020" s="4">
        <f>IFERROR(RawWorking[[#This Row],[LineAmount]]/RawWorking[[#This Row],[Quantity]],"")</f>
        <v>241.54</v>
      </c>
    </row>
    <row r="1021" spans="1:14">
      <c r="A1021">
        <v>51020</v>
      </c>
      <c r="B1021">
        <v>30582</v>
      </c>
      <c r="C1021" s="2">
        <v>45945</v>
      </c>
      <c r="D1021">
        <v>2434</v>
      </c>
      <c r="E1021">
        <v>1015</v>
      </c>
      <c r="F1021">
        <v>1</v>
      </c>
      <c r="G1021">
        <v>119.74</v>
      </c>
      <c r="H1021" s="2" t="s">
        <v>1421</v>
      </c>
      <c r="I1021" s="2" t="s">
        <v>1421</v>
      </c>
      <c r="J1021" t="s">
        <v>12</v>
      </c>
      <c r="K1021" s="2" t="str">
        <f>IFERROR(INDEX(Product_lookup[Category],MATCH(RawWorking[[#This Row],[ProductID]],Product_lookup[ProductID],0)),"")</f>
        <v>Sports</v>
      </c>
      <c r="L1021" s="9" t="str">
        <f>IF(OR(RawWorking[[#This Row],[ShipDate]]="",RawWorking[[#This Row],[DeliveryDate]]=""),"",RawWorking[[#This Row],[DeliveryDate]]-RawWorking[[#This Row],[ShipDate]])</f>
        <v/>
      </c>
      <c r="M1021" s="9">
        <f>IF(COUNTIF(INDEX(RawWorking[OrderID],1):RawWorking[[#This Row],[OrderID]],RawWorking[[#This Row],[OrderID]])=1,1,0)</f>
        <v>0</v>
      </c>
      <c r="N1021" s="4">
        <f>IFERROR(RawWorking[[#This Row],[LineAmount]]/RawWorking[[#This Row],[Quantity]],"")</f>
        <v>119.74</v>
      </c>
    </row>
    <row r="1022" spans="1:14">
      <c r="A1022">
        <v>51021</v>
      </c>
      <c r="B1022">
        <v>30583</v>
      </c>
      <c r="C1022" s="2">
        <v>45695</v>
      </c>
      <c r="D1022">
        <v>2259</v>
      </c>
      <c r="E1022">
        <v>1010</v>
      </c>
      <c r="F1022">
        <v>2</v>
      </c>
      <c r="G1022">
        <v>243</v>
      </c>
      <c r="H1022" s="2">
        <v>45698</v>
      </c>
      <c r="I1022" s="2">
        <v>45704</v>
      </c>
      <c r="J1022" t="s">
        <v>9</v>
      </c>
      <c r="K1022" s="2" t="str">
        <f>IFERROR(INDEX(Product_lookup[Category],MATCH(RawWorking[[#This Row],[ProductID]],Product_lookup[ProductID],0)),"")</f>
        <v>Office</v>
      </c>
      <c r="L1022" s="9">
        <f>IF(OR(RawWorking[[#This Row],[ShipDate]]="",RawWorking[[#This Row],[DeliveryDate]]=""),"",RawWorking[[#This Row],[DeliveryDate]]-RawWorking[[#This Row],[ShipDate]])</f>
        <v>6</v>
      </c>
      <c r="M1022" s="9">
        <f>IF(COUNTIF(INDEX(RawWorking[OrderID],1):RawWorking[[#This Row],[OrderID]],RawWorking[[#This Row],[OrderID]])=1,1,0)</f>
        <v>1</v>
      </c>
      <c r="N1022" s="4">
        <f>IFERROR(RawWorking[[#This Row],[LineAmount]]/RawWorking[[#This Row],[Quantity]],"")</f>
        <v>121.5</v>
      </c>
    </row>
    <row r="1023" spans="1:14">
      <c r="A1023">
        <v>51022</v>
      </c>
      <c r="B1023">
        <v>30583</v>
      </c>
      <c r="C1023" s="2">
        <v>45695</v>
      </c>
      <c r="D1023">
        <v>2259</v>
      </c>
      <c r="E1023">
        <v>1013</v>
      </c>
      <c r="F1023">
        <v>4</v>
      </c>
      <c r="G1023">
        <v>681</v>
      </c>
      <c r="H1023" s="2">
        <v>45697</v>
      </c>
      <c r="I1023" s="2">
        <v>45701</v>
      </c>
      <c r="J1023" t="s">
        <v>9</v>
      </c>
      <c r="K1023" s="2" t="str">
        <f>IFERROR(INDEX(Product_lookup[Category],MATCH(RawWorking[[#This Row],[ProductID]],Product_lookup[ProductID],0)),"")</f>
        <v>Office</v>
      </c>
      <c r="L1023" s="9">
        <f>IF(OR(RawWorking[[#This Row],[ShipDate]]="",RawWorking[[#This Row],[DeliveryDate]]=""),"",RawWorking[[#This Row],[DeliveryDate]]-RawWorking[[#This Row],[ShipDate]])</f>
        <v>4</v>
      </c>
      <c r="M1023" s="9">
        <f>IF(COUNTIF(INDEX(RawWorking[OrderID],1):RawWorking[[#This Row],[OrderID]],RawWorking[[#This Row],[OrderID]])=1,1,0)</f>
        <v>0</v>
      </c>
      <c r="N1023" s="4">
        <f>IFERROR(RawWorking[[#This Row],[LineAmount]]/RawWorking[[#This Row],[Quantity]],"")</f>
        <v>170.25</v>
      </c>
    </row>
    <row r="1024" spans="1:14">
      <c r="A1024">
        <v>51023</v>
      </c>
      <c r="B1024">
        <v>30584</v>
      </c>
      <c r="C1024" s="2">
        <v>45854</v>
      </c>
      <c r="D1024">
        <v>2599</v>
      </c>
      <c r="E1024">
        <v>1012</v>
      </c>
      <c r="F1024">
        <v>2</v>
      </c>
      <c r="G1024">
        <v>483.08</v>
      </c>
      <c r="H1024" s="2">
        <v>45857</v>
      </c>
      <c r="I1024" s="2">
        <v>45860</v>
      </c>
      <c r="J1024" t="s">
        <v>9</v>
      </c>
      <c r="K1024" s="2" t="str">
        <f>IFERROR(INDEX(Product_lookup[Category],MATCH(RawWorking[[#This Row],[ProductID]],Product_lookup[ProductID],0)),"")</f>
        <v>Office</v>
      </c>
      <c r="L1024" s="9">
        <f>IF(OR(RawWorking[[#This Row],[ShipDate]]="",RawWorking[[#This Row],[DeliveryDate]]=""),"",RawWorking[[#This Row],[DeliveryDate]]-RawWorking[[#This Row],[ShipDate]])</f>
        <v>3</v>
      </c>
      <c r="M1024" s="9">
        <f>IF(COUNTIF(INDEX(RawWorking[OrderID],1):RawWorking[[#This Row],[OrderID]],RawWorking[[#This Row],[OrderID]])=1,1,0)</f>
        <v>1</v>
      </c>
      <c r="N1024" s="4">
        <f>IFERROR(RawWorking[[#This Row],[LineAmount]]/RawWorking[[#This Row],[Quantity]],"")</f>
        <v>241.54</v>
      </c>
    </row>
    <row r="1025" spans="1:14">
      <c r="A1025">
        <v>51024</v>
      </c>
      <c r="B1025">
        <v>30585</v>
      </c>
      <c r="C1025" s="2">
        <v>46018</v>
      </c>
      <c r="D1025">
        <v>2575</v>
      </c>
      <c r="E1025">
        <v>1010</v>
      </c>
      <c r="F1025">
        <v>1</v>
      </c>
      <c r="G1025">
        <v>121.5</v>
      </c>
      <c r="H1025" s="2">
        <v>46020</v>
      </c>
      <c r="I1025" s="2">
        <v>46027</v>
      </c>
      <c r="J1025" t="s">
        <v>9</v>
      </c>
      <c r="K1025" s="2" t="str">
        <f>IFERROR(INDEX(Product_lookup[Category],MATCH(RawWorking[[#This Row],[ProductID]],Product_lookup[ProductID],0)),"")</f>
        <v>Office</v>
      </c>
      <c r="L1025" s="9">
        <f>IF(OR(RawWorking[[#This Row],[ShipDate]]="",RawWorking[[#This Row],[DeliveryDate]]=""),"",RawWorking[[#This Row],[DeliveryDate]]-RawWorking[[#This Row],[ShipDate]])</f>
        <v>7</v>
      </c>
      <c r="M1025" s="9">
        <f>IF(COUNTIF(INDEX(RawWorking[OrderID],1):RawWorking[[#This Row],[OrderID]],RawWorking[[#This Row],[OrderID]])=1,1,0)</f>
        <v>1</v>
      </c>
      <c r="N1025" s="4">
        <f>IFERROR(RawWorking[[#This Row],[LineAmount]]/RawWorking[[#This Row],[Quantity]],"")</f>
        <v>121.5</v>
      </c>
    </row>
    <row r="1026" spans="1:14">
      <c r="A1026">
        <v>51025</v>
      </c>
      <c r="B1026">
        <v>30585</v>
      </c>
      <c r="C1026" s="2">
        <v>46018</v>
      </c>
      <c r="D1026">
        <v>2575</v>
      </c>
      <c r="E1026">
        <v>1010</v>
      </c>
      <c r="F1026">
        <v>1</v>
      </c>
      <c r="G1026">
        <v>121.5</v>
      </c>
      <c r="H1026" s="2">
        <v>46020</v>
      </c>
      <c r="I1026" s="2">
        <v>46027</v>
      </c>
      <c r="J1026" t="s">
        <v>9</v>
      </c>
      <c r="K1026" s="2" t="str">
        <f>IFERROR(INDEX(Product_lookup[Category],MATCH(RawWorking[[#This Row],[ProductID]],Product_lookup[ProductID],0)),"")</f>
        <v>Office</v>
      </c>
      <c r="L1026" s="9">
        <f>IF(OR(RawWorking[[#This Row],[ShipDate]]="",RawWorking[[#This Row],[DeliveryDate]]=""),"",RawWorking[[#This Row],[DeliveryDate]]-RawWorking[[#This Row],[ShipDate]])</f>
        <v>7</v>
      </c>
      <c r="M1026" s="9">
        <f>IF(COUNTIF(INDEX(RawWorking[OrderID],1):RawWorking[[#This Row],[OrderID]],RawWorking[[#This Row],[OrderID]])=1,1,0)</f>
        <v>0</v>
      </c>
      <c r="N1026" s="4">
        <f>IFERROR(RawWorking[[#This Row],[LineAmount]]/RawWorking[[#This Row],[Quantity]],"")</f>
        <v>121.5</v>
      </c>
    </row>
    <row r="1027" spans="1:14">
      <c r="A1027">
        <v>51026</v>
      </c>
      <c r="B1027">
        <v>30585</v>
      </c>
      <c r="C1027" s="2">
        <v>46018</v>
      </c>
      <c r="D1027">
        <v>2575</v>
      </c>
      <c r="E1027">
        <v>1004</v>
      </c>
      <c r="F1027">
        <v>2</v>
      </c>
      <c r="G1027">
        <v>367.48</v>
      </c>
      <c r="H1027" s="2">
        <v>46020</v>
      </c>
      <c r="I1027" s="2">
        <v>46030</v>
      </c>
      <c r="J1027" t="s">
        <v>9</v>
      </c>
      <c r="K1027" s="2" t="str">
        <f>IFERROR(INDEX(Product_lookup[Category],MATCH(RawWorking[[#This Row],[ProductID]],Product_lookup[ProductID],0)),"")</f>
        <v>Electronics</v>
      </c>
      <c r="L1027" s="9">
        <f>IF(OR(RawWorking[[#This Row],[ShipDate]]="",RawWorking[[#This Row],[DeliveryDate]]=""),"",RawWorking[[#This Row],[DeliveryDate]]-RawWorking[[#This Row],[ShipDate]])</f>
        <v>10</v>
      </c>
      <c r="M1027" s="9">
        <f>IF(COUNTIF(INDEX(RawWorking[OrderID],1):RawWorking[[#This Row],[OrderID]],RawWorking[[#This Row],[OrderID]])=1,1,0)</f>
        <v>0</v>
      </c>
      <c r="N1027" s="4">
        <f>IFERROR(RawWorking[[#This Row],[LineAmount]]/RawWorking[[#This Row],[Quantity]],"")</f>
        <v>183.74</v>
      </c>
    </row>
    <row r="1028" spans="1:14">
      <c r="A1028">
        <v>51027</v>
      </c>
      <c r="B1028">
        <v>30586</v>
      </c>
      <c r="C1028" s="2">
        <v>45661</v>
      </c>
      <c r="D1028">
        <v>2494</v>
      </c>
      <c r="E1028">
        <v>1009</v>
      </c>
      <c r="F1028">
        <v>2</v>
      </c>
      <c r="G1028">
        <v>80.56</v>
      </c>
      <c r="H1028" s="2">
        <v>45663</v>
      </c>
      <c r="I1028" s="2">
        <v>45670</v>
      </c>
      <c r="J1028" t="s">
        <v>9</v>
      </c>
      <c r="K1028" s="2" t="str">
        <f>IFERROR(INDEX(Product_lookup[Category],MATCH(RawWorking[[#This Row],[ProductID]],Product_lookup[ProductID],0)),"")</f>
        <v>Home</v>
      </c>
      <c r="L1028" s="9">
        <f>IF(OR(RawWorking[[#This Row],[ShipDate]]="",RawWorking[[#This Row],[DeliveryDate]]=""),"",RawWorking[[#This Row],[DeliveryDate]]-RawWorking[[#This Row],[ShipDate]])</f>
        <v>7</v>
      </c>
      <c r="M1028" s="9">
        <f>IF(COUNTIF(INDEX(RawWorking[OrderID],1):RawWorking[[#This Row],[OrderID]],RawWorking[[#This Row],[OrderID]])=1,1,0)</f>
        <v>1</v>
      </c>
      <c r="N1028" s="4">
        <f>IFERROR(RawWorking[[#This Row],[LineAmount]]/RawWorking[[#This Row],[Quantity]],"")</f>
        <v>40.28</v>
      </c>
    </row>
    <row r="1029" spans="1:14">
      <c r="A1029">
        <v>51028</v>
      </c>
      <c r="B1029">
        <v>30587</v>
      </c>
      <c r="C1029" s="2">
        <v>45701</v>
      </c>
      <c r="D1029">
        <v>2333</v>
      </c>
      <c r="E1029">
        <v>1009</v>
      </c>
      <c r="F1029">
        <v>1</v>
      </c>
      <c r="G1029">
        <v>40.28</v>
      </c>
      <c r="H1029" s="2" t="s">
        <v>1421</v>
      </c>
      <c r="I1029" s="2" t="s">
        <v>1421</v>
      </c>
      <c r="J1029" t="s">
        <v>12</v>
      </c>
      <c r="K1029" s="2" t="str">
        <f>IFERROR(INDEX(Product_lookup[Category],MATCH(RawWorking[[#This Row],[ProductID]],Product_lookup[ProductID],0)),"")</f>
        <v>Home</v>
      </c>
      <c r="L1029" s="9" t="str">
        <f>IF(OR(RawWorking[[#This Row],[ShipDate]]="",RawWorking[[#This Row],[DeliveryDate]]=""),"",RawWorking[[#This Row],[DeliveryDate]]-RawWorking[[#This Row],[ShipDate]])</f>
        <v/>
      </c>
      <c r="M1029" s="9">
        <f>IF(COUNTIF(INDEX(RawWorking[OrderID],1):RawWorking[[#This Row],[OrderID]],RawWorking[[#This Row],[OrderID]])=1,1,0)</f>
        <v>1</v>
      </c>
      <c r="N1029" s="4">
        <f>IFERROR(RawWorking[[#This Row],[LineAmount]]/RawWorking[[#This Row],[Quantity]],"")</f>
        <v>40.28</v>
      </c>
    </row>
    <row r="1030" spans="1:14">
      <c r="A1030">
        <v>51029</v>
      </c>
      <c r="B1030">
        <v>30588</v>
      </c>
      <c r="C1030" s="2">
        <v>45866</v>
      </c>
      <c r="D1030">
        <v>2306</v>
      </c>
      <c r="E1030">
        <v>1008</v>
      </c>
      <c r="F1030">
        <v>1</v>
      </c>
      <c r="G1030">
        <v>206.09</v>
      </c>
      <c r="H1030" s="2">
        <v>45869</v>
      </c>
      <c r="I1030" s="2">
        <v>45870</v>
      </c>
      <c r="J1030" t="s">
        <v>9</v>
      </c>
      <c r="K1030" s="2" t="str">
        <f>IFERROR(INDEX(Product_lookup[Category],MATCH(RawWorking[[#This Row],[ProductID]],Product_lookup[ProductID],0)),"")</f>
        <v>Home</v>
      </c>
      <c r="L1030" s="9">
        <f>IF(OR(RawWorking[[#This Row],[ShipDate]]="",RawWorking[[#This Row],[DeliveryDate]]=""),"",RawWorking[[#This Row],[DeliveryDate]]-RawWorking[[#This Row],[ShipDate]])</f>
        <v>1</v>
      </c>
      <c r="M1030" s="9">
        <f>IF(COUNTIF(INDEX(RawWorking[OrderID],1):RawWorking[[#This Row],[OrderID]],RawWorking[[#This Row],[OrderID]])=1,1,0)</f>
        <v>1</v>
      </c>
      <c r="N1030" s="4">
        <f>IFERROR(RawWorking[[#This Row],[LineAmount]]/RawWorking[[#This Row],[Quantity]],"")</f>
        <v>206.09</v>
      </c>
    </row>
    <row r="1031" spans="1:14">
      <c r="A1031">
        <v>51030</v>
      </c>
      <c r="B1031">
        <v>30589</v>
      </c>
      <c r="C1031" s="2">
        <v>45674</v>
      </c>
      <c r="D1031">
        <v>2059</v>
      </c>
      <c r="E1031">
        <v>1013</v>
      </c>
      <c r="F1031">
        <v>2</v>
      </c>
      <c r="G1031">
        <v>340.5</v>
      </c>
      <c r="H1031" s="2" t="s">
        <v>1421</v>
      </c>
      <c r="I1031" s="2" t="s">
        <v>1421</v>
      </c>
      <c r="J1031" t="s">
        <v>16</v>
      </c>
      <c r="K1031" s="2" t="str">
        <f>IFERROR(INDEX(Product_lookup[Category],MATCH(RawWorking[[#This Row],[ProductID]],Product_lookup[ProductID],0)),"")</f>
        <v>Office</v>
      </c>
      <c r="L1031" s="9" t="str">
        <f>IF(OR(RawWorking[[#This Row],[ShipDate]]="",RawWorking[[#This Row],[DeliveryDate]]=""),"",RawWorking[[#This Row],[DeliveryDate]]-RawWorking[[#This Row],[ShipDate]])</f>
        <v/>
      </c>
      <c r="M1031" s="9">
        <f>IF(COUNTIF(INDEX(RawWorking[OrderID],1):RawWorking[[#This Row],[OrderID]],RawWorking[[#This Row],[OrderID]])=1,1,0)</f>
        <v>1</v>
      </c>
      <c r="N1031" s="4">
        <f>IFERROR(RawWorking[[#This Row],[LineAmount]]/RawWorking[[#This Row],[Quantity]],"")</f>
        <v>170.25</v>
      </c>
    </row>
    <row r="1032" spans="1:14">
      <c r="A1032">
        <v>51031</v>
      </c>
      <c r="B1032">
        <v>30589</v>
      </c>
      <c r="C1032" s="2">
        <v>45674</v>
      </c>
      <c r="D1032">
        <v>2059</v>
      </c>
      <c r="E1032">
        <v>1005</v>
      </c>
      <c r="F1032">
        <v>1</v>
      </c>
      <c r="G1032">
        <v>31.73</v>
      </c>
      <c r="H1032" s="2" t="s">
        <v>1421</v>
      </c>
      <c r="I1032" s="2" t="s">
        <v>1421</v>
      </c>
      <c r="J1032" t="s">
        <v>16</v>
      </c>
      <c r="K1032" s="2" t="str">
        <f>IFERROR(INDEX(Product_lookup[Category],MATCH(RawWorking[[#This Row],[ProductID]],Product_lookup[ProductID],0)),"")</f>
        <v>Electronics</v>
      </c>
      <c r="L1032" s="9" t="str">
        <f>IF(OR(RawWorking[[#This Row],[ShipDate]]="",RawWorking[[#This Row],[DeliveryDate]]=""),"",RawWorking[[#This Row],[DeliveryDate]]-RawWorking[[#This Row],[ShipDate]])</f>
        <v/>
      </c>
      <c r="M1032" s="9">
        <f>IF(COUNTIF(INDEX(RawWorking[OrderID],1):RawWorking[[#This Row],[OrderID]],RawWorking[[#This Row],[OrderID]])=1,1,0)</f>
        <v>0</v>
      </c>
      <c r="N1032" s="4">
        <f>IFERROR(RawWorking[[#This Row],[LineAmount]]/RawWorking[[#This Row],[Quantity]],"")</f>
        <v>31.73</v>
      </c>
    </row>
    <row r="1033" spans="1:14">
      <c r="A1033">
        <v>51032</v>
      </c>
      <c r="B1033">
        <v>30589</v>
      </c>
      <c r="C1033" s="2">
        <v>45674</v>
      </c>
      <c r="D1033">
        <v>2059</v>
      </c>
      <c r="E1033">
        <v>1016</v>
      </c>
      <c r="F1033">
        <v>1</v>
      </c>
      <c r="G1033">
        <v>65.260000000000005</v>
      </c>
      <c r="H1033" s="2" t="s">
        <v>1421</v>
      </c>
      <c r="I1033" s="2" t="s">
        <v>1421</v>
      </c>
      <c r="J1033" t="s">
        <v>16</v>
      </c>
      <c r="K1033" s="2" t="str">
        <f>IFERROR(INDEX(Product_lookup[Category],MATCH(RawWorking[[#This Row],[ProductID]],Product_lookup[ProductID],0)),"")</f>
        <v>Sports</v>
      </c>
      <c r="L1033" s="9" t="str">
        <f>IF(OR(RawWorking[[#This Row],[ShipDate]]="",RawWorking[[#This Row],[DeliveryDate]]=""),"",RawWorking[[#This Row],[DeliveryDate]]-RawWorking[[#This Row],[ShipDate]])</f>
        <v/>
      </c>
      <c r="M1033" s="9">
        <f>IF(COUNTIF(INDEX(RawWorking[OrderID],1):RawWorking[[#This Row],[OrderID]],RawWorking[[#This Row],[OrderID]])=1,1,0)</f>
        <v>0</v>
      </c>
      <c r="N1033" s="4">
        <f>IFERROR(RawWorking[[#This Row],[LineAmount]]/RawWorking[[#This Row],[Quantity]],"")</f>
        <v>65.260000000000005</v>
      </c>
    </row>
    <row r="1034" spans="1:14">
      <c r="A1034">
        <v>51033</v>
      </c>
      <c r="B1034">
        <v>30590</v>
      </c>
      <c r="C1034" s="2">
        <v>45831</v>
      </c>
      <c r="D1034">
        <v>2266</v>
      </c>
      <c r="E1034">
        <v>1013</v>
      </c>
      <c r="F1034">
        <v>2</v>
      </c>
      <c r="G1034">
        <v>340.5</v>
      </c>
      <c r="H1034" s="2" t="s">
        <v>1421</v>
      </c>
      <c r="I1034" s="2" t="s">
        <v>1421</v>
      </c>
      <c r="J1034" t="s">
        <v>12</v>
      </c>
      <c r="K1034" s="2" t="str">
        <f>IFERROR(INDEX(Product_lookup[Category],MATCH(RawWorking[[#This Row],[ProductID]],Product_lookup[ProductID],0)),"")</f>
        <v>Office</v>
      </c>
      <c r="L1034" s="9" t="str">
        <f>IF(OR(RawWorking[[#This Row],[ShipDate]]="",RawWorking[[#This Row],[DeliveryDate]]=""),"",RawWorking[[#This Row],[DeliveryDate]]-RawWorking[[#This Row],[ShipDate]])</f>
        <v/>
      </c>
      <c r="M1034" s="9">
        <f>IF(COUNTIF(INDEX(RawWorking[OrderID],1):RawWorking[[#This Row],[OrderID]],RawWorking[[#This Row],[OrderID]])=1,1,0)</f>
        <v>1</v>
      </c>
      <c r="N1034" s="4">
        <f>IFERROR(RawWorking[[#This Row],[LineAmount]]/RawWorking[[#This Row],[Quantity]],"")</f>
        <v>170.25</v>
      </c>
    </row>
    <row r="1035" spans="1:14">
      <c r="A1035">
        <v>51034</v>
      </c>
      <c r="B1035">
        <v>30591</v>
      </c>
      <c r="C1035" s="2">
        <v>45861</v>
      </c>
      <c r="D1035">
        <v>2398</v>
      </c>
      <c r="E1035">
        <v>1007</v>
      </c>
      <c r="F1035">
        <v>4</v>
      </c>
      <c r="G1035">
        <v>799.24</v>
      </c>
      <c r="H1035" s="2">
        <v>45864</v>
      </c>
      <c r="I1035" s="2">
        <v>45867</v>
      </c>
      <c r="J1035" t="s">
        <v>9</v>
      </c>
      <c r="K1035" s="2" t="str">
        <f>IFERROR(INDEX(Product_lookup[Category],MATCH(RawWorking[[#This Row],[ProductID]],Product_lookup[ProductID],0)),"")</f>
        <v>Home</v>
      </c>
      <c r="L1035" s="9">
        <f>IF(OR(RawWorking[[#This Row],[ShipDate]]="",RawWorking[[#This Row],[DeliveryDate]]=""),"",RawWorking[[#This Row],[DeliveryDate]]-RawWorking[[#This Row],[ShipDate]])</f>
        <v>3</v>
      </c>
      <c r="M1035" s="9">
        <f>IF(COUNTIF(INDEX(RawWorking[OrderID],1):RawWorking[[#This Row],[OrderID]],RawWorking[[#This Row],[OrderID]])=1,1,0)</f>
        <v>1</v>
      </c>
      <c r="N1035" s="4">
        <f>IFERROR(RawWorking[[#This Row],[LineAmount]]/RawWorking[[#This Row],[Quantity]],"")</f>
        <v>199.81</v>
      </c>
    </row>
    <row r="1036" spans="1:14">
      <c r="A1036">
        <v>51035</v>
      </c>
      <c r="B1036">
        <v>30592</v>
      </c>
      <c r="C1036" s="2">
        <v>45904</v>
      </c>
      <c r="D1036">
        <v>2352</v>
      </c>
      <c r="E1036">
        <v>1008</v>
      </c>
      <c r="F1036">
        <v>4</v>
      </c>
      <c r="G1036">
        <v>824.36</v>
      </c>
      <c r="H1036" s="2">
        <v>45907</v>
      </c>
      <c r="I1036" s="2">
        <v>45917</v>
      </c>
      <c r="J1036" t="s">
        <v>9</v>
      </c>
      <c r="K1036" s="2" t="str">
        <f>IFERROR(INDEX(Product_lookup[Category],MATCH(RawWorking[[#This Row],[ProductID]],Product_lookup[ProductID],0)),"")</f>
        <v>Home</v>
      </c>
      <c r="L1036" s="9">
        <f>IF(OR(RawWorking[[#This Row],[ShipDate]]="",RawWorking[[#This Row],[DeliveryDate]]=""),"",RawWorking[[#This Row],[DeliveryDate]]-RawWorking[[#This Row],[ShipDate]])</f>
        <v>10</v>
      </c>
      <c r="M1036" s="9">
        <f>IF(COUNTIF(INDEX(RawWorking[OrderID],1):RawWorking[[#This Row],[OrderID]],RawWorking[[#This Row],[OrderID]])=1,1,0)</f>
        <v>1</v>
      </c>
      <c r="N1036" s="4">
        <f>IFERROR(RawWorking[[#This Row],[LineAmount]]/RawWorking[[#This Row],[Quantity]],"")</f>
        <v>206.09</v>
      </c>
    </row>
    <row r="1037" spans="1:14">
      <c r="A1037">
        <v>51036</v>
      </c>
      <c r="B1037">
        <v>30593</v>
      </c>
      <c r="C1037" s="2">
        <v>46015</v>
      </c>
      <c r="D1037">
        <v>2548</v>
      </c>
      <c r="E1037">
        <v>1016</v>
      </c>
      <c r="F1037">
        <v>1</v>
      </c>
      <c r="G1037">
        <v>65.260000000000005</v>
      </c>
      <c r="H1037" s="2">
        <v>46016</v>
      </c>
      <c r="I1037" s="2">
        <v>46019</v>
      </c>
      <c r="J1037" t="s">
        <v>9</v>
      </c>
      <c r="K1037" s="2" t="str">
        <f>IFERROR(INDEX(Product_lookup[Category],MATCH(RawWorking[[#This Row],[ProductID]],Product_lookup[ProductID],0)),"")</f>
        <v>Sports</v>
      </c>
      <c r="L1037" s="9">
        <f>IF(OR(RawWorking[[#This Row],[ShipDate]]="",RawWorking[[#This Row],[DeliveryDate]]=""),"",RawWorking[[#This Row],[DeliveryDate]]-RawWorking[[#This Row],[ShipDate]])</f>
        <v>3</v>
      </c>
      <c r="M1037" s="9">
        <f>IF(COUNTIF(INDEX(RawWorking[OrderID],1):RawWorking[[#This Row],[OrderID]],RawWorking[[#This Row],[OrderID]])=1,1,0)</f>
        <v>1</v>
      </c>
      <c r="N1037" s="4">
        <f>IFERROR(RawWorking[[#This Row],[LineAmount]]/RawWorking[[#This Row],[Quantity]],"")</f>
        <v>65.260000000000005</v>
      </c>
    </row>
    <row r="1038" spans="1:14">
      <c r="A1038">
        <v>51037</v>
      </c>
      <c r="B1038">
        <v>30593</v>
      </c>
      <c r="C1038" s="2">
        <v>46015</v>
      </c>
      <c r="D1038">
        <v>2548</v>
      </c>
      <c r="E1038">
        <v>1012</v>
      </c>
      <c r="F1038">
        <v>3</v>
      </c>
      <c r="G1038">
        <v>724.62</v>
      </c>
      <c r="H1038" s="2">
        <v>46017</v>
      </c>
      <c r="I1038" s="2">
        <v>46082</v>
      </c>
      <c r="J1038" t="s">
        <v>9</v>
      </c>
      <c r="K1038" s="2" t="str">
        <f>IFERROR(INDEX(Product_lookup[Category],MATCH(RawWorking[[#This Row],[ProductID]],Product_lookup[ProductID],0)),"")</f>
        <v>Office</v>
      </c>
      <c r="L1038" s="9">
        <f>IF(OR(RawWorking[[#This Row],[ShipDate]]="",RawWorking[[#This Row],[DeliveryDate]]=""),"",RawWorking[[#This Row],[DeliveryDate]]-RawWorking[[#This Row],[ShipDate]])</f>
        <v>65</v>
      </c>
      <c r="M1038" s="9">
        <f>IF(COUNTIF(INDEX(RawWorking[OrderID],1):RawWorking[[#This Row],[OrderID]],RawWorking[[#This Row],[OrderID]])=1,1,0)</f>
        <v>0</v>
      </c>
      <c r="N1038" s="4">
        <f>IFERROR(RawWorking[[#This Row],[LineAmount]]/RawWorking[[#This Row],[Quantity]],"")</f>
        <v>241.54</v>
      </c>
    </row>
    <row r="1039" spans="1:14">
      <c r="A1039">
        <v>51038</v>
      </c>
      <c r="B1039">
        <v>30594</v>
      </c>
      <c r="C1039" s="2">
        <v>45705</v>
      </c>
      <c r="D1039">
        <v>2520</v>
      </c>
      <c r="E1039">
        <v>1006</v>
      </c>
      <c r="F1039">
        <v>1</v>
      </c>
      <c r="G1039">
        <v>253.86</v>
      </c>
      <c r="H1039" s="2">
        <v>45706</v>
      </c>
      <c r="I1039" s="2">
        <v>45709</v>
      </c>
      <c r="J1039" t="s">
        <v>9</v>
      </c>
      <c r="K1039" s="2" t="str">
        <f>IFERROR(INDEX(Product_lookup[Category],MATCH(RawWorking[[#This Row],[ProductID]],Product_lookup[ProductID],0)),"")</f>
        <v>Home</v>
      </c>
      <c r="L1039" s="9">
        <f>IF(OR(RawWorking[[#This Row],[ShipDate]]="",RawWorking[[#This Row],[DeliveryDate]]=""),"",RawWorking[[#This Row],[DeliveryDate]]-RawWorking[[#This Row],[ShipDate]])</f>
        <v>3</v>
      </c>
      <c r="M1039" s="9">
        <f>IF(COUNTIF(INDEX(RawWorking[OrderID],1):RawWorking[[#This Row],[OrderID]],RawWorking[[#This Row],[OrderID]])=1,1,0)</f>
        <v>1</v>
      </c>
      <c r="N1039" s="4">
        <f>IFERROR(RawWorking[[#This Row],[LineAmount]]/RawWorking[[#This Row],[Quantity]],"")</f>
        <v>253.86</v>
      </c>
    </row>
    <row r="1040" spans="1:14">
      <c r="A1040">
        <v>51039</v>
      </c>
      <c r="B1040">
        <v>30595</v>
      </c>
      <c r="C1040" s="2">
        <v>45959</v>
      </c>
      <c r="D1040">
        <v>2572</v>
      </c>
      <c r="E1040">
        <v>1004</v>
      </c>
      <c r="F1040">
        <v>2</v>
      </c>
      <c r="G1040">
        <v>367.48</v>
      </c>
      <c r="H1040" s="2">
        <v>45962</v>
      </c>
      <c r="I1040" s="2">
        <v>45969</v>
      </c>
      <c r="J1040" t="s">
        <v>9</v>
      </c>
      <c r="K1040" s="2" t="str">
        <f>IFERROR(INDEX(Product_lookup[Category],MATCH(RawWorking[[#This Row],[ProductID]],Product_lookup[ProductID],0)),"")</f>
        <v>Electronics</v>
      </c>
      <c r="L1040" s="9">
        <f>IF(OR(RawWorking[[#This Row],[ShipDate]]="",RawWorking[[#This Row],[DeliveryDate]]=""),"",RawWorking[[#This Row],[DeliveryDate]]-RawWorking[[#This Row],[ShipDate]])</f>
        <v>7</v>
      </c>
      <c r="M1040" s="9">
        <f>IF(COUNTIF(INDEX(RawWorking[OrderID],1):RawWorking[[#This Row],[OrderID]],RawWorking[[#This Row],[OrderID]])=1,1,0)</f>
        <v>1</v>
      </c>
      <c r="N1040" s="4">
        <f>IFERROR(RawWorking[[#This Row],[LineAmount]]/RawWorking[[#This Row],[Quantity]],"")</f>
        <v>183.74</v>
      </c>
    </row>
    <row r="1041" spans="1:14">
      <c r="A1041">
        <v>51040</v>
      </c>
      <c r="B1041">
        <v>30595</v>
      </c>
      <c r="C1041" s="2">
        <v>45959</v>
      </c>
      <c r="D1041">
        <v>2572</v>
      </c>
      <c r="E1041">
        <v>1016</v>
      </c>
      <c r="F1041">
        <v>1</v>
      </c>
      <c r="G1041">
        <v>65.260000000000005</v>
      </c>
      <c r="H1041" s="2">
        <v>45961</v>
      </c>
      <c r="I1041" s="2">
        <v>45965</v>
      </c>
      <c r="J1041" t="s">
        <v>9</v>
      </c>
      <c r="K1041" s="2" t="str">
        <f>IFERROR(INDEX(Product_lookup[Category],MATCH(RawWorking[[#This Row],[ProductID]],Product_lookup[ProductID],0)),"")</f>
        <v>Sports</v>
      </c>
      <c r="L1041" s="9">
        <f>IF(OR(RawWorking[[#This Row],[ShipDate]]="",RawWorking[[#This Row],[DeliveryDate]]=""),"",RawWorking[[#This Row],[DeliveryDate]]-RawWorking[[#This Row],[ShipDate]])</f>
        <v>4</v>
      </c>
      <c r="M1041" s="9">
        <f>IF(COUNTIF(INDEX(RawWorking[OrderID],1):RawWorking[[#This Row],[OrderID]],RawWorking[[#This Row],[OrderID]])=1,1,0)</f>
        <v>0</v>
      </c>
      <c r="N1041" s="4">
        <f>IFERROR(RawWorking[[#This Row],[LineAmount]]/RawWorking[[#This Row],[Quantity]],"")</f>
        <v>65.260000000000005</v>
      </c>
    </row>
    <row r="1042" spans="1:14">
      <c r="A1042">
        <v>51041</v>
      </c>
      <c r="B1042">
        <v>30596</v>
      </c>
      <c r="C1042" s="2">
        <v>45881</v>
      </c>
      <c r="D1042">
        <v>2132</v>
      </c>
      <c r="E1042">
        <v>1006</v>
      </c>
      <c r="F1042">
        <v>1</v>
      </c>
      <c r="G1042">
        <v>253.86</v>
      </c>
      <c r="H1042" s="2">
        <v>45882</v>
      </c>
      <c r="I1042" s="2">
        <v>45888</v>
      </c>
      <c r="J1042" t="s">
        <v>9</v>
      </c>
      <c r="K1042" s="2" t="str">
        <f>IFERROR(INDEX(Product_lookup[Category],MATCH(RawWorking[[#This Row],[ProductID]],Product_lookup[ProductID],0)),"")</f>
        <v>Home</v>
      </c>
      <c r="L1042" s="9">
        <f>IF(OR(RawWorking[[#This Row],[ShipDate]]="",RawWorking[[#This Row],[DeliveryDate]]=""),"",RawWorking[[#This Row],[DeliveryDate]]-RawWorking[[#This Row],[ShipDate]])</f>
        <v>6</v>
      </c>
      <c r="M1042" s="9">
        <f>IF(COUNTIF(INDEX(RawWorking[OrderID],1):RawWorking[[#This Row],[OrderID]],RawWorking[[#This Row],[OrderID]])=1,1,0)</f>
        <v>1</v>
      </c>
      <c r="N1042" s="4">
        <f>IFERROR(RawWorking[[#This Row],[LineAmount]]/RawWorking[[#This Row],[Quantity]],"")</f>
        <v>253.86</v>
      </c>
    </row>
    <row r="1043" spans="1:14">
      <c r="A1043">
        <v>51042</v>
      </c>
      <c r="B1043">
        <v>30596</v>
      </c>
      <c r="C1043" s="2">
        <v>45881</v>
      </c>
      <c r="D1043">
        <v>2132</v>
      </c>
      <c r="E1043">
        <v>1011</v>
      </c>
      <c r="F1043">
        <v>1</v>
      </c>
      <c r="G1043">
        <v>101.44</v>
      </c>
      <c r="H1043" s="2">
        <v>45883</v>
      </c>
      <c r="I1043" s="2">
        <v>45891</v>
      </c>
      <c r="J1043" t="s">
        <v>9</v>
      </c>
      <c r="K1043" s="2" t="str">
        <f>IFERROR(INDEX(Product_lookup[Category],MATCH(RawWorking[[#This Row],[ProductID]],Product_lookup[ProductID],0)),"")</f>
        <v>Office</v>
      </c>
      <c r="L1043" s="9">
        <f>IF(OR(RawWorking[[#This Row],[ShipDate]]="",RawWorking[[#This Row],[DeliveryDate]]=""),"",RawWorking[[#This Row],[DeliveryDate]]-RawWorking[[#This Row],[ShipDate]])</f>
        <v>8</v>
      </c>
      <c r="M1043" s="9">
        <f>IF(COUNTIF(INDEX(RawWorking[OrderID],1):RawWorking[[#This Row],[OrderID]],RawWorking[[#This Row],[OrderID]])=1,1,0)</f>
        <v>0</v>
      </c>
      <c r="N1043" s="4">
        <f>IFERROR(RawWorking[[#This Row],[LineAmount]]/RawWorking[[#This Row],[Quantity]],"")</f>
        <v>101.44</v>
      </c>
    </row>
    <row r="1044" spans="1:14">
      <c r="A1044">
        <v>51043</v>
      </c>
      <c r="B1044">
        <v>30597</v>
      </c>
      <c r="C1044" s="2">
        <v>45734</v>
      </c>
      <c r="D1044">
        <v>2092</v>
      </c>
      <c r="E1044">
        <v>1008</v>
      </c>
      <c r="F1044">
        <v>1</v>
      </c>
      <c r="G1044">
        <v>206.09</v>
      </c>
      <c r="H1044" s="2">
        <v>45736</v>
      </c>
      <c r="I1044" s="2">
        <v>45737</v>
      </c>
      <c r="J1044" t="s">
        <v>9</v>
      </c>
      <c r="K1044" s="2" t="str">
        <f>IFERROR(INDEX(Product_lookup[Category],MATCH(RawWorking[[#This Row],[ProductID]],Product_lookup[ProductID],0)),"")</f>
        <v>Home</v>
      </c>
      <c r="L1044" s="9">
        <f>IF(OR(RawWorking[[#This Row],[ShipDate]]="",RawWorking[[#This Row],[DeliveryDate]]=""),"",RawWorking[[#This Row],[DeliveryDate]]-RawWorking[[#This Row],[ShipDate]])</f>
        <v>1</v>
      </c>
      <c r="M1044" s="9">
        <f>IF(COUNTIF(INDEX(RawWorking[OrderID],1):RawWorking[[#This Row],[OrderID]],RawWorking[[#This Row],[OrderID]])=1,1,0)</f>
        <v>1</v>
      </c>
      <c r="N1044" s="4">
        <f>IFERROR(RawWorking[[#This Row],[LineAmount]]/RawWorking[[#This Row],[Quantity]],"")</f>
        <v>206.09</v>
      </c>
    </row>
    <row r="1045" spans="1:14">
      <c r="A1045">
        <v>51044</v>
      </c>
      <c r="B1045">
        <v>30597</v>
      </c>
      <c r="C1045" s="2">
        <v>45734</v>
      </c>
      <c r="D1045">
        <v>2092</v>
      </c>
      <c r="E1045">
        <v>1010</v>
      </c>
      <c r="F1045">
        <v>2</v>
      </c>
      <c r="G1045">
        <v>243</v>
      </c>
      <c r="H1045" s="2">
        <v>45737</v>
      </c>
      <c r="I1045" s="2">
        <v>45741</v>
      </c>
      <c r="J1045" t="s">
        <v>9</v>
      </c>
      <c r="K1045" s="2" t="str">
        <f>IFERROR(INDEX(Product_lookup[Category],MATCH(RawWorking[[#This Row],[ProductID]],Product_lookup[ProductID],0)),"")</f>
        <v>Office</v>
      </c>
      <c r="L1045" s="9">
        <f>IF(OR(RawWorking[[#This Row],[ShipDate]]="",RawWorking[[#This Row],[DeliveryDate]]=""),"",RawWorking[[#This Row],[DeliveryDate]]-RawWorking[[#This Row],[ShipDate]])</f>
        <v>4</v>
      </c>
      <c r="M1045" s="9">
        <f>IF(COUNTIF(INDEX(RawWorking[OrderID],1):RawWorking[[#This Row],[OrderID]],RawWorking[[#This Row],[OrderID]])=1,1,0)</f>
        <v>0</v>
      </c>
      <c r="N1045" s="4">
        <f>IFERROR(RawWorking[[#This Row],[LineAmount]]/RawWorking[[#This Row],[Quantity]],"")</f>
        <v>121.5</v>
      </c>
    </row>
    <row r="1046" spans="1:14">
      <c r="A1046">
        <v>51045</v>
      </c>
      <c r="B1046">
        <v>30598</v>
      </c>
      <c r="C1046" s="2">
        <v>45885</v>
      </c>
      <c r="D1046">
        <v>2431</v>
      </c>
      <c r="E1046">
        <v>1011</v>
      </c>
      <c r="F1046">
        <v>3</v>
      </c>
      <c r="G1046">
        <v>304.32</v>
      </c>
      <c r="H1046" s="2" t="s">
        <v>1421</v>
      </c>
      <c r="I1046" s="2" t="s">
        <v>1421</v>
      </c>
      <c r="J1046" t="s">
        <v>16</v>
      </c>
      <c r="K1046" s="2" t="str">
        <f>IFERROR(INDEX(Product_lookup[Category],MATCH(RawWorking[[#This Row],[ProductID]],Product_lookup[ProductID],0)),"")</f>
        <v>Office</v>
      </c>
      <c r="L1046" s="9" t="str">
        <f>IF(OR(RawWorking[[#This Row],[ShipDate]]="",RawWorking[[#This Row],[DeliveryDate]]=""),"",RawWorking[[#This Row],[DeliveryDate]]-RawWorking[[#This Row],[ShipDate]])</f>
        <v/>
      </c>
      <c r="M1046" s="9">
        <f>IF(COUNTIF(INDEX(RawWorking[OrderID],1):RawWorking[[#This Row],[OrderID]],RawWorking[[#This Row],[OrderID]])=1,1,0)</f>
        <v>1</v>
      </c>
      <c r="N1046" s="4">
        <f>IFERROR(RawWorking[[#This Row],[LineAmount]]/RawWorking[[#This Row],[Quantity]],"")</f>
        <v>101.44</v>
      </c>
    </row>
    <row r="1047" spans="1:14">
      <c r="A1047">
        <v>51046</v>
      </c>
      <c r="B1047">
        <v>30599</v>
      </c>
      <c r="C1047" s="2">
        <v>45796</v>
      </c>
      <c r="D1047">
        <v>2600</v>
      </c>
      <c r="E1047">
        <v>1004</v>
      </c>
      <c r="F1047">
        <v>2</v>
      </c>
      <c r="G1047">
        <v>367.48</v>
      </c>
      <c r="H1047" s="2">
        <v>45797</v>
      </c>
      <c r="I1047" s="2">
        <v>45807</v>
      </c>
      <c r="J1047" t="s">
        <v>9</v>
      </c>
      <c r="K1047" s="2" t="str">
        <f>IFERROR(INDEX(Product_lookup[Category],MATCH(RawWorking[[#This Row],[ProductID]],Product_lookup[ProductID],0)),"")</f>
        <v>Electronics</v>
      </c>
      <c r="L1047" s="9">
        <f>IF(OR(RawWorking[[#This Row],[ShipDate]]="",RawWorking[[#This Row],[DeliveryDate]]=""),"",RawWorking[[#This Row],[DeliveryDate]]-RawWorking[[#This Row],[ShipDate]])</f>
        <v>10</v>
      </c>
      <c r="M1047" s="9">
        <f>IF(COUNTIF(INDEX(RawWorking[OrderID],1):RawWorking[[#This Row],[OrderID]],RawWorking[[#This Row],[OrderID]])=1,1,0)</f>
        <v>1</v>
      </c>
      <c r="N1047" s="4">
        <f>IFERROR(RawWorking[[#This Row],[LineAmount]]/RawWorking[[#This Row],[Quantity]],"")</f>
        <v>183.74</v>
      </c>
    </row>
    <row r="1048" spans="1:14">
      <c r="A1048">
        <v>51047</v>
      </c>
      <c r="B1048">
        <v>30600</v>
      </c>
      <c r="C1048" s="2">
        <v>45827</v>
      </c>
      <c r="D1048">
        <v>2482</v>
      </c>
      <c r="E1048">
        <v>1003</v>
      </c>
      <c r="F1048">
        <v>2</v>
      </c>
      <c r="G1048">
        <v>448.74</v>
      </c>
      <c r="H1048" s="2">
        <v>45829</v>
      </c>
      <c r="I1048" s="2">
        <v>45830</v>
      </c>
      <c r="J1048" t="s">
        <v>9</v>
      </c>
      <c r="K1048" s="2" t="str">
        <f>IFERROR(INDEX(Product_lookup[Category],MATCH(RawWorking[[#This Row],[ProductID]],Product_lookup[ProductID],0)),"")</f>
        <v>Electronics</v>
      </c>
      <c r="L1048" s="9">
        <f>IF(OR(RawWorking[[#This Row],[ShipDate]]="",RawWorking[[#This Row],[DeliveryDate]]=""),"",RawWorking[[#This Row],[DeliveryDate]]-RawWorking[[#This Row],[ShipDate]])</f>
        <v>1</v>
      </c>
      <c r="M1048" s="9">
        <f>IF(COUNTIF(INDEX(RawWorking[OrderID],1):RawWorking[[#This Row],[OrderID]],RawWorking[[#This Row],[OrderID]])=1,1,0)</f>
        <v>1</v>
      </c>
      <c r="N1048" s="4">
        <f>IFERROR(RawWorking[[#This Row],[LineAmount]]/RawWorking[[#This Row],[Quantity]],"")</f>
        <v>224.37</v>
      </c>
    </row>
    <row r="1049" spans="1:14">
      <c r="A1049">
        <v>51048</v>
      </c>
      <c r="B1049">
        <v>30601</v>
      </c>
      <c r="C1049" s="2">
        <v>45825</v>
      </c>
      <c r="D1049">
        <v>2484</v>
      </c>
      <c r="E1049">
        <v>1004</v>
      </c>
      <c r="F1049">
        <v>1</v>
      </c>
      <c r="G1049">
        <v>183.74</v>
      </c>
      <c r="H1049" s="2" t="s">
        <v>1421</v>
      </c>
      <c r="I1049" s="2" t="s">
        <v>1421</v>
      </c>
      <c r="J1049" t="s">
        <v>12</v>
      </c>
      <c r="K1049" s="2" t="str">
        <f>IFERROR(INDEX(Product_lookup[Category],MATCH(RawWorking[[#This Row],[ProductID]],Product_lookup[ProductID],0)),"")</f>
        <v>Electronics</v>
      </c>
      <c r="L1049" s="9" t="str">
        <f>IF(OR(RawWorking[[#This Row],[ShipDate]]="",RawWorking[[#This Row],[DeliveryDate]]=""),"",RawWorking[[#This Row],[DeliveryDate]]-RawWorking[[#This Row],[ShipDate]])</f>
        <v/>
      </c>
      <c r="M1049" s="9">
        <f>IF(COUNTIF(INDEX(RawWorking[OrderID],1):RawWorking[[#This Row],[OrderID]],RawWorking[[#This Row],[OrderID]])=1,1,0)</f>
        <v>1</v>
      </c>
      <c r="N1049" s="4">
        <f>IFERROR(RawWorking[[#This Row],[LineAmount]]/RawWorking[[#This Row],[Quantity]],"")</f>
        <v>183.74</v>
      </c>
    </row>
    <row r="1050" spans="1:14">
      <c r="A1050">
        <v>51049</v>
      </c>
      <c r="B1050">
        <v>30602</v>
      </c>
      <c r="C1050" s="2">
        <v>45736</v>
      </c>
      <c r="D1050">
        <v>2391</v>
      </c>
      <c r="E1050">
        <v>1014</v>
      </c>
      <c r="F1050">
        <v>1</v>
      </c>
      <c r="G1050">
        <v>215.34</v>
      </c>
      <c r="H1050" s="2">
        <v>45737</v>
      </c>
      <c r="I1050" s="2">
        <v>45746</v>
      </c>
      <c r="J1050" t="s">
        <v>9</v>
      </c>
      <c r="K1050" s="2" t="str">
        <f>IFERROR(INDEX(Product_lookup[Category],MATCH(RawWorking[[#This Row],[ProductID]],Product_lookup[ProductID],0)),"")</f>
        <v>Sports</v>
      </c>
      <c r="L1050" s="9">
        <f>IF(OR(RawWorking[[#This Row],[ShipDate]]="",RawWorking[[#This Row],[DeliveryDate]]=""),"",RawWorking[[#This Row],[DeliveryDate]]-RawWorking[[#This Row],[ShipDate]])</f>
        <v>9</v>
      </c>
      <c r="M1050" s="9">
        <f>IF(COUNTIF(INDEX(RawWorking[OrderID],1):RawWorking[[#This Row],[OrderID]],RawWorking[[#This Row],[OrderID]])=1,1,0)</f>
        <v>1</v>
      </c>
      <c r="N1050" s="4">
        <f>IFERROR(RawWorking[[#This Row],[LineAmount]]/RawWorking[[#This Row],[Quantity]],"")</f>
        <v>215.34</v>
      </c>
    </row>
    <row r="1051" spans="1:14">
      <c r="A1051">
        <v>51050</v>
      </c>
      <c r="B1051">
        <v>30603</v>
      </c>
      <c r="C1051" s="2">
        <v>45703</v>
      </c>
      <c r="D1051">
        <v>2056</v>
      </c>
      <c r="E1051">
        <v>1005</v>
      </c>
      <c r="F1051">
        <v>1</v>
      </c>
      <c r="G1051">
        <v>31.73</v>
      </c>
      <c r="H1051" s="2" t="s">
        <v>1421</v>
      </c>
      <c r="I1051" s="2" t="s">
        <v>1421</v>
      </c>
      <c r="J1051" t="s">
        <v>12</v>
      </c>
      <c r="K1051" s="2" t="str">
        <f>IFERROR(INDEX(Product_lookup[Category],MATCH(RawWorking[[#This Row],[ProductID]],Product_lookup[ProductID],0)),"")</f>
        <v>Electronics</v>
      </c>
      <c r="L1051" s="9" t="str">
        <f>IF(OR(RawWorking[[#This Row],[ShipDate]]="",RawWorking[[#This Row],[DeliveryDate]]=""),"",RawWorking[[#This Row],[DeliveryDate]]-RawWorking[[#This Row],[ShipDate]])</f>
        <v/>
      </c>
      <c r="M1051" s="9">
        <f>IF(COUNTIF(INDEX(RawWorking[OrderID],1):RawWorking[[#This Row],[OrderID]],RawWorking[[#This Row],[OrderID]])=1,1,0)</f>
        <v>1</v>
      </c>
      <c r="N1051" s="4">
        <f>IFERROR(RawWorking[[#This Row],[LineAmount]]/RawWorking[[#This Row],[Quantity]],"")</f>
        <v>31.73</v>
      </c>
    </row>
    <row r="1052" spans="1:14">
      <c r="A1052">
        <v>51051</v>
      </c>
      <c r="B1052">
        <v>30604</v>
      </c>
      <c r="C1052" s="2">
        <v>45767</v>
      </c>
      <c r="D1052">
        <v>2141</v>
      </c>
      <c r="E1052">
        <v>1011</v>
      </c>
      <c r="F1052">
        <v>2</v>
      </c>
      <c r="G1052">
        <v>202.88</v>
      </c>
      <c r="H1052" s="2">
        <v>45770</v>
      </c>
      <c r="I1052" s="2">
        <v>45779</v>
      </c>
      <c r="J1052" t="s">
        <v>11</v>
      </c>
      <c r="K1052" s="2" t="str">
        <f>IFERROR(INDEX(Product_lookup[Category],MATCH(RawWorking[[#This Row],[ProductID]],Product_lookup[ProductID],0)),"")</f>
        <v>Office</v>
      </c>
      <c r="L1052" s="9">
        <f>IF(OR(RawWorking[[#This Row],[ShipDate]]="",RawWorking[[#This Row],[DeliveryDate]]=""),"",RawWorking[[#This Row],[DeliveryDate]]-RawWorking[[#This Row],[ShipDate]])</f>
        <v>9</v>
      </c>
      <c r="M1052" s="9">
        <f>IF(COUNTIF(INDEX(RawWorking[OrderID],1):RawWorking[[#This Row],[OrderID]],RawWorking[[#This Row],[OrderID]])=1,1,0)</f>
        <v>1</v>
      </c>
      <c r="N1052" s="4">
        <f>IFERROR(RawWorking[[#This Row],[LineAmount]]/RawWorking[[#This Row],[Quantity]],"")</f>
        <v>101.44</v>
      </c>
    </row>
    <row r="1053" spans="1:14">
      <c r="A1053">
        <v>51052</v>
      </c>
      <c r="B1053">
        <v>30605</v>
      </c>
      <c r="C1053" s="2">
        <v>45825</v>
      </c>
      <c r="D1053">
        <v>2420</v>
      </c>
      <c r="E1053">
        <v>1015</v>
      </c>
      <c r="F1053">
        <v>1</v>
      </c>
      <c r="G1053">
        <v>119.74</v>
      </c>
      <c r="H1053" s="2">
        <v>45828</v>
      </c>
      <c r="I1053" s="2">
        <v>45830</v>
      </c>
      <c r="J1053" t="s">
        <v>11</v>
      </c>
      <c r="K1053" s="2" t="str">
        <f>IFERROR(INDEX(Product_lookup[Category],MATCH(RawWorking[[#This Row],[ProductID]],Product_lookup[ProductID],0)),"")</f>
        <v>Sports</v>
      </c>
      <c r="L1053" s="9">
        <f>IF(OR(RawWorking[[#This Row],[ShipDate]]="",RawWorking[[#This Row],[DeliveryDate]]=""),"",RawWorking[[#This Row],[DeliveryDate]]-RawWorking[[#This Row],[ShipDate]])</f>
        <v>2</v>
      </c>
      <c r="M1053" s="9">
        <f>IF(COUNTIF(INDEX(RawWorking[OrderID],1):RawWorking[[#This Row],[OrderID]],RawWorking[[#This Row],[OrderID]])=1,1,0)</f>
        <v>1</v>
      </c>
      <c r="N1053" s="4">
        <f>IFERROR(RawWorking[[#This Row],[LineAmount]]/RawWorking[[#This Row],[Quantity]],"")</f>
        <v>119.74</v>
      </c>
    </row>
    <row r="1054" spans="1:14">
      <c r="A1054">
        <v>51053</v>
      </c>
      <c r="B1054">
        <v>30606</v>
      </c>
      <c r="C1054" s="2">
        <v>45979</v>
      </c>
      <c r="D1054">
        <v>2147</v>
      </c>
      <c r="E1054">
        <v>1006</v>
      </c>
      <c r="F1054">
        <v>1</v>
      </c>
      <c r="G1054">
        <v>253.86</v>
      </c>
      <c r="H1054" s="2">
        <v>45980</v>
      </c>
      <c r="I1054" s="2">
        <v>45984</v>
      </c>
      <c r="J1054" t="s">
        <v>9</v>
      </c>
      <c r="K1054" s="2" t="str">
        <f>IFERROR(INDEX(Product_lookup[Category],MATCH(RawWorking[[#This Row],[ProductID]],Product_lookup[ProductID],0)),"")</f>
        <v>Home</v>
      </c>
      <c r="L1054" s="9">
        <f>IF(OR(RawWorking[[#This Row],[ShipDate]]="",RawWorking[[#This Row],[DeliveryDate]]=""),"",RawWorking[[#This Row],[DeliveryDate]]-RawWorking[[#This Row],[ShipDate]])</f>
        <v>4</v>
      </c>
      <c r="M1054" s="9">
        <f>IF(COUNTIF(INDEX(RawWorking[OrderID],1):RawWorking[[#This Row],[OrderID]],RawWorking[[#This Row],[OrderID]])=1,1,0)</f>
        <v>1</v>
      </c>
      <c r="N1054" s="4">
        <f>IFERROR(RawWorking[[#This Row],[LineAmount]]/RawWorking[[#This Row],[Quantity]],"")</f>
        <v>253.86</v>
      </c>
    </row>
    <row r="1055" spans="1:14">
      <c r="A1055">
        <v>51054</v>
      </c>
      <c r="B1055">
        <v>30607</v>
      </c>
      <c r="C1055" s="2">
        <v>45851</v>
      </c>
      <c r="D1055">
        <v>2083</v>
      </c>
      <c r="E1055">
        <v>1006</v>
      </c>
      <c r="F1055">
        <v>1</v>
      </c>
      <c r="G1055">
        <v>253.86</v>
      </c>
      <c r="H1055" s="2">
        <v>45852</v>
      </c>
      <c r="I1055" s="2">
        <v>45853</v>
      </c>
      <c r="J1055" t="s">
        <v>9</v>
      </c>
      <c r="K1055" s="2" t="str">
        <f>IFERROR(INDEX(Product_lookup[Category],MATCH(RawWorking[[#This Row],[ProductID]],Product_lookup[ProductID],0)),"")</f>
        <v>Home</v>
      </c>
      <c r="L1055" s="9">
        <f>IF(OR(RawWorking[[#This Row],[ShipDate]]="",RawWorking[[#This Row],[DeliveryDate]]=""),"",RawWorking[[#This Row],[DeliveryDate]]-RawWorking[[#This Row],[ShipDate]])</f>
        <v>1</v>
      </c>
      <c r="M1055" s="9">
        <f>IF(COUNTIF(INDEX(RawWorking[OrderID],1):RawWorking[[#This Row],[OrderID]],RawWorking[[#This Row],[OrderID]])=1,1,0)</f>
        <v>1</v>
      </c>
      <c r="N1055" s="4">
        <f>IFERROR(RawWorking[[#This Row],[LineAmount]]/RawWorking[[#This Row],[Quantity]],"")</f>
        <v>253.86</v>
      </c>
    </row>
    <row r="1056" spans="1:14">
      <c r="A1056">
        <v>51055</v>
      </c>
      <c r="B1056">
        <v>30608</v>
      </c>
      <c r="C1056" s="2">
        <v>45772</v>
      </c>
      <c r="D1056">
        <v>2321</v>
      </c>
      <c r="E1056">
        <v>1001</v>
      </c>
      <c r="F1056">
        <v>1</v>
      </c>
      <c r="G1056">
        <v>203.04</v>
      </c>
      <c r="H1056" s="2">
        <v>45774</v>
      </c>
      <c r="I1056" s="2">
        <v>45778</v>
      </c>
      <c r="J1056" t="s">
        <v>9</v>
      </c>
      <c r="K1056" s="2" t="str">
        <f>IFERROR(INDEX(Product_lookup[Category],MATCH(RawWorking[[#This Row],[ProductID]],Product_lookup[ProductID],0)),"")</f>
        <v>Electronics</v>
      </c>
      <c r="L1056" s="9">
        <f>IF(OR(RawWorking[[#This Row],[ShipDate]]="",RawWorking[[#This Row],[DeliveryDate]]=""),"",RawWorking[[#This Row],[DeliveryDate]]-RawWorking[[#This Row],[ShipDate]])</f>
        <v>4</v>
      </c>
      <c r="M1056" s="9">
        <f>IF(COUNTIF(INDEX(RawWorking[OrderID],1):RawWorking[[#This Row],[OrderID]],RawWorking[[#This Row],[OrderID]])=1,1,0)</f>
        <v>1</v>
      </c>
      <c r="N1056" s="4">
        <f>IFERROR(RawWorking[[#This Row],[LineAmount]]/RawWorking[[#This Row],[Quantity]],"")</f>
        <v>203.04</v>
      </c>
    </row>
    <row r="1057" spans="1:14">
      <c r="A1057">
        <v>51056</v>
      </c>
      <c r="B1057">
        <v>30609</v>
      </c>
      <c r="C1057" s="2">
        <v>45738</v>
      </c>
      <c r="D1057">
        <v>2463</v>
      </c>
      <c r="E1057">
        <v>1006</v>
      </c>
      <c r="F1057">
        <v>4</v>
      </c>
      <c r="G1057">
        <v>1015.44</v>
      </c>
      <c r="H1057" s="2">
        <v>45740</v>
      </c>
      <c r="I1057" s="2">
        <v>45742</v>
      </c>
      <c r="J1057" t="s">
        <v>9</v>
      </c>
      <c r="K1057" s="2" t="str">
        <f>IFERROR(INDEX(Product_lookup[Category],MATCH(RawWorking[[#This Row],[ProductID]],Product_lookup[ProductID],0)),"")</f>
        <v>Home</v>
      </c>
      <c r="L1057" s="9">
        <f>IF(OR(RawWorking[[#This Row],[ShipDate]]="",RawWorking[[#This Row],[DeliveryDate]]=""),"",RawWorking[[#This Row],[DeliveryDate]]-RawWorking[[#This Row],[ShipDate]])</f>
        <v>2</v>
      </c>
      <c r="M1057" s="9">
        <f>IF(COUNTIF(INDEX(RawWorking[OrderID],1):RawWorking[[#This Row],[OrderID]],RawWorking[[#This Row],[OrderID]])=1,1,0)</f>
        <v>1</v>
      </c>
      <c r="N1057" s="4">
        <f>IFERROR(RawWorking[[#This Row],[LineAmount]]/RawWorking[[#This Row],[Quantity]],"")</f>
        <v>253.86</v>
      </c>
    </row>
    <row r="1058" spans="1:14">
      <c r="A1058">
        <v>51057</v>
      </c>
      <c r="B1058">
        <v>30610</v>
      </c>
      <c r="C1058" s="2">
        <v>45916</v>
      </c>
      <c r="D1058">
        <v>2591</v>
      </c>
      <c r="E1058">
        <v>1016</v>
      </c>
      <c r="F1058">
        <v>5</v>
      </c>
      <c r="G1058">
        <v>326.3</v>
      </c>
      <c r="H1058" s="2" t="s">
        <v>1421</v>
      </c>
      <c r="I1058" s="2" t="s">
        <v>1421</v>
      </c>
      <c r="J1058" t="s">
        <v>16</v>
      </c>
      <c r="K1058" s="2" t="str">
        <f>IFERROR(INDEX(Product_lookup[Category],MATCH(RawWorking[[#This Row],[ProductID]],Product_lookup[ProductID],0)),"")</f>
        <v>Sports</v>
      </c>
      <c r="L1058" s="9" t="str">
        <f>IF(OR(RawWorking[[#This Row],[ShipDate]]="",RawWorking[[#This Row],[DeliveryDate]]=""),"",RawWorking[[#This Row],[DeliveryDate]]-RawWorking[[#This Row],[ShipDate]])</f>
        <v/>
      </c>
      <c r="M1058" s="9">
        <f>IF(COUNTIF(INDEX(RawWorking[OrderID],1):RawWorking[[#This Row],[OrderID]],RawWorking[[#This Row],[OrderID]])=1,1,0)</f>
        <v>1</v>
      </c>
      <c r="N1058" s="4">
        <f>IFERROR(RawWorking[[#This Row],[LineAmount]]/RawWorking[[#This Row],[Quantity]],"")</f>
        <v>65.260000000000005</v>
      </c>
    </row>
    <row r="1059" spans="1:14">
      <c r="A1059">
        <v>51058</v>
      </c>
      <c r="B1059">
        <v>30611</v>
      </c>
      <c r="C1059" s="2">
        <v>45704</v>
      </c>
      <c r="D1059">
        <v>2091</v>
      </c>
      <c r="E1059">
        <v>1014</v>
      </c>
      <c r="F1059">
        <v>2</v>
      </c>
      <c r="G1059">
        <v>430.68</v>
      </c>
      <c r="H1059" s="2">
        <v>45706</v>
      </c>
      <c r="I1059" s="2">
        <v>45716</v>
      </c>
      <c r="J1059" t="s">
        <v>9</v>
      </c>
      <c r="K1059" s="2" t="str">
        <f>IFERROR(INDEX(Product_lookup[Category],MATCH(RawWorking[[#This Row],[ProductID]],Product_lookup[ProductID],0)),"")</f>
        <v>Sports</v>
      </c>
      <c r="L1059" s="9">
        <f>IF(OR(RawWorking[[#This Row],[ShipDate]]="",RawWorking[[#This Row],[DeliveryDate]]=""),"",RawWorking[[#This Row],[DeliveryDate]]-RawWorking[[#This Row],[ShipDate]])</f>
        <v>10</v>
      </c>
      <c r="M1059" s="9">
        <f>IF(COUNTIF(INDEX(RawWorking[OrderID],1):RawWorking[[#This Row],[OrderID]],RawWorking[[#This Row],[OrderID]])=1,1,0)</f>
        <v>1</v>
      </c>
      <c r="N1059" s="4">
        <f>IFERROR(RawWorking[[#This Row],[LineAmount]]/RawWorking[[#This Row],[Quantity]],"")</f>
        <v>215.34</v>
      </c>
    </row>
    <row r="1060" spans="1:14">
      <c r="A1060">
        <v>51059</v>
      </c>
      <c r="B1060">
        <v>30611</v>
      </c>
      <c r="C1060" s="2">
        <v>45704</v>
      </c>
      <c r="D1060">
        <v>2091</v>
      </c>
      <c r="E1060">
        <v>1014</v>
      </c>
      <c r="F1060">
        <v>1</v>
      </c>
      <c r="G1060">
        <v>215.34</v>
      </c>
      <c r="H1060" s="2">
        <v>45706</v>
      </c>
      <c r="I1060" s="2">
        <v>45716</v>
      </c>
      <c r="J1060" t="s">
        <v>9</v>
      </c>
      <c r="K1060" s="2" t="str">
        <f>IFERROR(INDEX(Product_lookup[Category],MATCH(RawWorking[[#This Row],[ProductID]],Product_lookup[ProductID],0)),"")</f>
        <v>Sports</v>
      </c>
      <c r="L1060" s="9">
        <f>IF(OR(RawWorking[[#This Row],[ShipDate]]="",RawWorking[[#This Row],[DeliveryDate]]=""),"",RawWorking[[#This Row],[DeliveryDate]]-RawWorking[[#This Row],[ShipDate]])</f>
        <v>10</v>
      </c>
      <c r="M1060" s="9">
        <f>IF(COUNTIF(INDEX(RawWorking[OrderID],1):RawWorking[[#This Row],[OrderID]],RawWorking[[#This Row],[OrderID]])=1,1,0)</f>
        <v>0</v>
      </c>
      <c r="N1060" s="4">
        <f>IFERROR(RawWorking[[#This Row],[LineAmount]]/RawWorking[[#This Row],[Quantity]],"")</f>
        <v>215.34</v>
      </c>
    </row>
    <row r="1061" spans="1:14">
      <c r="A1061">
        <v>51060</v>
      </c>
      <c r="B1061">
        <v>30612</v>
      </c>
      <c r="C1061" s="2">
        <v>45805</v>
      </c>
      <c r="D1061">
        <v>2414</v>
      </c>
      <c r="E1061">
        <v>1016</v>
      </c>
      <c r="F1061">
        <v>1</v>
      </c>
      <c r="G1061">
        <v>65.260000000000005</v>
      </c>
      <c r="H1061" s="2">
        <v>45806</v>
      </c>
      <c r="I1061" s="2">
        <v>45808</v>
      </c>
      <c r="J1061" t="s">
        <v>9</v>
      </c>
      <c r="K1061" s="2" t="str">
        <f>IFERROR(INDEX(Product_lookup[Category],MATCH(RawWorking[[#This Row],[ProductID]],Product_lookup[ProductID],0)),"")</f>
        <v>Sports</v>
      </c>
      <c r="L1061" s="9">
        <f>IF(OR(RawWorking[[#This Row],[ShipDate]]="",RawWorking[[#This Row],[DeliveryDate]]=""),"",RawWorking[[#This Row],[DeliveryDate]]-RawWorking[[#This Row],[ShipDate]])</f>
        <v>2</v>
      </c>
      <c r="M1061" s="9">
        <f>IF(COUNTIF(INDEX(RawWorking[OrderID],1):RawWorking[[#This Row],[OrderID]],RawWorking[[#This Row],[OrderID]])=1,1,0)</f>
        <v>1</v>
      </c>
      <c r="N1061" s="4">
        <f>IFERROR(RawWorking[[#This Row],[LineAmount]]/RawWorking[[#This Row],[Quantity]],"")</f>
        <v>65.260000000000005</v>
      </c>
    </row>
    <row r="1062" spans="1:14">
      <c r="A1062">
        <v>51061</v>
      </c>
      <c r="B1062">
        <v>30612</v>
      </c>
      <c r="C1062" s="2">
        <v>45805</v>
      </c>
      <c r="D1062">
        <v>2414</v>
      </c>
      <c r="E1062">
        <v>1013</v>
      </c>
      <c r="F1062">
        <v>4</v>
      </c>
      <c r="G1062">
        <v>681</v>
      </c>
      <c r="H1062" s="2">
        <v>45807</v>
      </c>
      <c r="I1062" s="2">
        <v>45811</v>
      </c>
      <c r="J1062" t="s">
        <v>9</v>
      </c>
      <c r="K1062" s="2" t="str">
        <f>IFERROR(INDEX(Product_lookup[Category],MATCH(RawWorking[[#This Row],[ProductID]],Product_lookup[ProductID],0)),"")</f>
        <v>Office</v>
      </c>
      <c r="L1062" s="9">
        <f>IF(OR(RawWorking[[#This Row],[ShipDate]]="",RawWorking[[#This Row],[DeliveryDate]]=""),"",RawWorking[[#This Row],[DeliveryDate]]-RawWorking[[#This Row],[ShipDate]])</f>
        <v>4</v>
      </c>
      <c r="M1062" s="9">
        <f>IF(COUNTIF(INDEX(RawWorking[OrderID],1):RawWorking[[#This Row],[OrderID]],RawWorking[[#This Row],[OrderID]])=1,1,0)</f>
        <v>0</v>
      </c>
      <c r="N1062" s="4">
        <f>IFERROR(RawWorking[[#This Row],[LineAmount]]/RawWorking[[#This Row],[Quantity]],"")</f>
        <v>170.25</v>
      </c>
    </row>
    <row r="1063" spans="1:14">
      <c r="A1063">
        <v>51062</v>
      </c>
      <c r="B1063">
        <v>30613</v>
      </c>
      <c r="C1063" s="2">
        <v>45712</v>
      </c>
      <c r="D1063">
        <v>2005</v>
      </c>
      <c r="E1063">
        <v>1007</v>
      </c>
      <c r="F1063">
        <v>1</v>
      </c>
      <c r="G1063">
        <v>199.81</v>
      </c>
      <c r="H1063" s="2">
        <v>45715</v>
      </c>
      <c r="I1063" s="2">
        <v>45722</v>
      </c>
      <c r="J1063" t="s">
        <v>9</v>
      </c>
      <c r="K1063" s="2" t="str">
        <f>IFERROR(INDEX(Product_lookup[Category],MATCH(RawWorking[[#This Row],[ProductID]],Product_lookup[ProductID],0)),"")</f>
        <v>Home</v>
      </c>
      <c r="L1063" s="9">
        <f>IF(OR(RawWorking[[#This Row],[ShipDate]]="",RawWorking[[#This Row],[DeliveryDate]]=""),"",RawWorking[[#This Row],[DeliveryDate]]-RawWorking[[#This Row],[ShipDate]])</f>
        <v>7</v>
      </c>
      <c r="M1063" s="9">
        <f>IF(COUNTIF(INDEX(RawWorking[OrderID],1):RawWorking[[#This Row],[OrderID]],RawWorking[[#This Row],[OrderID]])=1,1,0)</f>
        <v>1</v>
      </c>
      <c r="N1063" s="4">
        <f>IFERROR(RawWorking[[#This Row],[LineAmount]]/RawWorking[[#This Row],[Quantity]],"")</f>
        <v>199.81</v>
      </c>
    </row>
    <row r="1064" spans="1:14">
      <c r="A1064">
        <v>51063</v>
      </c>
      <c r="B1064">
        <v>30613</v>
      </c>
      <c r="C1064" s="2">
        <v>45712</v>
      </c>
      <c r="D1064">
        <v>2005</v>
      </c>
      <c r="E1064">
        <v>1012</v>
      </c>
      <c r="F1064">
        <v>4</v>
      </c>
      <c r="G1064">
        <v>966.16</v>
      </c>
      <c r="H1064" s="2">
        <v>45714</v>
      </c>
      <c r="I1064" s="2">
        <v>45715</v>
      </c>
      <c r="J1064" t="s">
        <v>9</v>
      </c>
      <c r="K1064" s="2" t="str">
        <f>IFERROR(INDEX(Product_lookup[Category],MATCH(RawWorking[[#This Row],[ProductID]],Product_lookup[ProductID],0)),"")</f>
        <v>Office</v>
      </c>
      <c r="L1064" s="9">
        <f>IF(OR(RawWorking[[#This Row],[ShipDate]]="",RawWorking[[#This Row],[DeliveryDate]]=""),"",RawWorking[[#This Row],[DeliveryDate]]-RawWorking[[#This Row],[ShipDate]])</f>
        <v>1</v>
      </c>
      <c r="M1064" s="9">
        <f>IF(COUNTIF(INDEX(RawWorking[OrderID],1):RawWorking[[#This Row],[OrderID]],RawWorking[[#This Row],[OrderID]])=1,1,0)</f>
        <v>0</v>
      </c>
      <c r="N1064" s="4">
        <f>IFERROR(RawWorking[[#This Row],[LineAmount]]/RawWorking[[#This Row],[Quantity]],"")</f>
        <v>241.54</v>
      </c>
    </row>
    <row r="1065" spans="1:14">
      <c r="A1065">
        <v>51064</v>
      </c>
      <c r="B1065">
        <v>30613</v>
      </c>
      <c r="C1065" s="2">
        <v>45712</v>
      </c>
      <c r="D1065">
        <v>2005</v>
      </c>
      <c r="E1065">
        <v>1001</v>
      </c>
      <c r="F1065">
        <v>4</v>
      </c>
      <c r="G1065">
        <v>812.16</v>
      </c>
      <c r="H1065" s="2">
        <v>45714</v>
      </c>
      <c r="I1065" s="2">
        <v>45750</v>
      </c>
      <c r="J1065" t="s">
        <v>9</v>
      </c>
      <c r="K1065" s="2" t="str">
        <f>IFERROR(INDEX(Product_lookup[Category],MATCH(RawWorking[[#This Row],[ProductID]],Product_lookup[ProductID],0)),"")</f>
        <v>Electronics</v>
      </c>
      <c r="L1065" s="9">
        <f>IF(OR(RawWorking[[#This Row],[ShipDate]]="",RawWorking[[#This Row],[DeliveryDate]]=""),"",RawWorking[[#This Row],[DeliveryDate]]-RawWorking[[#This Row],[ShipDate]])</f>
        <v>36</v>
      </c>
      <c r="M1065" s="9">
        <f>IF(COUNTIF(INDEX(RawWorking[OrderID],1):RawWorking[[#This Row],[OrderID]],RawWorking[[#This Row],[OrderID]])=1,1,0)</f>
        <v>0</v>
      </c>
      <c r="N1065" s="4">
        <f>IFERROR(RawWorking[[#This Row],[LineAmount]]/RawWorking[[#This Row],[Quantity]],"")</f>
        <v>203.04</v>
      </c>
    </row>
    <row r="1066" spans="1:14">
      <c r="A1066">
        <v>51065</v>
      </c>
      <c r="B1066">
        <v>30613</v>
      </c>
      <c r="C1066" s="2">
        <v>45712</v>
      </c>
      <c r="D1066">
        <v>2005</v>
      </c>
      <c r="E1066">
        <v>1011</v>
      </c>
      <c r="F1066">
        <v>2</v>
      </c>
      <c r="G1066">
        <v>202.88</v>
      </c>
      <c r="H1066" s="2">
        <v>45715</v>
      </c>
      <c r="I1066" s="2">
        <v>45717</v>
      </c>
      <c r="J1066" t="s">
        <v>9</v>
      </c>
      <c r="K1066" s="2" t="str">
        <f>IFERROR(INDEX(Product_lookup[Category],MATCH(RawWorking[[#This Row],[ProductID]],Product_lookup[ProductID],0)),"")</f>
        <v>Office</v>
      </c>
      <c r="L1066" s="9">
        <f>IF(OR(RawWorking[[#This Row],[ShipDate]]="",RawWorking[[#This Row],[DeliveryDate]]=""),"",RawWorking[[#This Row],[DeliveryDate]]-RawWorking[[#This Row],[ShipDate]])</f>
        <v>2</v>
      </c>
      <c r="M1066" s="9">
        <f>IF(COUNTIF(INDEX(RawWorking[OrderID],1):RawWorking[[#This Row],[OrderID]],RawWorking[[#This Row],[OrderID]])=1,1,0)</f>
        <v>0</v>
      </c>
      <c r="N1066" s="4">
        <f>IFERROR(RawWorking[[#This Row],[LineAmount]]/RawWorking[[#This Row],[Quantity]],"")</f>
        <v>101.44</v>
      </c>
    </row>
    <row r="1067" spans="1:14">
      <c r="A1067">
        <v>51066</v>
      </c>
      <c r="B1067">
        <v>30614</v>
      </c>
      <c r="C1067" s="2">
        <v>45846</v>
      </c>
      <c r="D1067">
        <v>2544</v>
      </c>
      <c r="E1067">
        <v>1001</v>
      </c>
      <c r="F1067">
        <v>1</v>
      </c>
      <c r="G1067">
        <v>203.04</v>
      </c>
      <c r="H1067" s="2">
        <v>45848</v>
      </c>
      <c r="I1067" s="2">
        <v>45852</v>
      </c>
      <c r="J1067" t="s">
        <v>9</v>
      </c>
      <c r="K1067" s="2" t="str">
        <f>IFERROR(INDEX(Product_lookup[Category],MATCH(RawWorking[[#This Row],[ProductID]],Product_lookup[ProductID],0)),"")</f>
        <v>Electronics</v>
      </c>
      <c r="L1067" s="9">
        <f>IF(OR(RawWorking[[#This Row],[ShipDate]]="",RawWorking[[#This Row],[DeliveryDate]]=""),"",RawWorking[[#This Row],[DeliveryDate]]-RawWorking[[#This Row],[ShipDate]])</f>
        <v>4</v>
      </c>
      <c r="M1067" s="9">
        <f>IF(COUNTIF(INDEX(RawWorking[OrderID],1):RawWorking[[#This Row],[OrderID]],RawWorking[[#This Row],[OrderID]])=1,1,0)</f>
        <v>1</v>
      </c>
      <c r="N1067" s="4">
        <f>IFERROR(RawWorking[[#This Row],[LineAmount]]/RawWorking[[#This Row],[Quantity]],"")</f>
        <v>203.04</v>
      </c>
    </row>
    <row r="1068" spans="1:14">
      <c r="A1068">
        <v>51067</v>
      </c>
      <c r="B1068">
        <v>30614</v>
      </c>
      <c r="C1068" s="2">
        <v>45846</v>
      </c>
      <c r="D1068">
        <v>2544</v>
      </c>
      <c r="E1068">
        <v>1008</v>
      </c>
      <c r="F1068">
        <v>1</v>
      </c>
      <c r="G1068">
        <v>206.09</v>
      </c>
      <c r="H1068" s="2">
        <v>45847</v>
      </c>
      <c r="I1068" s="2">
        <v>45850</v>
      </c>
      <c r="J1068" t="s">
        <v>9</v>
      </c>
      <c r="K1068" s="2" t="str">
        <f>IFERROR(INDEX(Product_lookup[Category],MATCH(RawWorking[[#This Row],[ProductID]],Product_lookup[ProductID],0)),"")</f>
        <v>Home</v>
      </c>
      <c r="L1068" s="9">
        <f>IF(OR(RawWorking[[#This Row],[ShipDate]]="",RawWorking[[#This Row],[DeliveryDate]]=""),"",RawWorking[[#This Row],[DeliveryDate]]-RawWorking[[#This Row],[ShipDate]])</f>
        <v>3</v>
      </c>
      <c r="M1068" s="9">
        <f>IF(COUNTIF(INDEX(RawWorking[OrderID],1):RawWorking[[#This Row],[OrderID]],RawWorking[[#This Row],[OrderID]])=1,1,0)</f>
        <v>0</v>
      </c>
      <c r="N1068" s="4">
        <f>IFERROR(RawWorking[[#This Row],[LineAmount]]/RawWorking[[#This Row],[Quantity]],"")</f>
        <v>206.09</v>
      </c>
    </row>
    <row r="1069" spans="1:14">
      <c r="A1069">
        <v>51068</v>
      </c>
      <c r="B1069">
        <v>30615</v>
      </c>
      <c r="C1069" s="2">
        <v>45969</v>
      </c>
      <c r="D1069">
        <v>2232</v>
      </c>
      <c r="E1069">
        <v>1012</v>
      </c>
      <c r="F1069">
        <v>2</v>
      </c>
      <c r="G1069">
        <v>483.08</v>
      </c>
      <c r="H1069" s="2">
        <v>45972</v>
      </c>
      <c r="I1069" s="2">
        <v>45982</v>
      </c>
      <c r="J1069" t="s">
        <v>9</v>
      </c>
      <c r="K1069" s="2" t="str">
        <f>IFERROR(INDEX(Product_lookup[Category],MATCH(RawWorking[[#This Row],[ProductID]],Product_lookup[ProductID],0)),"")</f>
        <v>Office</v>
      </c>
      <c r="L1069" s="9">
        <f>IF(OR(RawWorking[[#This Row],[ShipDate]]="",RawWorking[[#This Row],[DeliveryDate]]=""),"",RawWorking[[#This Row],[DeliveryDate]]-RawWorking[[#This Row],[ShipDate]])</f>
        <v>10</v>
      </c>
      <c r="M1069" s="9">
        <f>IF(COUNTIF(INDEX(RawWorking[OrderID],1):RawWorking[[#This Row],[OrderID]],RawWorking[[#This Row],[OrderID]])=1,1,0)</f>
        <v>1</v>
      </c>
      <c r="N1069" s="4">
        <f>IFERROR(RawWorking[[#This Row],[LineAmount]]/RawWorking[[#This Row],[Quantity]],"")</f>
        <v>241.54</v>
      </c>
    </row>
    <row r="1070" spans="1:14">
      <c r="A1070">
        <v>51069</v>
      </c>
      <c r="B1070">
        <v>30616</v>
      </c>
      <c r="C1070" s="2">
        <v>45860</v>
      </c>
      <c r="D1070">
        <v>2320</v>
      </c>
      <c r="E1070">
        <v>1013</v>
      </c>
      <c r="F1070">
        <v>2</v>
      </c>
      <c r="G1070">
        <v>340.5</v>
      </c>
      <c r="H1070" s="2">
        <v>45861</v>
      </c>
      <c r="I1070" s="2">
        <v>45868</v>
      </c>
      <c r="J1070" t="s">
        <v>9</v>
      </c>
      <c r="K1070" s="2" t="str">
        <f>IFERROR(INDEX(Product_lookup[Category],MATCH(RawWorking[[#This Row],[ProductID]],Product_lookup[ProductID],0)),"")</f>
        <v>Office</v>
      </c>
      <c r="L1070" s="9">
        <f>IF(OR(RawWorking[[#This Row],[ShipDate]]="",RawWorking[[#This Row],[DeliveryDate]]=""),"",RawWorking[[#This Row],[DeliveryDate]]-RawWorking[[#This Row],[ShipDate]])</f>
        <v>7</v>
      </c>
      <c r="M1070" s="9">
        <f>IF(COUNTIF(INDEX(RawWorking[OrderID],1):RawWorking[[#This Row],[OrderID]],RawWorking[[#This Row],[OrderID]])=1,1,0)</f>
        <v>1</v>
      </c>
      <c r="N1070" s="4">
        <f>IFERROR(RawWorking[[#This Row],[LineAmount]]/RawWorking[[#This Row],[Quantity]],"")</f>
        <v>170.25</v>
      </c>
    </row>
    <row r="1071" spans="1:14">
      <c r="A1071">
        <v>51070</v>
      </c>
      <c r="B1071">
        <v>30617</v>
      </c>
      <c r="C1071" s="2">
        <v>45679</v>
      </c>
      <c r="D1071">
        <v>2516</v>
      </c>
      <c r="E1071">
        <v>1006</v>
      </c>
      <c r="F1071">
        <v>2</v>
      </c>
      <c r="G1071">
        <v>507.72</v>
      </c>
      <c r="H1071" s="2">
        <v>45681</v>
      </c>
      <c r="I1071" s="2">
        <v>45687</v>
      </c>
      <c r="J1071" t="s">
        <v>9</v>
      </c>
      <c r="K1071" s="2" t="str">
        <f>IFERROR(INDEX(Product_lookup[Category],MATCH(RawWorking[[#This Row],[ProductID]],Product_lookup[ProductID],0)),"")</f>
        <v>Home</v>
      </c>
      <c r="L1071" s="9">
        <f>IF(OR(RawWorking[[#This Row],[ShipDate]]="",RawWorking[[#This Row],[DeliveryDate]]=""),"",RawWorking[[#This Row],[DeliveryDate]]-RawWorking[[#This Row],[ShipDate]])</f>
        <v>6</v>
      </c>
      <c r="M1071" s="9">
        <f>IF(COUNTIF(INDEX(RawWorking[OrderID],1):RawWorking[[#This Row],[OrderID]],RawWorking[[#This Row],[OrderID]])=1,1,0)</f>
        <v>1</v>
      </c>
      <c r="N1071" s="4">
        <f>IFERROR(RawWorking[[#This Row],[LineAmount]]/RawWorking[[#This Row],[Quantity]],"")</f>
        <v>253.86</v>
      </c>
    </row>
    <row r="1072" spans="1:14">
      <c r="A1072">
        <v>51071</v>
      </c>
      <c r="B1072">
        <v>30617</v>
      </c>
      <c r="C1072" s="2">
        <v>45679</v>
      </c>
      <c r="D1072">
        <v>2516</v>
      </c>
      <c r="E1072">
        <v>1003</v>
      </c>
      <c r="F1072">
        <v>1</v>
      </c>
      <c r="G1072">
        <v>224.37</v>
      </c>
      <c r="H1072" s="2">
        <v>45681</v>
      </c>
      <c r="I1072" s="2">
        <v>45688</v>
      </c>
      <c r="J1072" t="s">
        <v>9</v>
      </c>
      <c r="K1072" s="2" t="str">
        <f>IFERROR(INDEX(Product_lookup[Category],MATCH(RawWorking[[#This Row],[ProductID]],Product_lookup[ProductID],0)),"")</f>
        <v>Electronics</v>
      </c>
      <c r="L1072" s="9">
        <f>IF(OR(RawWorking[[#This Row],[ShipDate]]="",RawWorking[[#This Row],[DeliveryDate]]=""),"",RawWorking[[#This Row],[DeliveryDate]]-RawWorking[[#This Row],[ShipDate]])</f>
        <v>7</v>
      </c>
      <c r="M1072" s="9">
        <f>IF(COUNTIF(INDEX(RawWorking[OrderID],1):RawWorking[[#This Row],[OrderID]],RawWorking[[#This Row],[OrderID]])=1,1,0)</f>
        <v>0</v>
      </c>
      <c r="N1072" s="4">
        <f>IFERROR(RawWorking[[#This Row],[LineAmount]]/RawWorking[[#This Row],[Quantity]],"")</f>
        <v>224.37</v>
      </c>
    </row>
    <row r="1073" spans="1:14">
      <c r="A1073">
        <v>51072</v>
      </c>
      <c r="B1073">
        <v>30618</v>
      </c>
      <c r="C1073" s="2">
        <v>45845</v>
      </c>
      <c r="D1073">
        <v>2047</v>
      </c>
      <c r="E1073">
        <v>1010</v>
      </c>
      <c r="F1073">
        <v>1</v>
      </c>
      <c r="G1073">
        <v>121.5</v>
      </c>
      <c r="H1073" s="2">
        <v>45847</v>
      </c>
      <c r="I1073" s="2">
        <v>45855</v>
      </c>
      <c r="J1073" t="s">
        <v>9</v>
      </c>
      <c r="K1073" s="2" t="str">
        <f>IFERROR(INDEX(Product_lookup[Category],MATCH(RawWorking[[#This Row],[ProductID]],Product_lookup[ProductID],0)),"")</f>
        <v>Office</v>
      </c>
      <c r="L1073" s="9">
        <f>IF(OR(RawWorking[[#This Row],[ShipDate]]="",RawWorking[[#This Row],[DeliveryDate]]=""),"",RawWorking[[#This Row],[DeliveryDate]]-RawWorking[[#This Row],[ShipDate]])</f>
        <v>8</v>
      </c>
      <c r="M1073" s="9">
        <f>IF(COUNTIF(INDEX(RawWorking[OrderID],1):RawWorking[[#This Row],[OrderID]],RawWorking[[#This Row],[OrderID]])=1,1,0)</f>
        <v>1</v>
      </c>
      <c r="N1073" s="4">
        <f>IFERROR(RawWorking[[#This Row],[LineAmount]]/RawWorking[[#This Row],[Quantity]],"")</f>
        <v>121.5</v>
      </c>
    </row>
    <row r="1074" spans="1:14">
      <c r="A1074">
        <v>51073</v>
      </c>
      <c r="B1074">
        <v>30619</v>
      </c>
      <c r="C1074" s="2">
        <v>45979</v>
      </c>
      <c r="D1074">
        <v>2467</v>
      </c>
      <c r="E1074">
        <v>1011</v>
      </c>
      <c r="F1074">
        <v>1</v>
      </c>
      <c r="G1074">
        <v>101.44</v>
      </c>
      <c r="H1074" s="2">
        <v>45982</v>
      </c>
      <c r="I1074" s="2">
        <v>45986</v>
      </c>
      <c r="J1074" t="s">
        <v>9</v>
      </c>
      <c r="K1074" s="2" t="str">
        <f>IFERROR(INDEX(Product_lookup[Category],MATCH(RawWorking[[#This Row],[ProductID]],Product_lookup[ProductID],0)),"")</f>
        <v>Office</v>
      </c>
      <c r="L1074" s="9">
        <f>IF(OR(RawWorking[[#This Row],[ShipDate]]="",RawWorking[[#This Row],[DeliveryDate]]=""),"",RawWorking[[#This Row],[DeliveryDate]]-RawWorking[[#This Row],[ShipDate]])</f>
        <v>4</v>
      </c>
      <c r="M1074" s="9">
        <f>IF(COUNTIF(INDEX(RawWorking[OrderID],1):RawWorking[[#This Row],[OrderID]],RawWorking[[#This Row],[OrderID]])=1,1,0)</f>
        <v>1</v>
      </c>
      <c r="N1074" s="4">
        <f>IFERROR(RawWorking[[#This Row],[LineAmount]]/RawWorking[[#This Row],[Quantity]],"")</f>
        <v>101.44</v>
      </c>
    </row>
    <row r="1075" spans="1:14">
      <c r="A1075">
        <v>51074</v>
      </c>
      <c r="B1075">
        <v>30619</v>
      </c>
      <c r="C1075" s="2">
        <v>45979</v>
      </c>
      <c r="D1075">
        <v>2467</v>
      </c>
      <c r="E1075">
        <v>1014</v>
      </c>
      <c r="F1075">
        <v>1</v>
      </c>
      <c r="G1075">
        <v>215.34</v>
      </c>
      <c r="H1075" s="2">
        <v>45982</v>
      </c>
      <c r="I1075" s="2">
        <v>45985</v>
      </c>
      <c r="J1075" t="s">
        <v>9</v>
      </c>
      <c r="K1075" s="2" t="str">
        <f>IFERROR(INDEX(Product_lookup[Category],MATCH(RawWorking[[#This Row],[ProductID]],Product_lookup[ProductID],0)),"")</f>
        <v>Sports</v>
      </c>
      <c r="L1075" s="9">
        <f>IF(OR(RawWorking[[#This Row],[ShipDate]]="",RawWorking[[#This Row],[DeliveryDate]]=""),"",RawWorking[[#This Row],[DeliveryDate]]-RawWorking[[#This Row],[ShipDate]])</f>
        <v>3</v>
      </c>
      <c r="M1075" s="9">
        <f>IF(COUNTIF(INDEX(RawWorking[OrderID],1):RawWorking[[#This Row],[OrderID]],RawWorking[[#This Row],[OrderID]])=1,1,0)</f>
        <v>0</v>
      </c>
      <c r="N1075" s="4">
        <f>IFERROR(RawWorking[[#This Row],[LineAmount]]/RawWorking[[#This Row],[Quantity]],"")</f>
        <v>215.34</v>
      </c>
    </row>
    <row r="1076" spans="1:14">
      <c r="A1076">
        <v>51075</v>
      </c>
      <c r="B1076">
        <v>30620</v>
      </c>
      <c r="C1076" s="2">
        <v>45897</v>
      </c>
      <c r="D1076">
        <v>2138</v>
      </c>
      <c r="E1076">
        <v>1016</v>
      </c>
      <c r="F1076">
        <v>1</v>
      </c>
      <c r="G1076">
        <v>65.260000000000005</v>
      </c>
      <c r="H1076" s="2">
        <v>45898</v>
      </c>
      <c r="I1076" s="2">
        <v>45900</v>
      </c>
      <c r="J1076" t="s">
        <v>9</v>
      </c>
      <c r="K1076" s="2" t="str">
        <f>IFERROR(INDEX(Product_lookup[Category],MATCH(RawWorking[[#This Row],[ProductID]],Product_lookup[ProductID],0)),"")</f>
        <v>Sports</v>
      </c>
      <c r="L1076" s="9">
        <f>IF(OR(RawWorking[[#This Row],[ShipDate]]="",RawWorking[[#This Row],[DeliveryDate]]=""),"",RawWorking[[#This Row],[DeliveryDate]]-RawWorking[[#This Row],[ShipDate]])</f>
        <v>2</v>
      </c>
      <c r="M1076" s="9">
        <f>IF(COUNTIF(INDEX(RawWorking[OrderID],1):RawWorking[[#This Row],[OrderID]],RawWorking[[#This Row],[OrderID]])=1,1,0)</f>
        <v>1</v>
      </c>
      <c r="N1076" s="4">
        <f>IFERROR(RawWorking[[#This Row],[LineAmount]]/RawWorking[[#This Row],[Quantity]],"")</f>
        <v>65.260000000000005</v>
      </c>
    </row>
    <row r="1077" spans="1:14">
      <c r="A1077">
        <v>51076</v>
      </c>
      <c r="B1077">
        <v>30620</v>
      </c>
      <c r="C1077" s="2">
        <v>45897</v>
      </c>
      <c r="D1077">
        <v>2138</v>
      </c>
      <c r="E1077">
        <v>1012</v>
      </c>
      <c r="F1077">
        <v>1</v>
      </c>
      <c r="G1077">
        <v>241.54</v>
      </c>
      <c r="H1077" s="2">
        <v>45900</v>
      </c>
      <c r="I1077" s="2">
        <v>45907</v>
      </c>
      <c r="J1077" t="s">
        <v>9</v>
      </c>
      <c r="K1077" s="2" t="str">
        <f>IFERROR(INDEX(Product_lookup[Category],MATCH(RawWorking[[#This Row],[ProductID]],Product_lookup[ProductID],0)),"")</f>
        <v>Office</v>
      </c>
      <c r="L1077" s="9">
        <f>IF(OR(RawWorking[[#This Row],[ShipDate]]="",RawWorking[[#This Row],[DeliveryDate]]=""),"",RawWorking[[#This Row],[DeliveryDate]]-RawWorking[[#This Row],[ShipDate]])</f>
        <v>7</v>
      </c>
      <c r="M1077" s="9">
        <f>IF(COUNTIF(INDEX(RawWorking[OrderID],1):RawWorking[[#This Row],[OrderID]],RawWorking[[#This Row],[OrderID]])=1,1,0)</f>
        <v>0</v>
      </c>
      <c r="N1077" s="4">
        <f>IFERROR(RawWorking[[#This Row],[LineAmount]]/RawWorking[[#This Row],[Quantity]],"")</f>
        <v>241.54</v>
      </c>
    </row>
    <row r="1078" spans="1:14">
      <c r="A1078">
        <v>51077</v>
      </c>
      <c r="B1078">
        <v>30620</v>
      </c>
      <c r="C1078" s="2">
        <v>45897</v>
      </c>
      <c r="D1078">
        <v>2138</v>
      </c>
      <c r="E1078">
        <v>1007</v>
      </c>
      <c r="F1078">
        <v>1</v>
      </c>
      <c r="G1078">
        <v>199.81</v>
      </c>
      <c r="H1078" s="2">
        <v>45898</v>
      </c>
      <c r="I1078" s="2">
        <v>45900</v>
      </c>
      <c r="J1078" t="s">
        <v>9</v>
      </c>
      <c r="K1078" s="2" t="str">
        <f>IFERROR(INDEX(Product_lookup[Category],MATCH(RawWorking[[#This Row],[ProductID]],Product_lookup[ProductID],0)),"")</f>
        <v>Home</v>
      </c>
      <c r="L1078" s="9">
        <f>IF(OR(RawWorking[[#This Row],[ShipDate]]="",RawWorking[[#This Row],[DeliveryDate]]=""),"",RawWorking[[#This Row],[DeliveryDate]]-RawWorking[[#This Row],[ShipDate]])</f>
        <v>2</v>
      </c>
      <c r="M1078" s="9">
        <f>IF(COUNTIF(INDEX(RawWorking[OrderID],1):RawWorking[[#This Row],[OrderID]],RawWorking[[#This Row],[OrderID]])=1,1,0)</f>
        <v>0</v>
      </c>
      <c r="N1078" s="4">
        <f>IFERROR(RawWorking[[#This Row],[LineAmount]]/RawWorking[[#This Row],[Quantity]],"")</f>
        <v>199.81</v>
      </c>
    </row>
    <row r="1079" spans="1:14">
      <c r="A1079">
        <v>51078</v>
      </c>
      <c r="B1079">
        <v>30620</v>
      </c>
      <c r="C1079" s="2">
        <v>45897</v>
      </c>
      <c r="D1079">
        <v>2138</v>
      </c>
      <c r="E1079">
        <v>1006</v>
      </c>
      <c r="F1079">
        <v>2</v>
      </c>
      <c r="G1079">
        <v>507.72</v>
      </c>
      <c r="H1079" s="2">
        <v>45898</v>
      </c>
      <c r="I1079" s="2">
        <v>45899</v>
      </c>
      <c r="J1079" t="s">
        <v>9</v>
      </c>
      <c r="K1079" s="2" t="str">
        <f>IFERROR(INDEX(Product_lookup[Category],MATCH(RawWorking[[#This Row],[ProductID]],Product_lookup[ProductID],0)),"")</f>
        <v>Home</v>
      </c>
      <c r="L1079" s="9">
        <f>IF(OR(RawWorking[[#This Row],[ShipDate]]="",RawWorking[[#This Row],[DeliveryDate]]=""),"",RawWorking[[#This Row],[DeliveryDate]]-RawWorking[[#This Row],[ShipDate]])</f>
        <v>1</v>
      </c>
      <c r="M1079" s="9">
        <f>IF(COUNTIF(INDEX(RawWorking[OrderID],1):RawWorking[[#This Row],[OrderID]],RawWorking[[#This Row],[OrderID]])=1,1,0)</f>
        <v>0</v>
      </c>
      <c r="N1079" s="4">
        <f>IFERROR(RawWorking[[#This Row],[LineAmount]]/RawWorking[[#This Row],[Quantity]],"")</f>
        <v>253.86</v>
      </c>
    </row>
    <row r="1080" spans="1:14">
      <c r="A1080">
        <v>51079</v>
      </c>
      <c r="B1080">
        <v>30621</v>
      </c>
      <c r="C1080" s="2">
        <v>46007</v>
      </c>
      <c r="E1080">
        <v>1008</v>
      </c>
      <c r="F1080">
        <v>1</v>
      </c>
      <c r="G1080">
        <v>206.09</v>
      </c>
      <c r="H1080" s="2">
        <v>46008</v>
      </c>
      <c r="I1080" s="2">
        <v>46016</v>
      </c>
      <c r="J1080" t="s">
        <v>9</v>
      </c>
      <c r="K1080" s="2" t="str">
        <f>IFERROR(INDEX(Product_lookup[Category],MATCH(RawWorking[[#This Row],[ProductID]],Product_lookup[ProductID],0)),"")</f>
        <v>Home</v>
      </c>
      <c r="L1080" s="9">
        <f>IF(OR(RawWorking[[#This Row],[ShipDate]]="",RawWorking[[#This Row],[DeliveryDate]]=""),"",RawWorking[[#This Row],[DeliveryDate]]-RawWorking[[#This Row],[ShipDate]])</f>
        <v>8</v>
      </c>
      <c r="M1080" s="9">
        <f>IF(COUNTIF(INDEX(RawWorking[OrderID],1):RawWorking[[#This Row],[OrderID]],RawWorking[[#This Row],[OrderID]])=1,1,0)</f>
        <v>1</v>
      </c>
      <c r="N1080" s="4">
        <f>IFERROR(RawWorking[[#This Row],[LineAmount]]/RawWorking[[#This Row],[Quantity]],"")</f>
        <v>206.09</v>
      </c>
    </row>
    <row r="1081" spans="1:14">
      <c r="A1081">
        <v>51080</v>
      </c>
      <c r="B1081">
        <v>30621</v>
      </c>
      <c r="C1081" s="2">
        <v>46007</v>
      </c>
      <c r="D1081">
        <v>2414</v>
      </c>
      <c r="E1081">
        <v>1005</v>
      </c>
      <c r="F1081">
        <v>1</v>
      </c>
      <c r="G1081">
        <v>31.73</v>
      </c>
      <c r="H1081" s="2">
        <v>46009</v>
      </c>
      <c r="I1081" s="2">
        <v>46019</v>
      </c>
      <c r="J1081" t="s">
        <v>9</v>
      </c>
      <c r="K1081" s="2" t="str">
        <f>IFERROR(INDEX(Product_lookup[Category],MATCH(RawWorking[[#This Row],[ProductID]],Product_lookup[ProductID],0)),"")</f>
        <v>Electronics</v>
      </c>
      <c r="L1081" s="9">
        <f>IF(OR(RawWorking[[#This Row],[ShipDate]]="",RawWorking[[#This Row],[DeliveryDate]]=""),"",RawWorking[[#This Row],[DeliveryDate]]-RawWorking[[#This Row],[ShipDate]])</f>
        <v>10</v>
      </c>
      <c r="M1081" s="9">
        <f>IF(COUNTIF(INDEX(RawWorking[OrderID],1):RawWorking[[#This Row],[OrderID]],RawWorking[[#This Row],[OrderID]])=1,1,0)</f>
        <v>0</v>
      </c>
      <c r="N1081" s="4">
        <f>IFERROR(RawWorking[[#This Row],[LineAmount]]/RawWorking[[#This Row],[Quantity]],"")</f>
        <v>31.73</v>
      </c>
    </row>
    <row r="1082" spans="1:14">
      <c r="A1082">
        <v>51081</v>
      </c>
      <c r="B1082">
        <v>30621</v>
      </c>
      <c r="C1082" s="2">
        <v>46007</v>
      </c>
      <c r="D1082">
        <v>2414</v>
      </c>
      <c r="E1082">
        <v>1007</v>
      </c>
      <c r="F1082">
        <v>1</v>
      </c>
      <c r="G1082">
        <v>199.81</v>
      </c>
      <c r="H1082" s="2">
        <v>46008</v>
      </c>
      <c r="I1082" s="2">
        <v>46012</v>
      </c>
      <c r="J1082" t="s">
        <v>9</v>
      </c>
      <c r="K1082" s="2" t="str">
        <f>IFERROR(INDEX(Product_lookup[Category],MATCH(RawWorking[[#This Row],[ProductID]],Product_lookup[ProductID],0)),"")</f>
        <v>Home</v>
      </c>
      <c r="L1082" s="9">
        <f>IF(OR(RawWorking[[#This Row],[ShipDate]]="",RawWorking[[#This Row],[DeliveryDate]]=""),"",RawWorking[[#This Row],[DeliveryDate]]-RawWorking[[#This Row],[ShipDate]])</f>
        <v>4</v>
      </c>
      <c r="M1082" s="9">
        <f>IF(COUNTIF(INDEX(RawWorking[OrderID],1):RawWorking[[#This Row],[OrderID]],RawWorking[[#This Row],[OrderID]])=1,1,0)</f>
        <v>0</v>
      </c>
      <c r="N1082" s="4">
        <f>IFERROR(RawWorking[[#This Row],[LineAmount]]/RawWorking[[#This Row],[Quantity]],"")</f>
        <v>199.81</v>
      </c>
    </row>
    <row r="1083" spans="1:14">
      <c r="A1083">
        <v>51082</v>
      </c>
      <c r="B1083">
        <v>30622</v>
      </c>
      <c r="C1083" s="2">
        <v>45909</v>
      </c>
      <c r="D1083">
        <v>2023</v>
      </c>
      <c r="E1083">
        <v>1006</v>
      </c>
      <c r="F1083">
        <v>1</v>
      </c>
      <c r="G1083">
        <v>253.86</v>
      </c>
      <c r="H1083" s="2">
        <v>45910</v>
      </c>
      <c r="I1083" s="2">
        <v>45917</v>
      </c>
      <c r="J1083" t="s">
        <v>9</v>
      </c>
      <c r="K1083" s="2" t="str">
        <f>IFERROR(INDEX(Product_lookup[Category],MATCH(RawWorking[[#This Row],[ProductID]],Product_lookup[ProductID],0)),"")</f>
        <v>Home</v>
      </c>
      <c r="L1083" s="9">
        <f>IF(OR(RawWorking[[#This Row],[ShipDate]]="",RawWorking[[#This Row],[DeliveryDate]]=""),"",RawWorking[[#This Row],[DeliveryDate]]-RawWorking[[#This Row],[ShipDate]])</f>
        <v>7</v>
      </c>
      <c r="M1083" s="9">
        <f>IF(COUNTIF(INDEX(RawWorking[OrderID],1):RawWorking[[#This Row],[OrderID]],RawWorking[[#This Row],[OrderID]])=1,1,0)</f>
        <v>1</v>
      </c>
      <c r="N1083" s="4">
        <f>IFERROR(RawWorking[[#This Row],[LineAmount]]/RawWorking[[#This Row],[Quantity]],"")</f>
        <v>253.86</v>
      </c>
    </row>
    <row r="1084" spans="1:14">
      <c r="A1084">
        <v>51083</v>
      </c>
      <c r="B1084">
        <v>30623</v>
      </c>
      <c r="C1084" s="2">
        <v>45991</v>
      </c>
      <c r="D1084">
        <v>2127</v>
      </c>
      <c r="E1084">
        <v>1002</v>
      </c>
      <c r="F1084">
        <v>4</v>
      </c>
      <c r="G1084">
        <v>474.4</v>
      </c>
      <c r="H1084" s="2">
        <v>45994</v>
      </c>
      <c r="I1084" s="2">
        <v>45996</v>
      </c>
      <c r="J1084" t="s">
        <v>9</v>
      </c>
      <c r="K1084" s="2" t="str">
        <f>IFERROR(INDEX(Product_lookup[Category],MATCH(RawWorking[[#This Row],[ProductID]],Product_lookup[ProductID],0)),"")</f>
        <v>Electronics</v>
      </c>
      <c r="L1084" s="9">
        <f>IF(OR(RawWorking[[#This Row],[ShipDate]]="",RawWorking[[#This Row],[DeliveryDate]]=""),"",RawWorking[[#This Row],[DeliveryDate]]-RawWorking[[#This Row],[ShipDate]])</f>
        <v>2</v>
      </c>
      <c r="M1084" s="9">
        <f>IF(COUNTIF(INDEX(RawWorking[OrderID],1):RawWorking[[#This Row],[OrderID]],RawWorking[[#This Row],[OrderID]])=1,1,0)</f>
        <v>1</v>
      </c>
      <c r="N1084" s="4">
        <f>IFERROR(RawWorking[[#This Row],[LineAmount]]/RawWorking[[#This Row],[Quantity]],"")</f>
        <v>118.6</v>
      </c>
    </row>
    <row r="1085" spans="1:14">
      <c r="A1085">
        <v>51084</v>
      </c>
      <c r="B1085">
        <v>30623</v>
      </c>
      <c r="C1085" s="2">
        <v>45991</v>
      </c>
      <c r="D1085">
        <v>2127</v>
      </c>
      <c r="E1085">
        <v>1013</v>
      </c>
      <c r="F1085">
        <v>2</v>
      </c>
      <c r="G1085">
        <v>340.5</v>
      </c>
      <c r="H1085" s="2">
        <v>45992</v>
      </c>
      <c r="I1085" s="2">
        <v>45995</v>
      </c>
      <c r="J1085" t="s">
        <v>9</v>
      </c>
      <c r="K1085" s="2" t="str">
        <f>IFERROR(INDEX(Product_lookup[Category],MATCH(RawWorking[[#This Row],[ProductID]],Product_lookup[ProductID],0)),"")</f>
        <v>Office</v>
      </c>
      <c r="L1085" s="9">
        <f>IF(OR(RawWorking[[#This Row],[ShipDate]]="",RawWorking[[#This Row],[DeliveryDate]]=""),"",RawWorking[[#This Row],[DeliveryDate]]-RawWorking[[#This Row],[ShipDate]])</f>
        <v>3</v>
      </c>
      <c r="M1085" s="9">
        <f>IF(COUNTIF(INDEX(RawWorking[OrderID],1):RawWorking[[#This Row],[OrderID]],RawWorking[[#This Row],[OrderID]])=1,1,0)</f>
        <v>0</v>
      </c>
      <c r="N1085" s="4">
        <f>IFERROR(RawWorking[[#This Row],[LineAmount]]/RawWorking[[#This Row],[Quantity]],"")</f>
        <v>170.25</v>
      </c>
    </row>
    <row r="1086" spans="1:14">
      <c r="A1086">
        <v>51085</v>
      </c>
      <c r="B1086">
        <v>30624</v>
      </c>
      <c r="C1086" s="2">
        <v>45789</v>
      </c>
      <c r="D1086">
        <v>2262</v>
      </c>
      <c r="E1086">
        <v>1002</v>
      </c>
      <c r="F1086">
        <v>1</v>
      </c>
      <c r="G1086">
        <v>118.6</v>
      </c>
      <c r="H1086" s="2" t="s">
        <v>1421</v>
      </c>
      <c r="I1086" s="2" t="s">
        <v>1421</v>
      </c>
      <c r="J1086" t="s">
        <v>16</v>
      </c>
      <c r="K1086" s="2" t="str">
        <f>IFERROR(INDEX(Product_lookup[Category],MATCH(RawWorking[[#This Row],[ProductID]],Product_lookup[ProductID],0)),"")</f>
        <v>Electronics</v>
      </c>
      <c r="L1086" s="9" t="str">
        <f>IF(OR(RawWorking[[#This Row],[ShipDate]]="",RawWorking[[#This Row],[DeliveryDate]]=""),"",RawWorking[[#This Row],[DeliveryDate]]-RawWorking[[#This Row],[ShipDate]])</f>
        <v/>
      </c>
      <c r="M1086" s="9">
        <f>IF(COUNTIF(INDEX(RawWorking[OrderID],1):RawWorking[[#This Row],[OrderID]],RawWorking[[#This Row],[OrderID]])=1,1,0)</f>
        <v>1</v>
      </c>
      <c r="N1086" s="4">
        <f>IFERROR(RawWorking[[#This Row],[LineAmount]]/RawWorking[[#This Row],[Quantity]],"")</f>
        <v>118.6</v>
      </c>
    </row>
    <row r="1087" spans="1:14">
      <c r="A1087">
        <v>51086</v>
      </c>
      <c r="B1087">
        <v>30625</v>
      </c>
      <c r="C1087" s="2">
        <v>45856</v>
      </c>
      <c r="D1087">
        <v>2050</v>
      </c>
      <c r="E1087">
        <v>1001</v>
      </c>
      <c r="F1087">
        <v>1</v>
      </c>
      <c r="G1087">
        <v>203.04</v>
      </c>
      <c r="H1087" s="2">
        <v>45857</v>
      </c>
      <c r="I1087" s="2">
        <v>45862</v>
      </c>
      <c r="J1087" t="s">
        <v>9</v>
      </c>
      <c r="K1087" s="2" t="str">
        <f>IFERROR(INDEX(Product_lookup[Category],MATCH(RawWorking[[#This Row],[ProductID]],Product_lookup[ProductID],0)),"")</f>
        <v>Electronics</v>
      </c>
      <c r="L1087" s="9">
        <f>IF(OR(RawWorking[[#This Row],[ShipDate]]="",RawWorking[[#This Row],[DeliveryDate]]=""),"",RawWorking[[#This Row],[DeliveryDate]]-RawWorking[[#This Row],[ShipDate]])</f>
        <v>5</v>
      </c>
      <c r="M1087" s="9">
        <f>IF(COUNTIF(INDEX(RawWorking[OrderID],1):RawWorking[[#This Row],[OrderID]],RawWorking[[#This Row],[OrderID]])=1,1,0)</f>
        <v>1</v>
      </c>
      <c r="N1087" s="4">
        <f>IFERROR(RawWorking[[#This Row],[LineAmount]]/RawWorking[[#This Row],[Quantity]],"")</f>
        <v>203.04</v>
      </c>
    </row>
    <row r="1088" spans="1:14">
      <c r="A1088">
        <v>51087</v>
      </c>
      <c r="B1088">
        <v>30625</v>
      </c>
      <c r="C1088" s="2">
        <v>45856</v>
      </c>
      <c r="D1088">
        <v>2050</v>
      </c>
      <c r="E1088">
        <v>1002</v>
      </c>
      <c r="F1088">
        <v>2</v>
      </c>
      <c r="G1088">
        <v>237.2</v>
      </c>
      <c r="H1088" s="2">
        <v>45857</v>
      </c>
      <c r="I1088" s="2">
        <v>45859</v>
      </c>
      <c r="J1088" t="s">
        <v>9</v>
      </c>
      <c r="K1088" s="2" t="str">
        <f>IFERROR(INDEX(Product_lookup[Category],MATCH(RawWorking[[#This Row],[ProductID]],Product_lookup[ProductID],0)),"")</f>
        <v>Electronics</v>
      </c>
      <c r="L1088" s="9">
        <f>IF(OR(RawWorking[[#This Row],[ShipDate]]="",RawWorking[[#This Row],[DeliveryDate]]=""),"",RawWorking[[#This Row],[DeliveryDate]]-RawWorking[[#This Row],[ShipDate]])</f>
        <v>2</v>
      </c>
      <c r="M1088" s="9">
        <f>IF(COUNTIF(INDEX(RawWorking[OrderID],1):RawWorking[[#This Row],[OrderID]],RawWorking[[#This Row],[OrderID]])=1,1,0)</f>
        <v>0</v>
      </c>
      <c r="N1088" s="4">
        <f>IFERROR(RawWorking[[#This Row],[LineAmount]]/RawWorking[[#This Row],[Quantity]],"")</f>
        <v>118.6</v>
      </c>
    </row>
    <row r="1089" spans="1:14">
      <c r="A1089">
        <v>51088</v>
      </c>
      <c r="B1089">
        <v>30626</v>
      </c>
      <c r="C1089" s="2">
        <v>45753</v>
      </c>
      <c r="D1089">
        <v>2119</v>
      </c>
      <c r="E1089">
        <v>1013</v>
      </c>
      <c r="F1089">
        <v>3</v>
      </c>
      <c r="G1089">
        <v>510.75</v>
      </c>
      <c r="H1089" s="2">
        <v>45756</v>
      </c>
      <c r="I1089" s="2">
        <v>45758</v>
      </c>
      <c r="J1089" t="s">
        <v>9</v>
      </c>
      <c r="K1089" s="2" t="str">
        <f>IFERROR(INDEX(Product_lookup[Category],MATCH(RawWorking[[#This Row],[ProductID]],Product_lookup[ProductID],0)),"")</f>
        <v>Office</v>
      </c>
      <c r="L1089" s="9">
        <f>IF(OR(RawWorking[[#This Row],[ShipDate]]="",RawWorking[[#This Row],[DeliveryDate]]=""),"",RawWorking[[#This Row],[DeliveryDate]]-RawWorking[[#This Row],[ShipDate]])</f>
        <v>2</v>
      </c>
      <c r="M1089" s="9">
        <f>IF(COUNTIF(INDEX(RawWorking[OrderID],1):RawWorking[[#This Row],[OrderID]],RawWorking[[#This Row],[OrderID]])=1,1,0)</f>
        <v>1</v>
      </c>
      <c r="N1089" s="4">
        <f>IFERROR(RawWorking[[#This Row],[LineAmount]]/RawWorking[[#This Row],[Quantity]],"")</f>
        <v>170.25</v>
      </c>
    </row>
    <row r="1090" spans="1:14">
      <c r="A1090">
        <v>51089</v>
      </c>
      <c r="B1090">
        <v>30627</v>
      </c>
      <c r="C1090" s="2">
        <v>45896</v>
      </c>
      <c r="D1090">
        <v>2127</v>
      </c>
      <c r="E1090">
        <v>1016</v>
      </c>
      <c r="F1090">
        <v>2</v>
      </c>
      <c r="G1090">
        <v>130.52000000000001</v>
      </c>
      <c r="H1090" s="2">
        <v>45898</v>
      </c>
      <c r="I1090" s="2">
        <v>45907</v>
      </c>
      <c r="J1090" t="s">
        <v>9</v>
      </c>
      <c r="K1090" s="2" t="str">
        <f>IFERROR(INDEX(Product_lookup[Category],MATCH(RawWorking[[#This Row],[ProductID]],Product_lookup[ProductID],0)),"")</f>
        <v>Sports</v>
      </c>
      <c r="L1090" s="9">
        <f>IF(OR(RawWorking[[#This Row],[ShipDate]]="",RawWorking[[#This Row],[DeliveryDate]]=""),"",RawWorking[[#This Row],[DeliveryDate]]-RawWorking[[#This Row],[ShipDate]])</f>
        <v>9</v>
      </c>
      <c r="M1090" s="9">
        <f>IF(COUNTIF(INDEX(RawWorking[OrderID],1):RawWorking[[#This Row],[OrderID]],RawWorking[[#This Row],[OrderID]])=1,1,0)</f>
        <v>1</v>
      </c>
      <c r="N1090" s="4">
        <f>IFERROR(RawWorking[[#This Row],[LineAmount]]/RawWorking[[#This Row],[Quantity]],"")</f>
        <v>65.260000000000005</v>
      </c>
    </row>
    <row r="1091" spans="1:14">
      <c r="A1091">
        <v>51090</v>
      </c>
      <c r="B1091">
        <v>30627</v>
      </c>
      <c r="C1091" s="2">
        <v>45896</v>
      </c>
      <c r="D1091">
        <v>2127</v>
      </c>
      <c r="E1091">
        <v>1005</v>
      </c>
      <c r="F1091">
        <v>2</v>
      </c>
      <c r="G1091">
        <v>63.46</v>
      </c>
      <c r="H1091" s="2">
        <v>45899</v>
      </c>
      <c r="I1091" s="2">
        <v>45902</v>
      </c>
      <c r="J1091" t="s">
        <v>9</v>
      </c>
      <c r="K1091" s="2" t="str">
        <f>IFERROR(INDEX(Product_lookup[Category],MATCH(RawWorking[[#This Row],[ProductID]],Product_lookup[ProductID],0)),"")</f>
        <v>Electronics</v>
      </c>
      <c r="L1091" s="9">
        <f>IF(OR(RawWorking[[#This Row],[ShipDate]]="",RawWorking[[#This Row],[DeliveryDate]]=""),"",RawWorking[[#This Row],[DeliveryDate]]-RawWorking[[#This Row],[ShipDate]])</f>
        <v>3</v>
      </c>
      <c r="M1091" s="9">
        <f>IF(COUNTIF(INDEX(RawWorking[OrderID],1):RawWorking[[#This Row],[OrderID]],RawWorking[[#This Row],[OrderID]])=1,1,0)</f>
        <v>0</v>
      </c>
      <c r="N1091" s="4">
        <f>IFERROR(RawWorking[[#This Row],[LineAmount]]/RawWorking[[#This Row],[Quantity]],"")</f>
        <v>31.73</v>
      </c>
    </row>
    <row r="1092" spans="1:14">
      <c r="A1092">
        <v>51091</v>
      </c>
      <c r="B1092">
        <v>30628</v>
      </c>
      <c r="C1092" s="2">
        <v>45929</v>
      </c>
      <c r="D1092">
        <v>2211</v>
      </c>
      <c r="E1092">
        <v>1001</v>
      </c>
      <c r="F1092">
        <v>1</v>
      </c>
      <c r="G1092">
        <v>203.04</v>
      </c>
      <c r="H1092" s="2">
        <v>45930</v>
      </c>
      <c r="I1092" s="2">
        <v>45938</v>
      </c>
      <c r="J1092" t="s">
        <v>9</v>
      </c>
      <c r="K1092" s="2" t="str">
        <f>IFERROR(INDEX(Product_lookup[Category],MATCH(RawWorking[[#This Row],[ProductID]],Product_lookup[ProductID],0)),"")</f>
        <v>Electronics</v>
      </c>
      <c r="L1092" s="9">
        <f>IF(OR(RawWorking[[#This Row],[ShipDate]]="",RawWorking[[#This Row],[DeliveryDate]]=""),"",RawWorking[[#This Row],[DeliveryDate]]-RawWorking[[#This Row],[ShipDate]])</f>
        <v>8</v>
      </c>
      <c r="M1092" s="9">
        <f>IF(COUNTIF(INDEX(RawWorking[OrderID],1):RawWorking[[#This Row],[OrderID]],RawWorking[[#This Row],[OrderID]])=1,1,0)</f>
        <v>1</v>
      </c>
      <c r="N1092" s="4">
        <f>IFERROR(RawWorking[[#This Row],[LineAmount]]/RawWorking[[#This Row],[Quantity]],"")</f>
        <v>203.04</v>
      </c>
    </row>
    <row r="1093" spans="1:14">
      <c r="A1093">
        <v>51092</v>
      </c>
      <c r="B1093">
        <v>30628</v>
      </c>
      <c r="C1093" s="2">
        <v>45929</v>
      </c>
      <c r="D1093">
        <v>2211</v>
      </c>
      <c r="E1093">
        <v>1010</v>
      </c>
      <c r="F1093">
        <v>1</v>
      </c>
      <c r="G1093">
        <v>121.5</v>
      </c>
      <c r="H1093" s="2">
        <v>45930</v>
      </c>
      <c r="I1093" s="2">
        <v>45940</v>
      </c>
      <c r="J1093" t="s">
        <v>9</v>
      </c>
      <c r="K1093" s="2" t="str">
        <f>IFERROR(INDEX(Product_lookup[Category],MATCH(RawWorking[[#This Row],[ProductID]],Product_lookup[ProductID],0)),"")</f>
        <v>Office</v>
      </c>
      <c r="L1093" s="9">
        <f>IF(OR(RawWorking[[#This Row],[ShipDate]]="",RawWorking[[#This Row],[DeliveryDate]]=""),"",RawWorking[[#This Row],[DeliveryDate]]-RawWorking[[#This Row],[ShipDate]])</f>
        <v>10</v>
      </c>
      <c r="M1093" s="9">
        <f>IF(COUNTIF(INDEX(RawWorking[OrderID],1):RawWorking[[#This Row],[OrderID]],RawWorking[[#This Row],[OrderID]])=1,1,0)</f>
        <v>0</v>
      </c>
      <c r="N1093" s="4">
        <f>IFERROR(RawWorking[[#This Row],[LineAmount]]/RawWorking[[#This Row],[Quantity]],"")</f>
        <v>121.5</v>
      </c>
    </row>
    <row r="1094" spans="1:14">
      <c r="A1094">
        <v>51093</v>
      </c>
      <c r="B1094">
        <v>30629</v>
      </c>
      <c r="C1094" s="2">
        <v>45858</v>
      </c>
      <c r="D1094">
        <v>2431</v>
      </c>
      <c r="E1094">
        <v>1009</v>
      </c>
      <c r="F1094">
        <v>2</v>
      </c>
      <c r="G1094">
        <v>80.56</v>
      </c>
      <c r="H1094" s="2">
        <v>45860</v>
      </c>
      <c r="I1094" s="2">
        <v>45868</v>
      </c>
      <c r="J1094" t="s">
        <v>9</v>
      </c>
      <c r="K1094" s="2" t="str">
        <f>IFERROR(INDEX(Product_lookup[Category],MATCH(RawWorking[[#This Row],[ProductID]],Product_lookup[ProductID],0)),"")</f>
        <v>Home</v>
      </c>
      <c r="L1094" s="9">
        <f>IF(OR(RawWorking[[#This Row],[ShipDate]]="",RawWorking[[#This Row],[DeliveryDate]]=""),"",RawWorking[[#This Row],[DeliveryDate]]-RawWorking[[#This Row],[ShipDate]])</f>
        <v>8</v>
      </c>
      <c r="M1094" s="9">
        <f>IF(COUNTIF(INDEX(RawWorking[OrderID],1):RawWorking[[#This Row],[OrderID]],RawWorking[[#This Row],[OrderID]])=1,1,0)</f>
        <v>1</v>
      </c>
      <c r="N1094" s="4">
        <f>IFERROR(RawWorking[[#This Row],[LineAmount]]/RawWorking[[#This Row],[Quantity]],"")</f>
        <v>40.28</v>
      </c>
    </row>
    <row r="1095" spans="1:14">
      <c r="A1095">
        <v>51094</v>
      </c>
      <c r="B1095">
        <v>30630</v>
      </c>
      <c r="C1095" s="2">
        <v>45996</v>
      </c>
      <c r="D1095">
        <v>2141</v>
      </c>
      <c r="E1095">
        <v>1004</v>
      </c>
      <c r="F1095">
        <v>1</v>
      </c>
      <c r="G1095">
        <v>183.74</v>
      </c>
      <c r="H1095" s="2">
        <v>45999</v>
      </c>
      <c r="I1095" s="2">
        <v>46008</v>
      </c>
      <c r="J1095" t="s">
        <v>9</v>
      </c>
      <c r="K1095" s="2" t="str">
        <f>IFERROR(INDEX(Product_lookup[Category],MATCH(RawWorking[[#This Row],[ProductID]],Product_lookup[ProductID],0)),"")</f>
        <v>Electronics</v>
      </c>
      <c r="L1095" s="9">
        <f>IF(OR(RawWorking[[#This Row],[ShipDate]]="",RawWorking[[#This Row],[DeliveryDate]]=""),"",RawWorking[[#This Row],[DeliveryDate]]-RawWorking[[#This Row],[ShipDate]])</f>
        <v>9</v>
      </c>
      <c r="M1095" s="9">
        <f>IF(COUNTIF(INDEX(RawWorking[OrderID],1):RawWorking[[#This Row],[OrderID]],RawWorking[[#This Row],[OrderID]])=1,1,0)</f>
        <v>1</v>
      </c>
      <c r="N1095" s="4">
        <f>IFERROR(RawWorking[[#This Row],[LineAmount]]/RawWorking[[#This Row],[Quantity]],"")</f>
        <v>183.74</v>
      </c>
    </row>
    <row r="1096" spans="1:14">
      <c r="A1096">
        <v>51095</v>
      </c>
      <c r="B1096">
        <v>30631</v>
      </c>
      <c r="C1096" s="2">
        <v>45863</v>
      </c>
      <c r="D1096">
        <v>2524</v>
      </c>
      <c r="E1096">
        <v>1004</v>
      </c>
      <c r="F1096">
        <v>2</v>
      </c>
      <c r="G1096">
        <v>367.48</v>
      </c>
      <c r="H1096" s="2">
        <v>45864</v>
      </c>
      <c r="I1096" s="2">
        <v>45867</v>
      </c>
      <c r="J1096" t="s">
        <v>9</v>
      </c>
      <c r="K1096" s="2" t="str">
        <f>IFERROR(INDEX(Product_lookup[Category],MATCH(RawWorking[[#This Row],[ProductID]],Product_lookup[ProductID],0)),"")</f>
        <v>Electronics</v>
      </c>
      <c r="L1096" s="9">
        <f>IF(OR(RawWorking[[#This Row],[ShipDate]]="",RawWorking[[#This Row],[DeliveryDate]]=""),"",RawWorking[[#This Row],[DeliveryDate]]-RawWorking[[#This Row],[ShipDate]])</f>
        <v>3</v>
      </c>
      <c r="M1096" s="9">
        <f>IF(COUNTIF(INDEX(RawWorking[OrderID],1):RawWorking[[#This Row],[OrderID]],RawWorking[[#This Row],[OrderID]])=1,1,0)</f>
        <v>1</v>
      </c>
      <c r="N1096" s="4">
        <f>IFERROR(RawWorking[[#This Row],[LineAmount]]/RawWorking[[#This Row],[Quantity]],"")</f>
        <v>183.74</v>
      </c>
    </row>
    <row r="1097" spans="1:14">
      <c r="A1097">
        <v>51096</v>
      </c>
      <c r="B1097">
        <v>30632</v>
      </c>
      <c r="C1097" s="2">
        <v>45880</v>
      </c>
      <c r="D1097">
        <v>2290</v>
      </c>
      <c r="E1097">
        <v>1004</v>
      </c>
      <c r="F1097">
        <v>3</v>
      </c>
      <c r="G1097">
        <v>551.22</v>
      </c>
      <c r="H1097" s="2">
        <v>45972</v>
      </c>
      <c r="I1097" s="2">
        <v>45979</v>
      </c>
      <c r="J1097" t="s">
        <v>9</v>
      </c>
      <c r="K1097" s="2" t="str">
        <f>IFERROR(INDEX(Product_lookup[Category],MATCH(RawWorking[[#This Row],[ProductID]],Product_lookup[ProductID],0)),"")</f>
        <v>Electronics</v>
      </c>
      <c r="L1097" s="9">
        <f>IF(OR(RawWorking[[#This Row],[ShipDate]]="",RawWorking[[#This Row],[DeliveryDate]]=""),"",RawWorking[[#This Row],[DeliveryDate]]-RawWorking[[#This Row],[ShipDate]])</f>
        <v>7</v>
      </c>
      <c r="M1097" s="9">
        <f>IF(COUNTIF(INDEX(RawWorking[OrderID],1):RawWorking[[#This Row],[OrderID]],RawWorking[[#This Row],[OrderID]])=1,1,0)</f>
        <v>1</v>
      </c>
      <c r="N1097" s="4">
        <f>IFERROR(RawWorking[[#This Row],[LineAmount]]/RawWorking[[#This Row],[Quantity]],"")</f>
        <v>183.74</v>
      </c>
    </row>
    <row r="1098" spans="1:14">
      <c r="A1098">
        <v>51097</v>
      </c>
      <c r="B1098">
        <v>30633</v>
      </c>
      <c r="C1098" s="2">
        <v>45785</v>
      </c>
      <c r="D1098">
        <v>2510</v>
      </c>
      <c r="E1098">
        <v>1007</v>
      </c>
      <c r="F1098">
        <v>2</v>
      </c>
      <c r="G1098">
        <v>399.62</v>
      </c>
      <c r="H1098" s="2">
        <v>45875</v>
      </c>
      <c r="I1098" s="2">
        <v>45876</v>
      </c>
      <c r="J1098" t="s">
        <v>9</v>
      </c>
      <c r="K1098" s="2" t="str">
        <f>IFERROR(INDEX(Product_lookup[Category],MATCH(RawWorking[[#This Row],[ProductID]],Product_lookup[ProductID],0)),"")</f>
        <v>Home</v>
      </c>
      <c r="L1098" s="9">
        <f>IF(OR(RawWorking[[#This Row],[ShipDate]]="",RawWorking[[#This Row],[DeliveryDate]]=""),"",RawWorking[[#This Row],[DeliveryDate]]-RawWorking[[#This Row],[ShipDate]])</f>
        <v>1</v>
      </c>
      <c r="M1098" s="9">
        <f>IF(COUNTIF(INDEX(RawWorking[OrderID],1):RawWorking[[#This Row],[OrderID]],RawWorking[[#This Row],[OrderID]])=1,1,0)</f>
        <v>1</v>
      </c>
      <c r="N1098" s="4">
        <f>IFERROR(RawWorking[[#This Row],[LineAmount]]/RawWorking[[#This Row],[Quantity]],"")</f>
        <v>199.81</v>
      </c>
    </row>
    <row r="1099" spans="1:14">
      <c r="A1099">
        <v>51098</v>
      </c>
      <c r="B1099">
        <v>30634</v>
      </c>
      <c r="C1099" s="2">
        <v>45802</v>
      </c>
      <c r="D1099">
        <v>2270</v>
      </c>
      <c r="E1099">
        <v>1007</v>
      </c>
      <c r="F1099">
        <v>1</v>
      </c>
      <c r="G1099">
        <v>199.81</v>
      </c>
      <c r="H1099" s="2" t="s">
        <v>1421</v>
      </c>
      <c r="I1099" s="2" t="s">
        <v>1421</v>
      </c>
      <c r="J1099" t="s">
        <v>16</v>
      </c>
      <c r="K1099" s="2" t="str">
        <f>IFERROR(INDEX(Product_lookup[Category],MATCH(RawWorking[[#This Row],[ProductID]],Product_lookup[ProductID],0)),"")</f>
        <v>Home</v>
      </c>
      <c r="L1099" s="9" t="str">
        <f>IF(OR(RawWorking[[#This Row],[ShipDate]]="",RawWorking[[#This Row],[DeliveryDate]]=""),"",RawWorking[[#This Row],[DeliveryDate]]-RawWorking[[#This Row],[ShipDate]])</f>
        <v/>
      </c>
      <c r="M1099" s="9">
        <f>IF(COUNTIF(INDEX(RawWorking[OrderID],1):RawWorking[[#This Row],[OrderID]],RawWorking[[#This Row],[OrderID]])=1,1,0)</f>
        <v>1</v>
      </c>
      <c r="N1099" s="4">
        <f>IFERROR(RawWorking[[#This Row],[LineAmount]]/RawWorking[[#This Row],[Quantity]],"")</f>
        <v>199.81</v>
      </c>
    </row>
    <row r="1100" spans="1:14">
      <c r="A1100">
        <v>51099</v>
      </c>
      <c r="B1100">
        <v>30634</v>
      </c>
      <c r="C1100" s="2">
        <v>45802</v>
      </c>
      <c r="D1100">
        <v>2270</v>
      </c>
      <c r="E1100">
        <v>1014</v>
      </c>
      <c r="F1100">
        <v>1</v>
      </c>
      <c r="G1100">
        <v>215.34</v>
      </c>
      <c r="H1100" s="2" t="s">
        <v>1421</v>
      </c>
      <c r="I1100" s="2" t="s">
        <v>1421</v>
      </c>
      <c r="J1100" t="s">
        <v>16</v>
      </c>
      <c r="K1100" s="2" t="str">
        <f>IFERROR(INDEX(Product_lookup[Category],MATCH(RawWorking[[#This Row],[ProductID]],Product_lookup[ProductID],0)),"")</f>
        <v>Sports</v>
      </c>
      <c r="L1100" s="9" t="str">
        <f>IF(OR(RawWorking[[#This Row],[ShipDate]]="",RawWorking[[#This Row],[DeliveryDate]]=""),"",RawWorking[[#This Row],[DeliveryDate]]-RawWorking[[#This Row],[ShipDate]])</f>
        <v/>
      </c>
      <c r="M1100" s="9">
        <f>IF(COUNTIF(INDEX(RawWorking[OrderID],1):RawWorking[[#This Row],[OrderID]],RawWorking[[#This Row],[OrderID]])=1,1,0)</f>
        <v>0</v>
      </c>
      <c r="N1100" s="4">
        <f>IFERROR(RawWorking[[#This Row],[LineAmount]]/RawWorking[[#This Row],[Quantity]],"")</f>
        <v>215.34</v>
      </c>
    </row>
    <row r="1101" spans="1:14">
      <c r="A1101">
        <v>51100</v>
      </c>
      <c r="B1101">
        <v>30635</v>
      </c>
      <c r="C1101" s="2">
        <v>45940</v>
      </c>
      <c r="D1101">
        <v>2041</v>
      </c>
      <c r="E1101">
        <v>1007</v>
      </c>
      <c r="F1101">
        <v>1</v>
      </c>
      <c r="G1101">
        <v>199.81</v>
      </c>
      <c r="H1101" s="2">
        <v>45941</v>
      </c>
      <c r="I1101" s="2">
        <v>45950</v>
      </c>
      <c r="J1101" t="s">
        <v>9</v>
      </c>
      <c r="K1101" s="2" t="str">
        <f>IFERROR(INDEX(Product_lookup[Category],MATCH(RawWorking[[#This Row],[ProductID]],Product_lookup[ProductID],0)),"")</f>
        <v>Home</v>
      </c>
      <c r="L1101" s="9">
        <f>IF(OR(RawWorking[[#This Row],[ShipDate]]="",RawWorking[[#This Row],[DeliveryDate]]=""),"",RawWorking[[#This Row],[DeliveryDate]]-RawWorking[[#This Row],[ShipDate]])</f>
        <v>9</v>
      </c>
      <c r="M1101" s="9">
        <f>IF(COUNTIF(INDEX(RawWorking[OrderID],1):RawWorking[[#This Row],[OrderID]],RawWorking[[#This Row],[OrderID]])=1,1,0)</f>
        <v>1</v>
      </c>
      <c r="N1101" s="4">
        <f>IFERROR(RawWorking[[#This Row],[LineAmount]]/RawWorking[[#This Row],[Quantity]],"")</f>
        <v>199.81</v>
      </c>
    </row>
    <row r="1102" spans="1:14">
      <c r="A1102">
        <v>51101</v>
      </c>
      <c r="B1102">
        <v>30635</v>
      </c>
      <c r="C1102" s="2">
        <v>45940</v>
      </c>
      <c r="D1102">
        <v>2041</v>
      </c>
      <c r="E1102">
        <v>1016</v>
      </c>
      <c r="F1102">
        <v>2</v>
      </c>
      <c r="G1102">
        <v>130.52000000000001</v>
      </c>
      <c r="H1102" s="2">
        <v>45942</v>
      </c>
      <c r="I1102" s="2">
        <v>45949</v>
      </c>
      <c r="J1102" t="s">
        <v>9</v>
      </c>
      <c r="K1102" s="2" t="str">
        <f>IFERROR(INDEX(Product_lookup[Category],MATCH(RawWorking[[#This Row],[ProductID]],Product_lookup[ProductID],0)),"")</f>
        <v>Sports</v>
      </c>
      <c r="L1102" s="9">
        <f>IF(OR(RawWorking[[#This Row],[ShipDate]]="",RawWorking[[#This Row],[DeliveryDate]]=""),"",RawWorking[[#This Row],[DeliveryDate]]-RawWorking[[#This Row],[ShipDate]])</f>
        <v>7</v>
      </c>
      <c r="M1102" s="9">
        <f>IF(COUNTIF(INDEX(RawWorking[OrderID],1):RawWorking[[#This Row],[OrderID]],RawWorking[[#This Row],[OrderID]])=1,1,0)</f>
        <v>0</v>
      </c>
      <c r="N1102" s="4">
        <f>IFERROR(RawWorking[[#This Row],[LineAmount]]/RawWorking[[#This Row],[Quantity]],"")</f>
        <v>65.260000000000005</v>
      </c>
    </row>
    <row r="1103" spans="1:14">
      <c r="A1103">
        <v>51102</v>
      </c>
      <c r="B1103">
        <v>30636</v>
      </c>
      <c r="C1103" s="2">
        <v>45850</v>
      </c>
      <c r="D1103">
        <v>2339</v>
      </c>
      <c r="E1103">
        <v>1001</v>
      </c>
      <c r="F1103">
        <v>4</v>
      </c>
      <c r="G1103">
        <v>812.16</v>
      </c>
      <c r="H1103" s="2">
        <v>45851</v>
      </c>
      <c r="I1103" s="2">
        <v>45854</v>
      </c>
      <c r="J1103" t="s">
        <v>9</v>
      </c>
      <c r="K1103" s="2" t="str">
        <f>IFERROR(INDEX(Product_lookup[Category],MATCH(RawWorking[[#This Row],[ProductID]],Product_lookup[ProductID],0)),"")</f>
        <v>Electronics</v>
      </c>
      <c r="L1103" s="9">
        <f>IF(OR(RawWorking[[#This Row],[ShipDate]]="",RawWorking[[#This Row],[DeliveryDate]]=""),"",RawWorking[[#This Row],[DeliveryDate]]-RawWorking[[#This Row],[ShipDate]])</f>
        <v>3</v>
      </c>
      <c r="M1103" s="9">
        <f>IF(COUNTIF(INDEX(RawWorking[OrderID],1):RawWorking[[#This Row],[OrderID]],RawWorking[[#This Row],[OrderID]])=1,1,0)</f>
        <v>1</v>
      </c>
      <c r="N1103" s="4">
        <f>IFERROR(RawWorking[[#This Row],[LineAmount]]/RawWorking[[#This Row],[Quantity]],"")</f>
        <v>203.04</v>
      </c>
    </row>
    <row r="1104" spans="1:14">
      <c r="A1104">
        <v>51103</v>
      </c>
      <c r="B1104">
        <v>30636</v>
      </c>
      <c r="C1104" s="2">
        <v>45850</v>
      </c>
      <c r="D1104">
        <v>2339</v>
      </c>
      <c r="E1104">
        <v>1003</v>
      </c>
      <c r="F1104">
        <v>1</v>
      </c>
      <c r="G1104">
        <v>224.37</v>
      </c>
      <c r="H1104" s="2">
        <v>45851</v>
      </c>
      <c r="I1104" s="2">
        <v>45856</v>
      </c>
      <c r="J1104" t="s">
        <v>9</v>
      </c>
      <c r="K1104" s="2" t="str">
        <f>IFERROR(INDEX(Product_lookup[Category],MATCH(RawWorking[[#This Row],[ProductID]],Product_lookup[ProductID],0)),"")</f>
        <v>Electronics</v>
      </c>
      <c r="L1104" s="9">
        <f>IF(OR(RawWorking[[#This Row],[ShipDate]]="",RawWorking[[#This Row],[DeliveryDate]]=""),"",RawWorking[[#This Row],[DeliveryDate]]-RawWorking[[#This Row],[ShipDate]])</f>
        <v>5</v>
      </c>
      <c r="M1104" s="9">
        <f>IF(COUNTIF(INDEX(RawWorking[OrderID],1):RawWorking[[#This Row],[OrderID]],RawWorking[[#This Row],[OrderID]])=1,1,0)</f>
        <v>0</v>
      </c>
      <c r="N1104" s="4">
        <f>IFERROR(RawWorking[[#This Row],[LineAmount]]/RawWorking[[#This Row],[Quantity]],"")</f>
        <v>224.37</v>
      </c>
    </row>
    <row r="1105" spans="1:14">
      <c r="A1105">
        <v>51104</v>
      </c>
      <c r="B1105">
        <v>30637</v>
      </c>
      <c r="C1105" s="2">
        <v>45743</v>
      </c>
      <c r="D1105">
        <v>2114</v>
      </c>
      <c r="E1105">
        <v>1016</v>
      </c>
      <c r="F1105">
        <v>2</v>
      </c>
      <c r="G1105">
        <v>130.52000000000001</v>
      </c>
      <c r="H1105" s="2">
        <v>46541</v>
      </c>
      <c r="I1105" s="2" t="s">
        <v>1421</v>
      </c>
      <c r="J1105" t="s">
        <v>16</v>
      </c>
      <c r="K1105" s="2" t="str">
        <f>IFERROR(INDEX(Product_lookup[Category],MATCH(RawWorking[[#This Row],[ProductID]],Product_lookup[ProductID],0)),"")</f>
        <v>Sports</v>
      </c>
      <c r="L1105" s="9" t="str">
        <f>IF(OR(RawWorking[[#This Row],[ShipDate]]="",RawWorking[[#This Row],[DeliveryDate]]=""),"",RawWorking[[#This Row],[DeliveryDate]]-RawWorking[[#This Row],[ShipDate]])</f>
        <v/>
      </c>
      <c r="M1105" s="9">
        <f>IF(COUNTIF(INDEX(RawWorking[OrderID],1):RawWorking[[#This Row],[OrderID]],RawWorking[[#This Row],[OrderID]])=1,1,0)</f>
        <v>1</v>
      </c>
      <c r="N1105" s="4">
        <f>IFERROR(RawWorking[[#This Row],[LineAmount]]/RawWorking[[#This Row],[Quantity]],"")</f>
        <v>65.260000000000005</v>
      </c>
    </row>
    <row r="1106" spans="1:14">
      <c r="A1106">
        <v>51105</v>
      </c>
      <c r="B1106">
        <v>30638</v>
      </c>
      <c r="C1106" s="2">
        <v>45831</v>
      </c>
      <c r="D1106">
        <v>2093</v>
      </c>
      <c r="E1106">
        <v>1003</v>
      </c>
      <c r="F1106">
        <v>1</v>
      </c>
      <c r="G1106">
        <v>224.37</v>
      </c>
      <c r="H1106" s="2" t="s">
        <v>1421</v>
      </c>
      <c r="I1106" s="2" t="s">
        <v>1421</v>
      </c>
      <c r="J1106" t="s">
        <v>16</v>
      </c>
      <c r="K1106" s="2" t="str">
        <f>IFERROR(INDEX(Product_lookup[Category],MATCH(RawWorking[[#This Row],[ProductID]],Product_lookup[ProductID],0)),"")</f>
        <v>Electronics</v>
      </c>
      <c r="L1106" s="9" t="str">
        <f>IF(OR(RawWorking[[#This Row],[ShipDate]]="",RawWorking[[#This Row],[DeliveryDate]]=""),"",RawWorking[[#This Row],[DeliveryDate]]-RawWorking[[#This Row],[ShipDate]])</f>
        <v/>
      </c>
      <c r="M1106" s="9">
        <f>IF(COUNTIF(INDEX(RawWorking[OrderID],1):RawWorking[[#This Row],[OrderID]],RawWorking[[#This Row],[OrderID]])=1,1,0)</f>
        <v>1</v>
      </c>
      <c r="N1106" s="4">
        <f>IFERROR(RawWorking[[#This Row],[LineAmount]]/RawWorking[[#This Row],[Quantity]],"")</f>
        <v>224.37</v>
      </c>
    </row>
    <row r="1107" spans="1:14">
      <c r="A1107">
        <v>51106</v>
      </c>
      <c r="B1107">
        <v>30638</v>
      </c>
      <c r="C1107" s="2">
        <v>45831</v>
      </c>
      <c r="D1107">
        <v>2093</v>
      </c>
      <c r="E1107">
        <v>1004</v>
      </c>
      <c r="F1107">
        <v>1</v>
      </c>
      <c r="G1107">
        <v>183.74</v>
      </c>
      <c r="H1107" s="2" t="s">
        <v>1421</v>
      </c>
      <c r="I1107" s="2" t="s">
        <v>1421</v>
      </c>
      <c r="J1107" t="s">
        <v>16</v>
      </c>
      <c r="K1107" s="2" t="str">
        <f>IFERROR(INDEX(Product_lookup[Category],MATCH(RawWorking[[#This Row],[ProductID]],Product_lookup[ProductID],0)),"")</f>
        <v>Electronics</v>
      </c>
      <c r="L1107" s="9" t="str">
        <f>IF(OR(RawWorking[[#This Row],[ShipDate]]="",RawWorking[[#This Row],[DeliveryDate]]=""),"",RawWorking[[#This Row],[DeliveryDate]]-RawWorking[[#This Row],[ShipDate]])</f>
        <v/>
      </c>
      <c r="M1107" s="9">
        <f>IF(COUNTIF(INDEX(RawWorking[OrderID],1):RawWorking[[#This Row],[OrderID]],RawWorking[[#This Row],[OrderID]])=1,1,0)</f>
        <v>0</v>
      </c>
      <c r="N1107" s="4">
        <f>IFERROR(RawWorking[[#This Row],[LineAmount]]/RawWorking[[#This Row],[Quantity]],"")</f>
        <v>183.74</v>
      </c>
    </row>
    <row r="1108" spans="1:14">
      <c r="A1108">
        <v>51107</v>
      </c>
      <c r="B1108">
        <v>30639</v>
      </c>
      <c r="C1108" s="2">
        <v>45800</v>
      </c>
      <c r="D1108">
        <v>2237</v>
      </c>
      <c r="E1108">
        <v>1010</v>
      </c>
      <c r="F1108">
        <v>2</v>
      </c>
      <c r="G1108">
        <v>243</v>
      </c>
      <c r="H1108" s="2">
        <v>45801</v>
      </c>
      <c r="I1108" s="2">
        <v>45808</v>
      </c>
      <c r="J1108" t="s">
        <v>9</v>
      </c>
      <c r="K1108" s="2" t="str">
        <f>IFERROR(INDEX(Product_lookup[Category],MATCH(RawWorking[[#This Row],[ProductID]],Product_lookup[ProductID],0)),"")</f>
        <v>Office</v>
      </c>
      <c r="L1108" s="9">
        <f>IF(OR(RawWorking[[#This Row],[ShipDate]]="",RawWorking[[#This Row],[DeliveryDate]]=""),"",RawWorking[[#This Row],[DeliveryDate]]-RawWorking[[#This Row],[ShipDate]])</f>
        <v>7</v>
      </c>
      <c r="M1108" s="9">
        <f>IF(COUNTIF(INDEX(RawWorking[OrderID],1):RawWorking[[#This Row],[OrderID]],RawWorking[[#This Row],[OrderID]])=1,1,0)</f>
        <v>1</v>
      </c>
      <c r="N1108" s="4">
        <f>IFERROR(RawWorking[[#This Row],[LineAmount]]/RawWorking[[#This Row],[Quantity]],"")</f>
        <v>121.5</v>
      </c>
    </row>
    <row r="1109" spans="1:14">
      <c r="A1109">
        <v>51108</v>
      </c>
      <c r="B1109">
        <v>30639</v>
      </c>
      <c r="C1109" s="2">
        <v>45800</v>
      </c>
      <c r="D1109">
        <v>2237</v>
      </c>
      <c r="E1109">
        <v>1009</v>
      </c>
      <c r="F1109">
        <v>2</v>
      </c>
      <c r="G1109">
        <v>80.56</v>
      </c>
      <c r="H1109" s="2">
        <v>45802</v>
      </c>
      <c r="I1109" s="2">
        <v>45806</v>
      </c>
      <c r="J1109" t="s">
        <v>9</v>
      </c>
      <c r="K1109" s="2" t="str">
        <f>IFERROR(INDEX(Product_lookup[Category],MATCH(RawWorking[[#This Row],[ProductID]],Product_lookup[ProductID],0)),"")</f>
        <v>Home</v>
      </c>
      <c r="L1109" s="9">
        <f>IF(OR(RawWorking[[#This Row],[ShipDate]]="",RawWorking[[#This Row],[DeliveryDate]]=""),"",RawWorking[[#This Row],[DeliveryDate]]-RawWorking[[#This Row],[ShipDate]])</f>
        <v>4</v>
      </c>
      <c r="M1109" s="9">
        <f>IF(COUNTIF(INDEX(RawWorking[OrderID],1):RawWorking[[#This Row],[OrderID]],RawWorking[[#This Row],[OrderID]])=1,1,0)</f>
        <v>0</v>
      </c>
      <c r="N1109" s="4">
        <f>IFERROR(RawWorking[[#This Row],[LineAmount]]/RawWorking[[#This Row],[Quantity]],"")</f>
        <v>40.28</v>
      </c>
    </row>
    <row r="1110" spans="1:14">
      <c r="A1110">
        <v>51109</v>
      </c>
      <c r="B1110">
        <v>30639</v>
      </c>
      <c r="C1110" s="2">
        <v>45800</v>
      </c>
      <c r="D1110">
        <v>2237</v>
      </c>
      <c r="E1110">
        <v>1015</v>
      </c>
      <c r="F1110">
        <v>1</v>
      </c>
      <c r="G1110">
        <v>119.74</v>
      </c>
      <c r="H1110" s="2">
        <v>45801</v>
      </c>
      <c r="I1110" s="2">
        <v>45805</v>
      </c>
      <c r="J1110" t="s">
        <v>9</v>
      </c>
      <c r="K1110" s="2" t="str">
        <f>IFERROR(INDEX(Product_lookup[Category],MATCH(RawWorking[[#This Row],[ProductID]],Product_lookup[ProductID],0)),"")</f>
        <v>Sports</v>
      </c>
      <c r="L1110" s="9">
        <f>IF(OR(RawWorking[[#This Row],[ShipDate]]="",RawWorking[[#This Row],[DeliveryDate]]=""),"",RawWorking[[#This Row],[DeliveryDate]]-RawWorking[[#This Row],[ShipDate]])</f>
        <v>4</v>
      </c>
      <c r="M1110" s="9">
        <f>IF(COUNTIF(INDEX(RawWorking[OrderID],1):RawWorking[[#This Row],[OrderID]],RawWorking[[#This Row],[OrderID]])=1,1,0)</f>
        <v>0</v>
      </c>
      <c r="N1110" s="4">
        <f>IFERROR(RawWorking[[#This Row],[LineAmount]]/RawWorking[[#This Row],[Quantity]],"")</f>
        <v>119.74</v>
      </c>
    </row>
    <row r="1111" spans="1:14">
      <c r="A1111">
        <v>51110</v>
      </c>
      <c r="B1111">
        <v>30640</v>
      </c>
      <c r="C1111" s="2">
        <v>45741</v>
      </c>
      <c r="D1111">
        <v>2052</v>
      </c>
      <c r="E1111">
        <v>1006</v>
      </c>
      <c r="F1111">
        <v>2</v>
      </c>
      <c r="G1111">
        <v>507.72</v>
      </c>
      <c r="H1111" s="2">
        <v>45744</v>
      </c>
      <c r="I1111" s="2">
        <v>45751</v>
      </c>
      <c r="J1111" t="s">
        <v>9</v>
      </c>
      <c r="K1111" s="2" t="str">
        <f>IFERROR(INDEX(Product_lookup[Category],MATCH(RawWorking[[#This Row],[ProductID]],Product_lookup[ProductID],0)),"")</f>
        <v>Home</v>
      </c>
      <c r="L1111" s="9">
        <f>IF(OR(RawWorking[[#This Row],[ShipDate]]="",RawWorking[[#This Row],[DeliveryDate]]=""),"",RawWorking[[#This Row],[DeliveryDate]]-RawWorking[[#This Row],[ShipDate]])</f>
        <v>7</v>
      </c>
      <c r="M1111" s="9">
        <f>IF(COUNTIF(INDEX(RawWorking[OrderID],1):RawWorking[[#This Row],[OrderID]],RawWorking[[#This Row],[OrderID]])=1,1,0)</f>
        <v>1</v>
      </c>
      <c r="N1111" s="4">
        <f>IFERROR(RawWorking[[#This Row],[LineAmount]]/RawWorking[[#This Row],[Quantity]],"")</f>
        <v>253.86</v>
      </c>
    </row>
    <row r="1112" spans="1:14">
      <c r="A1112">
        <v>51111</v>
      </c>
      <c r="B1112">
        <v>30640</v>
      </c>
      <c r="C1112" s="2">
        <v>45741</v>
      </c>
      <c r="D1112">
        <v>2052</v>
      </c>
      <c r="E1112">
        <v>1002</v>
      </c>
      <c r="F1112">
        <v>1</v>
      </c>
      <c r="G1112">
        <v>118.6</v>
      </c>
      <c r="H1112" s="2">
        <v>45742</v>
      </c>
      <c r="I1112" s="2">
        <v>45744</v>
      </c>
      <c r="J1112" t="s">
        <v>9</v>
      </c>
      <c r="K1112" s="2" t="str">
        <f>IFERROR(INDEX(Product_lookup[Category],MATCH(RawWorking[[#This Row],[ProductID]],Product_lookup[ProductID],0)),"")</f>
        <v>Electronics</v>
      </c>
      <c r="L1112" s="9">
        <f>IF(OR(RawWorking[[#This Row],[ShipDate]]="",RawWorking[[#This Row],[DeliveryDate]]=""),"",RawWorking[[#This Row],[DeliveryDate]]-RawWorking[[#This Row],[ShipDate]])</f>
        <v>2</v>
      </c>
      <c r="M1112" s="9">
        <f>IF(COUNTIF(INDEX(RawWorking[OrderID],1):RawWorking[[#This Row],[OrderID]],RawWorking[[#This Row],[OrderID]])=1,1,0)</f>
        <v>0</v>
      </c>
      <c r="N1112" s="4">
        <f>IFERROR(RawWorking[[#This Row],[LineAmount]]/RawWorking[[#This Row],[Quantity]],"")</f>
        <v>118.6</v>
      </c>
    </row>
    <row r="1113" spans="1:14">
      <c r="A1113">
        <v>51112</v>
      </c>
      <c r="B1113">
        <v>30640</v>
      </c>
      <c r="C1113" s="2">
        <v>45741</v>
      </c>
      <c r="D1113">
        <v>2052</v>
      </c>
      <c r="E1113">
        <v>1010</v>
      </c>
      <c r="F1113">
        <v>2</v>
      </c>
      <c r="G1113">
        <v>243</v>
      </c>
      <c r="H1113" s="2">
        <v>45744</v>
      </c>
      <c r="I1113" s="2">
        <v>45748</v>
      </c>
      <c r="J1113" t="s">
        <v>9</v>
      </c>
      <c r="K1113" s="2" t="str">
        <f>IFERROR(INDEX(Product_lookup[Category],MATCH(RawWorking[[#This Row],[ProductID]],Product_lookup[ProductID],0)),"")</f>
        <v>Office</v>
      </c>
      <c r="L1113" s="9">
        <f>IF(OR(RawWorking[[#This Row],[ShipDate]]="",RawWorking[[#This Row],[DeliveryDate]]=""),"",RawWorking[[#This Row],[DeliveryDate]]-RawWorking[[#This Row],[ShipDate]])</f>
        <v>4</v>
      </c>
      <c r="M1113" s="9">
        <f>IF(COUNTIF(INDEX(RawWorking[OrderID],1):RawWorking[[#This Row],[OrderID]],RawWorking[[#This Row],[OrderID]])=1,1,0)</f>
        <v>0</v>
      </c>
      <c r="N1113" s="4">
        <f>IFERROR(RawWorking[[#This Row],[LineAmount]]/RawWorking[[#This Row],[Quantity]],"")</f>
        <v>121.5</v>
      </c>
    </row>
    <row r="1114" spans="1:14">
      <c r="A1114">
        <v>51113</v>
      </c>
      <c r="B1114">
        <v>30640</v>
      </c>
      <c r="C1114" s="2">
        <v>45741</v>
      </c>
      <c r="D1114">
        <v>2052</v>
      </c>
      <c r="E1114">
        <v>1012</v>
      </c>
      <c r="F1114">
        <v>4</v>
      </c>
      <c r="G1114">
        <v>966.16</v>
      </c>
      <c r="H1114" s="2">
        <v>45744</v>
      </c>
      <c r="I1114" s="2">
        <v>45752</v>
      </c>
      <c r="J1114" t="s">
        <v>9</v>
      </c>
      <c r="K1114" s="2" t="str">
        <f>IFERROR(INDEX(Product_lookup[Category],MATCH(RawWorking[[#This Row],[ProductID]],Product_lookup[ProductID],0)),"")</f>
        <v>Office</v>
      </c>
      <c r="L1114" s="9">
        <f>IF(OR(RawWorking[[#This Row],[ShipDate]]="",RawWorking[[#This Row],[DeliveryDate]]=""),"",RawWorking[[#This Row],[DeliveryDate]]-RawWorking[[#This Row],[ShipDate]])</f>
        <v>8</v>
      </c>
      <c r="M1114" s="9">
        <f>IF(COUNTIF(INDEX(RawWorking[OrderID],1):RawWorking[[#This Row],[OrderID]],RawWorking[[#This Row],[OrderID]])=1,1,0)</f>
        <v>0</v>
      </c>
      <c r="N1114" s="4">
        <f>IFERROR(RawWorking[[#This Row],[LineAmount]]/RawWorking[[#This Row],[Quantity]],"")</f>
        <v>241.54</v>
      </c>
    </row>
    <row r="1115" spans="1:14">
      <c r="A1115">
        <v>51114</v>
      </c>
      <c r="B1115">
        <v>30641</v>
      </c>
      <c r="C1115" s="2">
        <v>45820</v>
      </c>
      <c r="D1115">
        <v>2321</v>
      </c>
      <c r="E1115">
        <v>1004</v>
      </c>
      <c r="F1115">
        <v>4</v>
      </c>
      <c r="G1115">
        <v>734.96</v>
      </c>
      <c r="H1115" s="2">
        <v>45822</v>
      </c>
      <c r="I1115" s="2">
        <v>45824</v>
      </c>
      <c r="J1115" t="s">
        <v>9</v>
      </c>
      <c r="K1115" s="2" t="str">
        <f>IFERROR(INDEX(Product_lookup[Category],MATCH(RawWorking[[#This Row],[ProductID]],Product_lookup[ProductID],0)),"")</f>
        <v>Electronics</v>
      </c>
      <c r="L1115" s="9">
        <f>IF(OR(RawWorking[[#This Row],[ShipDate]]="",RawWorking[[#This Row],[DeliveryDate]]=""),"",RawWorking[[#This Row],[DeliveryDate]]-RawWorking[[#This Row],[ShipDate]])</f>
        <v>2</v>
      </c>
      <c r="M1115" s="9">
        <f>IF(COUNTIF(INDEX(RawWorking[OrderID],1):RawWorking[[#This Row],[OrderID]],RawWorking[[#This Row],[OrderID]])=1,1,0)</f>
        <v>1</v>
      </c>
      <c r="N1115" s="4">
        <f>IFERROR(RawWorking[[#This Row],[LineAmount]]/RawWorking[[#This Row],[Quantity]],"")</f>
        <v>183.74</v>
      </c>
    </row>
    <row r="1116" spans="1:14">
      <c r="A1116">
        <v>51115</v>
      </c>
      <c r="B1116">
        <v>30641</v>
      </c>
      <c r="C1116" s="2">
        <v>45820</v>
      </c>
      <c r="D1116">
        <v>2321</v>
      </c>
      <c r="E1116">
        <v>1004</v>
      </c>
      <c r="F1116">
        <v>2</v>
      </c>
      <c r="G1116">
        <v>367.48</v>
      </c>
      <c r="H1116" s="2">
        <v>45822</v>
      </c>
      <c r="I1116" s="2">
        <v>45829</v>
      </c>
      <c r="J1116" t="s">
        <v>9</v>
      </c>
      <c r="K1116" s="2" t="str">
        <f>IFERROR(INDEX(Product_lookup[Category],MATCH(RawWorking[[#This Row],[ProductID]],Product_lookup[ProductID],0)),"")</f>
        <v>Electronics</v>
      </c>
      <c r="L1116" s="9">
        <f>IF(OR(RawWorking[[#This Row],[ShipDate]]="",RawWorking[[#This Row],[DeliveryDate]]=""),"",RawWorking[[#This Row],[DeliveryDate]]-RawWorking[[#This Row],[ShipDate]])</f>
        <v>7</v>
      </c>
      <c r="M1116" s="9">
        <f>IF(COUNTIF(INDEX(RawWorking[OrderID],1):RawWorking[[#This Row],[OrderID]],RawWorking[[#This Row],[OrderID]])=1,1,0)</f>
        <v>0</v>
      </c>
      <c r="N1116" s="4">
        <f>IFERROR(RawWorking[[#This Row],[LineAmount]]/RawWorking[[#This Row],[Quantity]],"")</f>
        <v>183.74</v>
      </c>
    </row>
    <row r="1117" spans="1:14">
      <c r="A1117">
        <v>51116</v>
      </c>
      <c r="B1117">
        <v>30642</v>
      </c>
      <c r="C1117" s="2">
        <v>45700</v>
      </c>
      <c r="D1117">
        <v>2047</v>
      </c>
      <c r="E1117">
        <v>1005</v>
      </c>
      <c r="F1117">
        <v>3</v>
      </c>
      <c r="G1117">
        <v>95.19</v>
      </c>
      <c r="H1117" s="2">
        <v>45995</v>
      </c>
      <c r="I1117" s="2">
        <v>45996</v>
      </c>
      <c r="J1117" t="s">
        <v>9</v>
      </c>
      <c r="K1117" s="2" t="str">
        <f>IFERROR(INDEX(Product_lookup[Category],MATCH(RawWorking[[#This Row],[ProductID]],Product_lookup[ProductID],0)),"")</f>
        <v>Electronics</v>
      </c>
      <c r="L1117" s="9">
        <f>IF(OR(RawWorking[[#This Row],[ShipDate]]="",RawWorking[[#This Row],[DeliveryDate]]=""),"",RawWorking[[#This Row],[DeliveryDate]]-RawWorking[[#This Row],[ShipDate]])</f>
        <v>1</v>
      </c>
      <c r="M1117" s="9">
        <f>IF(COUNTIF(INDEX(RawWorking[OrderID],1):RawWorking[[#This Row],[OrderID]],RawWorking[[#This Row],[OrderID]])=1,1,0)</f>
        <v>1</v>
      </c>
      <c r="N1117" s="4">
        <f>IFERROR(RawWorking[[#This Row],[LineAmount]]/RawWorking[[#This Row],[Quantity]],"")</f>
        <v>31.73</v>
      </c>
    </row>
    <row r="1118" spans="1:14">
      <c r="A1118">
        <v>51117</v>
      </c>
      <c r="B1118">
        <v>30643</v>
      </c>
      <c r="C1118" s="2">
        <v>45959</v>
      </c>
      <c r="D1118">
        <v>2175</v>
      </c>
      <c r="E1118">
        <v>1015</v>
      </c>
      <c r="F1118">
        <v>2</v>
      </c>
      <c r="G1118">
        <v>239.48</v>
      </c>
      <c r="H1118" s="2">
        <v>45961</v>
      </c>
      <c r="I1118" s="2">
        <v>45970</v>
      </c>
      <c r="J1118" t="s">
        <v>9</v>
      </c>
      <c r="K1118" s="2" t="str">
        <f>IFERROR(INDEX(Product_lookup[Category],MATCH(RawWorking[[#This Row],[ProductID]],Product_lookup[ProductID],0)),"")</f>
        <v>Sports</v>
      </c>
      <c r="L1118" s="9">
        <f>IF(OR(RawWorking[[#This Row],[ShipDate]]="",RawWorking[[#This Row],[DeliveryDate]]=""),"",RawWorking[[#This Row],[DeliveryDate]]-RawWorking[[#This Row],[ShipDate]])</f>
        <v>9</v>
      </c>
      <c r="M1118" s="9">
        <f>IF(COUNTIF(INDEX(RawWorking[OrderID],1):RawWorking[[#This Row],[OrderID]],RawWorking[[#This Row],[OrderID]])=1,1,0)</f>
        <v>1</v>
      </c>
      <c r="N1118" s="4">
        <f>IFERROR(RawWorking[[#This Row],[LineAmount]]/RawWorking[[#This Row],[Quantity]],"")</f>
        <v>119.74</v>
      </c>
    </row>
    <row r="1119" spans="1:14">
      <c r="A1119">
        <v>51118</v>
      </c>
      <c r="B1119">
        <v>30643</v>
      </c>
      <c r="C1119" s="2">
        <v>45959</v>
      </c>
      <c r="D1119">
        <v>2175</v>
      </c>
      <c r="E1119">
        <v>1009</v>
      </c>
      <c r="F1119">
        <v>2</v>
      </c>
      <c r="G1119">
        <v>80.56</v>
      </c>
      <c r="H1119" s="2">
        <v>45961</v>
      </c>
      <c r="I1119" s="2">
        <v>45963</v>
      </c>
      <c r="J1119" t="s">
        <v>9</v>
      </c>
      <c r="K1119" s="2" t="str">
        <f>IFERROR(INDEX(Product_lookup[Category],MATCH(RawWorking[[#This Row],[ProductID]],Product_lookup[ProductID],0)),"")</f>
        <v>Home</v>
      </c>
      <c r="L1119" s="9">
        <f>IF(OR(RawWorking[[#This Row],[ShipDate]]="",RawWorking[[#This Row],[DeliveryDate]]=""),"",RawWorking[[#This Row],[DeliveryDate]]-RawWorking[[#This Row],[ShipDate]])</f>
        <v>2</v>
      </c>
      <c r="M1119" s="9">
        <f>IF(COUNTIF(INDEX(RawWorking[OrderID],1):RawWorking[[#This Row],[OrderID]],RawWorking[[#This Row],[OrderID]])=1,1,0)</f>
        <v>0</v>
      </c>
      <c r="N1119" s="4">
        <f>IFERROR(RawWorking[[#This Row],[LineAmount]]/RawWorking[[#This Row],[Quantity]],"")</f>
        <v>40.28</v>
      </c>
    </row>
    <row r="1120" spans="1:14">
      <c r="A1120">
        <v>51119</v>
      </c>
      <c r="B1120">
        <v>30644</v>
      </c>
      <c r="C1120" s="2">
        <v>45713</v>
      </c>
      <c r="D1120">
        <v>2096</v>
      </c>
      <c r="E1120">
        <v>1011</v>
      </c>
      <c r="F1120">
        <v>1</v>
      </c>
      <c r="G1120">
        <v>101.44</v>
      </c>
      <c r="H1120" s="2">
        <v>45714</v>
      </c>
      <c r="I1120" s="2">
        <v>45750</v>
      </c>
      <c r="J1120" t="s">
        <v>9</v>
      </c>
      <c r="K1120" s="2" t="str">
        <f>IFERROR(INDEX(Product_lookup[Category],MATCH(RawWorking[[#This Row],[ProductID]],Product_lookup[ProductID],0)),"")</f>
        <v>Office</v>
      </c>
      <c r="L1120" s="9">
        <f>IF(OR(RawWorking[[#This Row],[ShipDate]]="",RawWorking[[#This Row],[DeliveryDate]]=""),"",RawWorking[[#This Row],[DeliveryDate]]-RawWorking[[#This Row],[ShipDate]])</f>
        <v>36</v>
      </c>
      <c r="M1120" s="9">
        <f>IF(COUNTIF(INDEX(RawWorking[OrderID],1):RawWorking[[#This Row],[OrderID]],RawWorking[[#This Row],[OrderID]])=1,1,0)</f>
        <v>1</v>
      </c>
      <c r="N1120" s="4">
        <f>IFERROR(RawWorking[[#This Row],[LineAmount]]/RawWorking[[#This Row],[Quantity]],"")</f>
        <v>101.44</v>
      </c>
    </row>
    <row r="1121" spans="1:14">
      <c r="A1121">
        <v>51120</v>
      </c>
      <c r="B1121">
        <v>30645</v>
      </c>
      <c r="C1121" s="2">
        <v>45950</v>
      </c>
      <c r="D1121">
        <v>2188</v>
      </c>
      <c r="E1121">
        <v>1013</v>
      </c>
      <c r="F1121">
        <v>3</v>
      </c>
      <c r="G1121">
        <v>510.75</v>
      </c>
      <c r="H1121" s="2">
        <v>45952</v>
      </c>
      <c r="I1121" s="2">
        <v>45956</v>
      </c>
      <c r="J1121" t="s">
        <v>9</v>
      </c>
      <c r="K1121" s="2" t="str">
        <f>IFERROR(INDEX(Product_lookup[Category],MATCH(RawWorking[[#This Row],[ProductID]],Product_lookup[ProductID],0)),"")</f>
        <v>Office</v>
      </c>
      <c r="L1121" s="9">
        <f>IF(OR(RawWorking[[#This Row],[ShipDate]]="",RawWorking[[#This Row],[DeliveryDate]]=""),"",RawWorking[[#This Row],[DeliveryDate]]-RawWorking[[#This Row],[ShipDate]])</f>
        <v>4</v>
      </c>
      <c r="M1121" s="9">
        <f>IF(COUNTIF(INDEX(RawWorking[OrderID],1):RawWorking[[#This Row],[OrderID]],RawWorking[[#This Row],[OrderID]])=1,1,0)</f>
        <v>1</v>
      </c>
      <c r="N1121" s="4">
        <f>IFERROR(RawWorking[[#This Row],[LineAmount]]/RawWorking[[#This Row],[Quantity]],"")</f>
        <v>170.25</v>
      </c>
    </row>
    <row r="1122" spans="1:14">
      <c r="A1122">
        <v>51121</v>
      </c>
      <c r="B1122">
        <v>30646</v>
      </c>
      <c r="C1122" s="2">
        <v>45794</v>
      </c>
      <c r="D1122">
        <v>2468</v>
      </c>
      <c r="E1122">
        <v>1013</v>
      </c>
      <c r="F1122">
        <v>1</v>
      </c>
      <c r="G1122">
        <v>170.25</v>
      </c>
      <c r="H1122" s="2">
        <v>45796</v>
      </c>
      <c r="I1122" s="2">
        <v>45798</v>
      </c>
      <c r="J1122" t="s">
        <v>9</v>
      </c>
      <c r="K1122" s="2" t="str">
        <f>IFERROR(INDEX(Product_lookup[Category],MATCH(RawWorking[[#This Row],[ProductID]],Product_lookup[ProductID],0)),"")</f>
        <v>Office</v>
      </c>
      <c r="L1122" s="9">
        <f>IF(OR(RawWorking[[#This Row],[ShipDate]]="",RawWorking[[#This Row],[DeliveryDate]]=""),"",RawWorking[[#This Row],[DeliveryDate]]-RawWorking[[#This Row],[ShipDate]])</f>
        <v>2</v>
      </c>
      <c r="M1122" s="9">
        <f>IF(COUNTIF(INDEX(RawWorking[OrderID],1):RawWorking[[#This Row],[OrderID]],RawWorking[[#This Row],[OrderID]])=1,1,0)</f>
        <v>1</v>
      </c>
      <c r="N1122" s="4">
        <f>IFERROR(RawWorking[[#This Row],[LineAmount]]/RawWorking[[#This Row],[Quantity]],"")</f>
        <v>170.25</v>
      </c>
    </row>
    <row r="1123" spans="1:14">
      <c r="A1123">
        <v>51122</v>
      </c>
      <c r="B1123">
        <v>30647</v>
      </c>
      <c r="C1123" s="2">
        <v>45710</v>
      </c>
      <c r="D1123">
        <v>2490</v>
      </c>
      <c r="E1123">
        <v>1006</v>
      </c>
      <c r="F1123">
        <v>1</v>
      </c>
      <c r="G1123">
        <v>253.86</v>
      </c>
      <c r="H1123" s="2">
        <v>45713</v>
      </c>
      <c r="I1123" s="2" t="s">
        <v>1421</v>
      </c>
      <c r="J1123" t="s">
        <v>16</v>
      </c>
      <c r="K1123" s="2" t="str">
        <f>IFERROR(INDEX(Product_lookup[Category],MATCH(RawWorking[[#This Row],[ProductID]],Product_lookup[ProductID],0)),"")</f>
        <v>Home</v>
      </c>
      <c r="L1123" s="9" t="str">
        <f>IF(OR(RawWorking[[#This Row],[ShipDate]]="",RawWorking[[#This Row],[DeliveryDate]]=""),"",RawWorking[[#This Row],[DeliveryDate]]-RawWorking[[#This Row],[ShipDate]])</f>
        <v/>
      </c>
      <c r="M1123" s="9">
        <f>IF(COUNTIF(INDEX(RawWorking[OrderID],1):RawWorking[[#This Row],[OrderID]],RawWorking[[#This Row],[OrderID]])=1,1,0)</f>
        <v>1</v>
      </c>
      <c r="N1123" s="4">
        <f>IFERROR(RawWorking[[#This Row],[LineAmount]]/RawWorking[[#This Row],[Quantity]],"")</f>
        <v>253.86</v>
      </c>
    </row>
    <row r="1124" spans="1:14">
      <c r="A1124">
        <v>51123</v>
      </c>
      <c r="B1124">
        <v>30648</v>
      </c>
      <c r="C1124" s="2">
        <v>45851</v>
      </c>
      <c r="D1124">
        <v>2061</v>
      </c>
      <c r="E1124">
        <v>1006</v>
      </c>
      <c r="F1124">
        <v>2</v>
      </c>
      <c r="G1124">
        <v>507.72</v>
      </c>
      <c r="H1124" s="2">
        <v>45854</v>
      </c>
      <c r="I1124" s="2">
        <v>45855</v>
      </c>
      <c r="J1124" t="s">
        <v>11</v>
      </c>
      <c r="K1124" s="2" t="str">
        <f>IFERROR(INDEX(Product_lookup[Category],MATCH(RawWorking[[#This Row],[ProductID]],Product_lookup[ProductID],0)),"")</f>
        <v>Home</v>
      </c>
      <c r="L1124" s="9">
        <f>IF(OR(RawWorking[[#This Row],[ShipDate]]="",RawWorking[[#This Row],[DeliveryDate]]=""),"",RawWorking[[#This Row],[DeliveryDate]]-RawWorking[[#This Row],[ShipDate]])</f>
        <v>1</v>
      </c>
      <c r="M1124" s="9">
        <f>IF(COUNTIF(INDEX(RawWorking[OrderID],1):RawWorking[[#This Row],[OrderID]],RawWorking[[#This Row],[OrderID]])=1,1,0)</f>
        <v>1</v>
      </c>
      <c r="N1124" s="4">
        <f>IFERROR(RawWorking[[#This Row],[LineAmount]]/RawWorking[[#This Row],[Quantity]],"")</f>
        <v>253.86</v>
      </c>
    </row>
    <row r="1125" spans="1:14">
      <c r="A1125">
        <v>51124</v>
      </c>
      <c r="B1125">
        <v>30648</v>
      </c>
      <c r="C1125" s="2">
        <v>45851</v>
      </c>
      <c r="D1125">
        <v>2061</v>
      </c>
      <c r="E1125">
        <v>1004</v>
      </c>
      <c r="F1125">
        <v>3</v>
      </c>
      <c r="G1125">
        <v>551.22</v>
      </c>
      <c r="H1125" s="2">
        <v>45854</v>
      </c>
      <c r="I1125" s="2">
        <v>45861</v>
      </c>
      <c r="J1125" t="s">
        <v>11</v>
      </c>
      <c r="K1125" s="2" t="str">
        <f>IFERROR(INDEX(Product_lookup[Category],MATCH(RawWorking[[#This Row],[ProductID]],Product_lookup[ProductID],0)),"")</f>
        <v>Electronics</v>
      </c>
      <c r="L1125" s="9">
        <f>IF(OR(RawWorking[[#This Row],[ShipDate]]="",RawWorking[[#This Row],[DeliveryDate]]=""),"",RawWorking[[#This Row],[DeliveryDate]]-RawWorking[[#This Row],[ShipDate]])</f>
        <v>7</v>
      </c>
      <c r="M1125" s="9">
        <f>IF(COUNTIF(INDEX(RawWorking[OrderID],1):RawWorking[[#This Row],[OrderID]],RawWorking[[#This Row],[OrderID]])=1,1,0)</f>
        <v>0</v>
      </c>
      <c r="N1125" s="4">
        <f>IFERROR(RawWorking[[#This Row],[LineAmount]]/RawWorking[[#This Row],[Quantity]],"")</f>
        <v>183.74</v>
      </c>
    </row>
    <row r="1126" spans="1:14">
      <c r="A1126">
        <v>51125</v>
      </c>
      <c r="B1126">
        <v>30648</v>
      </c>
      <c r="C1126" s="2">
        <v>45851</v>
      </c>
      <c r="D1126">
        <v>2061</v>
      </c>
      <c r="E1126">
        <v>1014</v>
      </c>
      <c r="F1126">
        <v>2</v>
      </c>
      <c r="G1126">
        <v>430.68</v>
      </c>
      <c r="H1126" s="2">
        <v>45853</v>
      </c>
      <c r="I1126" s="2">
        <v>45854</v>
      </c>
      <c r="J1126" t="s">
        <v>11</v>
      </c>
      <c r="K1126" s="2" t="str">
        <f>IFERROR(INDEX(Product_lookup[Category],MATCH(RawWorking[[#This Row],[ProductID]],Product_lookup[ProductID],0)),"")</f>
        <v>Sports</v>
      </c>
      <c r="L1126" s="9">
        <f>IF(OR(RawWorking[[#This Row],[ShipDate]]="",RawWorking[[#This Row],[DeliveryDate]]=""),"",RawWorking[[#This Row],[DeliveryDate]]-RawWorking[[#This Row],[ShipDate]])</f>
        <v>1</v>
      </c>
      <c r="M1126" s="9">
        <f>IF(COUNTIF(INDEX(RawWorking[OrderID],1):RawWorking[[#This Row],[OrderID]],RawWorking[[#This Row],[OrderID]])=1,1,0)</f>
        <v>0</v>
      </c>
      <c r="N1126" s="4">
        <f>IFERROR(RawWorking[[#This Row],[LineAmount]]/RawWorking[[#This Row],[Quantity]],"")</f>
        <v>215.34</v>
      </c>
    </row>
    <row r="1127" spans="1:14">
      <c r="A1127">
        <v>51126</v>
      </c>
      <c r="B1127">
        <v>30649</v>
      </c>
      <c r="C1127" s="2">
        <v>45880</v>
      </c>
      <c r="D1127">
        <v>2495</v>
      </c>
      <c r="E1127">
        <v>1015</v>
      </c>
      <c r="F1127">
        <v>1</v>
      </c>
      <c r="G1127">
        <v>119.74</v>
      </c>
      <c r="H1127" s="2">
        <v>45999</v>
      </c>
      <c r="I1127" s="2" t="s">
        <v>1421</v>
      </c>
      <c r="J1127" t="s">
        <v>16</v>
      </c>
      <c r="K1127" s="2" t="str">
        <f>IFERROR(INDEX(Product_lookup[Category],MATCH(RawWorking[[#This Row],[ProductID]],Product_lookup[ProductID],0)),"")</f>
        <v>Sports</v>
      </c>
      <c r="L1127" s="9" t="str">
        <f>IF(OR(RawWorking[[#This Row],[ShipDate]]="",RawWorking[[#This Row],[DeliveryDate]]=""),"",RawWorking[[#This Row],[DeliveryDate]]-RawWorking[[#This Row],[ShipDate]])</f>
        <v/>
      </c>
      <c r="M1127" s="9">
        <f>IF(COUNTIF(INDEX(RawWorking[OrderID],1):RawWorking[[#This Row],[OrderID]],RawWorking[[#This Row],[OrderID]])=1,1,0)</f>
        <v>1</v>
      </c>
      <c r="N1127" s="4">
        <f>IFERROR(RawWorking[[#This Row],[LineAmount]]/RawWorking[[#This Row],[Quantity]],"")</f>
        <v>119.74</v>
      </c>
    </row>
    <row r="1128" spans="1:14">
      <c r="A1128">
        <v>51127</v>
      </c>
      <c r="B1128">
        <v>30650</v>
      </c>
      <c r="C1128" s="2">
        <v>45699</v>
      </c>
      <c r="D1128">
        <v>2389</v>
      </c>
      <c r="E1128">
        <v>1001</v>
      </c>
      <c r="F1128">
        <v>2</v>
      </c>
      <c r="G1128">
        <v>406.08</v>
      </c>
      <c r="H1128" s="2" t="s">
        <v>1421</v>
      </c>
      <c r="I1128" s="2" t="s">
        <v>1421</v>
      </c>
      <c r="J1128" t="s">
        <v>16</v>
      </c>
      <c r="K1128" s="2" t="str">
        <f>IFERROR(INDEX(Product_lookup[Category],MATCH(RawWorking[[#This Row],[ProductID]],Product_lookup[ProductID],0)),"")</f>
        <v>Electronics</v>
      </c>
      <c r="L1128" s="9" t="str">
        <f>IF(OR(RawWorking[[#This Row],[ShipDate]]="",RawWorking[[#This Row],[DeliveryDate]]=""),"",RawWorking[[#This Row],[DeliveryDate]]-RawWorking[[#This Row],[ShipDate]])</f>
        <v/>
      </c>
      <c r="M1128" s="9">
        <f>IF(COUNTIF(INDEX(RawWorking[OrderID],1):RawWorking[[#This Row],[OrderID]],RawWorking[[#This Row],[OrderID]])=1,1,0)</f>
        <v>1</v>
      </c>
      <c r="N1128" s="4">
        <f>IFERROR(RawWorking[[#This Row],[LineAmount]]/RawWorking[[#This Row],[Quantity]],"")</f>
        <v>203.04</v>
      </c>
    </row>
    <row r="1129" spans="1:14">
      <c r="A1129">
        <v>51128</v>
      </c>
      <c r="B1129">
        <v>30650</v>
      </c>
      <c r="C1129" s="2">
        <v>45699</v>
      </c>
      <c r="D1129">
        <v>2389</v>
      </c>
      <c r="E1129">
        <v>1005</v>
      </c>
      <c r="F1129">
        <v>2</v>
      </c>
      <c r="G1129">
        <v>63.46</v>
      </c>
      <c r="H1129" s="2" t="s">
        <v>1421</v>
      </c>
      <c r="I1129" s="2" t="s">
        <v>1421</v>
      </c>
      <c r="J1129" t="s">
        <v>16</v>
      </c>
      <c r="K1129" s="2" t="str">
        <f>IFERROR(INDEX(Product_lookup[Category],MATCH(RawWorking[[#This Row],[ProductID]],Product_lookup[ProductID],0)),"")</f>
        <v>Electronics</v>
      </c>
      <c r="L1129" s="9" t="str">
        <f>IF(OR(RawWorking[[#This Row],[ShipDate]]="",RawWorking[[#This Row],[DeliveryDate]]=""),"",RawWorking[[#This Row],[DeliveryDate]]-RawWorking[[#This Row],[ShipDate]])</f>
        <v/>
      </c>
      <c r="M1129" s="9">
        <f>IF(COUNTIF(INDEX(RawWorking[OrderID],1):RawWorking[[#This Row],[OrderID]],RawWorking[[#This Row],[OrderID]])=1,1,0)</f>
        <v>0</v>
      </c>
      <c r="N1129" s="4">
        <f>IFERROR(RawWorking[[#This Row],[LineAmount]]/RawWorking[[#This Row],[Quantity]],"")</f>
        <v>31.73</v>
      </c>
    </row>
    <row r="1130" spans="1:14">
      <c r="A1130">
        <v>51129</v>
      </c>
      <c r="B1130">
        <v>30651</v>
      </c>
      <c r="C1130" s="2">
        <v>45854</v>
      </c>
      <c r="D1130">
        <v>2500</v>
      </c>
      <c r="E1130">
        <v>1014</v>
      </c>
      <c r="F1130">
        <v>1</v>
      </c>
      <c r="G1130">
        <v>215.34</v>
      </c>
      <c r="H1130" s="2">
        <v>45855</v>
      </c>
      <c r="I1130" s="2">
        <v>45863</v>
      </c>
      <c r="J1130" t="s">
        <v>9</v>
      </c>
      <c r="K1130" s="2" t="str">
        <f>IFERROR(INDEX(Product_lookup[Category],MATCH(RawWorking[[#This Row],[ProductID]],Product_lookup[ProductID],0)),"")</f>
        <v>Sports</v>
      </c>
      <c r="L1130" s="9">
        <f>IF(OR(RawWorking[[#This Row],[ShipDate]]="",RawWorking[[#This Row],[DeliveryDate]]=""),"",RawWorking[[#This Row],[DeliveryDate]]-RawWorking[[#This Row],[ShipDate]])</f>
        <v>8</v>
      </c>
      <c r="M1130" s="9">
        <f>IF(COUNTIF(INDEX(RawWorking[OrderID],1):RawWorking[[#This Row],[OrderID]],RawWorking[[#This Row],[OrderID]])=1,1,0)</f>
        <v>1</v>
      </c>
      <c r="N1130" s="4">
        <f>IFERROR(RawWorking[[#This Row],[LineAmount]]/RawWorking[[#This Row],[Quantity]],"")</f>
        <v>215.34</v>
      </c>
    </row>
    <row r="1131" spans="1:14">
      <c r="A1131">
        <v>51130</v>
      </c>
      <c r="B1131">
        <v>30652</v>
      </c>
      <c r="C1131" s="2">
        <v>45857</v>
      </c>
      <c r="D1131">
        <v>2452</v>
      </c>
      <c r="E1131">
        <v>1009</v>
      </c>
      <c r="F1131">
        <v>3</v>
      </c>
      <c r="G1131">
        <v>120.84</v>
      </c>
      <c r="H1131" s="2">
        <v>45858</v>
      </c>
      <c r="I1131" s="2">
        <v>45868</v>
      </c>
      <c r="J1131" t="s">
        <v>9</v>
      </c>
      <c r="K1131" s="2" t="str">
        <f>IFERROR(INDEX(Product_lookup[Category],MATCH(RawWorking[[#This Row],[ProductID]],Product_lookup[ProductID],0)),"")</f>
        <v>Home</v>
      </c>
      <c r="L1131" s="9">
        <f>IF(OR(RawWorking[[#This Row],[ShipDate]]="",RawWorking[[#This Row],[DeliveryDate]]=""),"",RawWorking[[#This Row],[DeliveryDate]]-RawWorking[[#This Row],[ShipDate]])</f>
        <v>10</v>
      </c>
      <c r="M1131" s="9">
        <f>IF(COUNTIF(INDEX(RawWorking[OrderID],1):RawWorking[[#This Row],[OrderID]],RawWorking[[#This Row],[OrderID]])=1,1,0)</f>
        <v>1</v>
      </c>
      <c r="N1131" s="4">
        <f>IFERROR(RawWorking[[#This Row],[LineAmount]]/RawWorking[[#This Row],[Quantity]],"")</f>
        <v>40.28</v>
      </c>
    </row>
    <row r="1132" spans="1:14">
      <c r="A1132">
        <v>51131</v>
      </c>
      <c r="B1132">
        <v>30652</v>
      </c>
      <c r="C1132" s="2">
        <v>45857</v>
      </c>
      <c r="D1132">
        <v>2452</v>
      </c>
      <c r="E1132">
        <v>1011</v>
      </c>
      <c r="F1132">
        <v>3</v>
      </c>
      <c r="G1132">
        <v>304.32</v>
      </c>
      <c r="H1132" s="2">
        <v>45859</v>
      </c>
      <c r="I1132" s="2">
        <v>45869</v>
      </c>
      <c r="J1132" t="s">
        <v>9</v>
      </c>
      <c r="K1132" s="2" t="str">
        <f>IFERROR(INDEX(Product_lookup[Category],MATCH(RawWorking[[#This Row],[ProductID]],Product_lookup[ProductID],0)),"")</f>
        <v>Office</v>
      </c>
      <c r="L1132" s="9">
        <f>IF(OR(RawWorking[[#This Row],[ShipDate]]="",RawWorking[[#This Row],[DeliveryDate]]=""),"",RawWorking[[#This Row],[DeliveryDate]]-RawWorking[[#This Row],[ShipDate]])</f>
        <v>10</v>
      </c>
      <c r="M1132" s="9">
        <f>IF(COUNTIF(INDEX(RawWorking[OrderID],1):RawWorking[[#This Row],[OrderID]],RawWorking[[#This Row],[OrderID]])=1,1,0)</f>
        <v>0</v>
      </c>
      <c r="N1132" s="4">
        <f>IFERROR(RawWorking[[#This Row],[LineAmount]]/RawWorking[[#This Row],[Quantity]],"")</f>
        <v>101.44</v>
      </c>
    </row>
    <row r="1133" spans="1:14">
      <c r="A1133">
        <v>51132</v>
      </c>
      <c r="B1133">
        <v>30652</v>
      </c>
      <c r="C1133" s="2">
        <v>45857</v>
      </c>
      <c r="D1133">
        <v>2452</v>
      </c>
      <c r="E1133">
        <v>1001</v>
      </c>
      <c r="F1133">
        <v>1</v>
      </c>
      <c r="G1133">
        <v>203.04</v>
      </c>
      <c r="H1133" s="2">
        <v>45860</v>
      </c>
      <c r="I1133" s="2">
        <v>45861</v>
      </c>
      <c r="J1133" t="s">
        <v>9</v>
      </c>
      <c r="K1133" s="2" t="str">
        <f>IFERROR(INDEX(Product_lookup[Category],MATCH(RawWorking[[#This Row],[ProductID]],Product_lookup[ProductID],0)),"")</f>
        <v>Electronics</v>
      </c>
      <c r="L1133" s="9">
        <f>IF(OR(RawWorking[[#This Row],[ShipDate]]="",RawWorking[[#This Row],[DeliveryDate]]=""),"",RawWorking[[#This Row],[DeliveryDate]]-RawWorking[[#This Row],[ShipDate]])</f>
        <v>1</v>
      </c>
      <c r="M1133" s="9">
        <f>IF(COUNTIF(INDEX(RawWorking[OrderID],1):RawWorking[[#This Row],[OrderID]],RawWorking[[#This Row],[OrderID]])=1,1,0)</f>
        <v>0</v>
      </c>
      <c r="N1133" s="4">
        <f>IFERROR(RawWorking[[#This Row],[LineAmount]]/RawWorking[[#This Row],[Quantity]],"")</f>
        <v>203.04</v>
      </c>
    </row>
    <row r="1134" spans="1:14">
      <c r="A1134">
        <v>51133</v>
      </c>
      <c r="B1134">
        <v>30653</v>
      </c>
      <c r="C1134" s="2">
        <v>45754</v>
      </c>
      <c r="D1134">
        <v>2538</v>
      </c>
      <c r="E1134">
        <v>1008</v>
      </c>
      <c r="F1134">
        <v>1</v>
      </c>
      <c r="G1134">
        <v>206.09</v>
      </c>
      <c r="H1134" s="2" t="s">
        <v>1421</v>
      </c>
      <c r="I1134" s="2" t="s">
        <v>1421</v>
      </c>
      <c r="J1134" t="s">
        <v>16</v>
      </c>
      <c r="K1134" s="2" t="str">
        <f>IFERROR(INDEX(Product_lookup[Category],MATCH(RawWorking[[#This Row],[ProductID]],Product_lookup[ProductID],0)),"")</f>
        <v>Home</v>
      </c>
      <c r="L1134" s="9" t="str">
        <f>IF(OR(RawWorking[[#This Row],[ShipDate]]="",RawWorking[[#This Row],[DeliveryDate]]=""),"",RawWorking[[#This Row],[DeliveryDate]]-RawWorking[[#This Row],[ShipDate]])</f>
        <v/>
      </c>
      <c r="M1134" s="9">
        <f>IF(COUNTIF(INDEX(RawWorking[OrderID],1):RawWorking[[#This Row],[OrderID]],RawWorking[[#This Row],[OrderID]])=1,1,0)</f>
        <v>1</v>
      </c>
      <c r="N1134" s="4">
        <f>IFERROR(RawWorking[[#This Row],[LineAmount]]/RawWorking[[#This Row],[Quantity]],"")</f>
        <v>206.09</v>
      </c>
    </row>
    <row r="1135" spans="1:14">
      <c r="A1135">
        <v>51134</v>
      </c>
      <c r="B1135">
        <v>30654</v>
      </c>
      <c r="C1135" s="2">
        <v>45688</v>
      </c>
      <c r="D1135">
        <v>2347</v>
      </c>
      <c r="E1135">
        <v>1004</v>
      </c>
      <c r="F1135">
        <v>4</v>
      </c>
      <c r="G1135">
        <v>734.96</v>
      </c>
      <c r="H1135" s="2">
        <v>45689</v>
      </c>
      <c r="I1135" s="2">
        <v>45691</v>
      </c>
      <c r="J1135" t="s">
        <v>9</v>
      </c>
      <c r="K1135" s="2" t="str">
        <f>IFERROR(INDEX(Product_lookup[Category],MATCH(RawWorking[[#This Row],[ProductID]],Product_lookup[ProductID],0)),"")</f>
        <v>Electronics</v>
      </c>
      <c r="L1135" s="9">
        <f>IF(OR(RawWorking[[#This Row],[ShipDate]]="",RawWorking[[#This Row],[DeliveryDate]]=""),"",RawWorking[[#This Row],[DeliveryDate]]-RawWorking[[#This Row],[ShipDate]])</f>
        <v>2</v>
      </c>
      <c r="M1135" s="9">
        <f>IF(COUNTIF(INDEX(RawWorking[OrderID],1):RawWorking[[#This Row],[OrderID]],RawWorking[[#This Row],[OrderID]])=1,1,0)</f>
        <v>1</v>
      </c>
      <c r="N1135" s="4">
        <f>IFERROR(RawWorking[[#This Row],[LineAmount]]/RawWorking[[#This Row],[Quantity]],"")</f>
        <v>183.74</v>
      </c>
    </row>
    <row r="1136" spans="1:14">
      <c r="A1136">
        <v>51135</v>
      </c>
      <c r="B1136">
        <v>30655</v>
      </c>
      <c r="C1136" s="2">
        <v>45677</v>
      </c>
      <c r="D1136">
        <v>2444</v>
      </c>
      <c r="E1136">
        <v>1008</v>
      </c>
      <c r="F1136">
        <v>2</v>
      </c>
      <c r="G1136">
        <v>412.18</v>
      </c>
      <c r="H1136" s="2">
        <v>45680</v>
      </c>
      <c r="I1136" s="2">
        <v>45681</v>
      </c>
      <c r="J1136" t="s">
        <v>9</v>
      </c>
      <c r="K1136" s="2" t="str">
        <f>IFERROR(INDEX(Product_lookup[Category],MATCH(RawWorking[[#This Row],[ProductID]],Product_lookup[ProductID],0)),"")</f>
        <v>Home</v>
      </c>
      <c r="L1136" s="9">
        <f>IF(OR(RawWorking[[#This Row],[ShipDate]]="",RawWorking[[#This Row],[DeliveryDate]]=""),"",RawWorking[[#This Row],[DeliveryDate]]-RawWorking[[#This Row],[ShipDate]])</f>
        <v>1</v>
      </c>
      <c r="M1136" s="9">
        <f>IF(COUNTIF(INDEX(RawWorking[OrderID],1):RawWorking[[#This Row],[OrderID]],RawWorking[[#This Row],[OrderID]])=1,1,0)</f>
        <v>1</v>
      </c>
      <c r="N1136" s="4">
        <f>IFERROR(RawWorking[[#This Row],[LineAmount]]/RawWorking[[#This Row],[Quantity]],"")</f>
        <v>206.09</v>
      </c>
    </row>
    <row r="1137" spans="1:14">
      <c r="A1137">
        <v>51136</v>
      </c>
      <c r="B1137">
        <v>30655</v>
      </c>
      <c r="C1137" s="2">
        <v>45677</v>
      </c>
      <c r="D1137">
        <v>2444</v>
      </c>
      <c r="E1137">
        <v>1016</v>
      </c>
      <c r="F1137">
        <v>1</v>
      </c>
      <c r="G1137">
        <v>65.260000000000005</v>
      </c>
      <c r="H1137" s="2">
        <v>45680</v>
      </c>
      <c r="I1137" s="2">
        <v>45688</v>
      </c>
      <c r="J1137" t="s">
        <v>9</v>
      </c>
      <c r="K1137" s="2" t="str">
        <f>IFERROR(INDEX(Product_lookup[Category],MATCH(RawWorking[[#This Row],[ProductID]],Product_lookup[ProductID],0)),"")</f>
        <v>Sports</v>
      </c>
      <c r="L1137" s="9">
        <f>IF(OR(RawWorking[[#This Row],[ShipDate]]="",RawWorking[[#This Row],[DeliveryDate]]=""),"",RawWorking[[#This Row],[DeliveryDate]]-RawWorking[[#This Row],[ShipDate]])</f>
        <v>8</v>
      </c>
      <c r="M1137" s="9">
        <f>IF(COUNTIF(INDEX(RawWorking[OrderID],1):RawWorking[[#This Row],[OrderID]],RawWorking[[#This Row],[OrderID]])=1,1,0)</f>
        <v>0</v>
      </c>
      <c r="N1137" s="4">
        <f>IFERROR(RawWorking[[#This Row],[LineAmount]]/RawWorking[[#This Row],[Quantity]],"")</f>
        <v>65.260000000000005</v>
      </c>
    </row>
    <row r="1138" spans="1:14">
      <c r="A1138">
        <v>51137</v>
      </c>
      <c r="B1138">
        <v>30656</v>
      </c>
      <c r="C1138" s="2">
        <v>45893</v>
      </c>
      <c r="D1138">
        <v>2355</v>
      </c>
      <c r="E1138">
        <v>1013</v>
      </c>
      <c r="F1138">
        <v>4</v>
      </c>
      <c r="G1138">
        <v>681</v>
      </c>
      <c r="H1138" s="2">
        <v>45894</v>
      </c>
      <c r="I1138" s="2">
        <v>45898</v>
      </c>
      <c r="J1138" t="s">
        <v>9</v>
      </c>
      <c r="K1138" s="2" t="str">
        <f>IFERROR(INDEX(Product_lookup[Category],MATCH(RawWorking[[#This Row],[ProductID]],Product_lookup[ProductID],0)),"")</f>
        <v>Office</v>
      </c>
      <c r="L1138" s="9">
        <f>IF(OR(RawWorking[[#This Row],[ShipDate]]="",RawWorking[[#This Row],[DeliveryDate]]=""),"",RawWorking[[#This Row],[DeliveryDate]]-RawWorking[[#This Row],[ShipDate]])</f>
        <v>4</v>
      </c>
      <c r="M1138" s="9">
        <f>IF(COUNTIF(INDEX(RawWorking[OrderID],1):RawWorking[[#This Row],[OrderID]],RawWorking[[#This Row],[OrderID]])=1,1,0)</f>
        <v>1</v>
      </c>
      <c r="N1138" s="4">
        <f>IFERROR(RawWorking[[#This Row],[LineAmount]]/RawWorking[[#This Row],[Quantity]],"")</f>
        <v>170.25</v>
      </c>
    </row>
    <row r="1139" spans="1:14">
      <c r="A1139">
        <v>51138</v>
      </c>
      <c r="B1139">
        <v>30657</v>
      </c>
      <c r="C1139" s="2">
        <v>45906</v>
      </c>
      <c r="D1139">
        <v>2153</v>
      </c>
      <c r="E1139">
        <v>1002</v>
      </c>
      <c r="F1139">
        <v>2</v>
      </c>
      <c r="G1139">
        <v>237.2</v>
      </c>
      <c r="H1139" s="2">
        <v>45908</v>
      </c>
      <c r="I1139" s="2" t="s">
        <v>1421</v>
      </c>
      <c r="J1139" t="s">
        <v>16</v>
      </c>
      <c r="K1139" s="2" t="str">
        <f>IFERROR(INDEX(Product_lookup[Category],MATCH(RawWorking[[#This Row],[ProductID]],Product_lookup[ProductID],0)),"")</f>
        <v>Electronics</v>
      </c>
      <c r="L1139" s="9" t="str">
        <f>IF(OR(RawWorking[[#This Row],[ShipDate]]="",RawWorking[[#This Row],[DeliveryDate]]=""),"",RawWorking[[#This Row],[DeliveryDate]]-RawWorking[[#This Row],[ShipDate]])</f>
        <v/>
      </c>
      <c r="M1139" s="9">
        <f>IF(COUNTIF(INDEX(RawWorking[OrderID],1):RawWorking[[#This Row],[OrderID]],RawWorking[[#This Row],[OrderID]])=1,1,0)</f>
        <v>1</v>
      </c>
      <c r="N1139" s="4">
        <f>IFERROR(RawWorking[[#This Row],[LineAmount]]/RawWorking[[#This Row],[Quantity]],"")</f>
        <v>118.6</v>
      </c>
    </row>
    <row r="1140" spans="1:14">
      <c r="A1140">
        <v>51139</v>
      </c>
      <c r="B1140">
        <v>30657</v>
      </c>
      <c r="C1140" s="2">
        <v>45906</v>
      </c>
      <c r="D1140">
        <v>2153</v>
      </c>
      <c r="E1140">
        <v>1006</v>
      </c>
      <c r="F1140">
        <v>1</v>
      </c>
      <c r="G1140">
        <v>253.86</v>
      </c>
      <c r="H1140" s="2" t="s">
        <v>1421</v>
      </c>
      <c r="I1140" s="2" t="s">
        <v>1421</v>
      </c>
      <c r="J1140" t="s">
        <v>16</v>
      </c>
      <c r="K1140" s="2" t="str">
        <f>IFERROR(INDEX(Product_lookup[Category],MATCH(RawWorking[[#This Row],[ProductID]],Product_lookup[ProductID],0)),"")</f>
        <v>Home</v>
      </c>
      <c r="L1140" s="9" t="str">
        <f>IF(OR(RawWorking[[#This Row],[ShipDate]]="",RawWorking[[#This Row],[DeliveryDate]]=""),"",RawWorking[[#This Row],[DeliveryDate]]-RawWorking[[#This Row],[ShipDate]])</f>
        <v/>
      </c>
      <c r="M1140" s="9">
        <f>IF(COUNTIF(INDEX(RawWorking[OrderID],1):RawWorking[[#This Row],[OrderID]],RawWorking[[#This Row],[OrderID]])=1,1,0)</f>
        <v>0</v>
      </c>
      <c r="N1140" s="4">
        <f>IFERROR(RawWorking[[#This Row],[LineAmount]]/RawWorking[[#This Row],[Quantity]],"")</f>
        <v>253.86</v>
      </c>
    </row>
    <row r="1141" spans="1:14">
      <c r="A1141">
        <v>51140</v>
      </c>
      <c r="B1141">
        <v>30658</v>
      </c>
      <c r="C1141" s="2">
        <v>45831</v>
      </c>
      <c r="D1141">
        <v>2481</v>
      </c>
      <c r="E1141">
        <v>1006</v>
      </c>
      <c r="F1141">
        <v>2</v>
      </c>
      <c r="G1141">
        <v>507.72</v>
      </c>
      <c r="H1141" s="2">
        <v>45834</v>
      </c>
      <c r="I1141" s="2" t="s">
        <v>1421</v>
      </c>
      <c r="J1141" t="s">
        <v>16</v>
      </c>
      <c r="K1141" s="2" t="str">
        <f>IFERROR(INDEX(Product_lookup[Category],MATCH(RawWorking[[#This Row],[ProductID]],Product_lookup[ProductID],0)),"")</f>
        <v>Home</v>
      </c>
      <c r="L1141" s="9" t="str">
        <f>IF(OR(RawWorking[[#This Row],[ShipDate]]="",RawWorking[[#This Row],[DeliveryDate]]=""),"",RawWorking[[#This Row],[DeliveryDate]]-RawWorking[[#This Row],[ShipDate]])</f>
        <v/>
      </c>
      <c r="M1141" s="9">
        <f>IF(COUNTIF(INDEX(RawWorking[OrderID],1):RawWorking[[#This Row],[OrderID]],RawWorking[[#This Row],[OrderID]])=1,1,0)</f>
        <v>1</v>
      </c>
      <c r="N1141" s="4">
        <f>IFERROR(RawWorking[[#This Row],[LineAmount]]/RawWorking[[#This Row],[Quantity]],"")</f>
        <v>253.86</v>
      </c>
    </row>
    <row r="1142" spans="1:14">
      <c r="A1142">
        <v>51141</v>
      </c>
      <c r="B1142">
        <v>30659</v>
      </c>
      <c r="C1142" s="2">
        <v>45954</v>
      </c>
      <c r="D1142">
        <v>2504</v>
      </c>
      <c r="E1142">
        <v>1011</v>
      </c>
      <c r="F1142">
        <v>1</v>
      </c>
      <c r="G1142">
        <v>101.44</v>
      </c>
      <c r="H1142" s="2">
        <v>45955</v>
      </c>
      <c r="I1142" s="2">
        <v>45965</v>
      </c>
      <c r="J1142" t="s">
        <v>9</v>
      </c>
      <c r="K1142" s="2" t="str">
        <f>IFERROR(INDEX(Product_lookup[Category],MATCH(RawWorking[[#This Row],[ProductID]],Product_lookup[ProductID],0)),"")</f>
        <v>Office</v>
      </c>
      <c r="L1142" s="9">
        <f>IF(OR(RawWorking[[#This Row],[ShipDate]]="",RawWorking[[#This Row],[DeliveryDate]]=""),"",RawWorking[[#This Row],[DeliveryDate]]-RawWorking[[#This Row],[ShipDate]])</f>
        <v>10</v>
      </c>
      <c r="M1142" s="9">
        <f>IF(COUNTIF(INDEX(RawWorking[OrderID],1):RawWorking[[#This Row],[OrderID]],RawWorking[[#This Row],[OrderID]])=1,1,0)</f>
        <v>1</v>
      </c>
      <c r="N1142" s="4">
        <f>IFERROR(RawWorking[[#This Row],[LineAmount]]/RawWorking[[#This Row],[Quantity]],"")</f>
        <v>101.44</v>
      </c>
    </row>
    <row r="1143" spans="1:14">
      <c r="A1143">
        <v>51142</v>
      </c>
      <c r="B1143">
        <v>30660</v>
      </c>
      <c r="C1143" s="2">
        <v>45779</v>
      </c>
      <c r="D1143">
        <v>2285</v>
      </c>
      <c r="E1143">
        <v>1008</v>
      </c>
      <c r="F1143">
        <v>1</v>
      </c>
      <c r="G1143">
        <v>206.09</v>
      </c>
      <c r="H1143" s="2">
        <v>45780</v>
      </c>
      <c r="I1143" s="2">
        <v>45782</v>
      </c>
      <c r="J1143" t="s">
        <v>9</v>
      </c>
      <c r="K1143" s="2" t="str">
        <f>IFERROR(INDEX(Product_lookup[Category],MATCH(RawWorking[[#This Row],[ProductID]],Product_lookup[ProductID],0)),"")</f>
        <v>Home</v>
      </c>
      <c r="L1143" s="9">
        <f>IF(OR(RawWorking[[#This Row],[ShipDate]]="",RawWorking[[#This Row],[DeliveryDate]]=""),"",RawWorking[[#This Row],[DeliveryDate]]-RawWorking[[#This Row],[ShipDate]])</f>
        <v>2</v>
      </c>
      <c r="M1143" s="9">
        <f>IF(COUNTIF(INDEX(RawWorking[OrderID],1):RawWorking[[#This Row],[OrderID]],RawWorking[[#This Row],[OrderID]])=1,1,0)</f>
        <v>1</v>
      </c>
      <c r="N1143" s="4">
        <f>IFERROR(RawWorking[[#This Row],[LineAmount]]/RawWorking[[#This Row],[Quantity]],"")</f>
        <v>206.09</v>
      </c>
    </row>
    <row r="1144" spans="1:14">
      <c r="A1144">
        <v>51143</v>
      </c>
      <c r="B1144">
        <v>30661</v>
      </c>
      <c r="C1144" s="2">
        <v>45847</v>
      </c>
      <c r="D1144">
        <v>2564</v>
      </c>
      <c r="E1144">
        <v>1013</v>
      </c>
      <c r="F1144">
        <v>1</v>
      </c>
      <c r="G1144">
        <v>170.25</v>
      </c>
      <c r="H1144" s="2">
        <v>45908</v>
      </c>
      <c r="I1144" s="2">
        <v>45915</v>
      </c>
      <c r="J1144" t="s">
        <v>9</v>
      </c>
      <c r="K1144" s="2" t="str">
        <f>IFERROR(INDEX(Product_lookup[Category],MATCH(RawWorking[[#This Row],[ProductID]],Product_lookup[ProductID],0)),"")</f>
        <v>Office</v>
      </c>
      <c r="L1144" s="9">
        <f>IF(OR(RawWorking[[#This Row],[ShipDate]]="",RawWorking[[#This Row],[DeliveryDate]]=""),"",RawWorking[[#This Row],[DeliveryDate]]-RawWorking[[#This Row],[ShipDate]])</f>
        <v>7</v>
      </c>
      <c r="M1144" s="9">
        <f>IF(COUNTIF(INDEX(RawWorking[OrderID],1):RawWorking[[#This Row],[OrderID]],RawWorking[[#This Row],[OrderID]])=1,1,0)</f>
        <v>1</v>
      </c>
      <c r="N1144" s="4">
        <f>IFERROR(RawWorking[[#This Row],[LineAmount]]/RawWorking[[#This Row],[Quantity]],"")</f>
        <v>170.25</v>
      </c>
    </row>
    <row r="1145" spans="1:14">
      <c r="A1145">
        <v>51144</v>
      </c>
      <c r="B1145">
        <v>30661</v>
      </c>
      <c r="C1145" s="2">
        <v>45907</v>
      </c>
      <c r="D1145">
        <v>2564</v>
      </c>
      <c r="E1145">
        <v>1008</v>
      </c>
      <c r="F1145">
        <v>4</v>
      </c>
      <c r="G1145">
        <v>824.36</v>
      </c>
      <c r="H1145" s="2">
        <v>45910</v>
      </c>
      <c r="I1145" s="2">
        <v>45912</v>
      </c>
      <c r="J1145" t="s">
        <v>9</v>
      </c>
      <c r="K1145" s="2" t="str">
        <f>IFERROR(INDEX(Product_lookup[Category],MATCH(RawWorking[[#This Row],[ProductID]],Product_lookup[ProductID],0)),"")</f>
        <v>Home</v>
      </c>
      <c r="L1145" s="9">
        <f>IF(OR(RawWorking[[#This Row],[ShipDate]]="",RawWorking[[#This Row],[DeliveryDate]]=""),"",RawWorking[[#This Row],[DeliveryDate]]-RawWorking[[#This Row],[ShipDate]])</f>
        <v>2</v>
      </c>
      <c r="M1145" s="9">
        <f>IF(COUNTIF(INDEX(RawWorking[OrderID],1):RawWorking[[#This Row],[OrderID]],RawWorking[[#This Row],[OrderID]])=1,1,0)</f>
        <v>0</v>
      </c>
      <c r="N1145" s="4">
        <f>IFERROR(RawWorking[[#This Row],[LineAmount]]/RawWorking[[#This Row],[Quantity]],"")</f>
        <v>206.09</v>
      </c>
    </row>
    <row r="1146" spans="1:14">
      <c r="A1146">
        <v>51145</v>
      </c>
      <c r="B1146">
        <v>30662</v>
      </c>
      <c r="C1146" s="2">
        <v>45783</v>
      </c>
      <c r="D1146">
        <v>2081</v>
      </c>
      <c r="E1146">
        <v>1015</v>
      </c>
      <c r="F1146">
        <v>1</v>
      </c>
      <c r="G1146">
        <v>119.74</v>
      </c>
      <c r="H1146" s="2">
        <v>45816</v>
      </c>
      <c r="I1146" s="2">
        <v>45817</v>
      </c>
      <c r="J1146" t="s">
        <v>9</v>
      </c>
      <c r="K1146" s="2" t="str">
        <f>IFERROR(INDEX(Product_lookup[Category],MATCH(RawWorking[[#This Row],[ProductID]],Product_lookup[ProductID],0)),"")</f>
        <v>Sports</v>
      </c>
      <c r="L1146" s="9">
        <f>IF(OR(RawWorking[[#This Row],[ShipDate]]="",RawWorking[[#This Row],[DeliveryDate]]=""),"",RawWorking[[#This Row],[DeliveryDate]]-RawWorking[[#This Row],[ShipDate]])</f>
        <v>1</v>
      </c>
      <c r="M1146" s="9">
        <f>IF(COUNTIF(INDEX(RawWorking[OrderID],1):RawWorking[[#This Row],[OrderID]],RawWorking[[#This Row],[OrderID]])=1,1,0)</f>
        <v>1</v>
      </c>
      <c r="N1146" s="4">
        <f>IFERROR(RawWorking[[#This Row],[LineAmount]]/RawWorking[[#This Row],[Quantity]],"")</f>
        <v>119.74</v>
      </c>
    </row>
    <row r="1147" spans="1:14">
      <c r="A1147">
        <v>51146</v>
      </c>
      <c r="B1147">
        <v>30662</v>
      </c>
      <c r="C1147" s="2">
        <v>45813</v>
      </c>
      <c r="D1147">
        <v>2081</v>
      </c>
      <c r="E1147">
        <v>1003</v>
      </c>
      <c r="F1147">
        <v>2</v>
      </c>
      <c r="G1147">
        <v>448.74</v>
      </c>
      <c r="H1147" s="2">
        <v>45815</v>
      </c>
      <c r="I1147" s="2">
        <v>45823</v>
      </c>
      <c r="J1147" t="s">
        <v>9</v>
      </c>
      <c r="K1147" s="2" t="str">
        <f>IFERROR(INDEX(Product_lookup[Category],MATCH(RawWorking[[#This Row],[ProductID]],Product_lookup[ProductID],0)),"")</f>
        <v>Electronics</v>
      </c>
      <c r="L1147" s="9">
        <f>IF(OR(RawWorking[[#This Row],[ShipDate]]="",RawWorking[[#This Row],[DeliveryDate]]=""),"",RawWorking[[#This Row],[DeliveryDate]]-RawWorking[[#This Row],[ShipDate]])</f>
        <v>8</v>
      </c>
      <c r="M1147" s="9">
        <f>IF(COUNTIF(INDEX(RawWorking[OrderID],1):RawWorking[[#This Row],[OrderID]],RawWorking[[#This Row],[OrderID]])=1,1,0)</f>
        <v>0</v>
      </c>
      <c r="N1147" s="4">
        <f>IFERROR(RawWorking[[#This Row],[LineAmount]]/RawWorking[[#This Row],[Quantity]],"")</f>
        <v>224.37</v>
      </c>
    </row>
    <row r="1148" spans="1:14">
      <c r="A1148">
        <v>51147</v>
      </c>
      <c r="B1148">
        <v>30662</v>
      </c>
      <c r="C1148" s="2">
        <v>45813</v>
      </c>
      <c r="D1148">
        <v>2081</v>
      </c>
      <c r="E1148">
        <v>1016</v>
      </c>
      <c r="F1148">
        <v>3</v>
      </c>
      <c r="G1148">
        <v>195.78</v>
      </c>
      <c r="H1148" s="2">
        <v>45815</v>
      </c>
      <c r="I1148" s="2">
        <v>45875</v>
      </c>
      <c r="J1148" t="s">
        <v>9</v>
      </c>
      <c r="K1148" s="2" t="str">
        <f>IFERROR(INDEX(Product_lookup[Category],MATCH(RawWorking[[#This Row],[ProductID]],Product_lookup[ProductID],0)),"")</f>
        <v>Sports</v>
      </c>
      <c r="L1148" s="9">
        <f>IF(OR(RawWorking[[#This Row],[ShipDate]]="",RawWorking[[#This Row],[DeliveryDate]]=""),"",RawWorking[[#This Row],[DeliveryDate]]-RawWorking[[#This Row],[ShipDate]])</f>
        <v>60</v>
      </c>
      <c r="M1148" s="9">
        <f>IF(COUNTIF(INDEX(RawWorking[OrderID],1):RawWorking[[#This Row],[OrderID]],RawWorking[[#This Row],[OrderID]])=1,1,0)</f>
        <v>0</v>
      </c>
      <c r="N1148" s="4">
        <f>IFERROR(RawWorking[[#This Row],[LineAmount]]/RawWorking[[#This Row],[Quantity]],"")</f>
        <v>65.260000000000005</v>
      </c>
    </row>
    <row r="1149" spans="1:14">
      <c r="A1149">
        <v>51148</v>
      </c>
      <c r="B1149">
        <v>30663</v>
      </c>
      <c r="C1149" s="2">
        <v>45684</v>
      </c>
      <c r="D1149">
        <v>2458</v>
      </c>
      <c r="E1149">
        <v>1016</v>
      </c>
      <c r="F1149">
        <v>1</v>
      </c>
      <c r="G1149">
        <v>65.260000000000005</v>
      </c>
      <c r="H1149" s="2">
        <v>45687</v>
      </c>
      <c r="I1149" s="2">
        <v>45779</v>
      </c>
      <c r="J1149" t="s">
        <v>9</v>
      </c>
      <c r="K1149" s="2" t="str">
        <f>IFERROR(INDEX(Product_lookup[Category],MATCH(RawWorking[[#This Row],[ProductID]],Product_lookup[ProductID],0)),"")</f>
        <v>Sports</v>
      </c>
      <c r="L1149" s="9">
        <f>IF(OR(RawWorking[[#This Row],[ShipDate]]="",RawWorking[[#This Row],[DeliveryDate]]=""),"",RawWorking[[#This Row],[DeliveryDate]]-RawWorking[[#This Row],[ShipDate]])</f>
        <v>92</v>
      </c>
      <c r="M1149" s="9">
        <f>IF(COUNTIF(INDEX(RawWorking[OrderID],1):RawWorking[[#This Row],[OrderID]],RawWorking[[#This Row],[OrderID]])=1,1,0)</f>
        <v>1</v>
      </c>
      <c r="N1149" s="4">
        <f>IFERROR(RawWorking[[#This Row],[LineAmount]]/RawWorking[[#This Row],[Quantity]],"")</f>
        <v>65.260000000000005</v>
      </c>
    </row>
    <row r="1150" spans="1:14">
      <c r="A1150">
        <v>51149</v>
      </c>
      <c r="B1150">
        <v>30664</v>
      </c>
      <c r="C1150" s="2">
        <v>45721</v>
      </c>
      <c r="D1150">
        <v>2019</v>
      </c>
      <c r="E1150">
        <v>1014</v>
      </c>
      <c r="F1150">
        <v>1</v>
      </c>
      <c r="G1150">
        <v>215.34</v>
      </c>
      <c r="H1150" s="2">
        <v>45722</v>
      </c>
      <c r="I1150" s="2">
        <v>45731</v>
      </c>
      <c r="J1150" t="s">
        <v>9</v>
      </c>
      <c r="K1150" s="2" t="str">
        <f>IFERROR(INDEX(Product_lookup[Category],MATCH(RawWorking[[#This Row],[ProductID]],Product_lookup[ProductID],0)),"")</f>
        <v>Sports</v>
      </c>
      <c r="L1150" s="9">
        <f>IF(OR(RawWorking[[#This Row],[ShipDate]]="",RawWorking[[#This Row],[DeliveryDate]]=""),"",RawWorking[[#This Row],[DeliveryDate]]-RawWorking[[#This Row],[ShipDate]])</f>
        <v>9</v>
      </c>
      <c r="M1150" s="9">
        <f>IF(COUNTIF(INDEX(RawWorking[OrderID],1):RawWorking[[#This Row],[OrderID]],RawWorking[[#This Row],[OrderID]])=1,1,0)</f>
        <v>1</v>
      </c>
      <c r="N1150" s="4">
        <f>IFERROR(RawWorking[[#This Row],[LineAmount]]/RawWorking[[#This Row],[Quantity]],"")</f>
        <v>215.34</v>
      </c>
    </row>
    <row r="1151" spans="1:14">
      <c r="A1151">
        <v>51150</v>
      </c>
      <c r="B1151">
        <v>30664</v>
      </c>
      <c r="C1151" s="2">
        <v>45721</v>
      </c>
      <c r="D1151">
        <v>2019</v>
      </c>
      <c r="E1151">
        <v>1002</v>
      </c>
      <c r="F1151">
        <v>2</v>
      </c>
      <c r="G1151">
        <v>237.2</v>
      </c>
      <c r="H1151" s="2">
        <v>45722</v>
      </c>
      <c r="I1151" s="2">
        <v>45730</v>
      </c>
      <c r="J1151" t="s">
        <v>9</v>
      </c>
      <c r="K1151" s="2" t="str">
        <f>IFERROR(INDEX(Product_lookup[Category],MATCH(RawWorking[[#This Row],[ProductID]],Product_lookup[ProductID],0)),"")</f>
        <v>Electronics</v>
      </c>
      <c r="L1151" s="9">
        <f>IF(OR(RawWorking[[#This Row],[ShipDate]]="",RawWorking[[#This Row],[DeliveryDate]]=""),"",RawWorking[[#This Row],[DeliveryDate]]-RawWorking[[#This Row],[ShipDate]])</f>
        <v>8</v>
      </c>
      <c r="M1151" s="9">
        <f>IF(COUNTIF(INDEX(RawWorking[OrderID],1):RawWorking[[#This Row],[OrderID]],RawWorking[[#This Row],[OrderID]])=1,1,0)</f>
        <v>0</v>
      </c>
      <c r="N1151" s="4">
        <f>IFERROR(RawWorking[[#This Row],[LineAmount]]/RawWorking[[#This Row],[Quantity]],"")</f>
        <v>118.6</v>
      </c>
    </row>
    <row r="1152" spans="1:14">
      <c r="A1152">
        <v>51151</v>
      </c>
      <c r="B1152">
        <v>30664</v>
      </c>
      <c r="C1152" s="2">
        <v>45721</v>
      </c>
      <c r="D1152">
        <v>2019</v>
      </c>
      <c r="E1152">
        <v>1001</v>
      </c>
      <c r="F1152">
        <v>2</v>
      </c>
      <c r="G1152">
        <v>406.08</v>
      </c>
      <c r="H1152" s="2">
        <v>45722</v>
      </c>
      <c r="I1152" s="2">
        <v>45731</v>
      </c>
      <c r="J1152" t="s">
        <v>9</v>
      </c>
      <c r="K1152" s="2" t="str">
        <f>IFERROR(INDEX(Product_lookup[Category],MATCH(RawWorking[[#This Row],[ProductID]],Product_lookup[ProductID],0)),"")</f>
        <v>Electronics</v>
      </c>
      <c r="L1152" s="9">
        <f>IF(OR(RawWorking[[#This Row],[ShipDate]]="",RawWorking[[#This Row],[DeliveryDate]]=""),"",RawWorking[[#This Row],[DeliveryDate]]-RawWorking[[#This Row],[ShipDate]])</f>
        <v>9</v>
      </c>
      <c r="M1152" s="9">
        <f>IF(COUNTIF(INDEX(RawWorking[OrderID],1):RawWorking[[#This Row],[OrderID]],RawWorking[[#This Row],[OrderID]])=1,1,0)</f>
        <v>0</v>
      </c>
      <c r="N1152" s="4">
        <f>IFERROR(RawWorking[[#This Row],[LineAmount]]/RawWorking[[#This Row],[Quantity]],"")</f>
        <v>203.04</v>
      </c>
    </row>
    <row r="1153" spans="1:14">
      <c r="A1153">
        <v>51152</v>
      </c>
      <c r="B1153">
        <v>30664</v>
      </c>
      <c r="C1153" s="2">
        <v>45721</v>
      </c>
      <c r="D1153">
        <v>2019</v>
      </c>
      <c r="E1153">
        <v>1003</v>
      </c>
      <c r="F1153">
        <v>1</v>
      </c>
      <c r="G1153">
        <v>224.37</v>
      </c>
      <c r="H1153" s="2">
        <v>45723</v>
      </c>
      <c r="I1153" s="2">
        <v>45872</v>
      </c>
      <c r="J1153" t="s">
        <v>9</v>
      </c>
      <c r="K1153" s="2" t="str">
        <f>IFERROR(INDEX(Product_lookup[Category],MATCH(RawWorking[[#This Row],[ProductID]],Product_lookup[ProductID],0)),"")</f>
        <v>Electronics</v>
      </c>
      <c r="L1153" s="9">
        <f>IF(OR(RawWorking[[#This Row],[ShipDate]]="",RawWorking[[#This Row],[DeliveryDate]]=""),"",RawWorking[[#This Row],[DeliveryDate]]-RawWorking[[#This Row],[ShipDate]])</f>
        <v>149</v>
      </c>
      <c r="M1153" s="9">
        <f>IF(COUNTIF(INDEX(RawWorking[OrderID],1):RawWorking[[#This Row],[OrderID]],RawWorking[[#This Row],[OrderID]])=1,1,0)</f>
        <v>0</v>
      </c>
      <c r="N1153" s="4">
        <f>IFERROR(RawWorking[[#This Row],[LineAmount]]/RawWorking[[#This Row],[Quantity]],"")</f>
        <v>224.37</v>
      </c>
    </row>
    <row r="1154" spans="1:14">
      <c r="A1154">
        <v>51153</v>
      </c>
      <c r="B1154">
        <v>30665</v>
      </c>
      <c r="C1154" s="2">
        <v>45691</v>
      </c>
      <c r="D1154">
        <v>2312</v>
      </c>
      <c r="E1154">
        <v>1007</v>
      </c>
      <c r="F1154">
        <v>1</v>
      </c>
      <c r="G1154">
        <v>199.81</v>
      </c>
      <c r="H1154" s="2" t="s">
        <v>1421</v>
      </c>
      <c r="I1154" s="2" t="s">
        <v>1421</v>
      </c>
      <c r="J1154" t="s">
        <v>12</v>
      </c>
      <c r="K1154" s="2" t="str">
        <f>IFERROR(INDEX(Product_lookup[Category],MATCH(RawWorking[[#This Row],[ProductID]],Product_lookup[ProductID],0)),"")</f>
        <v>Home</v>
      </c>
      <c r="L1154" s="9" t="str">
        <f>IF(OR(RawWorking[[#This Row],[ShipDate]]="",RawWorking[[#This Row],[DeliveryDate]]=""),"",RawWorking[[#This Row],[DeliveryDate]]-RawWorking[[#This Row],[ShipDate]])</f>
        <v/>
      </c>
      <c r="M1154" s="9">
        <f>IF(COUNTIF(INDEX(RawWorking[OrderID],1):RawWorking[[#This Row],[OrderID]],RawWorking[[#This Row],[OrderID]])=1,1,0)</f>
        <v>1</v>
      </c>
      <c r="N1154" s="4">
        <f>IFERROR(RawWorking[[#This Row],[LineAmount]]/RawWorking[[#This Row],[Quantity]],"")</f>
        <v>199.81</v>
      </c>
    </row>
    <row r="1155" spans="1:14">
      <c r="A1155">
        <v>51154</v>
      </c>
      <c r="B1155">
        <v>30666</v>
      </c>
      <c r="C1155" s="2">
        <v>45876</v>
      </c>
      <c r="D1155">
        <v>2468</v>
      </c>
      <c r="E1155">
        <v>1012</v>
      </c>
      <c r="F1155">
        <v>1</v>
      </c>
      <c r="G1155">
        <v>241.54</v>
      </c>
      <c r="H1155" s="2">
        <v>45877</v>
      </c>
      <c r="I1155" s="2">
        <v>45908</v>
      </c>
      <c r="J1155" t="s">
        <v>11</v>
      </c>
      <c r="K1155" s="2" t="str">
        <f>IFERROR(INDEX(Product_lookup[Category],MATCH(RawWorking[[#This Row],[ProductID]],Product_lookup[ProductID],0)),"")</f>
        <v>Office</v>
      </c>
      <c r="L1155" s="9">
        <f>IF(OR(RawWorking[[#This Row],[ShipDate]]="",RawWorking[[#This Row],[DeliveryDate]]=""),"",RawWorking[[#This Row],[DeliveryDate]]-RawWorking[[#This Row],[ShipDate]])</f>
        <v>31</v>
      </c>
      <c r="M1155" s="9">
        <f>IF(COUNTIF(INDEX(RawWorking[OrderID],1):RawWorking[[#This Row],[OrderID]],RawWorking[[#This Row],[OrderID]])=1,1,0)</f>
        <v>1</v>
      </c>
      <c r="N1155" s="4">
        <f>IFERROR(RawWorking[[#This Row],[LineAmount]]/RawWorking[[#This Row],[Quantity]],"")</f>
        <v>241.54</v>
      </c>
    </row>
    <row r="1156" spans="1:14">
      <c r="A1156">
        <v>51155</v>
      </c>
      <c r="B1156">
        <v>30667</v>
      </c>
      <c r="C1156" s="2">
        <v>45880</v>
      </c>
      <c r="D1156">
        <v>2056</v>
      </c>
      <c r="E1156">
        <v>1015</v>
      </c>
      <c r="F1156">
        <v>1</v>
      </c>
      <c r="G1156">
        <v>119.74</v>
      </c>
      <c r="H1156" s="2" t="s">
        <v>1421</v>
      </c>
      <c r="I1156" s="2" t="s">
        <v>1421</v>
      </c>
      <c r="J1156" t="s">
        <v>16</v>
      </c>
      <c r="K1156" s="2" t="str">
        <f>IFERROR(INDEX(Product_lookup[Category],MATCH(RawWorking[[#This Row],[ProductID]],Product_lookup[ProductID],0)),"")</f>
        <v>Sports</v>
      </c>
      <c r="L1156" s="9" t="str">
        <f>IF(OR(RawWorking[[#This Row],[ShipDate]]="",RawWorking[[#This Row],[DeliveryDate]]=""),"",RawWorking[[#This Row],[DeliveryDate]]-RawWorking[[#This Row],[ShipDate]])</f>
        <v/>
      </c>
      <c r="M1156" s="9">
        <f>IF(COUNTIF(INDEX(RawWorking[OrderID],1):RawWorking[[#This Row],[OrderID]],RawWorking[[#This Row],[OrderID]])=1,1,0)</f>
        <v>1</v>
      </c>
      <c r="N1156" s="4">
        <f>IFERROR(RawWorking[[#This Row],[LineAmount]]/RawWorking[[#This Row],[Quantity]],"")</f>
        <v>119.74</v>
      </c>
    </row>
    <row r="1157" spans="1:14">
      <c r="A1157">
        <v>51156</v>
      </c>
      <c r="B1157">
        <v>30667</v>
      </c>
      <c r="C1157" s="2">
        <v>45969</v>
      </c>
      <c r="D1157">
        <v>2056</v>
      </c>
      <c r="E1157">
        <v>1016</v>
      </c>
      <c r="F1157">
        <v>5</v>
      </c>
      <c r="G1157">
        <v>326.3</v>
      </c>
      <c r="H1157" s="2" t="s">
        <v>1421</v>
      </c>
      <c r="I1157" s="2" t="s">
        <v>1421</v>
      </c>
      <c r="J1157" t="s">
        <v>16</v>
      </c>
      <c r="K1157" s="2" t="str">
        <f>IFERROR(INDEX(Product_lookup[Category],MATCH(RawWorking[[#This Row],[ProductID]],Product_lookup[ProductID],0)),"")</f>
        <v>Sports</v>
      </c>
      <c r="L1157" s="9" t="str">
        <f>IF(OR(RawWorking[[#This Row],[ShipDate]]="",RawWorking[[#This Row],[DeliveryDate]]=""),"",RawWorking[[#This Row],[DeliveryDate]]-RawWorking[[#This Row],[ShipDate]])</f>
        <v/>
      </c>
      <c r="M1157" s="9">
        <f>IF(COUNTIF(INDEX(RawWorking[OrderID],1):RawWorking[[#This Row],[OrderID]],RawWorking[[#This Row],[OrderID]])=1,1,0)</f>
        <v>0</v>
      </c>
      <c r="N1157" s="4">
        <f>IFERROR(RawWorking[[#This Row],[LineAmount]]/RawWorking[[#This Row],[Quantity]],"")</f>
        <v>65.260000000000005</v>
      </c>
    </row>
    <row r="1158" spans="1:14">
      <c r="A1158">
        <v>51157</v>
      </c>
      <c r="B1158">
        <v>30667</v>
      </c>
      <c r="C1158" s="2">
        <v>45969</v>
      </c>
      <c r="D1158">
        <v>2056</v>
      </c>
      <c r="E1158">
        <v>1012</v>
      </c>
      <c r="F1158">
        <v>4</v>
      </c>
      <c r="G1158">
        <v>966.16</v>
      </c>
      <c r="H1158" s="2" t="s">
        <v>1421</v>
      </c>
      <c r="I1158" s="2" t="s">
        <v>1421</v>
      </c>
      <c r="J1158" t="s">
        <v>16</v>
      </c>
      <c r="K1158" s="2" t="str">
        <f>IFERROR(INDEX(Product_lookup[Category],MATCH(RawWorking[[#This Row],[ProductID]],Product_lookup[ProductID],0)),"")</f>
        <v>Office</v>
      </c>
      <c r="L1158" s="9" t="str">
        <f>IF(OR(RawWorking[[#This Row],[ShipDate]]="",RawWorking[[#This Row],[DeliveryDate]]=""),"",RawWorking[[#This Row],[DeliveryDate]]-RawWorking[[#This Row],[ShipDate]])</f>
        <v/>
      </c>
      <c r="M1158" s="9">
        <f>IF(COUNTIF(INDEX(RawWorking[OrderID],1):RawWorking[[#This Row],[OrderID]],RawWorking[[#This Row],[OrderID]])=1,1,0)</f>
        <v>0</v>
      </c>
      <c r="N1158" s="4">
        <f>IFERROR(RawWorking[[#This Row],[LineAmount]]/RawWorking[[#This Row],[Quantity]],"")</f>
        <v>241.54</v>
      </c>
    </row>
    <row r="1159" spans="1:14">
      <c r="A1159">
        <v>51158</v>
      </c>
      <c r="B1159">
        <v>30668</v>
      </c>
      <c r="C1159" s="2">
        <v>45678</v>
      </c>
      <c r="D1159">
        <v>2117</v>
      </c>
      <c r="E1159">
        <v>1008</v>
      </c>
      <c r="F1159">
        <v>2</v>
      </c>
      <c r="G1159">
        <v>412.18</v>
      </c>
      <c r="H1159" s="2">
        <v>45679</v>
      </c>
      <c r="I1159" s="2">
        <v>45686</v>
      </c>
      <c r="J1159" t="s">
        <v>9</v>
      </c>
      <c r="K1159" s="2" t="str">
        <f>IFERROR(INDEX(Product_lookup[Category],MATCH(RawWorking[[#This Row],[ProductID]],Product_lookup[ProductID],0)),"")</f>
        <v>Home</v>
      </c>
      <c r="L1159" s="9">
        <f>IF(OR(RawWorking[[#This Row],[ShipDate]]="",RawWorking[[#This Row],[DeliveryDate]]=""),"",RawWorking[[#This Row],[DeliveryDate]]-RawWorking[[#This Row],[ShipDate]])</f>
        <v>7</v>
      </c>
      <c r="M1159" s="9">
        <f>IF(COUNTIF(INDEX(RawWorking[OrderID],1):RawWorking[[#This Row],[OrderID]],RawWorking[[#This Row],[OrderID]])=1,1,0)</f>
        <v>1</v>
      </c>
      <c r="N1159" s="4">
        <f>IFERROR(RawWorking[[#This Row],[LineAmount]]/RawWorking[[#This Row],[Quantity]],"")</f>
        <v>206.09</v>
      </c>
    </row>
    <row r="1160" spans="1:14">
      <c r="A1160">
        <v>51159</v>
      </c>
      <c r="B1160">
        <v>30669</v>
      </c>
      <c r="C1160" s="2">
        <v>45681</v>
      </c>
      <c r="D1160">
        <v>2003</v>
      </c>
      <c r="E1160">
        <v>1010</v>
      </c>
      <c r="F1160">
        <v>1</v>
      </c>
      <c r="G1160">
        <v>121.5</v>
      </c>
      <c r="H1160" s="2">
        <v>45684</v>
      </c>
      <c r="I1160" s="2">
        <v>45690</v>
      </c>
      <c r="J1160" t="s">
        <v>9</v>
      </c>
      <c r="K1160" s="2" t="str">
        <f>IFERROR(INDEX(Product_lookup[Category],MATCH(RawWorking[[#This Row],[ProductID]],Product_lookup[ProductID],0)),"")</f>
        <v>Office</v>
      </c>
      <c r="L1160" s="9">
        <f>IF(OR(RawWorking[[#This Row],[ShipDate]]="",RawWorking[[#This Row],[DeliveryDate]]=""),"",RawWorking[[#This Row],[DeliveryDate]]-RawWorking[[#This Row],[ShipDate]])</f>
        <v>6</v>
      </c>
      <c r="M1160" s="9">
        <f>IF(COUNTIF(INDEX(RawWorking[OrderID],1):RawWorking[[#This Row],[OrderID]],RawWorking[[#This Row],[OrderID]])=1,1,0)</f>
        <v>1</v>
      </c>
      <c r="N1160" s="4">
        <f>IFERROR(RawWorking[[#This Row],[LineAmount]]/RawWorking[[#This Row],[Quantity]],"")</f>
        <v>121.5</v>
      </c>
    </row>
    <row r="1161" spans="1:14">
      <c r="A1161">
        <v>51160</v>
      </c>
      <c r="B1161">
        <v>30670</v>
      </c>
      <c r="C1161" s="2">
        <v>45685</v>
      </c>
      <c r="D1161">
        <v>2561</v>
      </c>
      <c r="E1161">
        <v>1004</v>
      </c>
      <c r="F1161">
        <v>5</v>
      </c>
      <c r="G1161">
        <v>918.7</v>
      </c>
      <c r="H1161" s="2">
        <v>45687</v>
      </c>
      <c r="I1161" s="2">
        <v>45810</v>
      </c>
      <c r="J1161" t="s">
        <v>9</v>
      </c>
      <c r="K1161" s="2" t="str">
        <f>IFERROR(INDEX(Product_lookup[Category],MATCH(RawWorking[[#This Row],[ProductID]],Product_lookup[ProductID],0)),"")</f>
        <v>Electronics</v>
      </c>
      <c r="L1161" s="9">
        <f>IF(OR(RawWorking[[#This Row],[ShipDate]]="",RawWorking[[#This Row],[DeliveryDate]]=""),"",RawWorking[[#This Row],[DeliveryDate]]-RawWorking[[#This Row],[ShipDate]])</f>
        <v>123</v>
      </c>
      <c r="M1161" s="9">
        <f>IF(COUNTIF(INDEX(RawWorking[OrderID],1):RawWorking[[#This Row],[OrderID]],RawWorking[[#This Row],[OrderID]])=1,1,0)</f>
        <v>1</v>
      </c>
      <c r="N1161" s="4">
        <f>IFERROR(RawWorking[[#This Row],[LineAmount]]/RawWorking[[#This Row],[Quantity]],"")</f>
        <v>183.74</v>
      </c>
    </row>
    <row r="1162" spans="1:14">
      <c r="A1162">
        <v>51161</v>
      </c>
      <c r="B1162">
        <v>30670</v>
      </c>
      <c r="C1162" s="2">
        <v>45685</v>
      </c>
      <c r="D1162">
        <v>2561</v>
      </c>
      <c r="E1162">
        <v>1002</v>
      </c>
      <c r="F1162">
        <v>2</v>
      </c>
      <c r="G1162">
        <v>237.2</v>
      </c>
      <c r="H1162" s="2">
        <v>45687</v>
      </c>
      <c r="I1162" s="2">
        <v>45697</v>
      </c>
      <c r="J1162" t="s">
        <v>9</v>
      </c>
      <c r="K1162" s="2" t="str">
        <f>IFERROR(INDEX(Product_lookup[Category],MATCH(RawWorking[[#This Row],[ProductID]],Product_lookup[ProductID],0)),"")</f>
        <v>Electronics</v>
      </c>
      <c r="L1162" s="9">
        <f>IF(OR(RawWorking[[#This Row],[ShipDate]]="",RawWorking[[#This Row],[DeliveryDate]]=""),"",RawWorking[[#This Row],[DeliveryDate]]-RawWorking[[#This Row],[ShipDate]])</f>
        <v>10</v>
      </c>
      <c r="M1162" s="9">
        <f>IF(COUNTIF(INDEX(RawWorking[OrderID],1):RawWorking[[#This Row],[OrderID]],RawWorking[[#This Row],[OrderID]])=1,1,0)</f>
        <v>0</v>
      </c>
      <c r="N1162" s="4">
        <f>IFERROR(RawWorking[[#This Row],[LineAmount]]/RawWorking[[#This Row],[Quantity]],"")</f>
        <v>118.6</v>
      </c>
    </row>
    <row r="1163" spans="1:14">
      <c r="A1163">
        <v>51162</v>
      </c>
      <c r="B1163">
        <v>30671</v>
      </c>
      <c r="C1163" s="2">
        <v>45832</v>
      </c>
      <c r="D1163">
        <v>2169</v>
      </c>
      <c r="E1163">
        <v>1014</v>
      </c>
      <c r="F1163">
        <v>3</v>
      </c>
      <c r="G1163">
        <v>646.02</v>
      </c>
      <c r="H1163" s="2">
        <v>45835</v>
      </c>
      <c r="I1163" s="2">
        <v>45843</v>
      </c>
      <c r="J1163" t="s">
        <v>9</v>
      </c>
      <c r="K1163" s="2" t="str">
        <f>IFERROR(INDEX(Product_lookup[Category],MATCH(RawWorking[[#This Row],[ProductID]],Product_lookup[ProductID],0)),"")</f>
        <v>Sports</v>
      </c>
      <c r="L1163" s="9">
        <f>IF(OR(RawWorking[[#This Row],[ShipDate]]="",RawWorking[[#This Row],[DeliveryDate]]=""),"",RawWorking[[#This Row],[DeliveryDate]]-RawWorking[[#This Row],[ShipDate]])</f>
        <v>8</v>
      </c>
      <c r="M1163" s="9">
        <f>IF(COUNTIF(INDEX(RawWorking[OrderID],1):RawWorking[[#This Row],[OrderID]],RawWorking[[#This Row],[OrderID]])=1,1,0)</f>
        <v>1</v>
      </c>
      <c r="N1163" s="4">
        <f>IFERROR(RawWorking[[#This Row],[LineAmount]]/RawWorking[[#This Row],[Quantity]],"")</f>
        <v>215.34</v>
      </c>
    </row>
    <row r="1164" spans="1:14">
      <c r="A1164">
        <v>51163</v>
      </c>
      <c r="B1164">
        <v>30672</v>
      </c>
      <c r="C1164" s="2">
        <v>45791</v>
      </c>
      <c r="D1164">
        <v>2110</v>
      </c>
      <c r="E1164">
        <v>1007</v>
      </c>
      <c r="F1164">
        <v>1</v>
      </c>
      <c r="G1164">
        <v>199.81</v>
      </c>
      <c r="H1164" s="2">
        <v>45793</v>
      </c>
      <c r="I1164" s="2">
        <v>45803</v>
      </c>
      <c r="J1164" t="s">
        <v>9</v>
      </c>
      <c r="K1164" s="2" t="str">
        <f>IFERROR(INDEX(Product_lookup[Category],MATCH(RawWorking[[#This Row],[ProductID]],Product_lookup[ProductID],0)),"")</f>
        <v>Home</v>
      </c>
      <c r="L1164" s="9">
        <f>IF(OR(RawWorking[[#This Row],[ShipDate]]="",RawWorking[[#This Row],[DeliveryDate]]=""),"",RawWorking[[#This Row],[DeliveryDate]]-RawWorking[[#This Row],[ShipDate]])</f>
        <v>10</v>
      </c>
      <c r="M1164" s="9">
        <f>IF(COUNTIF(INDEX(RawWorking[OrderID],1):RawWorking[[#This Row],[OrderID]],RawWorking[[#This Row],[OrderID]])=1,1,0)</f>
        <v>1</v>
      </c>
      <c r="N1164" s="4">
        <f>IFERROR(RawWorking[[#This Row],[LineAmount]]/RawWorking[[#This Row],[Quantity]],"")</f>
        <v>199.81</v>
      </c>
    </row>
    <row r="1165" spans="1:14">
      <c r="A1165">
        <v>51164</v>
      </c>
      <c r="B1165">
        <v>30673</v>
      </c>
      <c r="C1165" s="2">
        <v>45935</v>
      </c>
      <c r="D1165">
        <v>2193</v>
      </c>
      <c r="E1165">
        <v>1013</v>
      </c>
      <c r="F1165">
        <v>1</v>
      </c>
      <c r="G1165">
        <v>170.25</v>
      </c>
      <c r="H1165" s="2">
        <v>45936</v>
      </c>
      <c r="I1165" s="2">
        <v>45937</v>
      </c>
      <c r="J1165" t="s">
        <v>9</v>
      </c>
      <c r="K1165" s="2" t="str">
        <f>IFERROR(INDEX(Product_lookup[Category],MATCH(RawWorking[[#This Row],[ProductID]],Product_lookup[ProductID],0)),"")</f>
        <v>Office</v>
      </c>
      <c r="L1165" s="9">
        <f>IF(OR(RawWorking[[#This Row],[ShipDate]]="",RawWorking[[#This Row],[DeliveryDate]]=""),"",RawWorking[[#This Row],[DeliveryDate]]-RawWorking[[#This Row],[ShipDate]])</f>
        <v>1</v>
      </c>
      <c r="M1165" s="9">
        <f>IF(COUNTIF(INDEX(RawWorking[OrderID],1):RawWorking[[#This Row],[OrderID]],RawWorking[[#This Row],[OrderID]])=1,1,0)</f>
        <v>1</v>
      </c>
      <c r="N1165" s="4">
        <f>IFERROR(RawWorking[[#This Row],[LineAmount]]/RawWorking[[#This Row],[Quantity]],"")</f>
        <v>170.25</v>
      </c>
    </row>
    <row r="1166" spans="1:14">
      <c r="A1166">
        <v>51165</v>
      </c>
      <c r="B1166">
        <v>30674</v>
      </c>
      <c r="C1166" s="2">
        <v>45679</v>
      </c>
      <c r="D1166">
        <v>2221</v>
      </c>
      <c r="E1166">
        <v>1007</v>
      </c>
      <c r="F1166">
        <v>2</v>
      </c>
      <c r="G1166">
        <v>399.62</v>
      </c>
      <c r="H1166" s="2">
        <v>45680</v>
      </c>
      <c r="I1166" s="2">
        <v>45689</v>
      </c>
      <c r="J1166" t="s">
        <v>9</v>
      </c>
      <c r="K1166" s="2" t="str">
        <f>IFERROR(INDEX(Product_lookup[Category],MATCH(RawWorking[[#This Row],[ProductID]],Product_lookup[ProductID],0)),"")</f>
        <v>Home</v>
      </c>
      <c r="L1166" s="9">
        <f>IF(OR(RawWorking[[#This Row],[ShipDate]]="",RawWorking[[#This Row],[DeliveryDate]]=""),"",RawWorking[[#This Row],[DeliveryDate]]-RawWorking[[#This Row],[ShipDate]])</f>
        <v>9</v>
      </c>
      <c r="M1166" s="9">
        <f>IF(COUNTIF(INDEX(RawWorking[OrderID],1):RawWorking[[#This Row],[OrderID]],RawWorking[[#This Row],[OrderID]])=1,1,0)</f>
        <v>1</v>
      </c>
      <c r="N1166" s="4">
        <f>IFERROR(RawWorking[[#This Row],[LineAmount]]/RawWorking[[#This Row],[Quantity]],"")</f>
        <v>199.81</v>
      </c>
    </row>
    <row r="1167" spans="1:14">
      <c r="A1167">
        <v>51166</v>
      </c>
      <c r="B1167">
        <v>30675</v>
      </c>
      <c r="C1167" s="2">
        <v>45710</v>
      </c>
      <c r="D1167">
        <v>2347</v>
      </c>
      <c r="E1167">
        <v>1014</v>
      </c>
      <c r="F1167">
        <v>1</v>
      </c>
      <c r="G1167">
        <v>215.34</v>
      </c>
      <c r="H1167" s="2">
        <v>45711</v>
      </c>
      <c r="I1167" s="2">
        <v>45718</v>
      </c>
      <c r="J1167" t="s">
        <v>9</v>
      </c>
      <c r="K1167" s="2" t="str">
        <f>IFERROR(INDEX(Product_lookup[Category],MATCH(RawWorking[[#This Row],[ProductID]],Product_lookup[ProductID],0)),"")</f>
        <v>Sports</v>
      </c>
      <c r="L1167" s="9">
        <f>IF(OR(RawWorking[[#This Row],[ShipDate]]="",RawWorking[[#This Row],[DeliveryDate]]=""),"",RawWorking[[#This Row],[DeliveryDate]]-RawWorking[[#This Row],[ShipDate]])</f>
        <v>7</v>
      </c>
      <c r="M1167" s="9">
        <f>IF(COUNTIF(INDEX(RawWorking[OrderID],1):RawWorking[[#This Row],[OrderID]],RawWorking[[#This Row],[OrderID]])=1,1,0)</f>
        <v>1</v>
      </c>
      <c r="N1167" s="4">
        <f>IFERROR(RawWorking[[#This Row],[LineAmount]]/RawWorking[[#This Row],[Quantity]],"")</f>
        <v>215.34</v>
      </c>
    </row>
    <row r="1168" spans="1:14">
      <c r="A1168">
        <v>51167</v>
      </c>
      <c r="B1168">
        <v>30676</v>
      </c>
      <c r="C1168" s="2">
        <v>45667</v>
      </c>
      <c r="D1168">
        <v>2048</v>
      </c>
      <c r="E1168">
        <v>1004</v>
      </c>
      <c r="F1168">
        <v>2</v>
      </c>
      <c r="G1168">
        <v>367.48</v>
      </c>
      <c r="H1168" s="2" t="s">
        <v>1421</v>
      </c>
      <c r="I1168" s="2" t="s">
        <v>1421</v>
      </c>
      <c r="J1168" t="s">
        <v>12</v>
      </c>
      <c r="K1168" s="2" t="str">
        <f>IFERROR(INDEX(Product_lookup[Category],MATCH(RawWorking[[#This Row],[ProductID]],Product_lookup[ProductID],0)),"")</f>
        <v>Electronics</v>
      </c>
      <c r="L1168" s="9" t="str">
        <f>IF(OR(RawWorking[[#This Row],[ShipDate]]="",RawWorking[[#This Row],[DeliveryDate]]=""),"",RawWorking[[#This Row],[DeliveryDate]]-RawWorking[[#This Row],[ShipDate]])</f>
        <v/>
      </c>
      <c r="M1168" s="9">
        <f>IF(COUNTIF(INDEX(RawWorking[OrderID],1):RawWorking[[#This Row],[OrderID]],RawWorking[[#This Row],[OrderID]])=1,1,0)</f>
        <v>1</v>
      </c>
      <c r="N1168" s="4">
        <f>IFERROR(RawWorking[[#This Row],[LineAmount]]/RawWorking[[#This Row],[Quantity]],"")</f>
        <v>183.74</v>
      </c>
    </row>
    <row r="1169" spans="1:14">
      <c r="A1169">
        <v>51168</v>
      </c>
      <c r="B1169">
        <v>30676</v>
      </c>
      <c r="C1169" s="2">
        <v>45667</v>
      </c>
      <c r="D1169">
        <v>2048</v>
      </c>
      <c r="E1169">
        <v>1015</v>
      </c>
      <c r="F1169">
        <v>2</v>
      </c>
      <c r="G1169">
        <v>239.48</v>
      </c>
      <c r="H1169" s="2" t="s">
        <v>1421</v>
      </c>
      <c r="I1169" s="2" t="s">
        <v>1421</v>
      </c>
      <c r="J1169" t="s">
        <v>12</v>
      </c>
      <c r="K1169" s="2" t="str">
        <f>IFERROR(INDEX(Product_lookup[Category],MATCH(RawWorking[[#This Row],[ProductID]],Product_lookup[ProductID],0)),"")</f>
        <v>Sports</v>
      </c>
      <c r="L1169" s="9" t="str">
        <f>IF(OR(RawWorking[[#This Row],[ShipDate]]="",RawWorking[[#This Row],[DeliveryDate]]=""),"",RawWorking[[#This Row],[DeliveryDate]]-RawWorking[[#This Row],[ShipDate]])</f>
        <v/>
      </c>
      <c r="M1169" s="9">
        <f>IF(COUNTIF(INDEX(RawWorking[OrderID],1):RawWorking[[#This Row],[OrderID]],RawWorking[[#This Row],[OrderID]])=1,1,0)</f>
        <v>0</v>
      </c>
      <c r="N1169" s="4">
        <f>IFERROR(RawWorking[[#This Row],[LineAmount]]/RawWorking[[#This Row],[Quantity]],"")</f>
        <v>119.74</v>
      </c>
    </row>
    <row r="1170" spans="1:14">
      <c r="A1170">
        <v>51169</v>
      </c>
      <c r="B1170">
        <v>30677</v>
      </c>
      <c r="C1170" s="2">
        <v>45935</v>
      </c>
      <c r="D1170">
        <v>2469</v>
      </c>
      <c r="E1170">
        <v>1005</v>
      </c>
      <c r="F1170">
        <v>1</v>
      </c>
      <c r="G1170">
        <v>31.73</v>
      </c>
      <c r="H1170" s="2">
        <v>45937</v>
      </c>
      <c r="I1170" s="2">
        <v>45943</v>
      </c>
      <c r="J1170" t="s">
        <v>9</v>
      </c>
      <c r="K1170" s="2" t="str">
        <f>IFERROR(INDEX(Product_lookup[Category],MATCH(RawWorking[[#This Row],[ProductID]],Product_lookup[ProductID],0)),"")</f>
        <v>Electronics</v>
      </c>
      <c r="L1170" s="9">
        <f>IF(OR(RawWorking[[#This Row],[ShipDate]]="",RawWorking[[#This Row],[DeliveryDate]]=""),"",RawWorking[[#This Row],[DeliveryDate]]-RawWorking[[#This Row],[ShipDate]])</f>
        <v>6</v>
      </c>
      <c r="M1170" s="9">
        <f>IF(COUNTIF(INDEX(RawWorking[OrderID],1):RawWorking[[#This Row],[OrderID]],RawWorking[[#This Row],[OrderID]])=1,1,0)</f>
        <v>1</v>
      </c>
      <c r="N1170" s="4">
        <f>IFERROR(RawWorking[[#This Row],[LineAmount]]/RawWorking[[#This Row],[Quantity]],"")</f>
        <v>31.73</v>
      </c>
    </row>
    <row r="1171" spans="1:14">
      <c r="A1171">
        <v>51170</v>
      </c>
      <c r="B1171">
        <v>30677</v>
      </c>
      <c r="C1171" s="2">
        <v>45935</v>
      </c>
      <c r="D1171">
        <v>2469</v>
      </c>
      <c r="E1171">
        <v>1016</v>
      </c>
      <c r="F1171">
        <v>4</v>
      </c>
      <c r="G1171">
        <v>261.04000000000002</v>
      </c>
      <c r="H1171" s="2">
        <v>45936</v>
      </c>
      <c r="I1171" s="2">
        <v>45942</v>
      </c>
      <c r="J1171" t="s">
        <v>9</v>
      </c>
      <c r="K1171" s="2" t="str">
        <f>IFERROR(INDEX(Product_lookup[Category],MATCH(RawWorking[[#This Row],[ProductID]],Product_lookup[ProductID],0)),"")</f>
        <v>Sports</v>
      </c>
      <c r="L1171" s="9">
        <f>IF(OR(RawWorking[[#This Row],[ShipDate]]="",RawWorking[[#This Row],[DeliveryDate]]=""),"",RawWorking[[#This Row],[DeliveryDate]]-RawWorking[[#This Row],[ShipDate]])</f>
        <v>6</v>
      </c>
      <c r="M1171" s="9">
        <f>IF(COUNTIF(INDEX(RawWorking[OrderID],1):RawWorking[[#This Row],[OrderID]],RawWorking[[#This Row],[OrderID]])=1,1,0)</f>
        <v>0</v>
      </c>
      <c r="N1171" s="4">
        <f>IFERROR(RawWorking[[#This Row],[LineAmount]]/RawWorking[[#This Row],[Quantity]],"")</f>
        <v>65.260000000000005</v>
      </c>
    </row>
    <row r="1172" spans="1:14">
      <c r="A1172">
        <v>51171</v>
      </c>
      <c r="B1172">
        <v>30678</v>
      </c>
      <c r="C1172" s="2">
        <v>45935</v>
      </c>
      <c r="D1172">
        <v>2005</v>
      </c>
      <c r="E1172">
        <v>1002</v>
      </c>
      <c r="F1172">
        <v>3</v>
      </c>
      <c r="G1172">
        <v>355.8</v>
      </c>
      <c r="H1172" s="2">
        <v>45938</v>
      </c>
      <c r="I1172" s="2">
        <v>45945</v>
      </c>
      <c r="J1172" t="s">
        <v>9</v>
      </c>
      <c r="K1172" s="2" t="str">
        <f>IFERROR(INDEX(Product_lookup[Category],MATCH(RawWorking[[#This Row],[ProductID]],Product_lookup[ProductID],0)),"")</f>
        <v>Electronics</v>
      </c>
      <c r="L1172" s="9">
        <f>IF(OR(RawWorking[[#This Row],[ShipDate]]="",RawWorking[[#This Row],[DeliveryDate]]=""),"",RawWorking[[#This Row],[DeliveryDate]]-RawWorking[[#This Row],[ShipDate]])</f>
        <v>7</v>
      </c>
      <c r="M1172" s="9">
        <f>IF(COUNTIF(INDEX(RawWorking[OrderID],1):RawWorking[[#This Row],[OrderID]],RawWorking[[#This Row],[OrderID]])=1,1,0)</f>
        <v>1</v>
      </c>
      <c r="N1172" s="4">
        <f>IFERROR(RawWorking[[#This Row],[LineAmount]]/RawWorking[[#This Row],[Quantity]],"")</f>
        <v>118.60000000000001</v>
      </c>
    </row>
    <row r="1173" spans="1:14">
      <c r="A1173">
        <v>51172</v>
      </c>
      <c r="B1173">
        <v>30678</v>
      </c>
      <c r="C1173" s="2">
        <v>45787</v>
      </c>
      <c r="D1173">
        <v>2005</v>
      </c>
      <c r="E1173">
        <v>1014</v>
      </c>
      <c r="F1173">
        <v>4</v>
      </c>
      <c r="G1173">
        <v>861.36</v>
      </c>
      <c r="H1173" s="2">
        <v>45879</v>
      </c>
      <c r="I1173" s="2">
        <v>45943</v>
      </c>
      <c r="J1173" t="s">
        <v>9</v>
      </c>
      <c r="K1173" s="2" t="str">
        <f>IFERROR(INDEX(Product_lookup[Category],MATCH(RawWorking[[#This Row],[ProductID]],Product_lookup[ProductID],0)),"")</f>
        <v>Sports</v>
      </c>
      <c r="L1173" s="9">
        <f>IF(OR(RawWorking[[#This Row],[ShipDate]]="",RawWorking[[#This Row],[DeliveryDate]]=""),"",RawWorking[[#This Row],[DeliveryDate]]-RawWorking[[#This Row],[ShipDate]])</f>
        <v>64</v>
      </c>
      <c r="M1173" s="9">
        <f>IF(COUNTIF(INDEX(RawWorking[OrderID],1):RawWorking[[#This Row],[OrderID]],RawWorking[[#This Row],[OrderID]])=1,1,0)</f>
        <v>0</v>
      </c>
      <c r="N1173" s="4">
        <f>IFERROR(RawWorking[[#This Row],[LineAmount]]/RawWorking[[#This Row],[Quantity]],"")</f>
        <v>215.34</v>
      </c>
    </row>
    <row r="1174" spans="1:14">
      <c r="A1174">
        <v>51173</v>
      </c>
      <c r="B1174">
        <v>30678</v>
      </c>
      <c r="C1174" s="2">
        <v>45935</v>
      </c>
      <c r="D1174">
        <v>2005</v>
      </c>
      <c r="E1174">
        <v>1016</v>
      </c>
      <c r="F1174">
        <v>1</v>
      </c>
      <c r="G1174">
        <v>65.260000000000005</v>
      </c>
      <c r="H1174" s="2">
        <v>45936</v>
      </c>
      <c r="I1174" s="2">
        <v>45937</v>
      </c>
      <c r="J1174" t="s">
        <v>9</v>
      </c>
      <c r="K1174" s="2" t="str">
        <f>IFERROR(INDEX(Product_lookup[Category],MATCH(RawWorking[[#This Row],[ProductID]],Product_lookup[ProductID],0)),"")</f>
        <v>Sports</v>
      </c>
      <c r="L1174" s="9">
        <f>IF(OR(RawWorking[[#This Row],[ShipDate]]="",RawWorking[[#This Row],[DeliveryDate]]=""),"",RawWorking[[#This Row],[DeliveryDate]]-RawWorking[[#This Row],[ShipDate]])</f>
        <v>1</v>
      </c>
      <c r="M1174" s="9">
        <f>IF(COUNTIF(INDEX(RawWorking[OrderID],1):RawWorking[[#This Row],[OrderID]],RawWorking[[#This Row],[OrderID]])=1,1,0)</f>
        <v>0</v>
      </c>
      <c r="N1174" s="4">
        <f>IFERROR(RawWorking[[#This Row],[LineAmount]]/RawWorking[[#This Row],[Quantity]],"")</f>
        <v>65.260000000000005</v>
      </c>
    </row>
    <row r="1175" spans="1:14">
      <c r="A1175">
        <v>51174</v>
      </c>
      <c r="B1175">
        <v>30679</v>
      </c>
      <c r="C1175" s="2">
        <v>45735</v>
      </c>
      <c r="D1175">
        <v>2521</v>
      </c>
      <c r="E1175">
        <v>1006</v>
      </c>
      <c r="F1175">
        <v>1</v>
      </c>
      <c r="G1175">
        <v>253.86</v>
      </c>
      <c r="H1175" s="2" t="s">
        <v>1421</v>
      </c>
      <c r="I1175" s="2" t="s">
        <v>1421</v>
      </c>
      <c r="J1175" t="s">
        <v>16</v>
      </c>
      <c r="K1175" s="2" t="str">
        <f>IFERROR(INDEX(Product_lookup[Category],MATCH(RawWorking[[#This Row],[ProductID]],Product_lookup[ProductID],0)),"")</f>
        <v>Home</v>
      </c>
      <c r="L1175" s="9" t="str">
        <f>IF(OR(RawWorking[[#This Row],[ShipDate]]="",RawWorking[[#This Row],[DeliveryDate]]=""),"",RawWorking[[#This Row],[DeliveryDate]]-RawWorking[[#This Row],[ShipDate]])</f>
        <v/>
      </c>
      <c r="M1175" s="9">
        <f>IF(COUNTIF(INDEX(RawWorking[OrderID],1):RawWorking[[#This Row],[OrderID]],RawWorking[[#This Row],[OrderID]])=1,1,0)</f>
        <v>1</v>
      </c>
      <c r="N1175" s="4">
        <f>IFERROR(RawWorking[[#This Row],[LineAmount]]/RawWorking[[#This Row],[Quantity]],"")</f>
        <v>253.86</v>
      </c>
    </row>
    <row r="1176" spans="1:14">
      <c r="A1176">
        <v>51175</v>
      </c>
      <c r="B1176">
        <v>30680</v>
      </c>
      <c r="C1176" s="2">
        <v>45697</v>
      </c>
      <c r="D1176">
        <v>2178</v>
      </c>
      <c r="E1176">
        <v>1005</v>
      </c>
      <c r="F1176">
        <v>2</v>
      </c>
      <c r="G1176">
        <v>63.46</v>
      </c>
      <c r="H1176" s="2">
        <v>45700</v>
      </c>
      <c r="I1176" s="2">
        <v>45706</v>
      </c>
      <c r="J1176" t="s">
        <v>9</v>
      </c>
      <c r="K1176" s="2" t="str">
        <f>IFERROR(INDEX(Product_lookup[Category],MATCH(RawWorking[[#This Row],[ProductID]],Product_lookup[ProductID],0)),"")</f>
        <v>Electronics</v>
      </c>
      <c r="L1176" s="9">
        <f>IF(OR(RawWorking[[#This Row],[ShipDate]]="",RawWorking[[#This Row],[DeliveryDate]]=""),"",RawWorking[[#This Row],[DeliveryDate]]-RawWorking[[#This Row],[ShipDate]])</f>
        <v>6</v>
      </c>
      <c r="M1176" s="9">
        <f>IF(COUNTIF(INDEX(RawWorking[OrderID],1):RawWorking[[#This Row],[OrderID]],RawWorking[[#This Row],[OrderID]])=1,1,0)</f>
        <v>1</v>
      </c>
      <c r="N1176" s="4">
        <f>IFERROR(RawWorking[[#This Row],[LineAmount]]/RawWorking[[#This Row],[Quantity]],"")</f>
        <v>31.73</v>
      </c>
    </row>
    <row r="1177" spans="1:14">
      <c r="A1177">
        <v>51176</v>
      </c>
      <c r="B1177">
        <v>30680</v>
      </c>
      <c r="C1177" s="2">
        <v>45697</v>
      </c>
      <c r="D1177">
        <v>2178</v>
      </c>
      <c r="E1177">
        <v>1004</v>
      </c>
      <c r="F1177">
        <v>1</v>
      </c>
      <c r="G1177">
        <v>183.74</v>
      </c>
      <c r="H1177" s="2">
        <v>45700</v>
      </c>
      <c r="I1177" s="2">
        <v>45708</v>
      </c>
      <c r="J1177" t="s">
        <v>9</v>
      </c>
      <c r="K1177" s="2" t="str">
        <f>IFERROR(INDEX(Product_lookup[Category],MATCH(RawWorking[[#This Row],[ProductID]],Product_lookup[ProductID],0)),"")</f>
        <v>Electronics</v>
      </c>
      <c r="L1177" s="9">
        <f>IF(OR(RawWorking[[#This Row],[ShipDate]]="",RawWorking[[#This Row],[DeliveryDate]]=""),"",RawWorking[[#This Row],[DeliveryDate]]-RawWorking[[#This Row],[ShipDate]])</f>
        <v>8</v>
      </c>
      <c r="M1177" s="9">
        <f>IF(COUNTIF(INDEX(RawWorking[OrderID],1):RawWorking[[#This Row],[OrderID]],RawWorking[[#This Row],[OrderID]])=1,1,0)</f>
        <v>0</v>
      </c>
      <c r="N1177" s="4">
        <f>IFERROR(RawWorking[[#This Row],[LineAmount]]/RawWorking[[#This Row],[Quantity]],"")</f>
        <v>183.74</v>
      </c>
    </row>
    <row r="1178" spans="1:14">
      <c r="A1178">
        <v>51177</v>
      </c>
      <c r="B1178">
        <v>30681</v>
      </c>
      <c r="C1178" s="2">
        <v>45750</v>
      </c>
      <c r="D1178">
        <v>2397</v>
      </c>
      <c r="E1178">
        <v>1011</v>
      </c>
      <c r="F1178">
        <v>1</v>
      </c>
      <c r="G1178">
        <v>101.44</v>
      </c>
      <c r="H1178" s="2">
        <v>45752</v>
      </c>
      <c r="I1178" s="2">
        <v>45753</v>
      </c>
      <c r="J1178" t="s">
        <v>9</v>
      </c>
      <c r="K1178" s="2" t="str">
        <f>IFERROR(INDEX(Product_lookup[Category],MATCH(RawWorking[[#This Row],[ProductID]],Product_lookup[ProductID],0)),"")</f>
        <v>Office</v>
      </c>
      <c r="L1178" s="9">
        <f>IF(OR(RawWorking[[#This Row],[ShipDate]]="",RawWorking[[#This Row],[DeliveryDate]]=""),"",RawWorking[[#This Row],[DeliveryDate]]-RawWorking[[#This Row],[ShipDate]])</f>
        <v>1</v>
      </c>
      <c r="M1178" s="9">
        <f>IF(COUNTIF(INDEX(RawWorking[OrderID],1):RawWorking[[#This Row],[OrderID]],RawWorking[[#This Row],[OrderID]])=1,1,0)</f>
        <v>1</v>
      </c>
      <c r="N1178" s="4">
        <f>IFERROR(RawWorking[[#This Row],[LineAmount]]/RawWorking[[#This Row],[Quantity]],"")</f>
        <v>101.44</v>
      </c>
    </row>
    <row r="1179" spans="1:14">
      <c r="A1179">
        <v>51178</v>
      </c>
      <c r="B1179">
        <v>30682</v>
      </c>
      <c r="C1179" s="2">
        <v>45778</v>
      </c>
      <c r="D1179">
        <v>2517</v>
      </c>
      <c r="E1179">
        <v>1014</v>
      </c>
      <c r="F1179">
        <v>3</v>
      </c>
      <c r="G1179">
        <v>646.02</v>
      </c>
      <c r="H1179" s="2" t="s">
        <v>1421</v>
      </c>
      <c r="I1179" s="2" t="s">
        <v>1421</v>
      </c>
      <c r="J1179" t="s">
        <v>12</v>
      </c>
      <c r="K1179" s="2" t="str">
        <f>IFERROR(INDEX(Product_lookup[Category],MATCH(RawWorking[[#This Row],[ProductID]],Product_lookup[ProductID],0)),"")</f>
        <v>Sports</v>
      </c>
      <c r="L1179" s="9" t="str">
        <f>IF(OR(RawWorking[[#This Row],[ShipDate]]="",RawWorking[[#This Row],[DeliveryDate]]=""),"",RawWorking[[#This Row],[DeliveryDate]]-RawWorking[[#This Row],[ShipDate]])</f>
        <v/>
      </c>
      <c r="M1179" s="9">
        <f>IF(COUNTIF(INDEX(RawWorking[OrderID],1):RawWorking[[#This Row],[OrderID]],RawWorking[[#This Row],[OrderID]])=1,1,0)</f>
        <v>1</v>
      </c>
      <c r="N1179" s="4">
        <f>IFERROR(RawWorking[[#This Row],[LineAmount]]/RawWorking[[#This Row],[Quantity]],"")</f>
        <v>215.34</v>
      </c>
    </row>
    <row r="1180" spans="1:14">
      <c r="A1180">
        <v>51179</v>
      </c>
      <c r="B1180">
        <v>30683</v>
      </c>
      <c r="C1180" s="2">
        <v>45670</v>
      </c>
      <c r="D1180">
        <v>2255</v>
      </c>
      <c r="E1180">
        <v>1011</v>
      </c>
      <c r="F1180">
        <v>1</v>
      </c>
      <c r="G1180">
        <v>101.44</v>
      </c>
      <c r="H1180" s="2">
        <v>45673</v>
      </c>
      <c r="I1180" s="2">
        <v>45681</v>
      </c>
      <c r="J1180" t="s">
        <v>9</v>
      </c>
      <c r="K1180" s="2" t="str">
        <f>IFERROR(INDEX(Product_lookup[Category],MATCH(RawWorking[[#This Row],[ProductID]],Product_lookup[ProductID],0)),"")</f>
        <v>Office</v>
      </c>
      <c r="L1180" s="9">
        <f>IF(OR(RawWorking[[#This Row],[ShipDate]]="",RawWorking[[#This Row],[DeliveryDate]]=""),"",RawWorking[[#This Row],[DeliveryDate]]-RawWorking[[#This Row],[ShipDate]])</f>
        <v>8</v>
      </c>
      <c r="M1180" s="9">
        <f>IF(COUNTIF(INDEX(RawWorking[OrderID],1):RawWorking[[#This Row],[OrderID]],RawWorking[[#This Row],[OrderID]])=1,1,0)</f>
        <v>1</v>
      </c>
      <c r="N1180" s="4">
        <f>IFERROR(RawWorking[[#This Row],[LineAmount]]/RawWorking[[#This Row],[Quantity]],"")</f>
        <v>101.44</v>
      </c>
    </row>
    <row r="1181" spans="1:14">
      <c r="A1181">
        <v>51180</v>
      </c>
      <c r="B1181">
        <v>30683</v>
      </c>
      <c r="C1181" s="2">
        <v>45670</v>
      </c>
      <c r="D1181">
        <v>2255</v>
      </c>
      <c r="E1181">
        <v>1010</v>
      </c>
      <c r="F1181">
        <v>2</v>
      </c>
      <c r="G1181">
        <v>243</v>
      </c>
      <c r="H1181" s="2">
        <v>45673</v>
      </c>
      <c r="I1181" s="2">
        <v>45678</v>
      </c>
      <c r="J1181" t="s">
        <v>9</v>
      </c>
      <c r="K1181" s="2" t="str">
        <f>IFERROR(INDEX(Product_lookup[Category],MATCH(RawWorking[[#This Row],[ProductID]],Product_lookup[ProductID],0)),"")</f>
        <v>Office</v>
      </c>
      <c r="L1181" s="9">
        <f>IF(OR(RawWorking[[#This Row],[ShipDate]]="",RawWorking[[#This Row],[DeliveryDate]]=""),"",RawWorking[[#This Row],[DeliveryDate]]-RawWorking[[#This Row],[ShipDate]])</f>
        <v>5</v>
      </c>
      <c r="M1181" s="9">
        <f>IF(COUNTIF(INDEX(RawWorking[OrderID],1):RawWorking[[#This Row],[OrderID]],RawWorking[[#This Row],[OrderID]])=1,1,0)</f>
        <v>0</v>
      </c>
      <c r="N1181" s="4">
        <f>IFERROR(RawWorking[[#This Row],[LineAmount]]/RawWorking[[#This Row],[Quantity]],"")</f>
        <v>121.5</v>
      </c>
    </row>
    <row r="1182" spans="1:14">
      <c r="A1182">
        <v>51181</v>
      </c>
      <c r="B1182">
        <v>30684</v>
      </c>
      <c r="C1182" s="2">
        <v>45729</v>
      </c>
      <c r="D1182">
        <v>2464</v>
      </c>
      <c r="E1182">
        <v>1005</v>
      </c>
      <c r="F1182">
        <v>1</v>
      </c>
      <c r="G1182">
        <v>31.73</v>
      </c>
      <c r="H1182" s="2" t="s">
        <v>1421</v>
      </c>
      <c r="I1182" s="2" t="s">
        <v>1421</v>
      </c>
      <c r="J1182" t="s">
        <v>16</v>
      </c>
      <c r="K1182" s="2" t="str">
        <f>IFERROR(INDEX(Product_lookup[Category],MATCH(RawWorking[[#This Row],[ProductID]],Product_lookup[ProductID],0)),"")</f>
        <v>Electronics</v>
      </c>
      <c r="L1182" s="9" t="str">
        <f>IF(OR(RawWorking[[#This Row],[ShipDate]]="",RawWorking[[#This Row],[DeliveryDate]]=""),"",RawWorking[[#This Row],[DeliveryDate]]-RawWorking[[#This Row],[ShipDate]])</f>
        <v/>
      </c>
      <c r="M1182" s="9">
        <f>IF(COUNTIF(INDEX(RawWorking[OrderID],1):RawWorking[[#This Row],[OrderID]],RawWorking[[#This Row],[OrderID]])=1,1,0)</f>
        <v>1</v>
      </c>
      <c r="N1182" s="4">
        <f>IFERROR(RawWorking[[#This Row],[LineAmount]]/RawWorking[[#This Row],[Quantity]],"")</f>
        <v>31.73</v>
      </c>
    </row>
    <row r="1183" spans="1:14">
      <c r="A1183">
        <v>51182</v>
      </c>
      <c r="B1183">
        <v>30684</v>
      </c>
      <c r="C1183" s="2">
        <v>45729</v>
      </c>
      <c r="D1183">
        <v>2464</v>
      </c>
      <c r="E1183">
        <v>1010</v>
      </c>
      <c r="F1183">
        <v>1</v>
      </c>
      <c r="G1183">
        <v>121.5</v>
      </c>
      <c r="H1183" s="2" t="s">
        <v>1421</v>
      </c>
      <c r="I1183" s="2" t="s">
        <v>1421</v>
      </c>
      <c r="J1183" t="s">
        <v>16</v>
      </c>
      <c r="K1183" s="2" t="str">
        <f>IFERROR(INDEX(Product_lookup[Category],MATCH(RawWorking[[#This Row],[ProductID]],Product_lookup[ProductID],0)),"")</f>
        <v>Office</v>
      </c>
      <c r="L1183" s="9" t="str">
        <f>IF(OR(RawWorking[[#This Row],[ShipDate]]="",RawWorking[[#This Row],[DeliveryDate]]=""),"",RawWorking[[#This Row],[DeliveryDate]]-RawWorking[[#This Row],[ShipDate]])</f>
        <v/>
      </c>
      <c r="M1183" s="9">
        <f>IF(COUNTIF(INDEX(RawWorking[OrderID],1):RawWorking[[#This Row],[OrderID]],RawWorking[[#This Row],[OrderID]])=1,1,0)</f>
        <v>0</v>
      </c>
      <c r="N1183" s="4">
        <f>IFERROR(RawWorking[[#This Row],[LineAmount]]/RawWorking[[#This Row],[Quantity]],"")</f>
        <v>121.5</v>
      </c>
    </row>
    <row r="1184" spans="1:14">
      <c r="A1184">
        <v>51183</v>
      </c>
      <c r="B1184">
        <v>30685</v>
      </c>
      <c r="C1184" s="2">
        <v>45744</v>
      </c>
      <c r="D1184">
        <v>2561</v>
      </c>
      <c r="E1184">
        <v>1007</v>
      </c>
      <c r="F1184">
        <v>1</v>
      </c>
      <c r="G1184">
        <v>199.81</v>
      </c>
      <c r="H1184" s="2" t="s">
        <v>1421</v>
      </c>
      <c r="I1184" s="2" t="s">
        <v>1421</v>
      </c>
      <c r="J1184" t="s">
        <v>12</v>
      </c>
      <c r="K1184" s="2" t="str">
        <f>IFERROR(INDEX(Product_lookup[Category],MATCH(RawWorking[[#This Row],[ProductID]],Product_lookup[ProductID],0)),"")</f>
        <v>Home</v>
      </c>
      <c r="L1184" s="9" t="str">
        <f>IF(OR(RawWorking[[#This Row],[ShipDate]]="",RawWorking[[#This Row],[DeliveryDate]]=""),"",RawWorking[[#This Row],[DeliveryDate]]-RawWorking[[#This Row],[ShipDate]])</f>
        <v/>
      </c>
      <c r="M1184" s="9">
        <f>IF(COUNTIF(INDEX(RawWorking[OrderID],1):RawWorking[[#This Row],[OrderID]],RawWorking[[#This Row],[OrderID]])=1,1,0)</f>
        <v>1</v>
      </c>
      <c r="N1184" s="4">
        <f>IFERROR(RawWorking[[#This Row],[LineAmount]]/RawWorking[[#This Row],[Quantity]],"")</f>
        <v>199.81</v>
      </c>
    </row>
    <row r="1185" spans="1:14">
      <c r="A1185">
        <v>51184</v>
      </c>
      <c r="B1185">
        <v>30686</v>
      </c>
      <c r="C1185" s="2">
        <v>45698</v>
      </c>
      <c r="D1185">
        <v>2206</v>
      </c>
      <c r="E1185">
        <v>1010</v>
      </c>
      <c r="F1185">
        <v>1</v>
      </c>
      <c r="G1185">
        <v>121.5</v>
      </c>
      <c r="H1185" s="2">
        <v>45700</v>
      </c>
      <c r="I1185" s="2">
        <v>45710</v>
      </c>
      <c r="J1185" t="s">
        <v>9</v>
      </c>
      <c r="K1185" s="2" t="str">
        <f>IFERROR(INDEX(Product_lookup[Category],MATCH(RawWorking[[#This Row],[ProductID]],Product_lookup[ProductID],0)),"")</f>
        <v>Office</v>
      </c>
      <c r="L1185" s="9">
        <f>IF(OR(RawWorking[[#This Row],[ShipDate]]="",RawWorking[[#This Row],[DeliveryDate]]=""),"",RawWorking[[#This Row],[DeliveryDate]]-RawWorking[[#This Row],[ShipDate]])</f>
        <v>10</v>
      </c>
      <c r="M1185" s="9">
        <f>IF(COUNTIF(INDEX(RawWorking[OrderID],1):RawWorking[[#This Row],[OrderID]],RawWorking[[#This Row],[OrderID]])=1,1,0)</f>
        <v>1</v>
      </c>
      <c r="N1185" s="4">
        <f>IFERROR(RawWorking[[#This Row],[LineAmount]]/RawWorking[[#This Row],[Quantity]],"")</f>
        <v>121.5</v>
      </c>
    </row>
    <row r="1186" spans="1:14">
      <c r="A1186">
        <v>51185</v>
      </c>
      <c r="B1186">
        <v>30687</v>
      </c>
      <c r="C1186" s="2">
        <v>45746</v>
      </c>
      <c r="D1186">
        <v>2354</v>
      </c>
      <c r="E1186">
        <v>1005</v>
      </c>
      <c r="F1186">
        <v>1</v>
      </c>
      <c r="G1186">
        <v>31.73</v>
      </c>
      <c r="H1186" s="2" t="s">
        <v>1421</v>
      </c>
      <c r="I1186" s="2" t="s">
        <v>1421</v>
      </c>
      <c r="J1186" t="s">
        <v>12</v>
      </c>
      <c r="K1186" s="2" t="str">
        <f>IFERROR(INDEX(Product_lookup[Category],MATCH(RawWorking[[#This Row],[ProductID]],Product_lookup[ProductID],0)),"")</f>
        <v>Electronics</v>
      </c>
      <c r="L1186" s="9" t="str">
        <f>IF(OR(RawWorking[[#This Row],[ShipDate]]="",RawWorking[[#This Row],[DeliveryDate]]=""),"",RawWorking[[#This Row],[DeliveryDate]]-RawWorking[[#This Row],[ShipDate]])</f>
        <v/>
      </c>
      <c r="M1186" s="9">
        <f>IF(COUNTIF(INDEX(RawWorking[OrderID],1):RawWorking[[#This Row],[OrderID]],RawWorking[[#This Row],[OrderID]])=1,1,0)</f>
        <v>1</v>
      </c>
      <c r="N1186" s="4">
        <f>IFERROR(RawWorking[[#This Row],[LineAmount]]/RawWorking[[#This Row],[Quantity]],"")</f>
        <v>31.73</v>
      </c>
    </row>
    <row r="1187" spans="1:14">
      <c r="A1187">
        <v>51186</v>
      </c>
      <c r="B1187">
        <v>30688</v>
      </c>
      <c r="C1187" s="2">
        <v>45761</v>
      </c>
      <c r="D1187">
        <v>2183</v>
      </c>
      <c r="E1187">
        <v>1011</v>
      </c>
      <c r="F1187">
        <v>1</v>
      </c>
      <c r="G1187">
        <v>101.44</v>
      </c>
      <c r="H1187" s="2">
        <v>45764</v>
      </c>
      <c r="I1187" s="2">
        <v>45774</v>
      </c>
      <c r="J1187" t="s">
        <v>9</v>
      </c>
      <c r="K1187" s="2" t="str">
        <f>IFERROR(INDEX(Product_lookup[Category],MATCH(RawWorking[[#This Row],[ProductID]],Product_lookup[ProductID],0)),"")</f>
        <v>Office</v>
      </c>
      <c r="L1187" s="9">
        <f>IF(OR(RawWorking[[#This Row],[ShipDate]]="",RawWorking[[#This Row],[DeliveryDate]]=""),"",RawWorking[[#This Row],[DeliveryDate]]-RawWorking[[#This Row],[ShipDate]])</f>
        <v>10</v>
      </c>
      <c r="M1187" s="9">
        <f>IF(COUNTIF(INDEX(RawWorking[OrderID],1):RawWorking[[#This Row],[OrderID]],RawWorking[[#This Row],[OrderID]])=1,1,0)</f>
        <v>1</v>
      </c>
      <c r="N1187" s="4">
        <f>IFERROR(RawWorking[[#This Row],[LineAmount]]/RawWorking[[#This Row],[Quantity]],"")</f>
        <v>101.44</v>
      </c>
    </row>
    <row r="1188" spans="1:14">
      <c r="A1188">
        <v>51187</v>
      </c>
      <c r="B1188">
        <v>30688</v>
      </c>
      <c r="C1188" s="2">
        <v>45761</v>
      </c>
      <c r="D1188">
        <v>2183</v>
      </c>
      <c r="E1188">
        <v>1004</v>
      </c>
      <c r="F1188">
        <v>1</v>
      </c>
      <c r="G1188">
        <v>183.74</v>
      </c>
      <c r="H1188" s="2">
        <v>45762</v>
      </c>
      <c r="I1188" s="2">
        <v>45764</v>
      </c>
      <c r="J1188" t="s">
        <v>9</v>
      </c>
      <c r="K1188" s="2" t="str">
        <f>IFERROR(INDEX(Product_lookup[Category],MATCH(RawWorking[[#This Row],[ProductID]],Product_lookup[ProductID],0)),"")</f>
        <v>Electronics</v>
      </c>
      <c r="L1188" s="9">
        <f>IF(OR(RawWorking[[#This Row],[ShipDate]]="",RawWorking[[#This Row],[DeliveryDate]]=""),"",RawWorking[[#This Row],[DeliveryDate]]-RawWorking[[#This Row],[ShipDate]])</f>
        <v>2</v>
      </c>
      <c r="M1188" s="9">
        <f>IF(COUNTIF(INDEX(RawWorking[OrderID],1):RawWorking[[#This Row],[OrderID]],RawWorking[[#This Row],[OrderID]])=1,1,0)</f>
        <v>0</v>
      </c>
      <c r="N1188" s="4">
        <f>IFERROR(RawWorking[[#This Row],[LineAmount]]/RawWorking[[#This Row],[Quantity]],"")</f>
        <v>183.74</v>
      </c>
    </row>
    <row r="1189" spans="1:14">
      <c r="A1189">
        <v>51188</v>
      </c>
      <c r="B1189">
        <v>30688</v>
      </c>
      <c r="C1189" s="2">
        <v>45761</v>
      </c>
      <c r="D1189">
        <v>2183</v>
      </c>
      <c r="E1189">
        <v>1012</v>
      </c>
      <c r="F1189">
        <v>1</v>
      </c>
      <c r="G1189">
        <v>241.54</v>
      </c>
      <c r="H1189" s="2">
        <v>45762</v>
      </c>
      <c r="I1189" s="2">
        <v>45766</v>
      </c>
      <c r="J1189" t="s">
        <v>9</v>
      </c>
      <c r="K1189" s="2" t="str">
        <f>IFERROR(INDEX(Product_lookup[Category],MATCH(RawWorking[[#This Row],[ProductID]],Product_lookup[ProductID],0)),"")</f>
        <v>Office</v>
      </c>
      <c r="L1189" s="9">
        <f>IF(OR(RawWorking[[#This Row],[ShipDate]]="",RawWorking[[#This Row],[DeliveryDate]]=""),"",RawWorking[[#This Row],[DeliveryDate]]-RawWorking[[#This Row],[ShipDate]])</f>
        <v>4</v>
      </c>
      <c r="M1189" s="9">
        <f>IF(COUNTIF(INDEX(RawWorking[OrderID],1):RawWorking[[#This Row],[OrderID]],RawWorking[[#This Row],[OrderID]])=1,1,0)</f>
        <v>0</v>
      </c>
      <c r="N1189" s="4">
        <f>IFERROR(RawWorking[[#This Row],[LineAmount]]/RawWorking[[#This Row],[Quantity]],"")</f>
        <v>241.54</v>
      </c>
    </row>
    <row r="1190" spans="1:14">
      <c r="A1190">
        <v>51189</v>
      </c>
      <c r="B1190">
        <v>30689</v>
      </c>
      <c r="C1190" s="2">
        <v>45760</v>
      </c>
      <c r="D1190">
        <v>2576</v>
      </c>
      <c r="E1190">
        <v>1014</v>
      </c>
      <c r="F1190">
        <v>1</v>
      </c>
      <c r="G1190">
        <v>215.34</v>
      </c>
      <c r="H1190" s="2">
        <v>45763</v>
      </c>
      <c r="I1190" s="2">
        <v>45765</v>
      </c>
      <c r="J1190" t="s">
        <v>9</v>
      </c>
      <c r="K1190" s="2" t="str">
        <f>IFERROR(INDEX(Product_lookup[Category],MATCH(RawWorking[[#This Row],[ProductID]],Product_lookup[ProductID],0)),"")</f>
        <v>Sports</v>
      </c>
      <c r="L1190" s="9">
        <f>IF(OR(RawWorking[[#This Row],[ShipDate]]="",RawWorking[[#This Row],[DeliveryDate]]=""),"",RawWorking[[#This Row],[DeliveryDate]]-RawWorking[[#This Row],[ShipDate]])</f>
        <v>2</v>
      </c>
      <c r="M1190" s="9">
        <f>IF(COUNTIF(INDEX(RawWorking[OrderID],1):RawWorking[[#This Row],[OrderID]],RawWorking[[#This Row],[OrderID]])=1,1,0)</f>
        <v>1</v>
      </c>
      <c r="N1190" s="4">
        <f>IFERROR(RawWorking[[#This Row],[LineAmount]]/RawWorking[[#This Row],[Quantity]],"")</f>
        <v>215.34</v>
      </c>
    </row>
    <row r="1191" spans="1:14">
      <c r="A1191">
        <v>51190</v>
      </c>
      <c r="B1191">
        <v>30689</v>
      </c>
      <c r="C1191" s="2">
        <v>45760</v>
      </c>
      <c r="D1191">
        <v>2576</v>
      </c>
      <c r="E1191">
        <v>1010</v>
      </c>
      <c r="F1191">
        <v>1</v>
      </c>
      <c r="G1191">
        <v>121.5</v>
      </c>
      <c r="H1191" s="2">
        <v>45763</v>
      </c>
      <c r="I1191" s="2">
        <v>45768</v>
      </c>
      <c r="J1191" t="s">
        <v>9</v>
      </c>
      <c r="K1191" s="2" t="str">
        <f>IFERROR(INDEX(Product_lookup[Category],MATCH(RawWorking[[#This Row],[ProductID]],Product_lookup[ProductID],0)),"")</f>
        <v>Office</v>
      </c>
      <c r="L1191" s="9">
        <f>IF(OR(RawWorking[[#This Row],[ShipDate]]="",RawWorking[[#This Row],[DeliveryDate]]=""),"",RawWorking[[#This Row],[DeliveryDate]]-RawWorking[[#This Row],[ShipDate]])</f>
        <v>5</v>
      </c>
      <c r="M1191" s="9">
        <f>IF(COUNTIF(INDEX(RawWorking[OrderID],1):RawWorking[[#This Row],[OrderID]],RawWorking[[#This Row],[OrderID]])=1,1,0)</f>
        <v>0</v>
      </c>
      <c r="N1191" s="4">
        <f>IFERROR(RawWorking[[#This Row],[LineAmount]]/RawWorking[[#This Row],[Quantity]],"")</f>
        <v>121.5</v>
      </c>
    </row>
    <row r="1192" spans="1:14">
      <c r="A1192">
        <v>51191</v>
      </c>
      <c r="B1192">
        <v>30689</v>
      </c>
      <c r="C1192" s="2">
        <v>45760</v>
      </c>
      <c r="D1192">
        <v>2576</v>
      </c>
      <c r="F1192">
        <v>1</v>
      </c>
      <c r="G1192" t="str">
        <f>IFERROR(RawWorking[[#This Row],[Quantity]]*INDEX(Product_lookup[UnitPrice],MATCH(RawWorking[[#This Row],[ProductID]],Product_lookup[ProductID],0)),"")</f>
        <v/>
      </c>
      <c r="H1192" s="2">
        <v>45761</v>
      </c>
      <c r="I1192" s="2">
        <v>45768</v>
      </c>
      <c r="J1192" t="s">
        <v>9</v>
      </c>
      <c r="K1192" s="2" t="str">
        <f>IFERROR(INDEX(Product_lookup[Category],MATCH(RawWorking[[#This Row],[ProductID]],Product_lookup[ProductID],0)),"Not found")</f>
        <v>Not found</v>
      </c>
      <c r="L1192" s="9">
        <f>IF(OR(RawWorking[[#This Row],[ShipDate]]="",RawWorking[[#This Row],[DeliveryDate]]=""),"",RawWorking[[#This Row],[DeliveryDate]]-RawWorking[[#This Row],[ShipDate]])</f>
        <v>7</v>
      </c>
      <c r="M1192" s="9">
        <f>IF(COUNTIF(INDEX(RawWorking[OrderID],1):RawWorking[[#This Row],[OrderID]],RawWorking[[#This Row],[OrderID]])=1,1,0)</f>
        <v>0</v>
      </c>
      <c r="N1192" s="4" t="str">
        <f>IFERROR(RawWorking[[#This Row],[LineAmount]]/RawWorking[[#This Row],[Quantity]],"")</f>
        <v/>
      </c>
    </row>
    <row r="1193" spans="1:14">
      <c r="A1193">
        <v>51192</v>
      </c>
      <c r="B1193">
        <v>30690</v>
      </c>
      <c r="C1193" s="2">
        <v>45671</v>
      </c>
      <c r="D1193">
        <v>2014</v>
      </c>
      <c r="E1193">
        <v>1001</v>
      </c>
      <c r="F1193">
        <v>1</v>
      </c>
      <c r="G1193">
        <v>203.04</v>
      </c>
      <c r="H1193" s="2">
        <v>45674</v>
      </c>
      <c r="I1193" s="2">
        <v>45678</v>
      </c>
      <c r="J1193" t="s">
        <v>9</v>
      </c>
      <c r="K1193" s="2" t="str">
        <f>IFERROR(INDEX(Product_lookup[Category],MATCH(RawWorking[[#This Row],[ProductID]],Product_lookup[ProductID],0)),"")</f>
        <v>Electronics</v>
      </c>
      <c r="L1193" s="9">
        <f>IF(OR(RawWorking[[#This Row],[ShipDate]]="",RawWorking[[#This Row],[DeliveryDate]]=""),"",RawWorking[[#This Row],[DeliveryDate]]-RawWorking[[#This Row],[ShipDate]])</f>
        <v>4</v>
      </c>
      <c r="M1193" s="9">
        <f>IF(COUNTIF(INDEX(RawWorking[OrderID],1):RawWorking[[#This Row],[OrderID]],RawWorking[[#This Row],[OrderID]])=1,1,0)</f>
        <v>1</v>
      </c>
      <c r="N1193" s="4">
        <f>IFERROR(RawWorking[[#This Row],[LineAmount]]/RawWorking[[#This Row],[Quantity]],"")</f>
        <v>203.04</v>
      </c>
    </row>
    <row r="1194" spans="1:14">
      <c r="A1194">
        <v>51193</v>
      </c>
      <c r="B1194">
        <v>30690</v>
      </c>
      <c r="C1194" s="2">
        <v>45671</v>
      </c>
      <c r="D1194">
        <v>2014</v>
      </c>
      <c r="E1194">
        <v>1013</v>
      </c>
      <c r="F1194">
        <v>1</v>
      </c>
      <c r="G1194">
        <v>170.25</v>
      </c>
      <c r="H1194" s="2">
        <v>45672</v>
      </c>
      <c r="I1194" s="2">
        <v>45673</v>
      </c>
      <c r="J1194" t="s">
        <v>9</v>
      </c>
      <c r="K1194" s="2" t="str">
        <f>IFERROR(INDEX(Product_lookup[Category],MATCH(RawWorking[[#This Row],[ProductID]],Product_lookup[ProductID],0)),"")</f>
        <v>Office</v>
      </c>
      <c r="L1194" s="9">
        <f>IF(OR(RawWorking[[#This Row],[ShipDate]]="",RawWorking[[#This Row],[DeliveryDate]]=""),"",RawWorking[[#This Row],[DeliveryDate]]-RawWorking[[#This Row],[ShipDate]])</f>
        <v>1</v>
      </c>
      <c r="M1194" s="9">
        <f>IF(COUNTIF(INDEX(RawWorking[OrderID],1):RawWorking[[#This Row],[OrderID]],RawWorking[[#This Row],[OrderID]])=1,1,0)</f>
        <v>0</v>
      </c>
      <c r="N1194" s="4">
        <f>IFERROR(RawWorking[[#This Row],[LineAmount]]/RawWorking[[#This Row],[Quantity]],"")</f>
        <v>170.25</v>
      </c>
    </row>
    <row r="1195" spans="1:14">
      <c r="A1195">
        <v>51194</v>
      </c>
      <c r="B1195">
        <v>30690</v>
      </c>
      <c r="C1195" s="2">
        <v>45671</v>
      </c>
      <c r="D1195">
        <v>2014</v>
      </c>
      <c r="E1195">
        <v>1005</v>
      </c>
      <c r="F1195">
        <v>1</v>
      </c>
      <c r="G1195">
        <v>31.73</v>
      </c>
      <c r="H1195" s="2">
        <v>45672</v>
      </c>
      <c r="I1195" s="2">
        <v>45679</v>
      </c>
      <c r="J1195" t="s">
        <v>9</v>
      </c>
      <c r="K1195" s="2" t="str">
        <f>IFERROR(INDEX(Product_lookup[Category],MATCH(RawWorking[[#This Row],[ProductID]],Product_lookup[ProductID],0)),"")</f>
        <v>Electronics</v>
      </c>
      <c r="L1195" s="9">
        <f>IF(OR(RawWorking[[#This Row],[ShipDate]]="",RawWorking[[#This Row],[DeliveryDate]]=""),"",RawWorking[[#This Row],[DeliveryDate]]-RawWorking[[#This Row],[ShipDate]])</f>
        <v>7</v>
      </c>
      <c r="M1195" s="9">
        <f>IF(COUNTIF(INDEX(RawWorking[OrderID],1):RawWorking[[#This Row],[OrderID]],RawWorking[[#This Row],[OrderID]])=1,1,0)</f>
        <v>0</v>
      </c>
      <c r="N1195" s="4">
        <f>IFERROR(RawWorking[[#This Row],[LineAmount]]/RawWorking[[#This Row],[Quantity]],"")</f>
        <v>31.73</v>
      </c>
    </row>
    <row r="1196" spans="1:14">
      <c r="A1196">
        <v>51195</v>
      </c>
      <c r="B1196">
        <v>30691</v>
      </c>
      <c r="C1196" s="2">
        <v>45766</v>
      </c>
      <c r="D1196">
        <v>2055</v>
      </c>
      <c r="E1196">
        <v>1007</v>
      </c>
      <c r="F1196">
        <v>1</v>
      </c>
      <c r="G1196">
        <v>199.81</v>
      </c>
      <c r="H1196" s="2">
        <v>45767</v>
      </c>
      <c r="I1196" s="2">
        <v>45768</v>
      </c>
      <c r="J1196" t="s">
        <v>9</v>
      </c>
      <c r="K1196" s="2" t="str">
        <f>IFERROR(INDEX(Product_lookup[Category],MATCH(RawWorking[[#This Row],[ProductID]],Product_lookup[ProductID],0)),"")</f>
        <v>Home</v>
      </c>
      <c r="L1196" s="9">
        <f>IF(OR(RawWorking[[#This Row],[ShipDate]]="",RawWorking[[#This Row],[DeliveryDate]]=""),"",RawWorking[[#This Row],[DeliveryDate]]-RawWorking[[#This Row],[ShipDate]])</f>
        <v>1</v>
      </c>
      <c r="M1196" s="9">
        <f>IF(COUNTIF(INDEX(RawWorking[OrderID],1):RawWorking[[#This Row],[OrderID]],RawWorking[[#This Row],[OrderID]])=1,1,0)</f>
        <v>1</v>
      </c>
      <c r="N1196" s="4">
        <f>IFERROR(RawWorking[[#This Row],[LineAmount]]/RawWorking[[#This Row],[Quantity]],"")</f>
        <v>199.81</v>
      </c>
    </row>
    <row r="1197" spans="1:14">
      <c r="A1197">
        <v>51196</v>
      </c>
      <c r="B1197">
        <v>30692</v>
      </c>
      <c r="C1197" s="2">
        <v>45741</v>
      </c>
      <c r="D1197">
        <v>2274</v>
      </c>
      <c r="E1197">
        <v>1006</v>
      </c>
      <c r="F1197">
        <v>2</v>
      </c>
      <c r="G1197">
        <v>507.72</v>
      </c>
      <c r="H1197" s="2">
        <v>45743</v>
      </c>
      <c r="I1197" s="2">
        <v>45753</v>
      </c>
      <c r="J1197" t="s">
        <v>9</v>
      </c>
      <c r="K1197" s="2" t="str">
        <f>IFERROR(INDEX(Product_lookup[Category],MATCH(RawWorking[[#This Row],[ProductID]],Product_lookup[ProductID],0)),"")</f>
        <v>Home</v>
      </c>
      <c r="L1197" s="9">
        <f>IF(OR(RawWorking[[#This Row],[ShipDate]]="",RawWorking[[#This Row],[DeliveryDate]]=""),"",RawWorking[[#This Row],[DeliveryDate]]-RawWorking[[#This Row],[ShipDate]])</f>
        <v>10</v>
      </c>
      <c r="M1197" s="9">
        <f>IF(COUNTIF(INDEX(RawWorking[OrderID],1):RawWorking[[#This Row],[OrderID]],RawWorking[[#This Row],[OrderID]])=1,1,0)</f>
        <v>1</v>
      </c>
      <c r="N1197" s="4">
        <f>IFERROR(RawWorking[[#This Row],[LineAmount]]/RawWorking[[#This Row],[Quantity]],"")</f>
        <v>253.86</v>
      </c>
    </row>
    <row r="1198" spans="1:14">
      <c r="A1198">
        <v>51197</v>
      </c>
      <c r="B1198">
        <v>30693</v>
      </c>
      <c r="C1198" s="2">
        <v>45776</v>
      </c>
      <c r="D1198">
        <v>2294</v>
      </c>
      <c r="E1198">
        <v>1005</v>
      </c>
      <c r="F1198">
        <v>2</v>
      </c>
      <c r="G1198">
        <v>63.46</v>
      </c>
      <c r="H1198" s="2">
        <v>45777</v>
      </c>
      <c r="I1198" s="2">
        <v>45779</v>
      </c>
      <c r="J1198" t="s">
        <v>9</v>
      </c>
      <c r="K1198" s="2" t="str">
        <f>IFERROR(INDEX(Product_lookup[Category],MATCH(RawWorking[[#This Row],[ProductID]],Product_lookup[ProductID],0)),"")</f>
        <v>Electronics</v>
      </c>
      <c r="L1198" s="9">
        <f>IF(OR(RawWorking[[#This Row],[ShipDate]]="",RawWorking[[#This Row],[DeliveryDate]]=""),"",RawWorking[[#This Row],[DeliveryDate]]-RawWorking[[#This Row],[ShipDate]])</f>
        <v>2</v>
      </c>
      <c r="M1198" s="9">
        <f>IF(COUNTIF(INDEX(RawWorking[OrderID],1):RawWorking[[#This Row],[OrderID]],RawWorking[[#This Row],[OrderID]])=1,1,0)</f>
        <v>1</v>
      </c>
      <c r="N1198" s="4">
        <f>IFERROR(RawWorking[[#This Row],[LineAmount]]/RawWorking[[#This Row],[Quantity]],"")</f>
        <v>31.73</v>
      </c>
    </row>
    <row r="1199" spans="1:14">
      <c r="A1199">
        <v>51198</v>
      </c>
      <c r="B1199">
        <v>30693</v>
      </c>
      <c r="C1199" s="2">
        <v>45776</v>
      </c>
      <c r="D1199">
        <v>2294</v>
      </c>
      <c r="E1199">
        <v>1002</v>
      </c>
      <c r="F1199">
        <v>2</v>
      </c>
      <c r="G1199">
        <v>237.2</v>
      </c>
      <c r="H1199" s="2">
        <v>45778</v>
      </c>
      <c r="I1199" s="2">
        <v>45784</v>
      </c>
      <c r="J1199" t="s">
        <v>9</v>
      </c>
      <c r="K1199" s="2" t="str">
        <f>IFERROR(INDEX(Product_lookup[Category],MATCH(RawWorking[[#This Row],[ProductID]],Product_lookup[ProductID],0)),"")</f>
        <v>Electronics</v>
      </c>
      <c r="L1199" s="9">
        <f>IF(OR(RawWorking[[#This Row],[ShipDate]]="",RawWorking[[#This Row],[DeliveryDate]]=""),"",RawWorking[[#This Row],[DeliveryDate]]-RawWorking[[#This Row],[ShipDate]])</f>
        <v>6</v>
      </c>
      <c r="M1199" s="9">
        <f>IF(COUNTIF(INDEX(RawWorking[OrderID],1):RawWorking[[#This Row],[OrderID]],RawWorking[[#This Row],[OrderID]])=1,1,0)</f>
        <v>0</v>
      </c>
      <c r="N1199" s="4">
        <f>IFERROR(RawWorking[[#This Row],[LineAmount]]/RawWorking[[#This Row],[Quantity]],"")</f>
        <v>118.6</v>
      </c>
    </row>
    <row r="1200" spans="1:14">
      <c r="A1200">
        <v>51199</v>
      </c>
      <c r="B1200">
        <v>30693</v>
      </c>
      <c r="C1200" s="2">
        <v>45776</v>
      </c>
      <c r="D1200">
        <v>2294</v>
      </c>
      <c r="E1200">
        <v>1010</v>
      </c>
      <c r="F1200">
        <v>3</v>
      </c>
      <c r="G1200">
        <v>364.5</v>
      </c>
      <c r="H1200" s="2">
        <v>45779</v>
      </c>
      <c r="I1200" s="2">
        <v>45781</v>
      </c>
      <c r="J1200" t="s">
        <v>9</v>
      </c>
      <c r="K1200" s="2" t="str">
        <f>IFERROR(INDEX(Product_lookup[Category],MATCH(RawWorking[[#This Row],[ProductID]],Product_lookup[ProductID],0)),"")</f>
        <v>Office</v>
      </c>
      <c r="L1200" s="9">
        <f>IF(OR(RawWorking[[#This Row],[ShipDate]]="",RawWorking[[#This Row],[DeliveryDate]]=""),"",RawWorking[[#This Row],[DeliveryDate]]-RawWorking[[#This Row],[ShipDate]])</f>
        <v>2</v>
      </c>
      <c r="M1200" s="9">
        <f>IF(COUNTIF(INDEX(RawWorking[OrderID],1):RawWorking[[#This Row],[OrderID]],RawWorking[[#This Row],[OrderID]])=1,1,0)</f>
        <v>0</v>
      </c>
      <c r="N1200" s="4">
        <f>IFERROR(RawWorking[[#This Row],[LineAmount]]/RawWorking[[#This Row],[Quantity]],"")</f>
        <v>121.5</v>
      </c>
    </row>
    <row r="1201" spans="1:14">
      <c r="A1201">
        <v>51200</v>
      </c>
      <c r="B1201">
        <v>30693</v>
      </c>
      <c r="C1201" s="2">
        <v>45776</v>
      </c>
      <c r="D1201">
        <v>2294</v>
      </c>
      <c r="E1201">
        <v>1007</v>
      </c>
      <c r="F1201">
        <v>1</v>
      </c>
      <c r="G1201">
        <v>199.81</v>
      </c>
      <c r="H1201" s="2">
        <v>45778</v>
      </c>
      <c r="I1201" s="2">
        <v>45780</v>
      </c>
      <c r="J1201" t="s">
        <v>9</v>
      </c>
      <c r="K1201" s="2" t="str">
        <f>IFERROR(INDEX(Product_lookup[Category],MATCH(RawWorking[[#This Row],[ProductID]],Product_lookup[ProductID],0)),"")</f>
        <v>Home</v>
      </c>
      <c r="L1201" s="9">
        <f>IF(OR(RawWorking[[#This Row],[ShipDate]]="",RawWorking[[#This Row],[DeliveryDate]]=""),"",RawWorking[[#This Row],[DeliveryDate]]-RawWorking[[#This Row],[ShipDate]])</f>
        <v>2</v>
      </c>
      <c r="M1201" s="9">
        <f>IF(COUNTIF(INDEX(RawWorking[OrderID],1):RawWorking[[#This Row],[OrderID]],RawWorking[[#This Row],[OrderID]])=1,1,0)</f>
        <v>0</v>
      </c>
      <c r="N1201" s="4">
        <f>IFERROR(RawWorking[[#This Row],[LineAmount]]/RawWorking[[#This Row],[Quantity]],"")</f>
        <v>199.81</v>
      </c>
    </row>
    <row r="1202" spans="1:14">
      <c r="A1202">
        <v>51201</v>
      </c>
      <c r="B1202">
        <v>30694</v>
      </c>
      <c r="C1202" s="2">
        <v>45776</v>
      </c>
      <c r="D1202">
        <v>2555</v>
      </c>
      <c r="E1202">
        <v>1015</v>
      </c>
      <c r="F1202">
        <v>2</v>
      </c>
      <c r="G1202">
        <v>239.48</v>
      </c>
      <c r="H1202" s="2">
        <v>45778</v>
      </c>
      <c r="I1202" s="2">
        <v>45779</v>
      </c>
      <c r="J1202" t="s">
        <v>9</v>
      </c>
      <c r="K1202" s="2" t="str">
        <f>IFERROR(INDEX(Product_lookup[Category],MATCH(RawWorking[[#This Row],[ProductID]],Product_lookup[ProductID],0)),"")</f>
        <v>Sports</v>
      </c>
      <c r="L1202" s="9">
        <f>IF(OR(RawWorking[[#This Row],[ShipDate]]="",RawWorking[[#This Row],[DeliveryDate]]=""),"",RawWorking[[#This Row],[DeliveryDate]]-RawWorking[[#This Row],[ShipDate]])</f>
        <v>1</v>
      </c>
      <c r="M1202" s="9">
        <f>IF(COUNTIF(INDEX(RawWorking[OrderID],1):RawWorking[[#This Row],[OrderID]],RawWorking[[#This Row],[OrderID]])=1,1,0)</f>
        <v>1</v>
      </c>
      <c r="N1202" s="4">
        <f>IFERROR(RawWorking[[#This Row],[LineAmount]]/RawWorking[[#This Row],[Quantity]],"")</f>
        <v>119.74</v>
      </c>
    </row>
    <row r="1203" spans="1:14">
      <c r="A1203">
        <v>51202</v>
      </c>
      <c r="B1203">
        <v>30695</v>
      </c>
      <c r="C1203" s="2">
        <v>45670</v>
      </c>
      <c r="D1203">
        <v>2105</v>
      </c>
      <c r="E1203">
        <v>1008</v>
      </c>
      <c r="F1203">
        <v>1</v>
      </c>
      <c r="G1203">
        <v>206.09</v>
      </c>
      <c r="H1203" s="2">
        <v>45671</v>
      </c>
      <c r="I1203" s="2">
        <v>45680</v>
      </c>
      <c r="J1203" t="s">
        <v>9</v>
      </c>
      <c r="K1203" s="2" t="str">
        <f>IFERROR(INDEX(Product_lookup[Category],MATCH(RawWorking[[#This Row],[ProductID]],Product_lookup[ProductID],0)),"")</f>
        <v>Home</v>
      </c>
      <c r="L1203" s="9">
        <f>IF(OR(RawWorking[[#This Row],[ShipDate]]="",RawWorking[[#This Row],[DeliveryDate]]=""),"",RawWorking[[#This Row],[DeliveryDate]]-RawWorking[[#This Row],[ShipDate]])</f>
        <v>9</v>
      </c>
      <c r="M1203" s="9">
        <f>IF(COUNTIF(INDEX(RawWorking[OrderID],1):RawWorking[[#This Row],[OrderID]],RawWorking[[#This Row],[OrderID]])=1,1,0)</f>
        <v>1</v>
      </c>
      <c r="N1203" s="4">
        <f>IFERROR(RawWorking[[#This Row],[LineAmount]]/RawWorking[[#This Row],[Quantity]],"")</f>
        <v>206.09</v>
      </c>
    </row>
    <row r="1204" spans="1:14">
      <c r="A1204">
        <v>51203</v>
      </c>
      <c r="B1204">
        <v>30696</v>
      </c>
      <c r="C1204" s="2">
        <v>45891</v>
      </c>
      <c r="D1204">
        <v>2575</v>
      </c>
      <c r="E1204">
        <v>1010</v>
      </c>
      <c r="F1204">
        <v>1</v>
      </c>
      <c r="G1204">
        <v>121.5</v>
      </c>
      <c r="H1204" s="2">
        <v>45892</v>
      </c>
      <c r="I1204" s="2">
        <v>45893</v>
      </c>
      <c r="J1204" t="s">
        <v>9</v>
      </c>
      <c r="K1204" s="2" t="str">
        <f>IFERROR(INDEX(Product_lookup[Category],MATCH(RawWorking[[#This Row],[ProductID]],Product_lookup[ProductID],0)),"")</f>
        <v>Office</v>
      </c>
      <c r="L1204" s="9">
        <f>IF(OR(RawWorking[[#This Row],[ShipDate]]="",RawWorking[[#This Row],[DeliveryDate]]=""),"",RawWorking[[#This Row],[DeliveryDate]]-RawWorking[[#This Row],[ShipDate]])</f>
        <v>1</v>
      </c>
      <c r="M1204" s="9">
        <f>IF(COUNTIF(INDEX(RawWorking[OrderID],1):RawWorking[[#This Row],[OrderID]],RawWorking[[#This Row],[OrderID]])=1,1,0)</f>
        <v>1</v>
      </c>
      <c r="N1204" s="4">
        <f>IFERROR(RawWorking[[#This Row],[LineAmount]]/RawWorking[[#This Row],[Quantity]],"")</f>
        <v>121.5</v>
      </c>
    </row>
    <row r="1205" spans="1:14">
      <c r="A1205">
        <v>51204</v>
      </c>
      <c r="B1205">
        <v>30696</v>
      </c>
      <c r="C1205" s="2">
        <v>45891</v>
      </c>
      <c r="D1205">
        <v>2575</v>
      </c>
      <c r="E1205">
        <v>1002</v>
      </c>
      <c r="F1205">
        <v>1</v>
      </c>
      <c r="G1205">
        <v>118.6</v>
      </c>
      <c r="H1205" s="2">
        <v>45893</v>
      </c>
      <c r="I1205" s="2">
        <v>45897</v>
      </c>
      <c r="J1205" t="s">
        <v>9</v>
      </c>
      <c r="K1205" s="2" t="str">
        <f>IFERROR(INDEX(Product_lookup[Category],MATCH(RawWorking[[#This Row],[ProductID]],Product_lookup[ProductID],0)),"")</f>
        <v>Electronics</v>
      </c>
      <c r="L1205" s="9">
        <f>IF(OR(RawWorking[[#This Row],[ShipDate]]="",RawWorking[[#This Row],[DeliveryDate]]=""),"",RawWorking[[#This Row],[DeliveryDate]]-RawWorking[[#This Row],[ShipDate]])</f>
        <v>4</v>
      </c>
      <c r="M1205" s="9">
        <f>IF(COUNTIF(INDEX(RawWorking[OrderID],1):RawWorking[[#This Row],[OrderID]],RawWorking[[#This Row],[OrderID]])=1,1,0)</f>
        <v>0</v>
      </c>
      <c r="N1205" s="4">
        <f>IFERROR(RawWorking[[#This Row],[LineAmount]]/RawWorking[[#This Row],[Quantity]],"")</f>
        <v>118.6</v>
      </c>
    </row>
    <row r="1206" spans="1:14">
      <c r="A1206">
        <v>51205</v>
      </c>
      <c r="B1206">
        <v>30697</v>
      </c>
      <c r="C1206" s="2">
        <v>45884</v>
      </c>
      <c r="D1206">
        <v>2391</v>
      </c>
      <c r="E1206">
        <v>1011</v>
      </c>
      <c r="F1206">
        <v>1</v>
      </c>
      <c r="G1206">
        <v>101.44</v>
      </c>
      <c r="H1206" s="2">
        <v>45887</v>
      </c>
      <c r="I1206" s="2">
        <v>45890</v>
      </c>
      <c r="J1206" t="s">
        <v>9</v>
      </c>
      <c r="K1206" s="2" t="str">
        <f>IFERROR(INDEX(Product_lookup[Category],MATCH(RawWorking[[#This Row],[ProductID]],Product_lookup[ProductID],0)),"")</f>
        <v>Office</v>
      </c>
      <c r="L1206" s="9">
        <f>IF(OR(RawWorking[[#This Row],[ShipDate]]="",RawWorking[[#This Row],[DeliveryDate]]=""),"",RawWorking[[#This Row],[DeliveryDate]]-RawWorking[[#This Row],[ShipDate]])</f>
        <v>3</v>
      </c>
      <c r="M1206" s="9">
        <f>IF(COUNTIF(INDEX(RawWorking[OrderID],1):RawWorking[[#This Row],[OrderID]],RawWorking[[#This Row],[OrderID]])=1,1,0)</f>
        <v>1</v>
      </c>
      <c r="N1206" s="4">
        <f>IFERROR(RawWorking[[#This Row],[LineAmount]]/RawWorking[[#This Row],[Quantity]],"")</f>
        <v>101.44</v>
      </c>
    </row>
    <row r="1207" spans="1:14">
      <c r="A1207">
        <v>51206</v>
      </c>
      <c r="B1207">
        <v>30697</v>
      </c>
      <c r="C1207" s="2">
        <v>45884</v>
      </c>
      <c r="D1207">
        <v>2391</v>
      </c>
      <c r="E1207">
        <v>1002</v>
      </c>
      <c r="F1207">
        <v>4</v>
      </c>
      <c r="G1207">
        <v>474.4</v>
      </c>
      <c r="H1207" s="2">
        <v>45886</v>
      </c>
      <c r="I1207" s="2">
        <v>45890</v>
      </c>
      <c r="J1207" t="s">
        <v>9</v>
      </c>
      <c r="K1207" s="2" t="str">
        <f>IFERROR(INDEX(Product_lookup[Category],MATCH(RawWorking[[#This Row],[ProductID]],Product_lookup[ProductID],0)),"")</f>
        <v>Electronics</v>
      </c>
      <c r="L1207" s="9">
        <f>IF(OR(RawWorking[[#This Row],[ShipDate]]="",RawWorking[[#This Row],[DeliveryDate]]=""),"",RawWorking[[#This Row],[DeliveryDate]]-RawWorking[[#This Row],[ShipDate]])</f>
        <v>4</v>
      </c>
      <c r="M1207" s="9">
        <f>IF(COUNTIF(INDEX(RawWorking[OrderID],1):RawWorking[[#This Row],[OrderID]],RawWorking[[#This Row],[OrderID]])=1,1,0)</f>
        <v>0</v>
      </c>
      <c r="N1207" s="4">
        <f>IFERROR(RawWorking[[#This Row],[LineAmount]]/RawWorking[[#This Row],[Quantity]],"")</f>
        <v>118.6</v>
      </c>
    </row>
    <row r="1208" spans="1:14">
      <c r="A1208">
        <v>51207</v>
      </c>
      <c r="B1208">
        <v>30698</v>
      </c>
      <c r="C1208" s="2">
        <v>45934</v>
      </c>
      <c r="D1208">
        <v>2014</v>
      </c>
      <c r="E1208">
        <v>1007</v>
      </c>
      <c r="F1208">
        <v>1</v>
      </c>
      <c r="G1208">
        <v>199.81</v>
      </c>
      <c r="H1208" s="2">
        <v>45935</v>
      </c>
      <c r="I1208" s="2">
        <v>45936</v>
      </c>
      <c r="J1208" t="s">
        <v>9</v>
      </c>
      <c r="K1208" s="2" t="str">
        <f>IFERROR(INDEX(Product_lookup[Category],MATCH(RawWorking[[#This Row],[ProductID]],Product_lookup[ProductID],0)),"")</f>
        <v>Home</v>
      </c>
      <c r="L1208" s="9">
        <f>IF(OR(RawWorking[[#This Row],[ShipDate]]="",RawWorking[[#This Row],[DeliveryDate]]=""),"",RawWorking[[#This Row],[DeliveryDate]]-RawWorking[[#This Row],[ShipDate]])</f>
        <v>1</v>
      </c>
      <c r="M1208" s="9">
        <f>IF(COUNTIF(INDEX(RawWorking[OrderID],1):RawWorking[[#This Row],[OrderID]],RawWorking[[#This Row],[OrderID]])=1,1,0)</f>
        <v>1</v>
      </c>
      <c r="N1208" s="4">
        <f>IFERROR(RawWorking[[#This Row],[LineAmount]]/RawWorking[[#This Row],[Quantity]],"")</f>
        <v>199.81</v>
      </c>
    </row>
    <row r="1209" spans="1:14">
      <c r="A1209">
        <v>51208</v>
      </c>
      <c r="B1209">
        <v>30699</v>
      </c>
      <c r="C1209" s="2">
        <v>45707</v>
      </c>
      <c r="D1209">
        <v>2454</v>
      </c>
      <c r="E1209">
        <v>1012</v>
      </c>
      <c r="F1209">
        <v>1</v>
      </c>
      <c r="G1209">
        <v>241.54</v>
      </c>
      <c r="H1209" s="2" t="s">
        <v>1421</v>
      </c>
      <c r="I1209" s="2" t="s">
        <v>1421</v>
      </c>
      <c r="J1209" t="s">
        <v>16</v>
      </c>
      <c r="K1209" s="2" t="str">
        <f>IFERROR(INDEX(Product_lookup[Category],MATCH(RawWorking[[#This Row],[ProductID]],Product_lookup[ProductID],0)),"")</f>
        <v>Office</v>
      </c>
      <c r="L1209" s="9" t="str">
        <f>IF(OR(RawWorking[[#This Row],[ShipDate]]="",RawWorking[[#This Row],[DeliveryDate]]=""),"",RawWorking[[#This Row],[DeliveryDate]]-RawWorking[[#This Row],[ShipDate]])</f>
        <v/>
      </c>
      <c r="M1209" s="9">
        <f>IF(COUNTIF(INDEX(RawWorking[OrderID],1):RawWorking[[#This Row],[OrderID]],RawWorking[[#This Row],[OrderID]])=1,1,0)</f>
        <v>1</v>
      </c>
      <c r="N1209" s="4">
        <f>IFERROR(RawWorking[[#This Row],[LineAmount]]/RawWorking[[#This Row],[Quantity]],"")</f>
        <v>241.54</v>
      </c>
    </row>
    <row r="1210" spans="1:14">
      <c r="A1210">
        <v>51209</v>
      </c>
      <c r="B1210">
        <v>30700</v>
      </c>
      <c r="C1210" s="2">
        <v>46002</v>
      </c>
      <c r="D1210">
        <v>2560</v>
      </c>
      <c r="E1210">
        <v>1007</v>
      </c>
      <c r="F1210">
        <v>2</v>
      </c>
      <c r="G1210">
        <v>399.62</v>
      </c>
      <c r="H1210" s="2">
        <v>46004</v>
      </c>
      <c r="I1210" s="2">
        <v>46005</v>
      </c>
      <c r="J1210" t="s">
        <v>9</v>
      </c>
      <c r="K1210" s="2" t="str">
        <f>IFERROR(INDEX(Product_lookup[Category],MATCH(RawWorking[[#This Row],[ProductID]],Product_lookup[ProductID],0)),"")</f>
        <v>Home</v>
      </c>
      <c r="L1210" s="9">
        <f>IF(OR(RawWorking[[#This Row],[ShipDate]]="",RawWorking[[#This Row],[DeliveryDate]]=""),"",RawWorking[[#This Row],[DeliveryDate]]-RawWorking[[#This Row],[ShipDate]])</f>
        <v>1</v>
      </c>
      <c r="M1210" s="9">
        <f>IF(COUNTIF(INDEX(RawWorking[OrderID],1):RawWorking[[#This Row],[OrderID]],RawWorking[[#This Row],[OrderID]])=1,1,0)</f>
        <v>1</v>
      </c>
      <c r="N1210" s="4">
        <f>IFERROR(RawWorking[[#This Row],[LineAmount]]/RawWorking[[#This Row],[Quantity]],"")</f>
        <v>199.81</v>
      </c>
    </row>
    <row r="1211" spans="1:14">
      <c r="A1211">
        <v>51210</v>
      </c>
      <c r="B1211">
        <v>30700</v>
      </c>
      <c r="C1211" s="2">
        <v>46002</v>
      </c>
      <c r="D1211">
        <v>2560</v>
      </c>
      <c r="E1211">
        <v>1007</v>
      </c>
      <c r="F1211">
        <v>1</v>
      </c>
      <c r="G1211">
        <v>199.81</v>
      </c>
      <c r="H1211" s="2">
        <v>46003</v>
      </c>
      <c r="I1211" s="2">
        <v>46004</v>
      </c>
      <c r="J1211" t="s">
        <v>9</v>
      </c>
      <c r="K1211" s="2" t="str">
        <f>IFERROR(INDEX(Product_lookup[Category],MATCH(RawWorking[[#This Row],[ProductID]],Product_lookup[ProductID],0)),"")</f>
        <v>Home</v>
      </c>
      <c r="L1211" s="9">
        <f>IF(OR(RawWorking[[#This Row],[ShipDate]]="",RawWorking[[#This Row],[DeliveryDate]]=""),"",RawWorking[[#This Row],[DeliveryDate]]-RawWorking[[#This Row],[ShipDate]])</f>
        <v>1</v>
      </c>
      <c r="M1211" s="9">
        <f>IF(COUNTIF(INDEX(RawWorking[OrderID],1):RawWorking[[#This Row],[OrderID]],RawWorking[[#This Row],[OrderID]])=1,1,0)</f>
        <v>0</v>
      </c>
      <c r="N1211" s="4">
        <f>IFERROR(RawWorking[[#This Row],[LineAmount]]/RawWorking[[#This Row],[Quantity]],"")</f>
        <v>199.81</v>
      </c>
    </row>
    <row r="1212" spans="1:14">
      <c r="A1212">
        <v>51211</v>
      </c>
      <c r="B1212">
        <v>30700</v>
      </c>
      <c r="C1212" s="2">
        <v>46002</v>
      </c>
      <c r="D1212">
        <v>2560</v>
      </c>
      <c r="E1212">
        <v>1010</v>
      </c>
      <c r="F1212">
        <v>2</v>
      </c>
      <c r="G1212">
        <v>243</v>
      </c>
      <c r="H1212" s="2">
        <v>46003</v>
      </c>
      <c r="I1212" s="2">
        <v>46004</v>
      </c>
      <c r="J1212" t="s">
        <v>9</v>
      </c>
      <c r="K1212" s="2" t="str">
        <f>IFERROR(INDEX(Product_lookup[Category],MATCH(RawWorking[[#This Row],[ProductID]],Product_lookup[ProductID],0)),"")</f>
        <v>Office</v>
      </c>
      <c r="L1212" s="9">
        <f>IF(OR(RawWorking[[#This Row],[ShipDate]]="",RawWorking[[#This Row],[DeliveryDate]]=""),"",RawWorking[[#This Row],[DeliveryDate]]-RawWorking[[#This Row],[ShipDate]])</f>
        <v>1</v>
      </c>
      <c r="M1212" s="9">
        <f>IF(COUNTIF(INDEX(RawWorking[OrderID],1):RawWorking[[#This Row],[OrderID]],RawWorking[[#This Row],[OrderID]])=1,1,0)</f>
        <v>0</v>
      </c>
      <c r="N1212" s="4">
        <f>IFERROR(RawWorking[[#This Row],[LineAmount]]/RawWorking[[#This Row],[Quantity]],"")</f>
        <v>121.5</v>
      </c>
    </row>
    <row r="1213" spans="1:14">
      <c r="A1213">
        <v>51212</v>
      </c>
      <c r="B1213">
        <v>30700</v>
      </c>
      <c r="C1213" s="2">
        <v>46002</v>
      </c>
      <c r="D1213">
        <v>2560</v>
      </c>
      <c r="E1213">
        <v>1015</v>
      </c>
      <c r="F1213">
        <v>4</v>
      </c>
      <c r="G1213">
        <v>478.96</v>
      </c>
      <c r="H1213" s="2">
        <v>46005</v>
      </c>
      <c r="I1213" s="2">
        <v>46015</v>
      </c>
      <c r="J1213" t="s">
        <v>9</v>
      </c>
      <c r="K1213" s="2" t="str">
        <f>IFERROR(INDEX(Product_lookup[Category],MATCH(RawWorking[[#This Row],[ProductID]],Product_lookup[ProductID],0)),"")</f>
        <v>Sports</v>
      </c>
      <c r="L1213" s="9">
        <f>IF(OR(RawWorking[[#This Row],[ShipDate]]="",RawWorking[[#This Row],[DeliveryDate]]=""),"",RawWorking[[#This Row],[DeliveryDate]]-RawWorking[[#This Row],[ShipDate]])</f>
        <v>10</v>
      </c>
      <c r="M1213" s="9">
        <f>IF(COUNTIF(INDEX(RawWorking[OrderID],1):RawWorking[[#This Row],[OrderID]],RawWorking[[#This Row],[OrderID]])=1,1,0)</f>
        <v>0</v>
      </c>
      <c r="N1213" s="4">
        <f>IFERROR(RawWorking[[#This Row],[LineAmount]]/RawWorking[[#This Row],[Quantity]],"")</f>
        <v>119.74</v>
      </c>
    </row>
    <row r="1214" spans="1:14">
      <c r="A1214">
        <v>51213</v>
      </c>
      <c r="B1214">
        <v>30701</v>
      </c>
      <c r="C1214" s="2">
        <v>45851</v>
      </c>
      <c r="D1214">
        <v>2182</v>
      </c>
      <c r="E1214">
        <v>1003</v>
      </c>
      <c r="F1214">
        <v>1</v>
      </c>
      <c r="G1214">
        <v>224.37</v>
      </c>
      <c r="H1214" s="2">
        <v>45853</v>
      </c>
      <c r="I1214" s="2">
        <v>45858</v>
      </c>
      <c r="J1214" t="s">
        <v>11</v>
      </c>
      <c r="K1214" s="2" t="str">
        <f>IFERROR(INDEX(Product_lookup[Category],MATCH(RawWorking[[#This Row],[ProductID]],Product_lookup[ProductID],0)),"")</f>
        <v>Electronics</v>
      </c>
      <c r="L1214" s="9">
        <f>IF(OR(RawWorking[[#This Row],[ShipDate]]="",RawWorking[[#This Row],[DeliveryDate]]=""),"",RawWorking[[#This Row],[DeliveryDate]]-RawWorking[[#This Row],[ShipDate]])</f>
        <v>5</v>
      </c>
      <c r="M1214" s="9">
        <f>IF(COUNTIF(INDEX(RawWorking[OrderID],1):RawWorking[[#This Row],[OrderID]],RawWorking[[#This Row],[OrderID]])=1,1,0)</f>
        <v>1</v>
      </c>
      <c r="N1214" s="4">
        <f>IFERROR(RawWorking[[#This Row],[LineAmount]]/RawWorking[[#This Row],[Quantity]],"")</f>
        <v>224.37</v>
      </c>
    </row>
    <row r="1215" spans="1:14">
      <c r="A1215">
        <v>51214</v>
      </c>
      <c r="B1215">
        <v>30701</v>
      </c>
      <c r="C1215" s="2">
        <v>45851</v>
      </c>
      <c r="D1215">
        <v>2182</v>
      </c>
      <c r="E1215">
        <v>1006</v>
      </c>
      <c r="F1215">
        <v>2</v>
      </c>
      <c r="G1215">
        <v>507.72</v>
      </c>
      <c r="H1215" s="2">
        <v>45852</v>
      </c>
      <c r="I1215" s="2">
        <v>45861</v>
      </c>
      <c r="J1215" t="s">
        <v>11</v>
      </c>
      <c r="K1215" s="2" t="str">
        <f>IFERROR(INDEX(Product_lookup[Category],MATCH(RawWorking[[#This Row],[ProductID]],Product_lookup[ProductID],0)),"")</f>
        <v>Home</v>
      </c>
      <c r="L1215" s="9">
        <f>IF(OR(RawWorking[[#This Row],[ShipDate]]="",RawWorking[[#This Row],[DeliveryDate]]=""),"",RawWorking[[#This Row],[DeliveryDate]]-RawWorking[[#This Row],[ShipDate]])</f>
        <v>9</v>
      </c>
      <c r="M1215" s="9">
        <f>IF(COUNTIF(INDEX(RawWorking[OrderID],1):RawWorking[[#This Row],[OrderID]],RawWorking[[#This Row],[OrderID]])=1,1,0)</f>
        <v>0</v>
      </c>
      <c r="N1215" s="4">
        <f>IFERROR(RawWorking[[#This Row],[LineAmount]]/RawWorking[[#This Row],[Quantity]],"")</f>
        <v>253.86</v>
      </c>
    </row>
    <row r="1216" spans="1:14">
      <c r="A1216">
        <v>51215</v>
      </c>
      <c r="B1216">
        <v>30702</v>
      </c>
      <c r="C1216" s="2">
        <v>45695</v>
      </c>
      <c r="D1216">
        <v>2178</v>
      </c>
      <c r="E1216">
        <v>1004</v>
      </c>
      <c r="F1216">
        <v>1</v>
      </c>
      <c r="G1216">
        <v>183.74</v>
      </c>
      <c r="H1216" s="2">
        <v>45696</v>
      </c>
      <c r="I1216" s="2">
        <v>45697</v>
      </c>
      <c r="J1216" t="s">
        <v>9</v>
      </c>
      <c r="K1216" s="2" t="str">
        <f>IFERROR(INDEX(Product_lookup[Category],MATCH(RawWorking[[#This Row],[ProductID]],Product_lookup[ProductID],0)),"")</f>
        <v>Electronics</v>
      </c>
      <c r="L1216" s="9">
        <f>IF(OR(RawWorking[[#This Row],[ShipDate]]="",RawWorking[[#This Row],[DeliveryDate]]=""),"",RawWorking[[#This Row],[DeliveryDate]]-RawWorking[[#This Row],[ShipDate]])</f>
        <v>1</v>
      </c>
      <c r="M1216" s="9">
        <f>IF(COUNTIF(INDEX(RawWorking[OrderID],1):RawWorking[[#This Row],[OrderID]],RawWorking[[#This Row],[OrderID]])=1,1,0)</f>
        <v>1</v>
      </c>
      <c r="N1216" s="4">
        <f>IFERROR(RawWorking[[#This Row],[LineAmount]]/RawWorking[[#This Row],[Quantity]],"")</f>
        <v>183.74</v>
      </c>
    </row>
    <row r="1217" spans="1:14">
      <c r="A1217">
        <v>51216</v>
      </c>
      <c r="B1217">
        <v>30703</v>
      </c>
      <c r="C1217" s="2">
        <v>46012</v>
      </c>
      <c r="D1217">
        <v>2387</v>
      </c>
      <c r="E1217">
        <v>1009</v>
      </c>
      <c r="F1217">
        <v>2</v>
      </c>
      <c r="G1217">
        <v>80.56</v>
      </c>
      <c r="H1217" s="2">
        <v>46014</v>
      </c>
      <c r="I1217" s="2">
        <v>46020</v>
      </c>
      <c r="J1217" t="s">
        <v>9</v>
      </c>
      <c r="K1217" s="2" t="str">
        <f>IFERROR(INDEX(Product_lookup[Category],MATCH(RawWorking[[#This Row],[ProductID]],Product_lookup[ProductID],0)),"")</f>
        <v>Home</v>
      </c>
      <c r="L1217" s="9">
        <f>IF(OR(RawWorking[[#This Row],[ShipDate]]="",RawWorking[[#This Row],[DeliveryDate]]=""),"",RawWorking[[#This Row],[DeliveryDate]]-RawWorking[[#This Row],[ShipDate]])</f>
        <v>6</v>
      </c>
      <c r="M1217" s="9">
        <f>IF(COUNTIF(INDEX(RawWorking[OrderID],1):RawWorking[[#This Row],[OrderID]],RawWorking[[#This Row],[OrderID]])=1,1,0)</f>
        <v>1</v>
      </c>
      <c r="N1217" s="4">
        <f>IFERROR(RawWorking[[#This Row],[LineAmount]]/RawWorking[[#This Row],[Quantity]],"")</f>
        <v>40.28</v>
      </c>
    </row>
    <row r="1218" spans="1:14">
      <c r="A1218">
        <v>51217</v>
      </c>
      <c r="B1218">
        <v>30703</v>
      </c>
      <c r="C1218" s="2">
        <v>46012</v>
      </c>
      <c r="D1218">
        <v>2387</v>
      </c>
      <c r="E1218">
        <v>1009</v>
      </c>
      <c r="F1218">
        <v>3</v>
      </c>
      <c r="G1218">
        <v>120.84</v>
      </c>
      <c r="H1218" s="2">
        <v>46014</v>
      </c>
      <c r="I1218" s="2">
        <v>46024</v>
      </c>
      <c r="J1218" t="s">
        <v>9</v>
      </c>
      <c r="K1218" s="2" t="str">
        <f>IFERROR(INDEX(Product_lookup[Category],MATCH(RawWorking[[#This Row],[ProductID]],Product_lookup[ProductID],0)),"")</f>
        <v>Home</v>
      </c>
      <c r="L1218" s="9">
        <f>IF(OR(RawWorking[[#This Row],[ShipDate]]="",RawWorking[[#This Row],[DeliveryDate]]=""),"",RawWorking[[#This Row],[DeliveryDate]]-RawWorking[[#This Row],[ShipDate]])</f>
        <v>10</v>
      </c>
      <c r="M1218" s="9">
        <f>IF(COUNTIF(INDEX(RawWorking[OrderID],1):RawWorking[[#This Row],[OrderID]],RawWorking[[#This Row],[OrderID]])=1,1,0)</f>
        <v>0</v>
      </c>
      <c r="N1218" s="4">
        <f>IFERROR(RawWorking[[#This Row],[LineAmount]]/RawWorking[[#This Row],[Quantity]],"")</f>
        <v>40.28</v>
      </c>
    </row>
    <row r="1219" spans="1:14">
      <c r="A1219">
        <v>51218</v>
      </c>
      <c r="B1219">
        <v>30704</v>
      </c>
      <c r="C1219" s="2">
        <v>45806</v>
      </c>
      <c r="D1219">
        <v>2134</v>
      </c>
      <c r="E1219">
        <v>1009</v>
      </c>
      <c r="F1219">
        <v>1</v>
      </c>
      <c r="G1219">
        <v>40.28</v>
      </c>
      <c r="H1219" s="2">
        <v>45808</v>
      </c>
      <c r="I1219" s="2">
        <v>45811</v>
      </c>
      <c r="J1219" t="s">
        <v>9</v>
      </c>
      <c r="K1219" s="2" t="str">
        <f>IFERROR(INDEX(Product_lookup[Category],MATCH(RawWorking[[#This Row],[ProductID]],Product_lookup[ProductID],0)),"")</f>
        <v>Home</v>
      </c>
      <c r="L1219" s="9">
        <f>IF(OR(RawWorking[[#This Row],[ShipDate]]="",RawWorking[[#This Row],[DeliveryDate]]=""),"",RawWorking[[#This Row],[DeliveryDate]]-RawWorking[[#This Row],[ShipDate]])</f>
        <v>3</v>
      </c>
      <c r="M1219" s="9">
        <f>IF(COUNTIF(INDEX(RawWorking[OrderID],1):RawWorking[[#This Row],[OrderID]],RawWorking[[#This Row],[OrderID]])=1,1,0)</f>
        <v>1</v>
      </c>
      <c r="N1219" s="4">
        <f>IFERROR(RawWorking[[#This Row],[LineAmount]]/RawWorking[[#This Row],[Quantity]],"")</f>
        <v>40.28</v>
      </c>
    </row>
    <row r="1220" spans="1:14">
      <c r="A1220">
        <v>51219</v>
      </c>
      <c r="B1220">
        <v>30704</v>
      </c>
      <c r="C1220" s="2">
        <v>45806</v>
      </c>
      <c r="D1220">
        <v>2134</v>
      </c>
      <c r="E1220">
        <v>1001</v>
      </c>
      <c r="F1220">
        <v>4</v>
      </c>
      <c r="G1220">
        <v>812.16</v>
      </c>
      <c r="H1220" s="2">
        <v>45808</v>
      </c>
      <c r="I1220" s="2">
        <v>45811</v>
      </c>
      <c r="J1220" t="s">
        <v>9</v>
      </c>
      <c r="K1220" s="2" t="str">
        <f>IFERROR(INDEX(Product_lookup[Category],MATCH(RawWorking[[#This Row],[ProductID]],Product_lookup[ProductID],0)),"")</f>
        <v>Electronics</v>
      </c>
      <c r="L1220" s="9">
        <f>IF(OR(RawWorking[[#This Row],[ShipDate]]="",RawWorking[[#This Row],[DeliveryDate]]=""),"",RawWorking[[#This Row],[DeliveryDate]]-RawWorking[[#This Row],[ShipDate]])</f>
        <v>3</v>
      </c>
      <c r="M1220" s="9">
        <f>IF(COUNTIF(INDEX(RawWorking[OrderID],1):RawWorking[[#This Row],[OrderID]],RawWorking[[#This Row],[OrderID]])=1,1,0)</f>
        <v>0</v>
      </c>
      <c r="N1220" s="4">
        <f>IFERROR(RawWorking[[#This Row],[LineAmount]]/RawWorking[[#This Row],[Quantity]],"")</f>
        <v>203.04</v>
      </c>
    </row>
    <row r="1221" spans="1:14">
      <c r="A1221">
        <v>51220</v>
      </c>
      <c r="B1221">
        <v>30704</v>
      </c>
      <c r="C1221" s="2">
        <v>45806</v>
      </c>
      <c r="D1221">
        <v>2134</v>
      </c>
      <c r="E1221">
        <v>1011</v>
      </c>
      <c r="F1221">
        <v>1</v>
      </c>
      <c r="G1221">
        <v>101.44</v>
      </c>
      <c r="H1221" s="2">
        <v>45807</v>
      </c>
      <c r="I1221" s="2">
        <v>45810</v>
      </c>
      <c r="J1221" t="s">
        <v>9</v>
      </c>
      <c r="K1221" s="2" t="str">
        <f>IFERROR(INDEX(Product_lookup[Category],MATCH(RawWorking[[#This Row],[ProductID]],Product_lookup[ProductID],0)),"")</f>
        <v>Office</v>
      </c>
      <c r="L1221" s="9">
        <f>IF(OR(RawWorking[[#This Row],[ShipDate]]="",RawWorking[[#This Row],[DeliveryDate]]=""),"",RawWorking[[#This Row],[DeliveryDate]]-RawWorking[[#This Row],[ShipDate]])</f>
        <v>3</v>
      </c>
      <c r="M1221" s="9">
        <f>IF(COUNTIF(INDEX(RawWorking[OrderID],1):RawWorking[[#This Row],[OrderID]],RawWorking[[#This Row],[OrderID]])=1,1,0)</f>
        <v>0</v>
      </c>
      <c r="N1221" s="4">
        <f>IFERROR(RawWorking[[#This Row],[LineAmount]]/RawWorking[[#This Row],[Quantity]],"")</f>
        <v>101.44</v>
      </c>
    </row>
    <row r="1222" spans="1:14">
      <c r="A1222">
        <v>51221</v>
      </c>
      <c r="B1222">
        <v>30705</v>
      </c>
      <c r="C1222" s="2">
        <v>45822</v>
      </c>
      <c r="D1222">
        <v>2478</v>
      </c>
      <c r="E1222">
        <v>1005</v>
      </c>
      <c r="F1222">
        <v>1</v>
      </c>
      <c r="G1222">
        <v>31.73</v>
      </c>
      <c r="H1222" s="2">
        <v>45824</v>
      </c>
      <c r="I1222" s="2">
        <v>45830</v>
      </c>
      <c r="J1222" t="s">
        <v>9</v>
      </c>
      <c r="K1222" s="2" t="str">
        <f>IFERROR(INDEX(Product_lookup[Category],MATCH(RawWorking[[#This Row],[ProductID]],Product_lookup[ProductID],0)),"")</f>
        <v>Electronics</v>
      </c>
      <c r="L1222" s="9">
        <f>IF(OR(RawWorking[[#This Row],[ShipDate]]="",RawWorking[[#This Row],[DeliveryDate]]=""),"",RawWorking[[#This Row],[DeliveryDate]]-RawWorking[[#This Row],[ShipDate]])</f>
        <v>6</v>
      </c>
      <c r="M1222" s="9">
        <f>IF(COUNTIF(INDEX(RawWorking[OrderID],1):RawWorking[[#This Row],[OrderID]],RawWorking[[#This Row],[OrderID]])=1,1,0)</f>
        <v>1</v>
      </c>
      <c r="N1222" s="4">
        <f>IFERROR(RawWorking[[#This Row],[LineAmount]]/RawWorking[[#This Row],[Quantity]],"")</f>
        <v>31.73</v>
      </c>
    </row>
    <row r="1223" spans="1:14">
      <c r="A1223">
        <v>51222</v>
      </c>
      <c r="B1223">
        <v>30706</v>
      </c>
      <c r="C1223" s="2">
        <v>45980</v>
      </c>
      <c r="D1223">
        <v>2041</v>
      </c>
      <c r="E1223">
        <v>1011</v>
      </c>
      <c r="F1223">
        <v>1</v>
      </c>
      <c r="G1223">
        <v>101.44</v>
      </c>
      <c r="H1223" s="2">
        <v>45981</v>
      </c>
      <c r="I1223" s="2">
        <v>45985</v>
      </c>
      <c r="J1223" t="s">
        <v>9</v>
      </c>
      <c r="K1223" s="2" t="str">
        <f>IFERROR(INDEX(Product_lookup[Category],MATCH(RawWorking[[#This Row],[ProductID]],Product_lookup[ProductID],0)),"")</f>
        <v>Office</v>
      </c>
      <c r="L1223" s="9">
        <f>IF(OR(RawWorking[[#This Row],[ShipDate]]="",RawWorking[[#This Row],[DeliveryDate]]=""),"",RawWorking[[#This Row],[DeliveryDate]]-RawWorking[[#This Row],[ShipDate]])</f>
        <v>4</v>
      </c>
      <c r="M1223" s="9">
        <f>IF(COUNTIF(INDEX(RawWorking[OrderID],1):RawWorking[[#This Row],[OrderID]],RawWorking[[#This Row],[OrderID]])=1,1,0)</f>
        <v>1</v>
      </c>
      <c r="N1223" s="4">
        <f>IFERROR(RawWorking[[#This Row],[LineAmount]]/RawWorking[[#This Row],[Quantity]],"")</f>
        <v>101.44</v>
      </c>
    </row>
    <row r="1224" spans="1:14">
      <c r="A1224">
        <v>51223</v>
      </c>
      <c r="B1224">
        <v>30707</v>
      </c>
      <c r="C1224" s="2">
        <v>45928</v>
      </c>
      <c r="D1224">
        <v>2053</v>
      </c>
      <c r="E1224">
        <v>1010</v>
      </c>
      <c r="F1224">
        <v>1</v>
      </c>
      <c r="G1224">
        <v>121.5</v>
      </c>
      <c r="H1224" s="2" t="s">
        <v>1421</v>
      </c>
      <c r="I1224" s="2" t="s">
        <v>1421</v>
      </c>
      <c r="J1224" t="s">
        <v>16</v>
      </c>
      <c r="K1224" s="2" t="str">
        <f>IFERROR(INDEX(Product_lookup[Category],MATCH(RawWorking[[#This Row],[ProductID]],Product_lookup[ProductID],0)),"")</f>
        <v>Office</v>
      </c>
      <c r="L1224" s="9" t="str">
        <f>IF(OR(RawWorking[[#This Row],[ShipDate]]="",RawWorking[[#This Row],[DeliveryDate]]=""),"",RawWorking[[#This Row],[DeliveryDate]]-RawWorking[[#This Row],[ShipDate]])</f>
        <v/>
      </c>
      <c r="M1224" s="9">
        <f>IF(COUNTIF(INDEX(RawWorking[OrderID],1):RawWorking[[#This Row],[OrderID]],RawWorking[[#This Row],[OrderID]])=1,1,0)</f>
        <v>1</v>
      </c>
      <c r="N1224" s="4">
        <f>IFERROR(RawWorking[[#This Row],[LineAmount]]/RawWorking[[#This Row],[Quantity]],"")</f>
        <v>121.5</v>
      </c>
    </row>
    <row r="1225" spans="1:14">
      <c r="A1225">
        <v>51224</v>
      </c>
      <c r="B1225">
        <v>30708</v>
      </c>
      <c r="C1225" s="2">
        <v>45957</v>
      </c>
      <c r="D1225">
        <v>2587</v>
      </c>
      <c r="E1225">
        <v>1003</v>
      </c>
      <c r="F1225">
        <v>2</v>
      </c>
      <c r="G1225">
        <v>448.74</v>
      </c>
      <c r="H1225" s="2">
        <v>45960</v>
      </c>
      <c r="I1225" s="2">
        <v>45968</v>
      </c>
      <c r="J1225" t="s">
        <v>9</v>
      </c>
      <c r="K1225" s="2" t="str">
        <f>IFERROR(INDEX(Product_lookup[Category],MATCH(RawWorking[[#This Row],[ProductID]],Product_lookup[ProductID],0)),"")</f>
        <v>Electronics</v>
      </c>
      <c r="L1225" s="9">
        <f>IF(OR(RawWorking[[#This Row],[ShipDate]]="",RawWorking[[#This Row],[DeliveryDate]]=""),"",RawWorking[[#This Row],[DeliveryDate]]-RawWorking[[#This Row],[ShipDate]])</f>
        <v>8</v>
      </c>
      <c r="M1225" s="9">
        <f>IF(COUNTIF(INDEX(RawWorking[OrderID],1):RawWorking[[#This Row],[OrderID]],RawWorking[[#This Row],[OrderID]])=1,1,0)</f>
        <v>1</v>
      </c>
      <c r="N1225" s="4">
        <f>IFERROR(RawWorking[[#This Row],[LineAmount]]/RawWorking[[#This Row],[Quantity]],"")</f>
        <v>224.37</v>
      </c>
    </row>
    <row r="1226" spans="1:14">
      <c r="A1226">
        <v>51225</v>
      </c>
      <c r="B1226">
        <v>30709</v>
      </c>
      <c r="C1226" s="2">
        <v>45708</v>
      </c>
      <c r="D1226">
        <v>2326</v>
      </c>
      <c r="E1226">
        <v>1006</v>
      </c>
      <c r="F1226">
        <v>1</v>
      </c>
      <c r="G1226">
        <v>253.86</v>
      </c>
      <c r="H1226" s="2">
        <v>45710</v>
      </c>
      <c r="I1226" s="2">
        <v>45719</v>
      </c>
      <c r="J1226" t="s">
        <v>9</v>
      </c>
      <c r="K1226" s="2" t="str">
        <f>IFERROR(INDEX(Product_lookup[Category],MATCH(RawWorking[[#This Row],[ProductID]],Product_lookup[ProductID],0)),"")</f>
        <v>Home</v>
      </c>
      <c r="L1226" s="9">
        <f>IF(OR(RawWorking[[#This Row],[ShipDate]]="",RawWorking[[#This Row],[DeliveryDate]]=""),"",RawWorking[[#This Row],[DeliveryDate]]-RawWorking[[#This Row],[ShipDate]])</f>
        <v>9</v>
      </c>
      <c r="M1226" s="9">
        <f>IF(COUNTIF(INDEX(RawWorking[OrderID],1):RawWorking[[#This Row],[OrderID]],RawWorking[[#This Row],[OrderID]])=1,1,0)</f>
        <v>1</v>
      </c>
      <c r="N1226" s="4">
        <f>IFERROR(RawWorking[[#This Row],[LineAmount]]/RawWorking[[#This Row],[Quantity]],"")</f>
        <v>253.86</v>
      </c>
    </row>
    <row r="1227" spans="1:14">
      <c r="A1227">
        <v>51226</v>
      </c>
      <c r="B1227">
        <v>30709</v>
      </c>
      <c r="C1227" s="2">
        <v>45708</v>
      </c>
      <c r="D1227">
        <v>2326</v>
      </c>
      <c r="E1227">
        <v>1003</v>
      </c>
      <c r="F1227">
        <v>1</v>
      </c>
      <c r="G1227">
        <v>224.37</v>
      </c>
      <c r="H1227" s="2">
        <v>45709</v>
      </c>
      <c r="I1227" s="2">
        <v>45718</v>
      </c>
      <c r="J1227" t="s">
        <v>9</v>
      </c>
      <c r="K1227" s="2" t="str">
        <f>IFERROR(INDEX(Product_lookup[Category],MATCH(RawWorking[[#This Row],[ProductID]],Product_lookup[ProductID],0)),"")</f>
        <v>Electronics</v>
      </c>
      <c r="L1227" s="9">
        <f>IF(OR(RawWorking[[#This Row],[ShipDate]]="",RawWorking[[#This Row],[DeliveryDate]]=""),"",RawWorking[[#This Row],[DeliveryDate]]-RawWorking[[#This Row],[ShipDate]])</f>
        <v>9</v>
      </c>
      <c r="M1227" s="9">
        <f>IF(COUNTIF(INDEX(RawWorking[OrderID],1):RawWorking[[#This Row],[OrderID]],RawWorking[[#This Row],[OrderID]])=1,1,0)</f>
        <v>0</v>
      </c>
      <c r="N1227" s="4">
        <f>IFERROR(RawWorking[[#This Row],[LineAmount]]/RawWorking[[#This Row],[Quantity]],"")</f>
        <v>224.37</v>
      </c>
    </row>
    <row r="1228" spans="1:14">
      <c r="A1228">
        <v>51227</v>
      </c>
      <c r="B1228">
        <v>30710</v>
      </c>
      <c r="C1228" s="2">
        <v>45672</v>
      </c>
      <c r="D1228">
        <v>2518</v>
      </c>
      <c r="E1228">
        <v>1013</v>
      </c>
      <c r="F1228">
        <v>1</v>
      </c>
      <c r="G1228">
        <v>170.25</v>
      </c>
      <c r="H1228" s="2">
        <v>45673</v>
      </c>
      <c r="I1228" s="2">
        <v>45677</v>
      </c>
      <c r="J1228" t="s">
        <v>9</v>
      </c>
      <c r="K1228" s="2" t="str">
        <f>IFERROR(INDEX(Product_lookup[Category],MATCH(RawWorking[[#This Row],[ProductID]],Product_lookup[ProductID],0)),"")</f>
        <v>Office</v>
      </c>
      <c r="L1228" s="9">
        <f>IF(OR(RawWorking[[#This Row],[ShipDate]]="",RawWorking[[#This Row],[DeliveryDate]]=""),"",RawWorking[[#This Row],[DeliveryDate]]-RawWorking[[#This Row],[ShipDate]])</f>
        <v>4</v>
      </c>
      <c r="M1228" s="9">
        <f>IF(COUNTIF(INDEX(RawWorking[OrderID],1):RawWorking[[#This Row],[OrderID]],RawWorking[[#This Row],[OrderID]])=1,1,0)</f>
        <v>1</v>
      </c>
      <c r="N1228" s="4">
        <f>IFERROR(RawWorking[[#This Row],[LineAmount]]/RawWorking[[#This Row],[Quantity]],"")</f>
        <v>170.25</v>
      </c>
    </row>
    <row r="1229" spans="1:14">
      <c r="A1229">
        <v>51228</v>
      </c>
      <c r="B1229">
        <v>30711</v>
      </c>
      <c r="C1229" s="2">
        <v>45864</v>
      </c>
      <c r="D1229">
        <v>2095</v>
      </c>
      <c r="E1229">
        <v>1007</v>
      </c>
      <c r="F1229">
        <v>2</v>
      </c>
      <c r="G1229">
        <v>399.62</v>
      </c>
      <c r="H1229" s="2">
        <v>45866</v>
      </c>
      <c r="I1229" s="2">
        <v>45868</v>
      </c>
      <c r="J1229" t="s">
        <v>9</v>
      </c>
      <c r="K1229" s="2" t="str">
        <f>IFERROR(INDEX(Product_lookup[Category],MATCH(RawWorking[[#This Row],[ProductID]],Product_lookup[ProductID],0)),"")</f>
        <v>Home</v>
      </c>
      <c r="L1229" s="9">
        <f>IF(OR(RawWorking[[#This Row],[ShipDate]]="",RawWorking[[#This Row],[DeliveryDate]]=""),"",RawWorking[[#This Row],[DeliveryDate]]-RawWorking[[#This Row],[ShipDate]])</f>
        <v>2</v>
      </c>
      <c r="M1229" s="9">
        <f>IF(COUNTIF(INDEX(RawWorking[OrderID],1):RawWorking[[#This Row],[OrderID]],RawWorking[[#This Row],[OrderID]])=1,1,0)</f>
        <v>1</v>
      </c>
      <c r="N1229" s="4">
        <f>IFERROR(RawWorking[[#This Row],[LineAmount]]/RawWorking[[#This Row],[Quantity]],"")</f>
        <v>199.81</v>
      </c>
    </row>
    <row r="1230" spans="1:14">
      <c r="A1230">
        <v>51229</v>
      </c>
      <c r="B1230">
        <v>30712</v>
      </c>
      <c r="C1230" s="2">
        <v>45901</v>
      </c>
      <c r="D1230">
        <v>2340</v>
      </c>
      <c r="E1230">
        <v>1010</v>
      </c>
      <c r="F1230">
        <v>1</v>
      </c>
      <c r="G1230">
        <v>121.5</v>
      </c>
      <c r="H1230" s="2">
        <v>45902</v>
      </c>
      <c r="I1230" s="2">
        <v>45908</v>
      </c>
      <c r="J1230" t="s">
        <v>9</v>
      </c>
      <c r="K1230" s="2" t="str">
        <f>IFERROR(INDEX(Product_lookup[Category],MATCH(RawWorking[[#This Row],[ProductID]],Product_lookup[ProductID],0)),"")</f>
        <v>Office</v>
      </c>
      <c r="L1230" s="9">
        <f>IF(OR(RawWorking[[#This Row],[ShipDate]]="",RawWorking[[#This Row],[DeliveryDate]]=""),"",RawWorking[[#This Row],[DeliveryDate]]-RawWorking[[#This Row],[ShipDate]])</f>
        <v>6</v>
      </c>
      <c r="M1230" s="9">
        <f>IF(COUNTIF(INDEX(RawWorking[OrderID],1):RawWorking[[#This Row],[OrderID]],RawWorking[[#This Row],[OrderID]])=1,1,0)</f>
        <v>1</v>
      </c>
      <c r="N1230" s="4">
        <f>IFERROR(RawWorking[[#This Row],[LineAmount]]/RawWorking[[#This Row],[Quantity]],"")</f>
        <v>121.5</v>
      </c>
    </row>
    <row r="1231" spans="1:14">
      <c r="A1231">
        <v>51230</v>
      </c>
      <c r="B1231">
        <v>30713</v>
      </c>
      <c r="C1231" s="2">
        <v>45973</v>
      </c>
      <c r="D1231">
        <v>2224</v>
      </c>
      <c r="E1231">
        <v>1016</v>
      </c>
      <c r="F1231">
        <v>1</v>
      </c>
      <c r="G1231">
        <v>65.260000000000005</v>
      </c>
      <c r="H1231" s="2">
        <v>45975</v>
      </c>
      <c r="I1231" s="2">
        <v>45981</v>
      </c>
      <c r="J1231" t="s">
        <v>11</v>
      </c>
      <c r="K1231" s="2" t="str">
        <f>IFERROR(INDEX(Product_lookup[Category],MATCH(RawWorking[[#This Row],[ProductID]],Product_lookup[ProductID],0)),"")</f>
        <v>Sports</v>
      </c>
      <c r="L1231" s="9">
        <f>IF(OR(RawWorking[[#This Row],[ShipDate]]="",RawWorking[[#This Row],[DeliveryDate]]=""),"",RawWorking[[#This Row],[DeliveryDate]]-RawWorking[[#This Row],[ShipDate]])</f>
        <v>6</v>
      </c>
      <c r="M1231" s="9">
        <f>IF(COUNTIF(INDEX(RawWorking[OrderID],1):RawWorking[[#This Row],[OrderID]],RawWorking[[#This Row],[OrderID]])=1,1,0)</f>
        <v>1</v>
      </c>
      <c r="N1231" s="4">
        <f>IFERROR(RawWorking[[#This Row],[LineAmount]]/RawWorking[[#This Row],[Quantity]],"")</f>
        <v>65.260000000000005</v>
      </c>
    </row>
    <row r="1232" spans="1:14">
      <c r="A1232">
        <v>51231</v>
      </c>
      <c r="B1232">
        <v>30714</v>
      </c>
      <c r="C1232" s="2">
        <v>45911</v>
      </c>
      <c r="D1232">
        <v>2575</v>
      </c>
      <c r="E1232">
        <v>1001</v>
      </c>
      <c r="F1232">
        <v>1</v>
      </c>
      <c r="G1232">
        <v>203.04</v>
      </c>
      <c r="H1232" s="2">
        <v>46031</v>
      </c>
      <c r="I1232" s="2" t="s">
        <v>1421</v>
      </c>
      <c r="J1232" t="s">
        <v>16</v>
      </c>
      <c r="K1232" s="2" t="str">
        <f>IFERROR(INDEX(Product_lookup[Category],MATCH(RawWorking[[#This Row],[ProductID]],Product_lookup[ProductID],0)),"")</f>
        <v>Electronics</v>
      </c>
      <c r="L1232" s="9" t="str">
        <f>IF(OR(RawWorking[[#This Row],[ShipDate]]="",RawWorking[[#This Row],[DeliveryDate]]=""),"",RawWorking[[#This Row],[DeliveryDate]]-RawWorking[[#This Row],[ShipDate]])</f>
        <v/>
      </c>
      <c r="M1232" s="9">
        <f>IF(COUNTIF(INDEX(RawWorking[OrderID],1):RawWorking[[#This Row],[OrderID]],RawWorking[[#This Row],[OrderID]])=1,1,0)</f>
        <v>1</v>
      </c>
      <c r="N1232" s="4">
        <f>IFERROR(RawWorking[[#This Row],[LineAmount]]/RawWorking[[#This Row],[Quantity]],"")</f>
        <v>203.04</v>
      </c>
    </row>
    <row r="1233" spans="1:14">
      <c r="A1233">
        <v>51232</v>
      </c>
      <c r="B1233">
        <v>30714</v>
      </c>
      <c r="C1233" s="2">
        <v>45970</v>
      </c>
      <c r="D1233">
        <v>2575</v>
      </c>
      <c r="E1233">
        <v>1012</v>
      </c>
      <c r="F1233">
        <v>3</v>
      </c>
      <c r="G1233">
        <v>724.62</v>
      </c>
      <c r="H1233" s="2" t="s">
        <v>1421</v>
      </c>
      <c r="I1233" s="2" t="s">
        <v>1421</v>
      </c>
      <c r="J1233" t="s">
        <v>16</v>
      </c>
      <c r="K1233" s="2" t="str">
        <f>IFERROR(INDEX(Product_lookup[Category],MATCH(RawWorking[[#This Row],[ProductID]],Product_lookup[ProductID],0)),"")</f>
        <v>Office</v>
      </c>
      <c r="L1233" s="9" t="str">
        <f>IF(OR(RawWorking[[#This Row],[ShipDate]]="",RawWorking[[#This Row],[DeliveryDate]]=""),"",RawWorking[[#This Row],[DeliveryDate]]-RawWorking[[#This Row],[ShipDate]])</f>
        <v/>
      </c>
      <c r="M1233" s="9">
        <f>IF(COUNTIF(INDEX(RawWorking[OrderID],1):RawWorking[[#This Row],[OrderID]],RawWorking[[#This Row],[OrderID]])=1,1,0)</f>
        <v>0</v>
      </c>
      <c r="N1233" s="4">
        <f>IFERROR(RawWorking[[#This Row],[LineAmount]]/RawWorking[[#This Row],[Quantity]],"")</f>
        <v>241.54</v>
      </c>
    </row>
    <row r="1234" spans="1:14">
      <c r="A1234">
        <v>51233</v>
      </c>
      <c r="B1234">
        <v>30715</v>
      </c>
      <c r="C1234" s="2">
        <v>45818</v>
      </c>
      <c r="D1234">
        <v>2250</v>
      </c>
      <c r="E1234">
        <v>1011</v>
      </c>
      <c r="F1234">
        <v>3</v>
      </c>
      <c r="G1234">
        <v>304.32</v>
      </c>
      <c r="H1234" s="2">
        <v>45819</v>
      </c>
      <c r="I1234" s="2">
        <v>45821</v>
      </c>
      <c r="J1234" t="s">
        <v>11</v>
      </c>
      <c r="K1234" s="2" t="str">
        <f>IFERROR(INDEX(Product_lookup[Category],MATCH(RawWorking[[#This Row],[ProductID]],Product_lookup[ProductID],0)),"")</f>
        <v>Office</v>
      </c>
      <c r="L1234" s="9">
        <f>IF(OR(RawWorking[[#This Row],[ShipDate]]="",RawWorking[[#This Row],[DeliveryDate]]=""),"",RawWorking[[#This Row],[DeliveryDate]]-RawWorking[[#This Row],[ShipDate]])</f>
        <v>2</v>
      </c>
      <c r="M1234" s="9">
        <f>IF(COUNTIF(INDEX(RawWorking[OrderID],1):RawWorking[[#This Row],[OrderID]],RawWorking[[#This Row],[OrderID]])=1,1,0)</f>
        <v>1</v>
      </c>
      <c r="N1234" s="4">
        <f>IFERROR(RawWorking[[#This Row],[LineAmount]]/RawWorking[[#This Row],[Quantity]],"")</f>
        <v>101.44</v>
      </c>
    </row>
    <row r="1235" spans="1:14">
      <c r="A1235">
        <v>51234</v>
      </c>
      <c r="B1235">
        <v>30716</v>
      </c>
      <c r="C1235" s="2">
        <v>45790</v>
      </c>
      <c r="D1235">
        <v>2391</v>
      </c>
      <c r="E1235">
        <v>1004</v>
      </c>
      <c r="F1235">
        <v>1</v>
      </c>
      <c r="G1235">
        <v>183.74</v>
      </c>
      <c r="H1235" s="2" t="s">
        <v>1421</v>
      </c>
      <c r="I1235" s="2" t="s">
        <v>1421</v>
      </c>
      <c r="J1235" t="s">
        <v>12</v>
      </c>
      <c r="K1235" s="2" t="str">
        <f>IFERROR(INDEX(Product_lookup[Category],MATCH(RawWorking[[#This Row],[ProductID]],Product_lookup[ProductID],0)),"")</f>
        <v>Electronics</v>
      </c>
      <c r="L1235" s="9" t="str">
        <f>IF(OR(RawWorking[[#This Row],[ShipDate]]="",RawWorking[[#This Row],[DeliveryDate]]=""),"",RawWorking[[#This Row],[DeliveryDate]]-RawWorking[[#This Row],[ShipDate]])</f>
        <v/>
      </c>
      <c r="M1235" s="9">
        <f>IF(COUNTIF(INDEX(RawWorking[OrderID],1):RawWorking[[#This Row],[OrderID]],RawWorking[[#This Row],[OrderID]])=1,1,0)</f>
        <v>1</v>
      </c>
      <c r="N1235" s="4">
        <f>IFERROR(RawWorking[[#This Row],[LineAmount]]/RawWorking[[#This Row],[Quantity]],"")</f>
        <v>183.74</v>
      </c>
    </row>
    <row r="1236" spans="1:14">
      <c r="A1236">
        <v>51235</v>
      </c>
      <c r="B1236">
        <v>30717</v>
      </c>
      <c r="C1236" s="2">
        <v>45784</v>
      </c>
      <c r="D1236">
        <v>2396</v>
      </c>
      <c r="E1236">
        <v>1010</v>
      </c>
      <c r="F1236">
        <v>1</v>
      </c>
      <c r="G1236">
        <v>121.5</v>
      </c>
      <c r="H1236" s="2">
        <v>45844</v>
      </c>
      <c r="I1236" s="2">
        <v>45854</v>
      </c>
      <c r="J1236" t="s">
        <v>9</v>
      </c>
      <c r="K1236" s="2" t="str">
        <f>IFERROR(INDEX(Product_lookup[Category],MATCH(RawWorking[[#This Row],[ProductID]],Product_lookup[ProductID],0)),"")</f>
        <v>Office</v>
      </c>
      <c r="L1236" s="9">
        <f>IF(OR(RawWorking[[#This Row],[ShipDate]]="",RawWorking[[#This Row],[DeliveryDate]]=""),"",RawWorking[[#This Row],[DeliveryDate]]-RawWorking[[#This Row],[ShipDate]])</f>
        <v>10</v>
      </c>
      <c r="M1236" s="9">
        <f>IF(COUNTIF(INDEX(RawWorking[OrderID],1):RawWorking[[#This Row],[OrderID]],RawWorking[[#This Row],[OrderID]])=1,1,0)</f>
        <v>1</v>
      </c>
      <c r="N1236" s="4">
        <f>IFERROR(RawWorking[[#This Row],[LineAmount]]/RawWorking[[#This Row],[Quantity]],"")</f>
        <v>121.5</v>
      </c>
    </row>
    <row r="1237" spans="1:14">
      <c r="A1237">
        <v>51236</v>
      </c>
      <c r="B1237">
        <v>30717</v>
      </c>
      <c r="C1237" s="2">
        <v>45843</v>
      </c>
      <c r="D1237">
        <v>2396</v>
      </c>
      <c r="E1237">
        <v>1001</v>
      </c>
      <c r="F1237">
        <v>1</v>
      </c>
      <c r="G1237">
        <v>203.04</v>
      </c>
      <c r="H1237" s="2">
        <v>45844</v>
      </c>
      <c r="I1237" s="2">
        <v>45853</v>
      </c>
      <c r="J1237" t="s">
        <v>9</v>
      </c>
      <c r="K1237" s="2" t="str">
        <f>IFERROR(INDEX(Product_lookup[Category],MATCH(RawWorking[[#This Row],[ProductID]],Product_lookup[ProductID],0)),"")</f>
        <v>Electronics</v>
      </c>
      <c r="L1237" s="9">
        <f>IF(OR(RawWorking[[#This Row],[ShipDate]]="",RawWorking[[#This Row],[DeliveryDate]]=""),"",RawWorking[[#This Row],[DeliveryDate]]-RawWorking[[#This Row],[ShipDate]])</f>
        <v>9</v>
      </c>
      <c r="M1237" s="9">
        <f>IF(COUNTIF(INDEX(RawWorking[OrderID],1):RawWorking[[#This Row],[OrderID]],RawWorking[[#This Row],[OrderID]])=1,1,0)</f>
        <v>0</v>
      </c>
      <c r="N1237" s="4">
        <f>IFERROR(RawWorking[[#This Row],[LineAmount]]/RawWorking[[#This Row],[Quantity]],"")</f>
        <v>203.04</v>
      </c>
    </row>
    <row r="1238" spans="1:14">
      <c r="A1238">
        <v>51237</v>
      </c>
      <c r="B1238">
        <v>30717</v>
      </c>
      <c r="C1238" s="2">
        <v>45843</v>
      </c>
      <c r="D1238">
        <v>2396</v>
      </c>
      <c r="E1238">
        <v>1012</v>
      </c>
      <c r="F1238">
        <v>4</v>
      </c>
      <c r="G1238">
        <v>966.16</v>
      </c>
      <c r="H1238" s="2">
        <v>45845</v>
      </c>
      <c r="I1238" s="2">
        <v>45851</v>
      </c>
      <c r="J1238" t="s">
        <v>9</v>
      </c>
      <c r="K1238" s="2" t="str">
        <f>IFERROR(INDEX(Product_lookup[Category],MATCH(RawWorking[[#This Row],[ProductID]],Product_lookup[ProductID],0)),"")</f>
        <v>Office</v>
      </c>
      <c r="L1238" s="9">
        <f>IF(OR(RawWorking[[#This Row],[ShipDate]]="",RawWorking[[#This Row],[DeliveryDate]]=""),"",RawWorking[[#This Row],[DeliveryDate]]-RawWorking[[#This Row],[ShipDate]])</f>
        <v>6</v>
      </c>
      <c r="M1238" s="9">
        <f>IF(COUNTIF(INDEX(RawWorking[OrderID],1):RawWorking[[#This Row],[OrderID]],RawWorking[[#This Row],[OrderID]])=1,1,0)</f>
        <v>0</v>
      </c>
      <c r="N1238" s="4">
        <f>IFERROR(RawWorking[[#This Row],[LineAmount]]/RawWorking[[#This Row],[Quantity]],"")</f>
        <v>241.54</v>
      </c>
    </row>
    <row r="1239" spans="1:14">
      <c r="A1239">
        <v>51238</v>
      </c>
      <c r="B1239">
        <v>30718</v>
      </c>
      <c r="C1239" s="2">
        <v>45846</v>
      </c>
      <c r="D1239">
        <v>2527</v>
      </c>
      <c r="E1239">
        <v>1015</v>
      </c>
      <c r="F1239">
        <v>1</v>
      </c>
      <c r="G1239">
        <v>119.74</v>
      </c>
      <c r="H1239" s="2" t="s">
        <v>1421</v>
      </c>
      <c r="I1239" s="2" t="s">
        <v>1421</v>
      </c>
      <c r="J1239" t="s">
        <v>16</v>
      </c>
      <c r="K1239" s="2" t="str">
        <f>IFERROR(INDEX(Product_lookup[Category],MATCH(RawWorking[[#This Row],[ProductID]],Product_lookup[ProductID],0)),"")</f>
        <v>Sports</v>
      </c>
      <c r="L1239" s="9" t="str">
        <f>IF(OR(RawWorking[[#This Row],[ShipDate]]="",RawWorking[[#This Row],[DeliveryDate]]=""),"",RawWorking[[#This Row],[DeliveryDate]]-RawWorking[[#This Row],[ShipDate]])</f>
        <v/>
      </c>
      <c r="M1239" s="9">
        <f>IF(COUNTIF(INDEX(RawWorking[OrderID],1):RawWorking[[#This Row],[OrderID]],RawWorking[[#This Row],[OrderID]])=1,1,0)</f>
        <v>1</v>
      </c>
      <c r="N1239" s="4">
        <f>IFERROR(RawWorking[[#This Row],[LineAmount]]/RawWorking[[#This Row],[Quantity]],"")</f>
        <v>119.74</v>
      </c>
    </row>
    <row r="1240" spans="1:14">
      <c r="A1240">
        <v>51239</v>
      </c>
      <c r="B1240">
        <v>30718</v>
      </c>
      <c r="C1240" s="2">
        <v>45876</v>
      </c>
      <c r="D1240">
        <v>2527</v>
      </c>
      <c r="E1240">
        <v>1010</v>
      </c>
      <c r="F1240">
        <v>4</v>
      </c>
      <c r="G1240">
        <v>486</v>
      </c>
      <c r="H1240" s="2" t="s">
        <v>1421</v>
      </c>
      <c r="I1240" s="2" t="s">
        <v>1421</v>
      </c>
      <c r="J1240" t="s">
        <v>16</v>
      </c>
      <c r="K1240" s="2" t="str">
        <f>IFERROR(INDEX(Product_lookup[Category],MATCH(RawWorking[[#This Row],[ProductID]],Product_lookup[ProductID],0)),"")</f>
        <v>Office</v>
      </c>
      <c r="L1240" s="9" t="str">
        <f>IF(OR(RawWorking[[#This Row],[ShipDate]]="",RawWorking[[#This Row],[DeliveryDate]]=""),"",RawWorking[[#This Row],[DeliveryDate]]-RawWorking[[#This Row],[ShipDate]])</f>
        <v/>
      </c>
      <c r="M1240" s="9">
        <f>IF(COUNTIF(INDEX(RawWorking[OrderID],1):RawWorking[[#This Row],[OrderID]],RawWorking[[#This Row],[OrderID]])=1,1,0)</f>
        <v>0</v>
      </c>
      <c r="N1240" s="4">
        <f>IFERROR(RawWorking[[#This Row],[LineAmount]]/RawWorking[[#This Row],[Quantity]],"")</f>
        <v>121.5</v>
      </c>
    </row>
    <row r="1241" spans="1:14">
      <c r="A1241">
        <v>51240</v>
      </c>
      <c r="B1241">
        <v>30719</v>
      </c>
      <c r="C1241" s="2">
        <v>45731</v>
      </c>
      <c r="D1241">
        <v>2198</v>
      </c>
      <c r="E1241">
        <v>1003</v>
      </c>
      <c r="F1241">
        <v>1</v>
      </c>
      <c r="G1241">
        <v>224.37</v>
      </c>
      <c r="H1241" s="2">
        <v>45734</v>
      </c>
      <c r="I1241" s="2">
        <v>45736</v>
      </c>
      <c r="J1241" t="s">
        <v>9</v>
      </c>
      <c r="K1241" s="2" t="str">
        <f>IFERROR(INDEX(Product_lookup[Category],MATCH(RawWorking[[#This Row],[ProductID]],Product_lookup[ProductID],0)),"")</f>
        <v>Electronics</v>
      </c>
      <c r="L1241" s="9">
        <f>IF(OR(RawWorking[[#This Row],[ShipDate]]="",RawWorking[[#This Row],[DeliveryDate]]=""),"",RawWorking[[#This Row],[DeliveryDate]]-RawWorking[[#This Row],[ShipDate]])</f>
        <v>2</v>
      </c>
      <c r="M1241" s="9">
        <f>IF(COUNTIF(INDEX(RawWorking[OrderID],1):RawWorking[[#This Row],[OrderID]],RawWorking[[#This Row],[OrderID]])=1,1,0)</f>
        <v>1</v>
      </c>
      <c r="N1241" s="4">
        <f>IFERROR(RawWorking[[#This Row],[LineAmount]]/RawWorking[[#This Row],[Quantity]],"")</f>
        <v>224.37</v>
      </c>
    </row>
    <row r="1242" spans="1:14">
      <c r="A1242">
        <v>51241</v>
      </c>
      <c r="B1242">
        <v>30720</v>
      </c>
      <c r="C1242" s="2">
        <v>45802</v>
      </c>
      <c r="D1242">
        <v>2099</v>
      </c>
      <c r="E1242">
        <v>1001</v>
      </c>
      <c r="F1242">
        <v>1</v>
      </c>
      <c r="G1242">
        <v>203.04</v>
      </c>
      <c r="H1242" s="2">
        <v>45805</v>
      </c>
      <c r="I1242" s="2">
        <v>45808</v>
      </c>
      <c r="J1242" t="s">
        <v>9</v>
      </c>
      <c r="K1242" s="2" t="str">
        <f>IFERROR(INDEX(Product_lookup[Category],MATCH(RawWorking[[#This Row],[ProductID]],Product_lookup[ProductID],0)),"")</f>
        <v>Electronics</v>
      </c>
      <c r="L1242" s="9">
        <f>IF(OR(RawWorking[[#This Row],[ShipDate]]="",RawWorking[[#This Row],[DeliveryDate]]=""),"",RawWorking[[#This Row],[DeliveryDate]]-RawWorking[[#This Row],[ShipDate]])</f>
        <v>3</v>
      </c>
      <c r="M1242" s="9">
        <f>IF(COUNTIF(INDEX(RawWorking[OrderID],1):RawWorking[[#This Row],[OrderID]],RawWorking[[#This Row],[OrderID]])=1,1,0)</f>
        <v>1</v>
      </c>
      <c r="N1242" s="4">
        <f>IFERROR(RawWorking[[#This Row],[LineAmount]]/RawWorking[[#This Row],[Quantity]],"")</f>
        <v>203.04</v>
      </c>
    </row>
    <row r="1243" spans="1:14">
      <c r="A1243">
        <v>51242</v>
      </c>
      <c r="B1243">
        <v>30720</v>
      </c>
      <c r="C1243" s="2">
        <v>45802</v>
      </c>
      <c r="D1243">
        <v>2099</v>
      </c>
      <c r="E1243">
        <v>1003</v>
      </c>
      <c r="F1243">
        <v>4</v>
      </c>
      <c r="G1243">
        <v>897.48</v>
      </c>
      <c r="H1243" s="2">
        <v>45805</v>
      </c>
      <c r="I1243" s="2">
        <v>45814</v>
      </c>
      <c r="J1243" t="s">
        <v>9</v>
      </c>
      <c r="K1243" s="2" t="str">
        <f>IFERROR(INDEX(Product_lookup[Category],MATCH(RawWorking[[#This Row],[ProductID]],Product_lookup[ProductID],0)),"")</f>
        <v>Electronics</v>
      </c>
      <c r="L1243" s="9">
        <f>IF(OR(RawWorking[[#This Row],[ShipDate]]="",RawWorking[[#This Row],[DeliveryDate]]=""),"",RawWorking[[#This Row],[DeliveryDate]]-RawWorking[[#This Row],[ShipDate]])</f>
        <v>9</v>
      </c>
      <c r="M1243" s="9">
        <f>IF(COUNTIF(INDEX(RawWorking[OrderID],1):RawWorking[[#This Row],[OrderID]],RawWorking[[#This Row],[OrderID]])=1,1,0)</f>
        <v>0</v>
      </c>
      <c r="N1243" s="4">
        <f>IFERROR(RawWorking[[#This Row],[LineAmount]]/RawWorking[[#This Row],[Quantity]],"")</f>
        <v>224.37</v>
      </c>
    </row>
    <row r="1244" spans="1:14">
      <c r="A1244">
        <v>51243</v>
      </c>
      <c r="B1244">
        <v>30720</v>
      </c>
      <c r="C1244" s="2">
        <v>45802</v>
      </c>
      <c r="D1244">
        <v>2099</v>
      </c>
      <c r="E1244">
        <v>1007</v>
      </c>
      <c r="F1244">
        <v>1</v>
      </c>
      <c r="G1244">
        <v>199.81</v>
      </c>
      <c r="H1244" s="2">
        <v>45803</v>
      </c>
      <c r="I1244" s="2">
        <v>45804</v>
      </c>
      <c r="J1244" t="s">
        <v>9</v>
      </c>
      <c r="K1244" s="2" t="str">
        <f>IFERROR(INDEX(Product_lookup[Category],MATCH(RawWorking[[#This Row],[ProductID]],Product_lookup[ProductID],0)),"")</f>
        <v>Home</v>
      </c>
      <c r="L1244" s="9">
        <f>IF(OR(RawWorking[[#This Row],[ShipDate]]="",RawWorking[[#This Row],[DeliveryDate]]=""),"",RawWorking[[#This Row],[DeliveryDate]]-RawWorking[[#This Row],[ShipDate]])</f>
        <v>1</v>
      </c>
      <c r="M1244" s="9">
        <f>IF(COUNTIF(INDEX(RawWorking[OrderID],1):RawWorking[[#This Row],[OrderID]],RawWorking[[#This Row],[OrderID]])=1,1,0)</f>
        <v>0</v>
      </c>
      <c r="N1244" s="4">
        <f>IFERROR(RawWorking[[#This Row],[LineAmount]]/RawWorking[[#This Row],[Quantity]],"")</f>
        <v>199.81</v>
      </c>
    </row>
    <row r="1245" spans="1:14">
      <c r="A1245">
        <v>51244</v>
      </c>
      <c r="B1245">
        <v>30720</v>
      </c>
      <c r="C1245" s="2">
        <v>45802</v>
      </c>
      <c r="D1245">
        <v>2099</v>
      </c>
      <c r="E1245">
        <v>1007</v>
      </c>
      <c r="F1245">
        <v>2</v>
      </c>
      <c r="G1245">
        <v>399.62</v>
      </c>
      <c r="H1245" s="2">
        <v>45805</v>
      </c>
      <c r="I1245" s="2">
        <v>45814</v>
      </c>
      <c r="J1245" t="s">
        <v>9</v>
      </c>
      <c r="K1245" s="2" t="str">
        <f>IFERROR(INDEX(Product_lookup[Category],MATCH(RawWorking[[#This Row],[ProductID]],Product_lookup[ProductID],0)),"")</f>
        <v>Home</v>
      </c>
      <c r="L1245" s="9">
        <f>IF(OR(RawWorking[[#This Row],[ShipDate]]="",RawWorking[[#This Row],[DeliveryDate]]=""),"",RawWorking[[#This Row],[DeliveryDate]]-RawWorking[[#This Row],[ShipDate]])</f>
        <v>9</v>
      </c>
      <c r="M1245" s="9">
        <f>IF(COUNTIF(INDEX(RawWorking[OrderID],1):RawWorking[[#This Row],[OrderID]],RawWorking[[#This Row],[OrderID]])=1,1,0)</f>
        <v>0</v>
      </c>
      <c r="N1245" s="4">
        <f>IFERROR(RawWorking[[#This Row],[LineAmount]]/RawWorking[[#This Row],[Quantity]],"")</f>
        <v>199.81</v>
      </c>
    </row>
    <row r="1246" spans="1:14">
      <c r="A1246">
        <v>51245</v>
      </c>
      <c r="B1246">
        <v>30721</v>
      </c>
      <c r="C1246" s="2">
        <v>45683</v>
      </c>
      <c r="D1246">
        <v>2435</v>
      </c>
      <c r="E1246">
        <v>1007</v>
      </c>
      <c r="F1246">
        <v>1</v>
      </c>
      <c r="G1246">
        <v>199.81</v>
      </c>
      <c r="H1246" s="2" t="s">
        <v>1421</v>
      </c>
      <c r="I1246" s="2" t="s">
        <v>1421</v>
      </c>
      <c r="J1246" t="s">
        <v>16</v>
      </c>
      <c r="K1246" s="2" t="str">
        <f>IFERROR(INDEX(Product_lookup[Category],MATCH(RawWorking[[#This Row],[ProductID]],Product_lookup[ProductID],0)),"")</f>
        <v>Home</v>
      </c>
      <c r="L1246" s="9" t="str">
        <f>IF(OR(RawWorking[[#This Row],[ShipDate]]="",RawWorking[[#This Row],[DeliveryDate]]=""),"",RawWorking[[#This Row],[DeliveryDate]]-RawWorking[[#This Row],[ShipDate]])</f>
        <v/>
      </c>
      <c r="M1246" s="9">
        <f>IF(COUNTIF(INDEX(RawWorking[OrderID],1):RawWorking[[#This Row],[OrderID]],RawWorking[[#This Row],[OrderID]])=1,1,0)</f>
        <v>1</v>
      </c>
      <c r="N1246" s="4">
        <f>IFERROR(RawWorking[[#This Row],[LineAmount]]/RawWorking[[#This Row],[Quantity]],"")</f>
        <v>199.81</v>
      </c>
    </row>
    <row r="1247" spans="1:14">
      <c r="A1247">
        <v>51246</v>
      </c>
      <c r="B1247">
        <v>30721</v>
      </c>
      <c r="C1247" s="2">
        <v>45683</v>
      </c>
      <c r="D1247">
        <v>2435</v>
      </c>
      <c r="E1247">
        <v>1014</v>
      </c>
      <c r="F1247">
        <v>3</v>
      </c>
      <c r="G1247">
        <v>646.02</v>
      </c>
      <c r="H1247" s="2" t="s">
        <v>1421</v>
      </c>
      <c r="I1247" s="2" t="s">
        <v>1421</v>
      </c>
      <c r="J1247" t="s">
        <v>16</v>
      </c>
      <c r="K1247" s="2" t="str">
        <f>IFERROR(INDEX(Product_lookup[Category],MATCH(RawWorking[[#This Row],[ProductID]],Product_lookup[ProductID],0)),"")</f>
        <v>Sports</v>
      </c>
      <c r="L1247" s="9" t="str">
        <f>IF(OR(RawWorking[[#This Row],[ShipDate]]="",RawWorking[[#This Row],[DeliveryDate]]=""),"",RawWorking[[#This Row],[DeliveryDate]]-RawWorking[[#This Row],[ShipDate]])</f>
        <v/>
      </c>
      <c r="M1247" s="9">
        <f>IF(COUNTIF(INDEX(RawWorking[OrderID],1):RawWorking[[#This Row],[OrderID]],RawWorking[[#This Row],[OrderID]])=1,1,0)</f>
        <v>0</v>
      </c>
      <c r="N1247" s="4">
        <f>IFERROR(RawWorking[[#This Row],[LineAmount]]/RawWorking[[#This Row],[Quantity]],"")</f>
        <v>215.34</v>
      </c>
    </row>
    <row r="1248" spans="1:14">
      <c r="A1248">
        <v>51247</v>
      </c>
      <c r="B1248">
        <v>30721</v>
      </c>
      <c r="C1248" s="2">
        <v>45683</v>
      </c>
      <c r="D1248">
        <v>2435</v>
      </c>
      <c r="E1248">
        <v>1003</v>
      </c>
      <c r="F1248">
        <v>3</v>
      </c>
      <c r="G1248">
        <v>673.11</v>
      </c>
      <c r="H1248" s="2" t="s">
        <v>1421</v>
      </c>
      <c r="I1248" s="2" t="s">
        <v>1421</v>
      </c>
      <c r="J1248" t="s">
        <v>16</v>
      </c>
      <c r="K1248" s="2" t="str">
        <f>IFERROR(INDEX(Product_lookup[Category],MATCH(RawWorking[[#This Row],[ProductID]],Product_lookup[ProductID],0)),"")</f>
        <v>Electronics</v>
      </c>
      <c r="L1248" s="9" t="str">
        <f>IF(OR(RawWorking[[#This Row],[ShipDate]]="",RawWorking[[#This Row],[DeliveryDate]]=""),"",RawWorking[[#This Row],[DeliveryDate]]-RawWorking[[#This Row],[ShipDate]])</f>
        <v/>
      </c>
      <c r="M1248" s="9">
        <f>IF(COUNTIF(INDEX(RawWorking[OrderID],1):RawWorking[[#This Row],[OrderID]],RawWorking[[#This Row],[OrderID]])=1,1,0)</f>
        <v>0</v>
      </c>
      <c r="N1248" s="4">
        <f>IFERROR(RawWorking[[#This Row],[LineAmount]]/RawWorking[[#This Row],[Quantity]],"")</f>
        <v>224.37</v>
      </c>
    </row>
    <row r="1249" spans="1:14">
      <c r="A1249">
        <v>51248</v>
      </c>
      <c r="B1249">
        <v>30722</v>
      </c>
      <c r="C1249" s="2">
        <v>45955</v>
      </c>
      <c r="D1249">
        <v>2158</v>
      </c>
      <c r="E1249">
        <v>1011</v>
      </c>
      <c r="F1249">
        <v>1</v>
      </c>
      <c r="G1249">
        <v>101.44</v>
      </c>
      <c r="H1249" s="2">
        <v>45958</v>
      </c>
      <c r="I1249" s="2">
        <v>45967</v>
      </c>
      <c r="J1249" t="s">
        <v>9</v>
      </c>
      <c r="K1249" s="2" t="str">
        <f>IFERROR(INDEX(Product_lookup[Category],MATCH(RawWorking[[#This Row],[ProductID]],Product_lookup[ProductID],0)),"")</f>
        <v>Office</v>
      </c>
      <c r="L1249" s="9">
        <f>IF(OR(RawWorking[[#This Row],[ShipDate]]="",RawWorking[[#This Row],[DeliveryDate]]=""),"",RawWorking[[#This Row],[DeliveryDate]]-RawWorking[[#This Row],[ShipDate]])</f>
        <v>9</v>
      </c>
      <c r="M1249" s="9">
        <f>IF(COUNTIF(INDEX(RawWorking[OrderID],1):RawWorking[[#This Row],[OrderID]],RawWorking[[#This Row],[OrderID]])=1,1,0)</f>
        <v>1</v>
      </c>
      <c r="N1249" s="4">
        <f>IFERROR(RawWorking[[#This Row],[LineAmount]]/RawWorking[[#This Row],[Quantity]],"")</f>
        <v>101.44</v>
      </c>
    </row>
    <row r="1250" spans="1:14">
      <c r="A1250">
        <v>51249</v>
      </c>
      <c r="B1250">
        <v>30723</v>
      </c>
      <c r="C1250" s="2">
        <v>45842</v>
      </c>
      <c r="D1250">
        <v>2039</v>
      </c>
      <c r="E1250">
        <v>1002</v>
      </c>
      <c r="F1250">
        <v>2</v>
      </c>
      <c r="G1250">
        <v>237.2</v>
      </c>
      <c r="H1250" s="2">
        <v>45845</v>
      </c>
      <c r="I1250" s="2">
        <v>45847</v>
      </c>
      <c r="J1250" t="s">
        <v>9</v>
      </c>
      <c r="K1250" s="2" t="str">
        <f>IFERROR(INDEX(Product_lookup[Category],MATCH(RawWorking[[#This Row],[ProductID]],Product_lookup[ProductID],0)),"")</f>
        <v>Electronics</v>
      </c>
      <c r="L1250" s="9">
        <f>IF(OR(RawWorking[[#This Row],[ShipDate]]="",RawWorking[[#This Row],[DeliveryDate]]=""),"",RawWorking[[#This Row],[DeliveryDate]]-RawWorking[[#This Row],[ShipDate]])</f>
        <v>2</v>
      </c>
      <c r="M1250" s="9">
        <f>IF(COUNTIF(INDEX(RawWorking[OrderID],1):RawWorking[[#This Row],[OrderID]],RawWorking[[#This Row],[OrderID]])=1,1,0)</f>
        <v>1</v>
      </c>
      <c r="N1250" s="4">
        <f>IFERROR(RawWorking[[#This Row],[LineAmount]]/RawWorking[[#This Row],[Quantity]],"")</f>
        <v>118.6</v>
      </c>
    </row>
    <row r="1251" spans="1:14">
      <c r="A1251">
        <v>51250</v>
      </c>
      <c r="B1251">
        <v>30724</v>
      </c>
      <c r="C1251" s="2">
        <v>45855</v>
      </c>
      <c r="D1251">
        <v>2183</v>
      </c>
      <c r="E1251">
        <v>1003</v>
      </c>
      <c r="F1251">
        <v>1</v>
      </c>
      <c r="G1251">
        <v>224.37</v>
      </c>
      <c r="H1251" s="2" t="s">
        <v>1421</v>
      </c>
      <c r="I1251" s="2" t="s">
        <v>1421</v>
      </c>
      <c r="J1251" t="s">
        <v>16</v>
      </c>
      <c r="K1251" s="2" t="str">
        <f>IFERROR(INDEX(Product_lookup[Category],MATCH(RawWorking[[#This Row],[ProductID]],Product_lookup[ProductID],0)),"")</f>
        <v>Electronics</v>
      </c>
      <c r="L1251" s="9" t="str">
        <f>IF(OR(RawWorking[[#This Row],[ShipDate]]="",RawWorking[[#This Row],[DeliveryDate]]=""),"",RawWorking[[#This Row],[DeliveryDate]]-RawWorking[[#This Row],[ShipDate]])</f>
        <v/>
      </c>
      <c r="M1251" s="9">
        <f>IF(COUNTIF(INDEX(RawWorking[OrderID],1):RawWorking[[#This Row],[OrderID]],RawWorking[[#This Row],[OrderID]])=1,1,0)</f>
        <v>1</v>
      </c>
      <c r="N1251" s="4">
        <f>IFERROR(RawWorking[[#This Row],[LineAmount]]/RawWorking[[#This Row],[Quantity]],"")</f>
        <v>224.37</v>
      </c>
    </row>
    <row r="1252" spans="1:14">
      <c r="A1252">
        <v>51251</v>
      </c>
      <c r="B1252">
        <v>30725</v>
      </c>
      <c r="C1252" s="2">
        <v>45844</v>
      </c>
      <c r="D1252">
        <v>2234</v>
      </c>
      <c r="E1252">
        <v>1014</v>
      </c>
      <c r="F1252">
        <v>2</v>
      </c>
      <c r="G1252">
        <v>430.68</v>
      </c>
      <c r="H1252" s="2" t="s">
        <v>1421</v>
      </c>
      <c r="I1252" s="2" t="s">
        <v>1421</v>
      </c>
      <c r="J1252" t="s">
        <v>12</v>
      </c>
      <c r="K1252" s="2" t="str">
        <f>IFERROR(INDEX(Product_lookup[Category],MATCH(RawWorking[[#This Row],[ProductID]],Product_lookup[ProductID],0)),"")</f>
        <v>Sports</v>
      </c>
      <c r="L1252" s="9" t="str">
        <f>IF(OR(RawWorking[[#This Row],[ShipDate]]="",RawWorking[[#This Row],[DeliveryDate]]=""),"",RawWorking[[#This Row],[DeliveryDate]]-RawWorking[[#This Row],[ShipDate]])</f>
        <v/>
      </c>
      <c r="M1252" s="9">
        <f>IF(COUNTIF(INDEX(RawWorking[OrderID],1):RawWorking[[#This Row],[OrderID]],RawWorking[[#This Row],[OrderID]])=1,1,0)</f>
        <v>1</v>
      </c>
      <c r="N1252" s="4">
        <f>IFERROR(RawWorking[[#This Row],[LineAmount]]/RawWorking[[#This Row],[Quantity]],"")</f>
        <v>215.34</v>
      </c>
    </row>
    <row r="1253" spans="1:14">
      <c r="A1253">
        <v>51252</v>
      </c>
      <c r="B1253">
        <v>30726</v>
      </c>
      <c r="C1253" s="2">
        <v>45681</v>
      </c>
      <c r="D1253">
        <v>2398</v>
      </c>
      <c r="E1253">
        <v>1013</v>
      </c>
      <c r="F1253">
        <v>3</v>
      </c>
      <c r="G1253">
        <v>510.75</v>
      </c>
      <c r="H1253" s="2">
        <v>45684</v>
      </c>
      <c r="I1253" s="2">
        <v>45687</v>
      </c>
      <c r="J1253" t="s">
        <v>9</v>
      </c>
      <c r="K1253" s="2" t="str">
        <f>IFERROR(INDEX(Product_lookup[Category],MATCH(RawWorking[[#This Row],[ProductID]],Product_lookup[ProductID],0)),"")</f>
        <v>Office</v>
      </c>
      <c r="L1253" s="9">
        <f>IF(OR(RawWorking[[#This Row],[ShipDate]]="",RawWorking[[#This Row],[DeliveryDate]]=""),"",RawWorking[[#This Row],[DeliveryDate]]-RawWorking[[#This Row],[ShipDate]])</f>
        <v>3</v>
      </c>
      <c r="M1253" s="9">
        <f>IF(COUNTIF(INDEX(RawWorking[OrderID],1):RawWorking[[#This Row],[OrderID]],RawWorking[[#This Row],[OrderID]])=1,1,0)</f>
        <v>1</v>
      </c>
      <c r="N1253" s="4">
        <f>IFERROR(RawWorking[[#This Row],[LineAmount]]/RawWorking[[#This Row],[Quantity]],"")</f>
        <v>170.25</v>
      </c>
    </row>
    <row r="1254" spans="1:14">
      <c r="A1254">
        <v>51253</v>
      </c>
      <c r="B1254">
        <v>30727</v>
      </c>
      <c r="C1254" s="2">
        <v>45972</v>
      </c>
      <c r="D1254">
        <v>2444</v>
      </c>
      <c r="E1254">
        <v>1013</v>
      </c>
      <c r="F1254">
        <v>2</v>
      </c>
      <c r="G1254">
        <v>340.5</v>
      </c>
      <c r="H1254" s="2">
        <v>45973</v>
      </c>
      <c r="I1254" s="2">
        <v>45978</v>
      </c>
      <c r="J1254" t="s">
        <v>9</v>
      </c>
      <c r="K1254" s="2" t="str">
        <f>IFERROR(INDEX(Product_lookup[Category],MATCH(RawWorking[[#This Row],[ProductID]],Product_lookup[ProductID],0)),"")</f>
        <v>Office</v>
      </c>
      <c r="L1254" s="9">
        <f>IF(OR(RawWorking[[#This Row],[ShipDate]]="",RawWorking[[#This Row],[DeliveryDate]]=""),"",RawWorking[[#This Row],[DeliveryDate]]-RawWorking[[#This Row],[ShipDate]])</f>
        <v>5</v>
      </c>
      <c r="M1254" s="9">
        <f>IF(COUNTIF(INDEX(RawWorking[OrderID],1):RawWorking[[#This Row],[OrderID]],RawWorking[[#This Row],[OrderID]])=1,1,0)</f>
        <v>1</v>
      </c>
      <c r="N1254" s="4">
        <f>IFERROR(RawWorking[[#This Row],[LineAmount]]/RawWorking[[#This Row],[Quantity]],"")</f>
        <v>170.25</v>
      </c>
    </row>
    <row r="1255" spans="1:14">
      <c r="A1255">
        <v>51254</v>
      </c>
      <c r="B1255">
        <v>30728</v>
      </c>
      <c r="C1255" s="2">
        <v>45784</v>
      </c>
      <c r="D1255">
        <v>2122</v>
      </c>
      <c r="E1255">
        <v>1003</v>
      </c>
      <c r="F1255">
        <v>1</v>
      </c>
      <c r="G1255">
        <v>224.37</v>
      </c>
      <c r="H1255" s="2">
        <v>45785</v>
      </c>
      <c r="I1255" s="2">
        <v>45794</v>
      </c>
      <c r="J1255" t="s">
        <v>9</v>
      </c>
      <c r="K1255" s="2" t="str">
        <f>IFERROR(INDEX(Product_lookup[Category],MATCH(RawWorking[[#This Row],[ProductID]],Product_lookup[ProductID],0)),"")</f>
        <v>Electronics</v>
      </c>
      <c r="L1255" s="9">
        <f>IF(OR(RawWorking[[#This Row],[ShipDate]]="",RawWorking[[#This Row],[DeliveryDate]]=""),"",RawWorking[[#This Row],[DeliveryDate]]-RawWorking[[#This Row],[ShipDate]])</f>
        <v>9</v>
      </c>
      <c r="M1255" s="9">
        <f>IF(COUNTIF(INDEX(RawWorking[OrderID],1):RawWorking[[#This Row],[OrderID]],RawWorking[[#This Row],[OrderID]])=1,1,0)</f>
        <v>1</v>
      </c>
      <c r="N1255" s="4">
        <f>IFERROR(RawWorking[[#This Row],[LineAmount]]/RawWorking[[#This Row],[Quantity]],"")</f>
        <v>224.37</v>
      </c>
    </row>
    <row r="1256" spans="1:14">
      <c r="A1256">
        <v>51255</v>
      </c>
      <c r="B1256">
        <v>30728</v>
      </c>
      <c r="C1256" s="2">
        <v>45784</v>
      </c>
      <c r="D1256">
        <v>2122</v>
      </c>
      <c r="E1256">
        <v>1002</v>
      </c>
      <c r="F1256">
        <v>4</v>
      </c>
      <c r="G1256">
        <v>474.4</v>
      </c>
      <c r="H1256" s="2">
        <v>45787</v>
      </c>
      <c r="I1256" s="2">
        <v>45792</v>
      </c>
      <c r="J1256" t="s">
        <v>9</v>
      </c>
      <c r="K1256" s="2" t="str">
        <f>IFERROR(INDEX(Product_lookup[Category],MATCH(RawWorking[[#This Row],[ProductID]],Product_lookup[ProductID],0)),"")</f>
        <v>Electronics</v>
      </c>
      <c r="L1256" s="9">
        <f>IF(OR(RawWorking[[#This Row],[ShipDate]]="",RawWorking[[#This Row],[DeliveryDate]]=""),"",RawWorking[[#This Row],[DeliveryDate]]-RawWorking[[#This Row],[ShipDate]])</f>
        <v>5</v>
      </c>
      <c r="M1256" s="9">
        <f>IF(COUNTIF(INDEX(RawWorking[OrderID],1):RawWorking[[#This Row],[OrderID]],RawWorking[[#This Row],[OrderID]])=1,1,0)</f>
        <v>0</v>
      </c>
      <c r="N1256" s="4">
        <f>IFERROR(RawWorking[[#This Row],[LineAmount]]/RawWorking[[#This Row],[Quantity]],"")</f>
        <v>118.6</v>
      </c>
    </row>
    <row r="1257" spans="1:14">
      <c r="A1257">
        <v>51256</v>
      </c>
      <c r="B1257">
        <v>30729</v>
      </c>
      <c r="C1257" s="2">
        <v>45957</v>
      </c>
      <c r="D1257">
        <v>2075</v>
      </c>
      <c r="E1257">
        <v>1004</v>
      </c>
      <c r="F1257">
        <v>1</v>
      </c>
      <c r="G1257">
        <v>183.74</v>
      </c>
      <c r="H1257" s="2">
        <v>45960</v>
      </c>
      <c r="I1257" s="2">
        <v>45970</v>
      </c>
      <c r="J1257" t="s">
        <v>9</v>
      </c>
      <c r="K1257" s="2" t="str">
        <f>IFERROR(INDEX(Product_lookup[Category],MATCH(RawWorking[[#This Row],[ProductID]],Product_lookup[ProductID],0)),"")</f>
        <v>Electronics</v>
      </c>
      <c r="L1257" s="9">
        <f>IF(OR(RawWorking[[#This Row],[ShipDate]]="",RawWorking[[#This Row],[DeliveryDate]]=""),"",RawWorking[[#This Row],[DeliveryDate]]-RawWorking[[#This Row],[ShipDate]])</f>
        <v>10</v>
      </c>
      <c r="M1257" s="9">
        <f>IF(COUNTIF(INDEX(RawWorking[OrderID],1):RawWorking[[#This Row],[OrderID]],RawWorking[[#This Row],[OrderID]])=1,1,0)</f>
        <v>1</v>
      </c>
      <c r="N1257" s="4">
        <f>IFERROR(RawWorking[[#This Row],[LineAmount]]/RawWorking[[#This Row],[Quantity]],"")</f>
        <v>183.74</v>
      </c>
    </row>
    <row r="1258" spans="1:14">
      <c r="A1258">
        <v>51257</v>
      </c>
      <c r="B1258">
        <v>30729</v>
      </c>
      <c r="C1258" s="2">
        <v>45957</v>
      </c>
      <c r="D1258">
        <v>2075</v>
      </c>
      <c r="E1258">
        <v>1010</v>
      </c>
      <c r="F1258">
        <v>1</v>
      </c>
      <c r="G1258">
        <v>121.5</v>
      </c>
      <c r="H1258" s="2">
        <v>45960</v>
      </c>
      <c r="I1258" s="2">
        <v>45961</v>
      </c>
      <c r="J1258" t="s">
        <v>9</v>
      </c>
      <c r="K1258" s="2" t="str">
        <f>IFERROR(INDEX(Product_lookup[Category],MATCH(RawWorking[[#This Row],[ProductID]],Product_lookup[ProductID],0)),"")</f>
        <v>Office</v>
      </c>
      <c r="L1258" s="9">
        <f>IF(OR(RawWorking[[#This Row],[ShipDate]]="",RawWorking[[#This Row],[DeliveryDate]]=""),"",RawWorking[[#This Row],[DeliveryDate]]-RawWorking[[#This Row],[ShipDate]])</f>
        <v>1</v>
      </c>
      <c r="M1258" s="9">
        <f>IF(COUNTIF(INDEX(RawWorking[OrderID],1):RawWorking[[#This Row],[OrderID]],RawWorking[[#This Row],[OrderID]])=1,1,0)</f>
        <v>0</v>
      </c>
      <c r="N1258" s="4">
        <f>IFERROR(RawWorking[[#This Row],[LineAmount]]/RawWorking[[#This Row],[Quantity]],"")</f>
        <v>121.5</v>
      </c>
    </row>
    <row r="1259" spans="1:14">
      <c r="A1259">
        <v>51258</v>
      </c>
      <c r="B1259">
        <v>30730</v>
      </c>
      <c r="C1259" s="2">
        <v>45713</v>
      </c>
      <c r="D1259">
        <v>2309</v>
      </c>
      <c r="E1259">
        <v>1010</v>
      </c>
      <c r="F1259">
        <v>1</v>
      </c>
      <c r="G1259">
        <v>121.5</v>
      </c>
      <c r="H1259" s="2">
        <v>45715</v>
      </c>
      <c r="I1259" s="2">
        <v>45750</v>
      </c>
      <c r="J1259" t="s">
        <v>9</v>
      </c>
      <c r="K1259" s="2" t="str">
        <f>IFERROR(INDEX(Product_lookup[Category],MATCH(RawWorking[[#This Row],[ProductID]],Product_lookup[ProductID],0)),"")</f>
        <v>Office</v>
      </c>
      <c r="L1259" s="9">
        <f>IF(OR(RawWorking[[#This Row],[ShipDate]]="",RawWorking[[#This Row],[DeliveryDate]]=""),"",RawWorking[[#This Row],[DeliveryDate]]-RawWorking[[#This Row],[ShipDate]])</f>
        <v>35</v>
      </c>
      <c r="M1259" s="9">
        <f>IF(COUNTIF(INDEX(RawWorking[OrderID],1):RawWorking[[#This Row],[OrderID]],RawWorking[[#This Row],[OrderID]])=1,1,0)</f>
        <v>1</v>
      </c>
      <c r="N1259" s="4">
        <f>IFERROR(RawWorking[[#This Row],[LineAmount]]/RawWorking[[#This Row],[Quantity]],"")</f>
        <v>121.5</v>
      </c>
    </row>
    <row r="1260" spans="1:14">
      <c r="A1260">
        <v>51259</v>
      </c>
      <c r="B1260">
        <v>30731</v>
      </c>
      <c r="C1260" s="2">
        <v>45660</v>
      </c>
      <c r="D1260">
        <v>2449</v>
      </c>
      <c r="E1260">
        <v>1001</v>
      </c>
      <c r="F1260">
        <v>1</v>
      </c>
      <c r="G1260">
        <v>203.04</v>
      </c>
      <c r="H1260" s="2">
        <v>45663</v>
      </c>
      <c r="I1260" s="2">
        <v>45665</v>
      </c>
      <c r="J1260" t="s">
        <v>9</v>
      </c>
      <c r="K1260" s="2" t="str">
        <f>IFERROR(INDEX(Product_lookup[Category],MATCH(RawWorking[[#This Row],[ProductID]],Product_lookup[ProductID],0)),"")</f>
        <v>Electronics</v>
      </c>
      <c r="L1260" s="9">
        <f>IF(OR(RawWorking[[#This Row],[ShipDate]]="",RawWorking[[#This Row],[DeliveryDate]]=""),"",RawWorking[[#This Row],[DeliveryDate]]-RawWorking[[#This Row],[ShipDate]])</f>
        <v>2</v>
      </c>
      <c r="M1260" s="9">
        <f>IF(COUNTIF(INDEX(RawWorking[OrderID],1):RawWorking[[#This Row],[OrderID]],RawWorking[[#This Row],[OrderID]])=1,1,0)</f>
        <v>1</v>
      </c>
      <c r="N1260" s="4">
        <f>IFERROR(RawWorking[[#This Row],[LineAmount]]/RawWorking[[#This Row],[Quantity]],"")</f>
        <v>203.04</v>
      </c>
    </row>
    <row r="1261" spans="1:14">
      <c r="A1261">
        <v>51260</v>
      </c>
      <c r="B1261">
        <v>30731</v>
      </c>
      <c r="C1261" s="2">
        <v>45660</v>
      </c>
      <c r="D1261">
        <v>2449</v>
      </c>
      <c r="E1261">
        <v>1016</v>
      </c>
      <c r="F1261">
        <v>1</v>
      </c>
      <c r="G1261">
        <v>65.260000000000005</v>
      </c>
      <c r="H1261" s="2">
        <v>45663</v>
      </c>
      <c r="I1261" s="2">
        <v>45667</v>
      </c>
      <c r="J1261" t="s">
        <v>9</v>
      </c>
      <c r="K1261" s="2" t="str">
        <f>IFERROR(INDEX(Product_lookup[Category],MATCH(RawWorking[[#This Row],[ProductID]],Product_lookup[ProductID],0)),"")</f>
        <v>Sports</v>
      </c>
      <c r="L1261" s="9">
        <f>IF(OR(RawWorking[[#This Row],[ShipDate]]="",RawWorking[[#This Row],[DeliveryDate]]=""),"",RawWorking[[#This Row],[DeliveryDate]]-RawWorking[[#This Row],[ShipDate]])</f>
        <v>4</v>
      </c>
      <c r="M1261" s="9">
        <f>IF(COUNTIF(INDEX(RawWorking[OrderID],1):RawWorking[[#This Row],[OrderID]],RawWorking[[#This Row],[OrderID]])=1,1,0)</f>
        <v>0</v>
      </c>
      <c r="N1261" s="4">
        <f>IFERROR(RawWorking[[#This Row],[LineAmount]]/RawWorking[[#This Row],[Quantity]],"")</f>
        <v>65.260000000000005</v>
      </c>
    </row>
    <row r="1262" spans="1:14">
      <c r="A1262">
        <v>51261</v>
      </c>
      <c r="B1262">
        <v>30732</v>
      </c>
      <c r="C1262" s="2">
        <v>45695</v>
      </c>
      <c r="D1262">
        <v>2161</v>
      </c>
      <c r="E1262">
        <v>1005</v>
      </c>
      <c r="F1262">
        <v>2</v>
      </c>
      <c r="G1262">
        <v>63.46</v>
      </c>
      <c r="H1262" s="2">
        <v>45698</v>
      </c>
      <c r="I1262" s="2">
        <v>45705</v>
      </c>
      <c r="J1262" t="s">
        <v>9</v>
      </c>
      <c r="K1262" s="2" t="str">
        <f>IFERROR(INDEX(Product_lookup[Category],MATCH(RawWorking[[#This Row],[ProductID]],Product_lookup[ProductID],0)),"")</f>
        <v>Electronics</v>
      </c>
      <c r="L1262" s="9">
        <f>IF(OR(RawWorking[[#This Row],[ShipDate]]="",RawWorking[[#This Row],[DeliveryDate]]=""),"",RawWorking[[#This Row],[DeliveryDate]]-RawWorking[[#This Row],[ShipDate]])</f>
        <v>7</v>
      </c>
      <c r="M1262" s="9">
        <f>IF(COUNTIF(INDEX(RawWorking[OrderID],1):RawWorking[[#This Row],[OrderID]],RawWorking[[#This Row],[OrderID]])=1,1,0)</f>
        <v>1</v>
      </c>
      <c r="N1262" s="4">
        <f>IFERROR(RawWorking[[#This Row],[LineAmount]]/RawWorking[[#This Row],[Quantity]],"")</f>
        <v>31.73</v>
      </c>
    </row>
    <row r="1263" spans="1:14">
      <c r="A1263">
        <v>51262</v>
      </c>
      <c r="B1263">
        <v>30733</v>
      </c>
      <c r="C1263" s="2">
        <v>45934</v>
      </c>
      <c r="D1263">
        <v>2401</v>
      </c>
      <c r="E1263">
        <v>1010</v>
      </c>
      <c r="F1263">
        <v>3</v>
      </c>
      <c r="G1263">
        <v>364.5</v>
      </c>
      <c r="H1263" s="2" t="s">
        <v>1421</v>
      </c>
      <c r="I1263" s="2" t="s">
        <v>1421</v>
      </c>
      <c r="J1263" t="s">
        <v>16</v>
      </c>
      <c r="K1263" s="2" t="str">
        <f>IFERROR(INDEX(Product_lookup[Category],MATCH(RawWorking[[#This Row],[ProductID]],Product_lookup[ProductID],0)),"")</f>
        <v>Office</v>
      </c>
      <c r="L1263" s="9" t="str">
        <f>IF(OR(RawWorking[[#This Row],[ShipDate]]="",RawWorking[[#This Row],[DeliveryDate]]=""),"",RawWorking[[#This Row],[DeliveryDate]]-RawWorking[[#This Row],[ShipDate]])</f>
        <v/>
      </c>
      <c r="M1263" s="9">
        <f>IF(COUNTIF(INDEX(RawWorking[OrderID],1):RawWorking[[#This Row],[OrderID]],RawWorking[[#This Row],[OrderID]])=1,1,0)</f>
        <v>1</v>
      </c>
      <c r="N1263" s="4">
        <f>IFERROR(RawWorking[[#This Row],[LineAmount]]/RawWorking[[#This Row],[Quantity]],"")</f>
        <v>121.5</v>
      </c>
    </row>
    <row r="1264" spans="1:14">
      <c r="A1264">
        <v>51263</v>
      </c>
      <c r="B1264">
        <v>30734</v>
      </c>
      <c r="C1264" s="2">
        <v>45671</v>
      </c>
      <c r="D1264">
        <v>2148</v>
      </c>
      <c r="E1264">
        <v>1012</v>
      </c>
      <c r="F1264">
        <v>1</v>
      </c>
      <c r="G1264">
        <v>241.54</v>
      </c>
      <c r="H1264" s="2">
        <v>45674</v>
      </c>
      <c r="I1264" s="2">
        <v>45675</v>
      </c>
      <c r="J1264" t="s">
        <v>9</v>
      </c>
      <c r="K1264" s="2" t="str">
        <f>IFERROR(INDEX(Product_lookup[Category],MATCH(RawWorking[[#This Row],[ProductID]],Product_lookup[ProductID],0)),"")</f>
        <v>Office</v>
      </c>
      <c r="L1264" s="9">
        <f>IF(OR(RawWorking[[#This Row],[ShipDate]]="",RawWorking[[#This Row],[DeliveryDate]]=""),"",RawWorking[[#This Row],[DeliveryDate]]-RawWorking[[#This Row],[ShipDate]])</f>
        <v>1</v>
      </c>
      <c r="M1264" s="9">
        <f>IF(COUNTIF(INDEX(RawWorking[OrderID],1):RawWorking[[#This Row],[OrderID]],RawWorking[[#This Row],[OrderID]])=1,1,0)</f>
        <v>1</v>
      </c>
      <c r="N1264" s="4">
        <f>IFERROR(RawWorking[[#This Row],[LineAmount]]/RawWorking[[#This Row],[Quantity]],"")</f>
        <v>241.54</v>
      </c>
    </row>
    <row r="1265" spans="1:14">
      <c r="A1265">
        <v>51264</v>
      </c>
      <c r="B1265">
        <v>30734</v>
      </c>
      <c r="C1265" s="2">
        <v>45671</v>
      </c>
      <c r="D1265">
        <v>2148</v>
      </c>
      <c r="E1265">
        <v>1001</v>
      </c>
      <c r="F1265">
        <v>5</v>
      </c>
      <c r="G1265">
        <v>1015.2</v>
      </c>
      <c r="H1265" s="2">
        <v>45672</v>
      </c>
      <c r="I1265" s="2">
        <v>45679</v>
      </c>
      <c r="J1265" t="s">
        <v>9</v>
      </c>
      <c r="K1265" s="2" t="str">
        <f>IFERROR(INDEX(Product_lookup[Category],MATCH(RawWorking[[#This Row],[ProductID]],Product_lookup[ProductID],0)),"")</f>
        <v>Electronics</v>
      </c>
      <c r="L1265" s="9">
        <f>IF(OR(RawWorking[[#This Row],[ShipDate]]="",RawWorking[[#This Row],[DeliveryDate]]=""),"",RawWorking[[#This Row],[DeliveryDate]]-RawWorking[[#This Row],[ShipDate]])</f>
        <v>7</v>
      </c>
      <c r="M1265" s="9">
        <f>IF(COUNTIF(INDEX(RawWorking[OrderID],1):RawWorking[[#This Row],[OrderID]],RawWorking[[#This Row],[OrderID]])=1,1,0)</f>
        <v>0</v>
      </c>
      <c r="N1265" s="4">
        <f>IFERROR(RawWorking[[#This Row],[LineAmount]]/RawWorking[[#This Row],[Quantity]],"")</f>
        <v>203.04000000000002</v>
      </c>
    </row>
    <row r="1266" spans="1:14">
      <c r="A1266">
        <v>51265</v>
      </c>
      <c r="B1266">
        <v>30735</v>
      </c>
      <c r="C1266" s="2">
        <v>45943</v>
      </c>
      <c r="D1266">
        <v>2567</v>
      </c>
      <c r="E1266">
        <v>1005</v>
      </c>
      <c r="F1266">
        <v>3</v>
      </c>
      <c r="G1266">
        <v>95.19</v>
      </c>
      <c r="H1266" s="2" t="s">
        <v>1421</v>
      </c>
      <c r="I1266" s="2" t="s">
        <v>1421</v>
      </c>
      <c r="J1266" t="s">
        <v>12</v>
      </c>
      <c r="K1266" s="2" t="str">
        <f>IFERROR(INDEX(Product_lookup[Category],MATCH(RawWorking[[#This Row],[ProductID]],Product_lookup[ProductID],0)),"")</f>
        <v>Electronics</v>
      </c>
      <c r="L1266" s="9" t="str">
        <f>IF(OR(RawWorking[[#This Row],[ShipDate]]="",RawWorking[[#This Row],[DeliveryDate]]=""),"",RawWorking[[#This Row],[DeliveryDate]]-RawWorking[[#This Row],[ShipDate]])</f>
        <v/>
      </c>
      <c r="M1266" s="9">
        <f>IF(COUNTIF(INDEX(RawWorking[OrderID],1):RawWorking[[#This Row],[OrderID]],RawWorking[[#This Row],[OrderID]])=1,1,0)</f>
        <v>1</v>
      </c>
      <c r="N1266" s="4">
        <f>IFERROR(RawWorking[[#This Row],[LineAmount]]/RawWorking[[#This Row],[Quantity]],"")</f>
        <v>31.73</v>
      </c>
    </row>
    <row r="1267" spans="1:14">
      <c r="A1267">
        <v>51266</v>
      </c>
      <c r="B1267">
        <v>30735</v>
      </c>
      <c r="C1267" s="2">
        <v>45943</v>
      </c>
      <c r="D1267">
        <v>2567</v>
      </c>
      <c r="E1267">
        <v>1004</v>
      </c>
      <c r="F1267">
        <v>1</v>
      </c>
      <c r="G1267">
        <v>183.74</v>
      </c>
      <c r="H1267" s="2" t="s">
        <v>1421</v>
      </c>
      <c r="I1267" s="2" t="s">
        <v>1421</v>
      </c>
      <c r="J1267" t="s">
        <v>12</v>
      </c>
      <c r="K1267" s="2" t="str">
        <f>IFERROR(INDEX(Product_lookup[Category],MATCH(RawWorking[[#This Row],[ProductID]],Product_lookup[ProductID],0)),"")</f>
        <v>Electronics</v>
      </c>
      <c r="L1267" s="9" t="str">
        <f>IF(OR(RawWorking[[#This Row],[ShipDate]]="",RawWorking[[#This Row],[DeliveryDate]]=""),"",RawWorking[[#This Row],[DeliveryDate]]-RawWorking[[#This Row],[ShipDate]])</f>
        <v/>
      </c>
      <c r="M1267" s="9">
        <f>IF(COUNTIF(INDEX(RawWorking[OrderID],1):RawWorking[[#This Row],[OrderID]],RawWorking[[#This Row],[OrderID]])=1,1,0)</f>
        <v>0</v>
      </c>
      <c r="N1267" s="4">
        <f>IFERROR(RawWorking[[#This Row],[LineAmount]]/RawWorking[[#This Row],[Quantity]],"")</f>
        <v>183.74</v>
      </c>
    </row>
    <row r="1268" spans="1:14">
      <c r="A1268">
        <v>51267</v>
      </c>
      <c r="B1268">
        <v>30735</v>
      </c>
      <c r="C1268" s="2">
        <v>45943</v>
      </c>
      <c r="D1268">
        <v>2567</v>
      </c>
      <c r="E1268">
        <v>1002</v>
      </c>
      <c r="F1268">
        <v>2</v>
      </c>
      <c r="G1268">
        <v>237.2</v>
      </c>
      <c r="H1268" s="2" t="s">
        <v>1421</v>
      </c>
      <c r="I1268" s="2" t="s">
        <v>1421</v>
      </c>
      <c r="J1268" t="s">
        <v>12</v>
      </c>
      <c r="K1268" s="2" t="str">
        <f>IFERROR(INDEX(Product_lookup[Category],MATCH(RawWorking[[#This Row],[ProductID]],Product_lookup[ProductID],0)),"")</f>
        <v>Electronics</v>
      </c>
      <c r="L1268" s="9" t="str">
        <f>IF(OR(RawWorking[[#This Row],[ShipDate]]="",RawWorking[[#This Row],[DeliveryDate]]=""),"",RawWorking[[#This Row],[DeliveryDate]]-RawWorking[[#This Row],[ShipDate]])</f>
        <v/>
      </c>
      <c r="M1268" s="9">
        <f>IF(COUNTIF(INDEX(RawWorking[OrderID],1):RawWorking[[#This Row],[OrderID]],RawWorking[[#This Row],[OrderID]])=1,1,0)</f>
        <v>0</v>
      </c>
      <c r="N1268" s="4">
        <f>IFERROR(RawWorking[[#This Row],[LineAmount]]/RawWorking[[#This Row],[Quantity]],"")</f>
        <v>118.6</v>
      </c>
    </row>
    <row r="1269" spans="1:14">
      <c r="A1269">
        <v>51268</v>
      </c>
      <c r="B1269">
        <v>30736</v>
      </c>
      <c r="C1269" s="2">
        <v>45751</v>
      </c>
      <c r="D1269">
        <v>2006</v>
      </c>
      <c r="E1269">
        <v>1013</v>
      </c>
      <c r="F1269">
        <v>1</v>
      </c>
      <c r="G1269">
        <v>170.25</v>
      </c>
      <c r="H1269" s="2">
        <v>45753</v>
      </c>
      <c r="I1269" s="2">
        <v>45934</v>
      </c>
      <c r="J1269" t="s">
        <v>9</v>
      </c>
      <c r="K1269" s="2" t="str">
        <f>IFERROR(INDEX(Product_lookup[Category],MATCH(RawWorking[[#This Row],[ProductID]],Product_lookup[ProductID],0)),"")</f>
        <v>Office</v>
      </c>
      <c r="L1269" s="9">
        <f>IF(OR(RawWorking[[#This Row],[ShipDate]]="",RawWorking[[#This Row],[DeliveryDate]]=""),"",RawWorking[[#This Row],[DeliveryDate]]-RawWorking[[#This Row],[ShipDate]])</f>
        <v>181</v>
      </c>
      <c r="M1269" s="9">
        <f>IF(COUNTIF(INDEX(RawWorking[OrderID],1):RawWorking[[#This Row],[OrderID]],RawWorking[[#This Row],[OrderID]])=1,1,0)</f>
        <v>1</v>
      </c>
      <c r="N1269" s="4">
        <f>IFERROR(RawWorking[[#This Row],[LineAmount]]/RawWorking[[#This Row],[Quantity]],"")</f>
        <v>170.25</v>
      </c>
    </row>
    <row r="1270" spans="1:14">
      <c r="A1270">
        <v>51269</v>
      </c>
      <c r="B1270">
        <v>30736</v>
      </c>
      <c r="C1270" s="2">
        <v>45751</v>
      </c>
      <c r="D1270">
        <v>2006</v>
      </c>
      <c r="E1270">
        <v>1003</v>
      </c>
      <c r="F1270">
        <v>2</v>
      </c>
      <c r="G1270">
        <v>448.74</v>
      </c>
      <c r="H1270" s="2">
        <v>45752</v>
      </c>
      <c r="I1270" s="2">
        <v>45753</v>
      </c>
      <c r="J1270" t="s">
        <v>9</v>
      </c>
      <c r="K1270" s="2" t="str">
        <f>IFERROR(INDEX(Product_lookup[Category],MATCH(RawWorking[[#This Row],[ProductID]],Product_lookup[ProductID],0)),"")</f>
        <v>Electronics</v>
      </c>
      <c r="L1270" s="9">
        <f>IF(OR(RawWorking[[#This Row],[ShipDate]]="",RawWorking[[#This Row],[DeliveryDate]]=""),"",RawWorking[[#This Row],[DeliveryDate]]-RawWorking[[#This Row],[ShipDate]])</f>
        <v>1</v>
      </c>
      <c r="M1270" s="9">
        <f>IF(COUNTIF(INDEX(RawWorking[OrderID],1):RawWorking[[#This Row],[OrderID]],RawWorking[[#This Row],[OrderID]])=1,1,0)</f>
        <v>0</v>
      </c>
      <c r="N1270" s="4">
        <f>IFERROR(RawWorking[[#This Row],[LineAmount]]/RawWorking[[#This Row],[Quantity]],"")</f>
        <v>224.37</v>
      </c>
    </row>
    <row r="1271" spans="1:14">
      <c r="A1271">
        <v>51270</v>
      </c>
      <c r="B1271">
        <v>30737</v>
      </c>
      <c r="C1271" s="2">
        <v>45947</v>
      </c>
      <c r="D1271">
        <v>2313</v>
      </c>
      <c r="E1271">
        <v>1012</v>
      </c>
      <c r="F1271">
        <v>1</v>
      </c>
      <c r="G1271">
        <v>241.54</v>
      </c>
      <c r="H1271" s="2">
        <v>45949</v>
      </c>
      <c r="I1271" s="2">
        <v>45953</v>
      </c>
      <c r="J1271" t="s">
        <v>9</v>
      </c>
      <c r="K1271" s="2" t="str">
        <f>IFERROR(INDEX(Product_lookup[Category],MATCH(RawWorking[[#This Row],[ProductID]],Product_lookup[ProductID],0)),"")</f>
        <v>Office</v>
      </c>
      <c r="L1271" s="9">
        <f>IF(OR(RawWorking[[#This Row],[ShipDate]]="",RawWorking[[#This Row],[DeliveryDate]]=""),"",RawWorking[[#This Row],[DeliveryDate]]-RawWorking[[#This Row],[ShipDate]])</f>
        <v>4</v>
      </c>
      <c r="M1271" s="9">
        <f>IF(COUNTIF(INDEX(RawWorking[OrderID],1):RawWorking[[#This Row],[OrderID]],RawWorking[[#This Row],[OrderID]])=1,1,0)</f>
        <v>1</v>
      </c>
      <c r="N1271" s="4">
        <f>IFERROR(RawWorking[[#This Row],[LineAmount]]/RawWorking[[#This Row],[Quantity]],"")</f>
        <v>241.54</v>
      </c>
    </row>
    <row r="1272" spans="1:14">
      <c r="A1272">
        <v>51271</v>
      </c>
      <c r="B1272">
        <v>30737</v>
      </c>
      <c r="C1272" s="2">
        <v>45947</v>
      </c>
      <c r="D1272">
        <v>2313</v>
      </c>
      <c r="E1272">
        <v>1007</v>
      </c>
      <c r="F1272">
        <v>4</v>
      </c>
      <c r="G1272">
        <v>799.24</v>
      </c>
      <c r="H1272" s="2">
        <v>45950</v>
      </c>
      <c r="I1272" s="2">
        <v>45955</v>
      </c>
      <c r="J1272" t="s">
        <v>9</v>
      </c>
      <c r="K1272" s="2" t="str">
        <f>IFERROR(INDEX(Product_lookup[Category],MATCH(RawWorking[[#This Row],[ProductID]],Product_lookup[ProductID],0)),"")</f>
        <v>Home</v>
      </c>
      <c r="L1272" s="9">
        <f>IF(OR(RawWorking[[#This Row],[ShipDate]]="",RawWorking[[#This Row],[DeliveryDate]]=""),"",RawWorking[[#This Row],[DeliveryDate]]-RawWorking[[#This Row],[ShipDate]])</f>
        <v>5</v>
      </c>
      <c r="M1272" s="9">
        <f>IF(COUNTIF(INDEX(RawWorking[OrderID],1):RawWorking[[#This Row],[OrderID]],RawWorking[[#This Row],[OrderID]])=1,1,0)</f>
        <v>0</v>
      </c>
      <c r="N1272" s="4">
        <f>IFERROR(RawWorking[[#This Row],[LineAmount]]/RawWorking[[#This Row],[Quantity]],"")</f>
        <v>199.81</v>
      </c>
    </row>
    <row r="1273" spans="1:14">
      <c r="A1273">
        <v>51272</v>
      </c>
      <c r="B1273">
        <v>30738</v>
      </c>
      <c r="C1273" s="2">
        <v>45841</v>
      </c>
      <c r="D1273">
        <v>2423</v>
      </c>
      <c r="E1273">
        <v>1005</v>
      </c>
      <c r="F1273">
        <v>1</v>
      </c>
      <c r="G1273">
        <v>31.73</v>
      </c>
      <c r="H1273" s="2" t="s">
        <v>1421</v>
      </c>
      <c r="I1273" s="2" t="s">
        <v>1421</v>
      </c>
      <c r="J1273" t="s">
        <v>12</v>
      </c>
      <c r="K1273" s="2" t="str">
        <f>IFERROR(INDEX(Product_lookup[Category],MATCH(RawWorking[[#This Row],[ProductID]],Product_lookup[ProductID],0)),"")</f>
        <v>Electronics</v>
      </c>
      <c r="L1273" s="9" t="str">
        <f>IF(OR(RawWorking[[#This Row],[ShipDate]]="",RawWorking[[#This Row],[DeliveryDate]]=""),"",RawWorking[[#This Row],[DeliveryDate]]-RawWorking[[#This Row],[ShipDate]])</f>
        <v/>
      </c>
      <c r="M1273" s="9">
        <f>IF(COUNTIF(INDEX(RawWorking[OrderID],1):RawWorking[[#This Row],[OrderID]],RawWorking[[#This Row],[OrderID]])=1,1,0)</f>
        <v>1</v>
      </c>
      <c r="N1273" s="4">
        <f>IFERROR(RawWorking[[#This Row],[LineAmount]]/RawWorking[[#This Row],[Quantity]],"")</f>
        <v>31.73</v>
      </c>
    </row>
    <row r="1274" spans="1:14">
      <c r="A1274">
        <v>51273</v>
      </c>
      <c r="B1274">
        <v>30738</v>
      </c>
      <c r="C1274" s="2">
        <v>45841</v>
      </c>
      <c r="D1274">
        <v>2423</v>
      </c>
      <c r="E1274">
        <v>1006</v>
      </c>
      <c r="F1274">
        <v>1</v>
      </c>
      <c r="G1274">
        <v>253.86</v>
      </c>
      <c r="H1274" s="2" t="s">
        <v>1421</v>
      </c>
      <c r="I1274" s="2" t="s">
        <v>1421</v>
      </c>
      <c r="J1274" t="s">
        <v>12</v>
      </c>
      <c r="K1274" s="2" t="str">
        <f>IFERROR(INDEX(Product_lookup[Category],MATCH(RawWorking[[#This Row],[ProductID]],Product_lookup[ProductID],0)),"")</f>
        <v>Home</v>
      </c>
      <c r="L1274" s="9" t="str">
        <f>IF(OR(RawWorking[[#This Row],[ShipDate]]="",RawWorking[[#This Row],[DeliveryDate]]=""),"",RawWorking[[#This Row],[DeliveryDate]]-RawWorking[[#This Row],[ShipDate]])</f>
        <v/>
      </c>
      <c r="M1274" s="9">
        <f>IF(COUNTIF(INDEX(RawWorking[OrderID],1):RawWorking[[#This Row],[OrderID]],RawWorking[[#This Row],[OrderID]])=1,1,0)</f>
        <v>0</v>
      </c>
      <c r="N1274" s="4">
        <f>IFERROR(RawWorking[[#This Row],[LineAmount]]/RawWorking[[#This Row],[Quantity]],"")</f>
        <v>253.86</v>
      </c>
    </row>
    <row r="1275" spans="1:14">
      <c r="A1275">
        <v>51274</v>
      </c>
      <c r="B1275">
        <v>30739</v>
      </c>
      <c r="C1275" s="2">
        <v>45821</v>
      </c>
      <c r="D1275">
        <v>2189</v>
      </c>
      <c r="E1275">
        <v>1009</v>
      </c>
      <c r="F1275">
        <v>3</v>
      </c>
      <c r="G1275">
        <v>120.84</v>
      </c>
      <c r="H1275" s="2">
        <v>45823</v>
      </c>
      <c r="I1275" s="2">
        <v>45833</v>
      </c>
      <c r="J1275" t="s">
        <v>9</v>
      </c>
      <c r="K1275" s="2" t="str">
        <f>IFERROR(INDEX(Product_lookup[Category],MATCH(RawWorking[[#This Row],[ProductID]],Product_lookup[ProductID],0)),"")</f>
        <v>Home</v>
      </c>
      <c r="L1275" s="9">
        <f>IF(OR(RawWorking[[#This Row],[ShipDate]]="",RawWorking[[#This Row],[DeliveryDate]]=""),"",RawWorking[[#This Row],[DeliveryDate]]-RawWorking[[#This Row],[ShipDate]])</f>
        <v>10</v>
      </c>
      <c r="M1275" s="9">
        <f>IF(COUNTIF(INDEX(RawWorking[OrderID],1):RawWorking[[#This Row],[OrderID]],RawWorking[[#This Row],[OrderID]])=1,1,0)</f>
        <v>1</v>
      </c>
      <c r="N1275" s="4">
        <f>IFERROR(RawWorking[[#This Row],[LineAmount]]/RawWorking[[#This Row],[Quantity]],"")</f>
        <v>40.28</v>
      </c>
    </row>
    <row r="1276" spans="1:14">
      <c r="A1276">
        <v>51275</v>
      </c>
      <c r="B1276">
        <v>30740</v>
      </c>
      <c r="C1276" s="2">
        <v>45721</v>
      </c>
      <c r="D1276">
        <v>2199</v>
      </c>
      <c r="E1276">
        <v>1002</v>
      </c>
      <c r="F1276">
        <v>1</v>
      </c>
      <c r="G1276">
        <v>118.6</v>
      </c>
      <c r="H1276" s="2">
        <v>45724</v>
      </c>
      <c r="I1276" s="2">
        <v>45728</v>
      </c>
      <c r="J1276" t="s">
        <v>9</v>
      </c>
      <c r="K1276" s="2" t="str">
        <f>IFERROR(INDEX(Product_lookup[Category],MATCH(RawWorking[[#This Row],[ProductID]],Product_lookup[ProductID],0)),"")</f>
        <v>Electronics</v>
      </c>
      <c r="L1276" s="9">
        <f>IF(OR(RawWorking[[#This Row],[ShipDate]]="",RawWorking[[#This Row],[DeliveryDate]]=""),"",RawWorking[[#This Row],[DeliveryDate]]-RawWorking[[#This Row],[ShipDate]])</f>
        <v>4</v>
      </c>
      <c r="M1276" s="9">
        <f>IF(COUNTIF(INDEX(RawWorking[OrderID],1):RawWorking[[#This Row],[OrderID]],RawWorking[[#This Row],[OrderID]])=1,1,0)</f>
        <v>1</v>
      </c>
      <c r="N1276" s="4">
        <f>IFERROR(RawWorking[[#This Row],[LineAmount]]/RawWorking[[#This Row],[Quantity]],"")</f>
        <v>118.6</v>
      </c>
    </row>
    <row r="1277" spans="1:14">
      <c r="A1277">
        <v>51276</v>
      </c>
      <c r="B1277">
        <v>30740</v>
      </c>
      <c r="C1277" s="2">
        <v>45721</v>
      </c>
      <c r="D1277">
        <v>2199</v>
      </c>
      <c r="E1277">
        <v>1015</v>
      </c>
      <c r="F1277">
        <v>3</v>
      </c>
      <c r="G1277">
        <v>359.22</v>
      </c>
      <c r="H1277" s="2">
        <v>45724</v>
      </c>
      <c r="I1277" s="2">
        <v>45734</v>
      </c>
      <c r="J1277" t="s">
        <v>9</v>
      </c>
      <c r="K1277" s="2" t="str">
        <f>IFERROR(INDEX(Product_lookup[Category],MATCH(RawWorking[[#This Row],[ProductID]],Product_lookup[ProductID],0)),"")</f>
        <v>Sports</v>
      </c>
      <c r="L1277" s="9">
        <f>IF(OR(RawWorking[[#This Row],[ShipDate]]="",RawWorking[[#This Row],[DeliveryDate]]=""),"",RawWorking[[#This Row],[DeliveryDate]]-RawWorking[[#This Row],[ShipDate]])</f>
        <v>10</v>
      </c>
      <c r="M1277" s="9">
        <f>IF(COUNTIF(INDEX(RawWorking[OrderID],1):RawWorking[[#This Row],[OrderID]],RawWorking[[#This Row],[OrderID]])=1,1,0)</f>
        <v>0</v>
      </c>
      <c r="N1277" s="4">
        <f>IFERROR(RawWorking[[#This Row],[LineAmount]]/RawWorking[[#This Row],[Quantity]],"")</f>
        <v>119.74000000000001</v>
      </c>
    </row>
    <row r="1278" spans="1:14">
      <c r="A1278">
        <v>51277</v>
      </c>
      <c r="B1278">
        <v>30741</v>
      </c>
      <c r="C1278" s="2">
        <v>45863</v>
      </c>
      <c r="D1278">
        <v>2563</v>
      </c>
      <c r="E1278">
        <v>1003</v>
      </c>
      <c r="F1278">
        <v>2</v>
      </c>
      <c r="G1278">
        <v>448.74</v>
      </c>
      <c r="H1278" s="2">
        <v>45864</v>
      </c>
      <c r="I1278" s="2">
        <v>45871</v>
      </c>
      <c r="J1278" t="s">
        <v>9</v>
      </c>
      <c r="K1278" s="2" t="str">
        <f>IFERROR(INDEX(Product_lookup[Category],MATCH(RawWorking[[#This Row],[ProductID]],Product_lookup[ProductID],0)),"")</f>
        <v>Electronics</v>
      </c>
      <c r="L1278" s="9">
        <f>IF(OR(RawWorking[[#This Row],[ShipDate]]="",RawWorking[[#This Row],[DeliveryDate]]=""),"",RawWorking[[#This Row],[DeliveryDate]]-RawWorking[[#This Row],[ShipDate]])</f>
        <v>7</v>
      </c>
      <c r="M1278" s="9">
        <f>IF(COUNTIF(INDEX(RawWorking[OrderID],1):RawWorking[[#This Row],[OrderID]],RawWorking[[#This Row],[OrderID]])=1,1,0)</f>
        <v>1</v>
      </c>
      <c r="N1278" s="4">
        <f>IFERROR(RawWorking[[#This Row],[LineAmount]]/RawWorking[[#This Row],[Quantity]],"")</f>
        <v>224.37</v>
      </c>
    </row>
    <row r="1279" spans="1:14">
      <c r="A1279">
        <v>51278</v>
      </c>
      <c r="B1279">
        <v>30741</v>
      </c>
      <c r="C1279" s="2">
        <v>45863</v>
      </c>
      <c r="D1279">
        <v>2563</v>
      </c>
      <c r="E1279">
        <v>1009</v>
      </c>
      <c r="F1279">
        <v>2</v>
      </c>
      <c r="G1279">
        <v>80.56</v>
      </c>
      <c r="H1279" s="2">
        <v>45866</v>
      </c>
      <c r="I1279" s="2">
        <v>45869</v>
      </c>
      <c r="J1279" t="s">
        <v>9</v>
      </c>
      <c r="K1279" s="2" t="str">
        <f>IFERROR(INDEX(Product_lookup[Category],MATCH(RawWorking[[#This Row],[ProductID]],Product_lookup[ProductID],0)),"")</f>
        <v>Home</v>
      </c>
      <c r="L1279" s="9">
        <f>IF(OR(RawWorking[[#This Row],[ShipDate]]="",RawWorking[[#This Row],[DeliveryDate]]=""),"",RawWorking[[#This Row],[DeliveryDate]]-RawWorking[[#This Row],[ShipDate]])</f>
        <v>3</v>
      </c>
      <c r="M1279" s="9">
        <f>IF(COUNTIF(INDEX(RawWorking[OrderID],1):RawWorking[[#This Row],[OrderID]],RawWorking[[#This Row],[OrderID]])=1,1,0)</f>
        <v>0</v>
      </c>
      <c r="N1279" s="4">
        <f>IFERROR(RawWorking[[#This Row],[LineAmount]]/RawWorking[[#This Row],[Quantity]],"")</f>
        <v>40.28</v>
      </c>
    </row>
    <row r="1280" spans="1:14">
      <c r="A1280">
        <v>51279</v>
      </c>
      <c r="B1280">
        <v>30742</v>
      </c>
      <c r="C1280" s="2">
        <v>45883</v>
      </c>
      <c r="D1280">
        <v>2101</v>
      </c>
      <c r="E1280">
        <v>1016</v>
      </c>
      <c r="F1280">
        <v>1</v>
      </c>
      <c r="G1280">
        <v>65.260000000000005</v>
      </c>
      <c r="H1280" s="2">
        <v>45885</v>
      </c>
      <c r="I1280" s="2">
        <v>45895</v>
      </c>
      <c r="J1280" t="s">
        <v>9</v>
      </c>
      <c r="K1280" s="2" t="str">
        <f>IFERROR(INDEX(Product_lookup[Category],MATCH(RawWorking[[#This Row],[ProductID]],Product_lookup[ProductID],0)),"")</f>
        <v>Sports</v>
      </c>
      <c r="L1280" s="9">
        <f>IF(OR(RawWorking[[#This Row],[ShipDate]]="",RawWorking[[#This Row],[DeliveryDate]]=""),"",RawWorking[[#This Row],[DeliveryDate]]-RawWorking[[#This Row],[ShipDate]])</f>
        <v>10</v>
      </c>
      <c r="M1280" s="9">
        <f>IF(COUNTIF(INDEX(RawWorking[OrderID],1):RawWorking[[#This Row],[OrderID]],RawWorking[[#This Row],[OrderID]])=1,1,0)</f>
        <v>1</v>
      </c>
      <c r="N1280" s="4">
        <f>IFERROR(RawWorking[[#This Row],[LineAmount]]/RawWorking[[#This Row],[Quantity]],"")</f>
        <v>65.260000000000005</v>
      </c>
    </row>
    <row r="1281" spans="1:14">
      <c r="A1281">
        <v>51280</v>
      </c>
      <c r="B1281">
        <v>30742</v>
      </c>
      <c r="C1281" s="2">
        <v>45883</v>
      </c>
      <c r="D1281">
        <v>2101</v>
      </c>
      <c r="E1281">
        <v>1011</v>
      </c>
      <c r="F1281">
        <v>2</v>
      </c>
      <c r="G1281">
        <v>202.88</v>
      </c>
      <c r="H1281" s="2">
        <v>45886</v>
      </c>
      <c r="I1281" s="2">
        <v>45890</v>
      </c>
      <c r="J1281" t="s">
        <v>9</v>
      </c>
      <c r="K1281" s="2" t="str">
        <f>IFERROR(INDEX(Product_lookup[Category],MATCH(RawWorking[[#This Row],[ProductID]],Product_lookup[ProductID],0)),"")</f>
        <v>Office</v>
      </c>
      <c r="L1281" s="9">
        <f>IF(OR(RawWorking[[#This Row],[ShipDate]]="",RawWorking[[#This Row],[DeliveryDate]]=""),"",RawWorking[[#This Row],[DeliveryDate]]-RawWorking[[#This Row],[ShipDate]])</f>
        <v>4</v>
      </c>
      <c r="M1281" s="9">
        <f>IF(COUNTIF(INDEX(RawWorking[OrderID],1):RawWorking[[#This Row],[OrderID]],RawWorking[[#This Row],[OrderID]])=1,1,0)</f>
        <v>0</v>
      </c>
      <c r="N1281" s="4">
        <f>IFERROR(RawWorking[[#This Row],[LineAmount]]/RawWorking[[#This Row],[Quantity]],"")</f>
        <v>101.44</v>
      </c>
    </row>
    <row r="1282" spans="1:14">
      <c r="A1282">
        <v>51281</v>
      </c>
      <c r="B1282">
        <v>30743</v>
      </c>
      <c r="C1282" s="2">
        <v>45705</v>
      </c>
      <c r="D1282">
        <v>2366</v>
      </c>
      <c r="E1282">
        <v>1008</v>
      </c>
      <c r="F1282">
        <v>2</v>
      </c>
      <c r="G1282">
        <v>412.18</v>
      </c>
      <c r="H1282" s="2">
        <v>45708</v>
      </c>
      <c r="I1282" s="2">
        <v>45716</v>
      </c>
      <c r="J1282" t="s">
        <v>9</v>
      </c>
      <c r="K1282" s="2" t="str">
        <f>IFERROR(INDEX(Product_lookup[Category],MATCH(RawWorking[[#This Row],[ProductID]],Product_lookup[ProductID],0)),"")</f>
        <v>Home</v>
      </c>
      <c r="L1282" s="9">
        <f>IF(OR(RawWorking[[#This Row],[ShipDate]]="",RawWorking[[#This Row],[DeliveryDate]]=""),"",RawWorking[[#This Row],[DeliveryDate]]-RawWorking[[#This Row],[ShipDate]])</f>
        <v>8</v>
      </c>
      <c r="M1282" s="9">
        <f>IF(COUNTIF(INDEX(RawWorking[OrderID],1):RawWorking[[#This Row],[OrderID]],RawWorking[[#This Row],[OrderID]])=1,1,0)</f>
        <v>1</v>
      </c>
      <c r="N1282" s="4">
        <f>IFERROR(RawWorking[[#This Row],[LineAmount]]/RawWorking[[#This Row],[Quantity]],"")</f>
        <v>206.09</v>
      </c>
    </row>
    <row r="1283" spans="1:14">
      <c r="A1283">
        <v>51282</v>
      </c>
      <c r="B1283">
        <v>30743</v>
      </c>
      <c r="C1283" s="2">
        <v>45705</v>
      </c>
      <c r="D1283">
        <v>2366</v>
      </c>
      <c r="E1283">
        <v>1004</v>
      </c>
      <c r="F1283">
        <v>1</v>
      </c>
      <c r="G1283">
        <v>183.74</v>
      </c>
      <c r="H1283" s="2">
        <v>45707</v>
      </c>
      <c r="I1283" s="2">
        <v>45716</v>
      </c>
      <c r="J1283" t="s">
        <v>9</v>
      </c>
      <c r="K1283" s="2" t="str">
        <f>IFERROR(INDEX(Product_lookup[Category],MATCH(RawWorking[[#This Row],[ProductID]],Product_lookup[ProductID],0)),"")</f>
        <v>Electronics</v>
      </c>
      <c r="L1283" s="9">
        <f>IF(OR(RawWorking[[#This Row],[ShipDate]]="",RawWorking[[#This Row],[DeliveryDate]]=""),"",RawWorking[[#This Row],[DeliveryDate]]-RawWorking[[#This Row],[ShipDate]])</f>
        <v>9</v>
      </c>
      <c r="M1283" s="9">
        <f>IF(COUNTIF(INDEX(RawWorking[OrderID],1):RawWorking[[#This Row],[OrderID]],RawWorking[[#This Row],[OrderID]])=1,1,0)</f>
        <v>0</v>
      </c>
      <c r="N1283" s="4">
        <f>IFERROR(RawWorking[[#This Row],[LineAmount]]/RawWorking[[#This Row],[Quantity]],"")</f>
        <v>183.74</v>
      </c>
    </row>
    <row r="1284" spans="1:14">
      <c r="A1284">
        <v>51283</v>
      </c>
      <c r="B1284">
        <v>30743</v>
      </c>
      <c r="C1284" s="2">
        <v>45705</v>
      </c>
      <c r="D1284">
        <v>2366</v>
      </c>
      <c r="E1284">
        <v>1010</v>
      </c>
      <c r="F1284">
        <v>1</v>
      </c>
      <c r="G1284">
        <v>121.5</v>
      </c>
      <c r="H1284" s="2">
        <v>45708</v>
      </c>
      <c r="I1284" s="2">
        <v>45714</v>
      </c>
      <c r="J1284" t="s">
        <v>9</v>
      </c>
      <c r="K1284" s="2" t="str">
        <f>IFERROR(INDEX(Product_lookup[Category],MATCH(RawWorking[[#This Row],[ProductID]],Product_lookup[ProductID],0)),"")</f>
        <v>Office</v>
      </c>
      <c r="L1284" s="9">
        <f>IF(OR(RawWorking[[#This Row],[ShipDate]]="",RawWorking[[#This Row],[DeliveryDate]]=""),"",RawWorking[[#This Row],[DeliveryDate]]-RawWorking[[#This Row],[ShipDate]])</f>
        <v>6</v>
      </c>
      <c r="M1284" s="9">
        <f>IF(COUNTIF(INDEX(RawWorking[OrderID],1):RawWorking[[#This Row],[OrderID]],RawWorking[[#This Row],[OrderID]])=1,1,0)</f>
        <v>0</v>
      </c>
      <c r="N1284" s="4">
        <f>IFERROR(RawWorking[[#This Row],[LineAmount]]/RawWorking[[#This Row],[Quantity]],"")</f>
        <v>121.5</v>
      </c>
    </row>
    <row r="1285" spans="1:14">
      <c r="A1285">
        <v>51284</v>
      </c>
      <c r="B1285">
        <v>30744</v>
      </c>
      <c r="C1285" s="2">
        <v>45798</v>
      </c>
      <c r="D1285">
        <v>2072</v>
      </c>
      <c r="E1285">
        <v>1011</v>
      </c>
      <c r="F1285">
        <v>2</v>
      </c>
      <c r="G1285">
        <v>202.88</v>
      </c>
      <c r="H1285" s="2" t="s">
        <v>1421</v>
      </c>
      <c r="I1285" s="2" t="s">
        <v>1421</v>
      </c>
      <c r="J1285" t="s">
        <v>12</v>
      </c>
      <c r="K1285" s="2" t="str">
        <f>IFERROR(INDEX(Product_lookup[Category],MATCH(RawWorking[[#This Row],[ProductID]],Product_lookup[ProductID],0)),"")</f>
        <v>Office</v>
      </c>
      <c r="L1285" s="9" t="str">
        <f>IF(OR(RawWorking[[#This Row],[ShipDate]]="",RawWorking[[#This Row],[DeliveryDate]]=""),"",RawWorking[[#This Row],[DeliveryDate]]-RawWorking[[#This Row],[ShipDate]])</f>
        <v/>
      </c>
      <c r="M1285" s="9">
        <f>IF(COUNTIF(INDEX(RawWorking[OrderID],1):RawWorking[[#This Row],[OrderID]],RawWorking[[#This Row],[OrderID]])=1,1,0)</f>
        <v>1</v>
      </c>
      <c r="N1285" s="4">
        <f>IFERROR(RawWorking[[#This Row],[LineAmount]]/RawWorking[[#This Row],[Quantity]],"")</f>
        <v>101.44</v>
      </c>
    </row>
    <row r="1286" spans="1:14">
      <c r="A1286">
        <v>51285</v>
      </c>
      <c r="B1286">
        <v>30744</v>
      </c>
      <c r="C1286" s="2">
        <v>45798</v>
      </c>
      <c r="D1286">
        <v>2072</v>
      </c>
      <c r="E1286">
        <v>1016</v>
      </c>
      <c r="F1286">
        <v>1</v>
      </c>
      <c r="G1286">
        <v>65.260000000000005</v>
      </c>
      <c r="H1286" s="2" t="s">
        <v>1421</v>
      </c>
      <c r="I1286" s="2" t="s">
        <v>1421</v>
      </c>
      <c r="J1286" t="s">
        <v>12</v>
      </c>
      <c r="K1286" s="2" t="str">
        <f>IFERROR(INDEX(Product_lookup[Category],MATCH(RawWorking[[#This Row],[ProductID]],Product_lookup[ProductID],0)),"")</f>
        <v>Sports</v>
      </c>
      <c r="L1286" s="9" t="str">
        <f>IF(OR(RawWorking[[#This Row],[ShipDate]]="",RawWorking[[#This Row],[DeliveryDate]]=""),"",RawWorking[[#This Row],[DeliveryDate]]-RawWorking[[#This Row],[ShipDate]])</f>
        <v/>
      </c>
      <c r="M1286" s="9">
        <f>IF(COUNTIF(INDEX(RawWorking[OrderID],1):RawWorking[[#This Row],[OrderID]],RawWorking[[#This Row],[OrderID]])=1,1,0)</f>
        <v>0</v>
      </c>
      <c r="N1286" s="4">
        <f>IFERROR(RawWorking[[#This Row],[LineAmount]]/RawWorking[[#This Row],[Quantity]],"")</f>
        <v>65.260000000000005</v>
      </c>
    </row>
    <row r="1287" spans="1:14">
      <c r="A1287">
        <v>51286</v>
      </c>
      <c r="B1287">
        <v>30745</v>
      </c>
      <c r="C1287" s="2">
        <v>45658</v>
      </c>
      <c r="D1287">
        <v>2462</v>
      </c>
      <c r="E1287">
        <v>1010</v>
      </c>
      <c r="F1287">
        <v>2</v>
      </c>
      <c r="G1287">
        <v>243</v>
      </c>
      <c r="H1287" s="2">
        <v>45660</v>
      </c>
      <c r="I1287" s="2">
        <v>45667</v>
      </c>
      <c r="J1287" t="s">
        <v>9</v>
      </c>
      <c r="K1287" s="2" t="str">
        <f>IFERROR(INDEX(Product_lookup[Category],MATCH(RawWorking[[#This Row],[ProductID]],Product_lookup[ProductID],0)),"")</f>
        <v>Office</v>
      </c>
      <c r="L1287" s="9">
        <f>IF(OR(RawWorking[[#This Row],[ShipDate]]="",RawWorking[[#This Row],[DeliveryDate]]=""),"",RawWorking[[#This Row],[DeliveryDate]]-RawWorking[[#This Row],[ShipDate]])</f>
        <v>7</v>
      </c>
      <c r="M1287" s="9">
        <f>IF(COUNTIF(INDEX(RawWorking[OrderID],1):RawWorking[[#This Row],[OrderID]],RawWorking[[#This Row],[OrderID]])=1,1,0)</f>
        <v>1</v>
      </c>
      <c r="N1287" s="4">
        <f>IFERROR(RawWorking[[#This Row],[LineAmount]]/RawWorking[[#This Row],[Quantity]],"")</f>
        <v>121.5</v>
      </c>
    </row>
    <row r="1288" spans="1:14">
      <c r="A1288">
        <v>51287</v>
      </c>
      <c r="B1288">
        <v>30746</v>
      </c>
      <c r="C1288" s="2">
        <v>45827</v>
      </c>
      <c r="D1288">
        <v>2599</v>
      </c>
      <c r="E1288">
        <v>1012</v>
      </c>
      <c r="F1288">
        <v>2</v>
      </c>
      <c r="G1288">
        <v>483.08</v>
      </c>
      <c r="H1288" s="2">
        <v>45828</v>
      </c>
      <c r="I1288" s="2">
        <v>45830</v>
      </c>
      <c r="J1288" t="s">
        <v>9</v>
      </c>
      <c r="K1288" s="2" t="str">
        <f>IFERROR(INDEX(Product_lookup[Category],MATCH(RawWorking[[#This Row],[ProductID]],Product_lookup[ProductID],0)),"")</f>
        <v>Office</v>
      </c>
      <c r="L1288" s="9">
        <f>IF(OR(RawWorking[[#This Row],[ShipDate]]="",RawWorking[[#This Row],[DeliveryDate]]=""),"",RawWorking[[#This Row],[DeliveryDate]]-RawWorking[[#This Row],[ShipDate]])</f>
        <v>2</v>
      </c>
      <c r="M1288" s="9">
        <f>IF(COUNTIF(INDEX(RawWorking[OrderID],1):RawWorking[[#This Row],[OrderID]],RawWorking[[#This Row],[OrderID]])=1,1,0)</f>
        <v>1</v>
      </c>
      <c r="N1288" s="4">
        <f>IFERROR(RawWorking[[#This Row],[LineAmount]]/RawWorking[[#This Row],[Quantity]],"")</f>
        <v>241.54</v>
      </c>
    </row>
    <row r="1289" spans="1:14">
      <c r="A1289">
        <v>51288</v>
      </c>
      <c r="B1289">
        <v>30746</v>
      </c>
      <c r="C1289" s="2">
        <v>45827</v>
      </c>
      <c r="D1289">
        <v>2599</v>
      </c>
      <c r="E1289">
        <v>1011</v>
      </c>
      <c r="F1289">
        <v>4</v>
      </c>
      <c r="G1289">
        <v>405.76</v>
      </c>
      <c r="H1289" s="2">
        <v>45830</v>
      </c>
      <c r="I1289" s="2">
        <v>45835</v>
      </c>
      <c r="J1289" t="s">
        <v>9</v>
      </c>
      <c r="K1289" s="2" t="str">
        <f>IFERROR(INDEX(Product_lookup[Category],MATCH(RawWorking[[#This Row],[ProductID]],Product_lookup[ProductID],0)),"")</f>
        <v>Office</v>
      </c>
      <c r="L1289" s="9">
        <f>IF(OR(RawWorking[[#This Row],[ShipDate]]="",RawWorking[[#This Row],[DeliveryDate]]=""),"",RawWorking[[#This Row],[DeliveryDate]]-RawWorking[[#This Row],[ShipDate]])</f>
        <v>5</v>
      </c>
      <c r="M1289" s="9">
        <f>IF(COUNTIF(INDEX(RawWorking[OrderID],1):RawWorking[[#This Row],[OrderID]],RawWorking[[#This Row],[OrderID]])=1,1,0)</f>
        <v>0</v>
      </c>
      <c r="N1289" s="4">
        <f>IFERROR(RawWorking[[#This Row],[LineAmount]]/RawWorking[[#This Row],[Quantity]],"")</f>
        <v>101.44</v>
      </c>
    </row>
    <row r="1290" spans="1:14">
      <c r="A1290">
        <v>51289</v>
      </c>
      <c r="B1290">
        <v>30746</v>
      </c>
      <c r="C1290" s="2">
        <v>45827</v>
      </c>
      <c r="D1290">
        <v>2599</v>
      </c>
      <c r="E1290">
        <v>1014</v>
      </c>
      <c r="F1290">
        <v>2</v>
      </c>
      <c r="G1290">
        <v>430.68</v>
      </c>
      <c r="H1290" s="2">
        <v>45830</v>
      </c>
      <c r="I1290" s="2">
        <v>45840</v>
      </c>
      <c r="J1290" t="s">
        <v>9</v>
      </c>
      <c r="K1290" s="2" t="str">
        <f>IFERROR(INDEX(Product_lookup[Category],MATCH(RawWorking[[#This Row],[ProductID]],Product_lookup[ProductID],0)),"")</f>
        <v>Sports</v>
      </c>
      <c r="L1290" s="9">
        <f>IF(OR(RawWorking[[#This Row],[ShipDate]]="",RawWorking[[#This Row],[DeliveryDate]]=""),"",RawWorking[[#This Row],[DeliveryDate]]-RawWorking[[#This Row],[ShipDate]])</f>
        <v>10</v>
      </c>
      <c r="M1290" s="9">
        <f>IF(COUNTIF(INDEX(RawWorking[OrderID],1):RawWorking[[#This Row],[OrderID]],RawWorking[[#This Row],[OrderID]])=1,1,0)</f>
        <v>0</v>
      </c>
      <c r="N1290" s="4">
        <f>IFERROR(RawWorking[[#This Row],[LineAmount]]/RawWorking[[#This Row],[Quantity]],"")</f>
        <v>215.34</v>
      </c>
    </row>
    <row r="1291" spans="1:14">
      <c r="A1291">
        <v>51290</v>
      </c>
      <c r="B1291">
        <v>30746</v>
      </c>
      <c r="C1291" s="2">
        <v>45827</v>
      </c>
      <c r="D1291">
        <v>2599</v>
      </c>
      <c r="E1291">
        <v>1006</v>
      </c>
      <c r="F1291">
        <v>1</v>
      </c>
      <c r="G1291">
        <v>253.86</v>
      </c>
      <c r="H1291" s="2">
        <v>45829</v>
      </c>
      <c r="I1291" s="2">
        <v>45830</v>
      </c>
      <c r="J1291" t="s">
        <v>9</v>
      </c>
      <c r="K1291" s="2" t="str">
        <f>IFERROR(INDEX(Product_lookup[Category],MATCH(RawWorking[[#This Row],[ProductID]],Product_lookup[ProductID],0)),"")</f>
        <v>Home</v>
      </c>
      <c r="L1291" s="9">
        <f>IF(OR(RawWorking[[#This Row],[ShipDate]]="",RawWorking[[#This Row],[DeliveryDate]]=""),"",RawWorking[[#This Row],[DeliveryDate]]-RawWorking[[#This Row],[ShipDate]])</f>
        <v>1</v>
      </c>
      <c r="M1291" s="9">
        <f>IF(COUNTIF(INDEX(RawWorking[OrderID],1):RawWorking[[#This Row],[OrderID]],RawWorking[[#This Row],[OrderID]])=1,1,0)</f>
        <v>0</v>
      </c>
      <c r="N1291" s="4">
        <f>IFERROR(RawWorking[[#This Row],[LineAmount]]/RawWorking[[#This Row],[Quantity]],"")</f>
        <v>253.86</v>
      </c>
    </row>
    <row r="1292" spans="1:14">
      <c r="A1292">
        <v>51291</v>
      </c>
      <c r="B1292">
        <v>30747</v>
      </c>
      <c r="C1292" s="2">
        <v>45856</v>
      </c>
      <c r="D1292">
        <v>2005</v>
      </c>
      <c r="E1292">
        <v>1008</v>
      </c>
      <c r="F1292">
        <v>1</v>
      </c>
      <c r="G1292">
        <v>206.09</v>
      </c>
      <c r="H1292" s="2">
        <v>45858</v>
      </c>
      <c r="I1292" s="2">
        <v>45867</v>
      </c>
      <c r="J1292" t="s">
        <v>9</v>
      </c>
      <c r="K1292" s="2" t="str">
        <f>IFERROR(INDEX(Product_lookup[Category],MATCH(RawWorking[[#This Row],[ProductID]],Product_lookup[ProductID],0)),"")</f>
        <v>Home</v>
      </c>
      <c r="L1292" s="9">
        <f>IF(OR(RawWorking[[#This Row],[ShipDate]]="",RawWorking[[#This Row],[DeliveryDate]]=""),"",RawWorking[[#This Row],[DeliveryDate]]-RawWorking[[#This Row],[ShipDate]])</f>
        <v>9</v>
      </c>
      <c r="M1292" s="9">
        <f>IF(COUNTIF(INDEX(RawWorking[OrderID],1):RawWorking[[#This Row],[OrderID]],RawWorking[[#This Row],[OrderID]])=1,1,0)</f>
        <v>1</v>
      </c>
      <c r="N1292" s="4">
        <f>IFERROR(RawWorking[[#This Row],[LineAmount]]/RawWorking[[#This Row],[Quantity]],"")</f>
        <v>206.09</v>
      </c>
    </row>
    <row r="1293" spans="1:14">
      <c r="A1293">
        <v>51292</v>
      </c>
      <c r="B1293">
        <v>30747</v>
      </c>
      <c r="C1293" s="2">
        <v>45856</v>
      </c>
      <c r="D1293">
        <v>2005</v>
      </c>
      <c r="E1293">
        <v>1014</v>
      </c>
      <c r="F1293">
        <v>1</v>
      </c>
      <c r="G1293">
        <v>215.34</v>
      </c>
      <c r="H1293" s="2">
        <v>45858</v>
      </c>
      <c r="I1293" s="2">
        <v>45862</v>
      </c>
      <c r="J1293" t="s">
        <v>9</v>
      </c>
      <c r="K1293" s="2" t="str">
        <f>IFERROR(INDEX(Product_lookup[Category],MATCH(RawWorking[[#This Row],[ProductID]],Product_lookup[ProductID],0)),"")</f>
        <v>Sports</v>
      </c>
      <c r="L1293" s="9">
        <f>IF(OR(RawWorking[[#This Row],[ShipDate]]="",RawWorking[[#This Row],[DeliveryDate]]=""),"",RawWorking[[#This Row],[DeliveryDate]]-RawWorking[[#This Row],[ShipDate]])</f>
        <v>4</v>
      </c>
      <c r="M1293" s="9">
        <f>IF(COUNTIF(INDEX(RawWorking[OrderID],1):RawWorking[[#This Row],[OrderID]],RawWorking[[#This Row],[OrderID]])=1,1,0)</f>
        <v>0</v>
      </c>
      <c r="N1293" s="4">
        <f>IFERROR(RawWorking[[#This Row],[LineAmount]]/RawWorking[[#This Row],[Quantity]],"")</f>
        <v>215.34</v>
      </c>
    </row>
    <row r="1294" spans="1:14">
      <c r="A1294">
        <v>51293</v>
      </c>
      <c r="B1294">
        <v>30748</v>
      </c>
      <c r="C1294" s="2">
        <v>45949</v>
      </c>
      <c r="D1294">
        <v>2284</v>
      </c>
      <c r="E1294">
        <v>1005</v>
      </c>
      <c r="F1294">
        <v>1</v>
      </c>
      <c r="G1294">
        <v>31.73</v>
      </c>
      <c r="H1294" s="2" t="s">
        <v>1421</v>
      </c>
      <c r="I1294" s="2" t="s">
        <v>1421</v>
      </c>
      <c r="J1294" t="s">
        <v>16</v>
      </c>
      <c r="K1294" s="2" t="str">
        <f>IFERROR(INDEX(Product_lookup[Category],MATCH(RawWorking[[#This Row],[ProductID]],Product_lookup[ProductID],0)),"")</f>
        <v>Electronics</v>
      </c>
      <c r="L1294" s="9" t="str">
        <f>IF(OR(RawWorking[[#This Row],[ShipDate]]="",RawWorking[[#This Row],[DeliveryDate]]=""),"",RawWorking[[#This Row],[DeliveryDate]]-RawWorking[[#This Row],[ShipDate]])</f>
        <v/>
      </c>
      <c r="M1294" s="9">
        <f>IF(COUNTIF(INDEX(RawWorking[OrderID],1):RawWorking[[#This Row],[OrderID]],RawWorking[[#This Row],[OrderID]])=1,1,0)</f>
        <v>1</v>
      </c>
      <c r="N1294" s="4">
        <f>IFERROR(RawWorking[[#This Row],[LineAmount]]/RawWorking[[#This Row],[Quantity]],"")</f>
        <v>31.73</v>
      </c>
    </row>
    <row r="1295" spans="1:14">
      <c r="A1295">
        <v>51294</v>
      </c>
      <c r="B1295">
        <v>30749</v>
      </c>
      <c r="C1295" s="2">
        <v>45842</v>
      </c>
      <c r="D1295">
        <v>2340</v>
      </c>
      <c r="E1295">
        <v>1015</v>
      </c>
      <c r="F1295">
        <v>3</v>
      </c>
      <c r="G1295">
        <v>359.22</v>
      </c>
      <c r="H1295" s="2" t="s">
        <v>1421</v>
      </c>
      <c r="I1295" s="2" t="s">
        <v>1421</v>
      </c>
      <c r="J1295" t="s">
        <v>12</v>
      </c>
      <c r="K1295" s="2" t="str">
        <f>IFERROR(INDEX(Product_lookup[Category],MATCH(RawWorking[[#This Row],[ProductID]],Product_lookup[ProductID],0)),"")</f>
        <v>Sports</v>
      </c>
      <c r="L1295" s="9" t="str">
        <f>IF(OR(RawWorking[[#This Row],[ShipDate]]="",RawWorking[[#This Row],[DeliveryDate]]=""),"",RawWorking[[#This Row],[DeliveryDate]]-RawWorking[[#This Row],[ShipDate]])</f>
        <v/>
      </c>
      <c r="M1295" s="9">
        <f>IF(COUNTIF(INDEX(RawWorking[OrderID],1):RawWorking[[#This Row],[OrderID]],RawWorking[[#This Row],[OrderID]])=1,1,0)</f>
        <v>1</v>
      </c>
      <c r="N1295" s="4">
        <f>IFERROR(RawWorking[[#This Row],[LineAmount]]/RawWorking[[#This Row],[Quantity]],"")</f>
        <v>119.74000000000001</v>
      </c>
    </row>
    <row r="1296" spans="1:14">
      <c r="A1296">
        <v>51295</v>
      </c>
      <c r="B1296">
        <v>30750</v>
      </c>
      <c r="C1296" s="2">
        <v>46011</v>
      </c>
      <c r="D1296">
        <v>2457</v>
      </c>
      <c r="E1296">
        <v>1010</v>
      </c>
      <c r="F1296">
        <v>1</v>
      </c>
      <c r="G1296">
        <v>121.5</v>
      </c>
      <c r="H1296" s="2">
        <v>46013</v>
      </c>
      <c r="I1296" s="2">
        <v>46014</v>
      </c>
      <c r="J1296" t="s">
        <v>9</v>
      </c>
      <c r="K1296" s="2" t="str">
        <f>IFERROR(INDEX(Product_lookup[Category],MATCH(RawWorking[[#This Row],[ProductID]],Product_lookup[ProductID],0)),"")</f>
        <v>Office</v>
      </c>
      <c r="L1296" s="9">
        <f>IF(OR(RawWorking[[#This Row],[ShipDate]]="",RawWorking[[#This Row],[DeliveryDate]]=""),"",RawWorking[[#This Row],[DeliveryDate]]-RawWorking[[#This Row],[ShipDate]])</f>
        <v>1</v>
      </c>
      <c r="M1296" s="9">
        <f>IF(COUNTIF(INDEX(RawWorking[OrderID],1):RawWorking[[#This Row],[OrderID]],RawWorking[[#This Row],[OrderID]])=1,1,0)</f>
        <v>1</v>
      </c>
      <c r="N1296" s="4">
        <f>IFERROR(RawWorking[[#This Row],[LineAmount]]/RawWorking[[#This Row],[Quantity]],"")</f>
        <v>121.5</v>
      </c>
    </row>
    <row r="1297" spans="1:14">
      <c r="A1297">
        <v>51296</v>
      </c>
      <c r="B1297">
        <v>30751</v>
      </c>
      <c r="C1297" s="2">
        <v>45830</v>
      </c>
      <c r="D1297">
        <v>2499</v>
      </c>
      <c r="E1297">
        <v>1006</v>
      </c>
      <c r="F1297">
        <v>2</v>
      </c>
      <c r="G1297">
        <v>507.72</v>
      </c>
      <c r="H1297" s="2">
        <v>45831</v>
      </c>
      <c r="I1297" s="2">
        <v>45839</v>
      </c>
      <c r="J1297" t="s">
        <v>9</v>
      </c>
      <c r="K1297" s="2" t="str">
        <f>IFERROR(INDEX(Product_lookup[Category],MATCH(RawWorking[[#This Row],[ProductID]],Product_lookup[ProductID],0)),"")</f>
        <v>Home</v>
      </c>
      <c r="L1297" s="9">
        <f>IF(OR(RawWorking[[#This Row],[ShipDate]]="",RawWorking[[#This Row],[DeliveryDate]]=""),"",RawWorking[[#This Row],[DeliveryDate]]-RawWorking[[#This Row],[ShipDate]])</f>
        <v>8</v>
      </c>
      <c r="M1297" s="9">
        <f>IF(COUNTIF(INDEX(RawWorking[OrderID],1):RawWorking[[#This Row],[OrderID]],RawWorking[[#This Row],[OrderID]])=1,1,0)</f>
        <v>1</v>
      </c>
      <c r="N1297" s="4">
        <f>IFERROR(RawWorking[[#This Row],[LineAmount]]/RawWorking[[#This Row],[Quantity]],"")</f>
        <v>253.86</v>
      </c>
    </row>
    <row r="1298" spans="1:14">
      <c r="A1298">
        <v>51297</v>
      </c>
      <c r="B1298">
        <v>30752</v>
      </c>
      <c r="C1298" s="2">
        <v>45879</v>
      </c>
      <c r="D1298">
        <v>2084</v>
      </c>
      <c r="E1298">
        <v>1005</v>
      </c>
      <c r="F1298">
        <v>1</v>
      </c>
      <c r="G1298">
        <v>31.73</v>
      </c>
      <c r="H1298" s="2" t="s">
        <v>1421</v>
      </c>
      <c r="I1298" s="2" t="s">
        <v>1421</v>
      </c>
      <c r="J1298" t="s">
        <v>16</v>
      </c>
      <c r="K1298" s="2" t="str">
        <f>IFERROR(INDEX(Product_lookup[Category],MATCH(RawWorking[[#This Row],[ProductID]],Product_lookup[ProductID],0)),"")</f>
        <v>Electronics</v>
      </c>
      <c r="L1298" s="9" t="str">
        <f>IF(OR(RawWorking[[#This Row],[ShipDate]]="",RawWorking[[#This Row],[DeliveryDate]]=""),"",RawWorking[[#This Row],[DeliveryDate]]-RawWorking[[#This Row],[ShipDate]])</f>
        <v/>
      </c>
      <c r="M1298" s="9">
        <f>IF(COUNTIF(INDEX(RawWorking[OrderID],1):RawWorking[[#This Row],[OrderID]],RawWorking[[#This Row],[OrderID]])=1,1,0)</f>
        <v>1</v>
      </c>
      <c r="N1298" s="4">
        <f>IFERROR(RawWorking[[#This Row],[LineAmount]]/RawWorking[[#This Row],[Quantity]],"")</f>
        <v>31.73</v>
      </c>
    </row>
    <row r="1299" spans="1:14">
      <c r="A1299">
        <v>51298</v>
      </c>
      <c r="B1299">
        <v>30752</v>
      </c>
      <c r="C1299" s="2">
        <v>45879</v>
      </c>
      <c r="D1299">
        <v>2084</v>
      </c>
      <c r="E1299">
        <v>1007</v>
      </c>
      <c r="F1299">
        <v>1</v>
      </c>
      <c r="G1299">
        <v>199.81</v>
      </c>
      <c r="H1299" s="2" t="s">
        <v>1421</v>
      </c>
      <c r="I1299" s="2" t="s">
        <v>1421</v>
      </c>
      <c r="J1299" t="s">
        <v>16</v>
      </c>
      <c r="K1299" s="2" t="str">
        <f>IFERROR(INDEX(Product_lookup[Category],MATCH(RawWorking[[#This Row],[ProductID]],Product_lookup[ProductID],0)),"")</f>
        <v>Home</v>
      </c>
      <c r="L1299" s="9" t="str">
        <f>IF(OR(RawWorking[[#This Row],[ShipDate]]="",RawWorking[[#This Row],[DeliveryDate]]=""),"",RawWorking[[#This Row],[DeliveryDate]]-RawWorking[[#This Row],[ShipDate]])</f>
        <v/>
      </c>
      <c r="M1299" s="9">
        <f>IF(COUNTIF(INDEX(RawWorking[OrderID],1):RawWorking[[#This Row],[OrderID]],RawWorking[[#This Row],[OrderID]])=1,1,0)</f>
        <v>0</v>
      </c>
      <c r="N1299" s="4">
        <f>IFERROR(RawWorking[[#This Row],[LineAmount]]/RawWorking[[#This Row],[Quantity]],"")</f>
        <v>199.81</v>
      </c>
    </row>
    <row r="1300" spans="1:14">
      <c r="A1300">
        <v>51299</v>
      </c>
      <c r="B1300">
        <v>30753</v>
      </c>
      <c r="C1300" s="2">
        <v>45741</v>
      </c>
      <c r="D1300">
        <v>2079</v>
      </c>
      <c r="E1300">
        <v>1001</v>
      </c>
      <c r="F1300">
        <v>1</v>
      </c>
      <c r="G1300">
        <v>203.04</v>
      </c>
      <c r="H1300" s="2">
        <v>45743</v>
      </c>
      <c r="I1300" s="2">
        <v>45781</v>
      </c>
      <c r="J1300" t="s">
        <v>9</v>
      </c>
      <c r="K1300" s="2" t="str">
        <f>IFERROR(INDEX(Product_lookup[Category],MATCH(RawWorking[[#This Row],[ProductID]],Product_lookup[ProductID],0)),"")</f>
        <v>Electronics</v>
      </c>
      <c r="L1300" s="9">
        <f>IF(OR(RawWorking[[#This Row],[ShipDate]]="",RawWorking[[#This Row],[DeliveryDate]]=""),"",RawWorking[[#This Row],[DeliveryDate]]-RawWorking[[#This Row],[ShipDate]])</f>
        <v>38</v>
      </c>
      <c r="M1300" s="9">
        <f>IF(COUNTIF(INDEX(RawWorking[OrderID],1):RawWorking[[#This Row],[OrderID]],RawWorking[[#This Row],[OrderID]])=1,1,0)</f>
        <v>1</v>
      </c>
      <c r="N1300" s="4">
        <f>IFERROR(RawWorking[[#This Row],[LineAmount]]/RawWorking[[#This Row],[Quantity]],"")</f>
        <v>203.04</v>
      </c>
    </row>
    <row r="1301" spans="1:14">
      <c r="A1301">
        <v>51300</v>
      </c>
      <c r="B1301">
        <v>30753</v>
      </c>
      <c r="C1301" s="2">
        <v>45741</v>
      </c>
      <c r="D1301">
        <v>2079</v>
      </c>
      <c r="E1301">
        <v>1001</v>
      </c>
      <c r="F1301">
        <v>1</v>
      </c>
      <c r="G1301">
        <v>203.04</v>
      </c>
      <c r="H1301" s="2">
        <v>45742</v>
      </c>
      <c r="I1301" s="2">
        <v>45746</v>
      </c>
      <c r="J1301" t="s">
        <v>9</v>
      </c>
      <c r="K1301" s="2" t="str">
        <f>IFERROR(INDEX(Product_lookup[Category],MATCH(RawWorking[[#This Row],[ProductID]],Product_lookup[ProductID],0)),"")</f>
        <v>Electronics</v>
      </c>
      <c r="L1301" s="9">
        <f>IF(OR(RawWorking[[#This Row],[ShipDate]]="",RawWorking[[#This Row],[DeliveryDate]]=""),"",RawWorking[[#This Row],[DeliveryDate]]-RawWorking[[#This Row],[ShipDate]])</f>
        <v>4</v>
      </c>
      <c r="M1301" s="9">
        <f>IF(COUNTIF(INDEX(RawWorking[OrderID],1):RawWorking[[#This Row],[OrderID]],RawWorking[[#This Row],[OrderID]])=1,1,0)</f>
        <v>0</v>
      </c>
      <c r="N1301" s="4">
        <f>IFERROR(RawWorking[[#This Row],[LineAmount]]/RawWorking[[#This Row],[Quantity]],"")</f>
        <v>203.04</v>
      </c>
    </row>
    <row r="1302" spans="1:14">
      <c r="A1302">
        <v>51301</v>
      </c>
      <c r="B1302">
        <v>30753</v>
      </c>
      <c r="C1302" s="2">
        <v>45741</v>
      </c>
      <c r="D1302">
        <v>2079</v>
      </c>
      <c r="E1302">
        <v>1013</v>
      </c>
      <c r="F1302">
        <v>1</v>
      </c>
      <c r="G1302">
        <v>170.25</v>
      </c>
      <c r="H1302" s="2">
        <v>45743</v>
      </c>
      <c r="I1302" s="2">
        <v>45748</v>
      </c>
      <c r="J1302" t="s">
        <v>9</v>
      </c>
      <c r="K1302" s="2" t="str">
        <f>IFERROR(INDEX(Product_lookup[Category],MATCH(RawWorking[[#This Row],[ProductID]],Product_lookup[ProductID],0)),"")</f>
        <v>Office</v>
      </c>
      <c r="L1302" s="9">
        <f>IF(OR(RawWorking[[#This Row],[ShipDate]]="",RawWorking[[#This Row],[DeliveryDate]]=""),"",RawWorking[[#This Row],[DeliveryDate]]-RawWorking[[#This Row],[ShipDate]])</f>
        <v>5</v>
      </c>
      <c r="M1302" s="9">
        <f>IF(COUNTIF(INDEX(RawWorking[OrderID],1):RawWorking[[#This Row],[OrderID]],RawWorking[[#This Row],[OrderID]])=1,1,0)</f>
        <v>0</v>
      </c>
      <c r="N1302" s="4">
        <f>IFERROR(RawWorking[[#This Row],[LineAmount]]/RawWorking[[#This Row],[Quantity]],"")</f>
        <v>170.25</v>
      </c>
    </row>
    <row r="1303" spans="1:14">
      <c r="A1303">
        <v>51302</v>
      </c>
      <c r="B1303">
        <v>30754</v>
      </c>
      <c r="C1303" s="2">
        <v>46013</v>
      </c>
      <c r="D1303">
        <v>2218</v>
      </c>
      <c r="E1303">
        <v>1009</v>
      </c>
      <c r="F1303">
        <v>3</v>
      </c>
      <c r="G1303">
        <v>120.84</v>
      </c>
      <c r="H1303" s="2" t="s">
        <v>1421</v>
      </c>
      <c r="I1303" s="2" t="s">
        <v>1421</v>
      </c>
      <c r="J1303" t="s">
        <v>12</v>
      </c>
      <c r="K1303" s="2" t="str">
        <f>IFERROR(INDEX(Product_lookup[Category],MATCH(RawWorking[[#This Row],[ProductID]],Product_lookup[ProductID],0)),"")</f>
        <v>Home</v>
      </c>
      <c r="L1303" s="9" t="str">
        <f>IF(OR(RawWorking[[#This Row],[ShipDate]]="",RawWorking[[#This Row],[DeliveryDate]]=""),"",RawWorking[[#This Row],[DeliveryDate]]-RawWorking[[#This Row],[ShipDate]])</f>
        <v/>
      </c>
      <c r="M1303" s="9">
        <f>IF(COUNTIF(INDEX(RawWorking[OrderID],1):RawWorking[[#This Row],[OrderID]],RawWorking[[#This Row],[OrderID]])=1,1,0)</f>
        <v>1</v>
      </c>
      <c r="N1303" s="4">
        <f>IFERROR(RawWorking[[#This Row],[LineAmount]]/RawWorking[[#This Row],[Quantity]],"")</f>
        <v>40.28</v>
      </c>
    </row>
    <row r="1304" spans="1:14">
      <c r="A1304">
        <v>51303</v>
      </c>
      <c r="B1304">
        <v>30755</v>
      </c>
      <c r="C1304" s="2">
        <v>46022</v>
      </c>
      <c r="D1304">
        <v>2557</v>
      </c>
      <c r="E1304">
        <v>1016</v>
      </c>
      <c r="F1304">
        <v>1</v>
      </c>
      <c r="G1304">
        <v>65.260000000000005</v>
      </c>
      <c r="H1304" s="2" t="s">
        <v>1421</v>
      </c>
      <c r="I1304" s="2" t="s">
        <v>1421</v>
      </c>
      <c r="J1304" t="s">
        <v>12</v>
      </c>
      <c r="K1304" s="2" t="str">
        <f>IFERROR(INDEX(Product_lookup[Category],MATCH(RawWorking[[#This Row],[ProductID]],Product_lookup[ProductID],0)),"")</f>
        <v>Sports</v>
      </c>
      <c r="L1304" s="9" t="str">
        <f>IF(OR(RawWorking[[#This Row],[ShipDate]]="",RawWorking[[#This Row],[DeliveryDate]]=""),"",RawWorking[[#This Row],[DeliveryDate]]-RawWorking[[#This Row],[ShipDate]])</f>
        <v/>
      </c>
      <c r="M1304" s="9">
        <f>IF(COUNTIF(INDEX(RawWorking[OrderID],1):RawWorking[[#This Row],[OrderID]],RawWorking[[#This Row],[OrderID]])=1,1,0)</f>
        <v>1</v>
      </c>
      <c r="N1304" s="4">
        <f>IFERROR(RawWorking[[#This Row],[LineAmount]]/RawWorking[[#This Row],[Quantity]],"")</f>
        <v>65.260000000000005</v>
      </c>
    </row>
    <row r="1305" spans="1:14">
      <c r="A1305">
        <v>51304</v>
      </c>
      <c r="B1305">
        <v>30755</v>
      </c>
      <c r="C1305" s="2">
        <v>46022</v>
      </c>
      <c r="D1305">
        <v>2557</v>
      </c>
      <c r="E1305">
        <v>1005</v>
      </c>
      <c r="F1305">
        <v>1</v>
      </c>
      <c r="G1305">
        <v>31.73</v>
      </c>
      <c r="H1305" s="2" t="s">
        <v>1421</v>
      </c>
      <c r="I1305" s="2" t="s">
        <v>1421</v>
      </c>
      <c r="J1305" t="s">
        <v>12</v>
      </c>
      <c r="K1305" s="2" t="str">
        <f>IFERROR(INDEX(Product_lookup[Category],MATCH(RawWorking[[#This Row],[ProductID]],Product_lookup[ProductID],0)),"")</f>
        <v>Electronics</v>
      </c>
      <c r="L1305" s="9" t="str">
        <f>IF(OR(RawWorking[[#This Row],[ShipDate]]="",RawWorking[[#This Row],[DeliveryDate]]=""),"",RawWorking[[#This Row],[DeliveryDate]]-RawWorking[[#This Row],[ShipDate]])</f>
        <v/>
      </c>
      <c r="M1305" s="9">
        <f>IF(COUNTIF(INDEX(RawWorking[OrderID],1):RawWorking[[#This Row],[OrderID]],RawWorking[[#This Row],[OrderID]])=1,1,0)</f>
        <v>0</v>
      </c>
      <c r="N1305" s="4">
        <f>IFERROR(RawWorking[[#This Row],[LineAmount]]/RawWorking[[#This Row],[Quantity]],"")</f>
        <v>31.73</v>
      </c>
    </row>
    <row r="1306" spans="1:14">
      <c r="A1306">
        <v>51305</v>
      </c>
      <c r="B1306">
        <v>30755</v>
      </c>
      <c r="C1306" s="2">
        <v>46022</v>
      </c>
      <c r="D1306">
        <v>2557</v>
      </c>
      <c r="E1306">
        <v>1012</v>
      </c>
      <c r="F1306">
        <v>1</v>
      </c>
      <c r="G1306">
        <v>241.54</v>
      </c>
      <c r="H1306" s="2" t="s">
        <v>1421</v>
      </c>
      <c r="I1306" s="2" t="s">
        <v>1421</v>
      </c>
      <c r="J1306" t="s">
        <v>12</v>
      </c>
      <c r="K1306" s="2" t="str">
        <f>IFERROR(INDEX(Product_lookup[Category],MATCH(RawWorking[[#This Row],[ProductID]],Product_lookup[ProductID],0)),"")</f>
        <v>Office</v>
      </c>
      <c r="L1306" s="9" t="str">
        <f>IF(OR(RawWorking[[#This Row],[ShipDate]]="",RawWorking[[#This Row],[DeliveryDate]]=""),"",RawWorking[[#This Row],[DeliveryDate]]-RawWorking[[#This Row],[ShipDate]])</f>
        <v/>
      </c>
      <c r="M1306" s="9">
        <f>IF(COUNTIF(INDEX(RawWorking[OrderID],1):RawWorking[[#This Row],[OrderID]],RawWorking[[#This Row],[OrderID]])=1,1,0)</f>
        <v>0</v>
      </c>
      <c r="N1306" s="4">
        <f>IFERROR(RawWorking[[#This Row],[LineAmount]]/RawWorking[[#This Row],[Quantity]],"")</f>
        <v>241.54</v>
      </c>
    </row>
    <row r="1307" spans="1:14">
      <c r="A1307">
        <v>51306</v>
      </c>
      <c r="B1307">
        <v>30756</v>
      </c>
      <c r="C1307" s="2">
        <v>45760</v>
      </c>
      <c r="D1307">
        <v>2402</v>
      </c>
      <c r="E1307">
        <v>1010</v>
      </c>
      <c r="F1307">
        <v>1</v>
      </c>
      <c r="G1307">
        <v>121.5</v>
      </c>
      <c r="H1307" s="2">
        <v>45761</v>
      </c>
      <c r="I1307" s="2">
        <v>45767</v>
      </c>
      <c r="J1307" t="s">
        <v>9</v>
      </c>
      <c r="K1307" s="2" t="str">
        <f>IFERROR(INDEX(Product_lookup[Category],MATCH(RawWorking[[#This Row],[ProductID]],Product_lookup[ProductID],0)),"")</f>
        <v>Office</v>
      </c>
      <c r="L1307" s="9">
        <f>IF(OR(RawWorking[[#This Row],[ShipDate]]="",RawWorking[[#This Row],[DeliveryDate]]=""),"",RawWorking[[#This Row],[DeliveryDate]]-RawWorking[[#This Row],[ShipDate]])</f>
        <v>6</v>
      </c>
      <c r="M1307" s="9">
        <f>IF(COUNTIF(INDEX(RawWorking[OrderID],1):RawWorking[[#This Row],[OrderID]],RawWorking[[#This Row],[OrderID]])=1,1,0)</f>
        <v>1</v>
      </c>
      <c r="N1307" s="4">
        <f>IFERROR(RawWorking[[#This Row],[LineAmount]]/RawWorking[[#This Row],[Quantity]],"")</f>
        <v>121.5</v>
      </c>
    </row>
    <row r="1308" spans="1:14">
      <c r="A1308">
        <v>51307</v>
      </c>
      <c r="B1308">
        <v>30756</v>
      </c>
      <c r="C1308" s="2">
        <v>45760</v>
      </c>
      <c r="D1308">
        <v>2402</v>
      </c>
      <c r="E1308">
        <v>1005</v>
      </c>
      <c r="F1308">
        <v>2</v>
      </c>
      <c r="G1308">
        <v>63.46</v>
      </c>
      <c r="H1308" s="2">
        <v>45763</v>
      </c>
      <c r="I1308" s="2">
        <v>45768</v>
      </c>
      <c r="J1308" t="s">
        <v>9</v>
      </c>
      <c r="K1308" s="2" t="str">
        <f>IFERROR(INDEX(Product_lookup[Category],MATCH(RawWorking[[#This Row],[ProductID]],Product_lookup[ProductID],0)),"")</f>
        <v>Electronics</v>
      </c>
      <c r="L1308" s="9">
        <f>IF(OR(RawWorking[[#This Row],[ShipDate]]="",RawWorking[[#This Row],[DeliveryDate]]=""),"",RawWorking[[#This Row],[DeliveryDate]]-RawWorking[[#This Row],[ShipDate]])</f>
        <v>5</v>
      </c>
      <c r="M1308" s="9">
        <f>IF(COUNTIF(INDEX(RawWorking[OrderID],1):RawWorking[[#This Row],[OrderID]],RawWorking[[#This Row],[OrderID]])=1,1,0)</f>
        <v>0</v>
      </c>
      <c r="N1308" s="4">
        <f>IFERROR(RawWorking[[#This Row],[LineAmount]]/RawWorking[[#This Row],[Quantity]],"")</f>
        <v>31.73</v>
      </c>
    </row>
    <row r="1309" spans="1:14">
      <c r="A1309">
        <v>51308</v>
      </c>
      <c r="B1309">
        <v>30757</v>
      </c>
      <c r="C1309" s="2">
        <v>45845</v>
      </c>
      <c r="D1309">
        <v>2476</v>
      </c>
      <c r="E1309">
        <v>1003</v>
      </c>
      <c r="F1309">
        <v>1</v>
      </c>
      <c r="G1309">
        <v>224.37</v>
      </c>
      <c r="H1309" s="2">
        <v>45846</v>
      </c>
      <c r="I1309" s="2">
        <v>45856</v>
      </c>
      <c r="J1309" t="s">
        <v>9</v>
      </c>
      <c r="K1309" s="2" t="str">
        <f>IFERROR(INDEX(Product_lookup[Category],MATCH(RawWorking[[#This Row],[ProductID]],Product_lookup[ProductID],0)),"")</f>
        <v>Electronics</v>
      </c>
      <c r="L1309" s="9">
        <f>IF(OR(RawWorking[[#This Row],[ShipDate]]="",RawWorking[[#This Row],[DeliveryDate]]=""),"",RawWorking[[#This Row],[DeliveryDate]]-RawWorking[[#This Row],[ShipDate]])</f>
        <v>10</v>
      </c>
      <c r="M1309" s="9">
        <f>IF(COUNTIF(INDEX(RawWorking[OrderID],1):RawWorking[[#This Row],[OrderID]],RawWorking[[#This Row],[OrderID]])=1,1,0)</f>
        <v>1</v>
      </c>
      <c r="N1309" s="4">
        <f>IFERROR(RawWorking[[#This Row],[LineAmount]]/RawWorking[[#This Row],[Quantity]],"")</f>
        <v>224.37</v>
      </c>
    </row>
    <row r="1310" spans="1:14">
      <c r="A1310">
        <v>51309</v>
      </c>
      <c r="B1310">
        <v>30757</v>
      </c>
      <c r="C1310" s="2">
        <v>45845</v>
      </c>
      <c r="D1310">
        <v>2476</v>
      </c>
      <c r="E1310">
        <v>1013</v>
      </c>
      <c r="F1310">
        <v>1</v>
      </c>
      <c r="G1310">
        <v>170.25</v>
      </c>
      <c r="H1310" s="2">
        <v>45846</v>
      </c>
      <c r="I1310" s="2">
        <v>45856</v>
      </c>
      <c r="J1310" t="s">
        <v>9</v>
      </c>
      <c r="K1310" s="2" t="str">
        <f>IFERROR(INDEX(Product_lookup[Category],MATCH(RawWorking[[#This Row],[ProductID]],Product_lookup[ProductID],0)),"")</f>
        <v>Office</v>
      </c>
      <c r="L1310" s="9">
        <f>IF(OR(RawWorking[[#This Row],[ShipDate]]="",RawWorking[[#This Row],[DeliveryDate]]=""),"",RawWorking[[#This Row],[DeliveryDate]]-RawWorking[[#This Row],[ShipDate]])</f>
        <v>10</v>
      </c>
      <c r="M1310" s="9">
        <f>IF(COUNTIF(INDEX(RawWorking[OrderID],1):RawWorking[[#This Row],[OrderID]],RawWorking[[#This Row],[OrderID]])=1,1,0)</f>
        <v>0</v>
      </c>
      <c r="N1310" s="4">
        <f>IFERROR(RawWorking[[#This Row],[LineAmount]]/RawWorking[[#This Row],[Quantity]],"")</f>
        <v>170.25</v>
      </c>
    </row>
    <row r="1311" spans="1:14">
      <c r="A1311">
        <v>51310</v>
      </c>
      <c r="B1311">
        <v>30758</v>
      </c>
      <c r="C1311" s="2">
        <v>45775</v>
      </c>
      <c r="D1311">
        <v>2373</v>
      </c>
      <c r="E1311">
        <v>1008</v>
      </c>
      <c r="F1311">
        <v>1</v>
      </c>
      <c r="G1311">
        <v>206.09</v>
      </c>
      <c r="H1311" s="2">
        <v>45778</v>
      </c>
      <c r="I1311" s="2">
        <v>45843</v>
      </c>
      <c r="J1311" t="s">
        <v>9</v>
      </c>
      <c r="K1311" s="2" t="str">
        <f>IFERROR(INDEX(Product_lookup[Category],MATCH(RawWorking[[#This Row],[ProductID]],Product_lookup[ProductID],0)),"")</f>
        <v>Home</v>
      </c>
      <c r="L1311" s="9">
        <f>IF(OR(RawWorking[[#This Row],[ShipDate]]="",RawWorking[[#This Row],[DeliveryDate]]=""),"",RawWorking[[#This Row],[DeliveryDate]]-RawWorking[[#This Row],[ShipDate]])</f>
        <v>65</v>
      </c>
      <c r="M1311" s="9">
        <f>IF(COUNTIF(INDEX(RawWorking[OrderID],1):RawWorking[[#This Row],[OrderID]],RawWorking[[#This Row],[OrderID]])=1,1,0)</f>
        <v>1</v>
      </c>
      <c r="N1311" s="4">
        <f>IFERROR(RawWorking[[#This Row],[LineAmount]]/RawWorking[[#This Row],[Quantity]],"")</f>
        <v>206.09</v>
      </c>
    </row>
    <row r="1312" spans="1:14">
      <c r="A1312">
        <v>51311</v>
      </c>
      <c r="B1312">
        <v>30758</v>
      </c>
      <c r="C1312" s="2">
        <v>45775</v>
      </c>
      <c r="D1312">
        <v>2373</v>
      </c>
      <c r="E1312">
        <v>1006</v>
      </c>
      <c r="F1312">
        <v>1</v>
      </c>
      <c r="G1312">
        <v>253.86</v>
      </c>
      <c r="H1312" s="2">
        <v>45778</v>
      </c>
      <c r="I1312" s="2">
        <v>45780</v>
      </c>
      <c r="J1312" t="s">
        <v>9</v>
      </c>
      <c r="K1312" s="2" t="str">
        <f>IFERROR(INDEX(Product_lookup[Category],MATCH(RawWorking[[#This Row],[ProductID]],Product_lookup[ProductID],0)),"")</f>
        <v>Home</v>
      </c>
      <c r="L1312" s="9">
        <f>IF(OR(RawWorking[[#This Row],[ShipDate]]="",RawWorking[[#This Row],[DeliveryDate]]=""),"",RawWorking[[#This Row],[DeliveryDate]]-RawWorking[[#This Row],[ShipDate]])</f>
        <v>2</v>
      </c>
      <c r="M1312" s="9">
        <f>IF(COUNTIF(INDEX(RawWorking[OrderID],1):RawWorking[[#This Row],[OrderID]],RawWorking[[#This Row],[OrderID]])=1,1,0)</f>
        <v>0</v>
      </c>
      <c r="N1312" s="4">
        <f>IFERROR(RawWorking[[#This Row],[LineAmount]]/RawWorking[[#This Row],[Quantity]],"")</f>
        <v>253.86</v>
      </c>
    </row>
    <row r="1313" spans="1:14">
      <c r="A1313">
        <v>51312</v>
      </c>
      <c r="B1313">
        <v>30758</v>
      </c>
      <c r="C1313" s="2">
        <v>45775</v>
      </c>
      <c r="D1313">
        <v>2373</v>
      </c>
      <c r="E1313">
        <v>1005</v>
      </c>
      <c r="F1313">
        <v>1</v>
      </c>
      <c r="G1313">
        <v>31.73</v>
      </c>
      <c r="H1313" s="2">
        <v>45778</v>
      </c>
      <c r="I1313" s="2">
        <v>45781</v>
      </c>
      <c r="J1313" t="s">
        <v>9</v>
      </c>
      <c r="K1313" s="2" t="str">
        <f>IFERROR(INDEX(Product_lookup[Category],MATCH(RawWorking[[#This Row],[ProductID]],Product_lookup[ProductID],0)),"")</f>
        <v>Electronics</v>
      </c>
      <c r="L1313" s="9">
        <f>IF(OR(RawWorking[[#This Row],[ShipDate]]="",RawWorking[[#This Row],[DeliveryDate]]=""),"",RawWorking[[#This Row],[DeliveryDate]]-RawWorking[[#This Row],[ShipDate]])</f>
        <v>3</v>
      </c>
      <c r="M1313" s="9">
        <f>IF(COUNTIF(INDEX(RawWorking[OrderID],1):RawWorking[[#This Row],[OrderID]],RawWorking[[#This Row],[OrderID]])=1,1,0)</f>
        <v>0</v>
      </c>
      <c r="N1313" s="4">
        <f>IFERROR(RawWorking[[#This Row],[LineAmount]]/RawWorking[[#This Row],[Quantity]],"")</f>
        <v>31.73</v>
      </c>
    </row>
    <row r="1314" spans="1:14">
      <c r="A1314">
        <v>51313</v>
      </c>
      <c r="B1314">
        <v>30759</v>
      </c>
      <c r="C1314" s="2">
        <v>45770</v>
      </c>
      <c r="D1314">
        <v>2457</v>
      </c>
      <c r="E1314">
        <v>1005</v>
      </c>
      <c r="F1314">
        <v>1</v>
      </c>
      <c r="G1314">
        <v>31.73</v>
      </c>
      <c r="H1314" s="2">
        <v>45772</v>
      </c>
      <c r="I1314" s="2">
        <v>45776</v>
      </c>
      <c r="J1314" t="s">
        <v>9</v>
      </c>
      <c r="K1314" s="2" t="str">
        <f>IFERROR(INDEX(Product_lookup[Category],MATCH(RawWorking[[#This Row],[ProductID]],Product_lookup[ProductID],0)),"")</f>
        <v>Electronics</v>
      </c>
      <c r="L1314" s="9">
        <f>IF(OR(RawWorking[[#This Row],[ShipDate]]="",RawWorking[[#This Row],[DeliveryDate]]=""),"",RawWorking[[#This Row],[DeliveryDate]]-RawWorking[[#This Row],[ShipDate]])</f>
        <v>4</v>
      </c>
      <c r="M1314" s="9">
        <f>IF(COUNTIF(INDEX(RawWorking[OrderID],1):RawWorking[[#This Row],[OrderID]],RawWorking[[#This Row],[OrderID]])=1,1,0)</f>
        <v>1</v>
      </c>
      <c r="N1314" s="4">
        <f>IFERROR(RawWorking[[#This Row],[LineAmount]]/RawWorking[[#This Row],[Quantity]],"")</f>
        <v>31.73</v>
      </c>
    </row>
    <row r="1315" spans="1:14">
      <c r="A1315">
        <v>51314</v>
      </c>
      <c r="B1315">
        <v>30760</v>
      </c>
      <c r="C1315" s="2">
        <v>45709</v>
      </c>
      <c r="D1315">
        <v>2496</v>
      </c>
      <c r="E1315">
        <v>1002</v>
      </c>
      <c r="F1315">
        <v>2</v>
      </c>
      <c r="G1315">
        <v>237.2</v>
      </c>
      <c r="H1315" s="2" t="s">
        <v>1421</v>
      </c>
      <c r="I1315" s="2" t="s">
        <v>1421</v>
      </c>
      <c r="J1315" t="s">
        <v>12</v>
      </c>
      <c r="K1315" s="2" t="str">
        <f>IFERROR(INDEX(Product_lookup[Category],MATCH(RawWorking[[#This Row],[ProductID]],Product_lookup[ProductID],0)),"")</f>
        <v>Electronics</v>
      </c>
      <c r="L1315" s="9" t="str">
        <f>IF(OR(RawWorking[[#This Row],[ShipDate]]="",RawWorking[[#This Row],[DeliveryDate]]=""),"",RawWorking[[#This Row],[DeliveryDate]]-RawWorking[[#This Row],[ShipDate]])</f>
        <v/>
      </c>
      <c r="M1315" s="9">
        <f>IF(COUNTIF(INDEX(RawWorking[OrderID],1):RawWorking[[#This Row],[OrderID]],RawWorking[[#This Row],[OrderID]])=1,1,0)</f>
        <v>1</v>
      </c>
      <c r="N1315" s="4">
        <f>IFERROR(RawWorking[[#This Row],[LineAmount]]/RawWorking[[#This Row],[Quantity]],"")</f>
        <v>118.6</v>
      </c>
    </row>
    <row r="1316" spans="1:14">
      <c r="A1316">
        <v>51315</v>
      </c>
      <c r="B1316">
        <v>30761</v>
      </c>
      <c r="C1316" s="2">
        <v>45957</v>
      </c>
      <c r="D1316">
        <v>2225</v>
      </c>
      <c r="E1316">
        <v>1008</v>
      </c>
      <c r="F1316">
        <v>2</v>
      </c>
      <c r="G1316">
        <v>412.18</v>
      </c>
      <c r="H1316" s="2">
        <v>45960</v>
      </c>
      <c r="I1316" s="2" t="s">
        <v>1421</v>
      </c>
      <c r="J1316" t="s">
        <v>16</v>
      </c>
      <c r="K1316" s="2" t="str">
        <f>IFERROR(INDEX(Product_lookup[Category],MATCH(RawWorking[[#This Row],[ProductID]],Product_lookup[ProductID],0)),"")</f>
        <v>Home</v>
      </c>
      <c r="L1316" s="9" t="str">
        <f>IF(OR(RawWorking[[#This Row],[ShipDate]]="",RawWorking[[#This Row],[DeliveryDate]]=""),"",RawWorking[[#This Row],[DeliveryDate]]-RawWorking[[#This Row],[ShipDate]])</f>
        <v/>
      </c>
      <c r="M1316" s="9">
        <f>IF(COUNTIF(INDEX(RawWorking[OrderID],1):RawWorking[[#This Row],[OrderID]],RawWorking[[#This Row],[OrderID]])=1,1,0)</f>
        <v>1</v>
      </c>
      <c r="N1316" s="4">
        <f>IFERROR(RawWorking[[#This Row],[LineAmount]]/RawWorking[[#This Row],[Quantity]],"")</f>
        <v>206.09</v>
      </c>
    </row>
    <row r="1317" spans="1:14">
      <c r="A1317">
        <v>51316</v>
      </c>
      <c r="B1317">
        <v>30762</v>
      </c>
      <c r="C1317" s="2">
        <v>45947</v>
      </c>
      <c r="D1317">
        <v>2379</v>
      </c>
      <c r="E1317">
        <v>1007</v>
      </c>
      <c r="F1317">
        <v>2</v>
      </c>
      <c r="G1317">
        <v>399.62</v>
      </c>
      <c r="H1317" s="2">
        <v>45949</v>
      </c>
      <c r="I1317" s="2">
        <v>45959</v>
      </c>
      <c r="J1317" t="s">
        <v>9</v>
      </c>
      <c r="K1317" s="2" t="str">
        <f>IFERROR(INDEX(Product_lookup[Category],MATCH(RawWorking[[#This Row],[ProductID]],Product_lookup[ProductID],0)),"")</f>
        <v>Home</v>
      </c>
      <c r="L1317" s="9">
        <f>IF(OR(RawWorking[[#This Row],[ShipDate]]="",RawWorking[[#This Row],[DeliveryDate]]=""),"",RawWorking[[#This Row],[DeliveryDate]]-RawWorking[[#This Row],[ShipDate]])</f>
        <v>10</v>
      </c>
      <c r="M1317" s="9">
        <f>IF(COUNTIF(INDEX(RawWorking[OrderID],1):RawWorking[[#This Row],[OrderID]],RawWorking[[#This Row],[OrderID]])=1,1,0)</f>
        <v>1</v>
      </c>
      <c r="N1317" s="4">
        <f>IFERROR(RawWorking[[#This Row],[LineAmount]]/RawWorking[[#This Row],[Quantity]],"")</f>
        <v>199.81</v>
      </c>
    </row>
    <row r="1318" spans="1:14">
      <c r="A1318">
        <v>51317</v>
      </c>
      <c r="B1318">
        <v>30763</v>
      </c>
      <c r="C1318" s="2">
        <v>45986</v>
      </c>
      <c r="D1318">
        <v>2531</v>
      </c>
      <c r="E1318">
        <v>1012</v>
      </c>
      <c r="F1318">
        <v>1</v>
      </c>
      <c r="G1318">
        <v>241.54</v>
      </c>
      <c r="H1318" s="2" t="s">
        <v>1421</v>
      </c>
      <c r="I1318" s="2" t="s">
        <v>1421</v>
      </c>
      <c r="J1318" t="s">
        <v>12</v>
      </c>
      <c r="K1318" s="2" t="str">
        <f>IFERROR(INDEX(Product_lookup[Category],MATCH(RawWorking[[#This Row],[ProductID]],Product_lookup[ProductID],0)),"")</f>
        <v>Office</v>
      </c>
      <c r="L1318" s="9" t="str">
        <f>IF(OR(RawWorking[[#This Row],[ShipDate]]="",RawWorking[[#This Row],[DeliveryDate]]=""),"",RawWorking[[#This Row],[DeliveryDate]]-RawWorking[[#This Row],[ShipDate]])</f>
        <v/>
      </c>
      <c r="M1318" s="9">
        <f>IF(COUNTIF(INDEX(RawWorking[OrderID],1):RawWorking[[#This Row],[OrderID]],RawWorking[[#This Row],[OrderID]])=1,1,0)</f>
        <v>1</v>
      </c>
      <c r="N1318" s="4">
        <f>IFERROR(RawWorking[[#This Row],[LineAmount]]/RawWorking[[#This Row],[Quantity]],"")</f>
        <v>241.54</v>
      </c>
    </row>
    <row r="1319" spans="1:14">
      <c r="A1319">
        <v>51318</v>
      </c>
      <c r="B1319">
        <v>30764</v>
      </c>
      <c r="C1319" s="2">
        <v>45950</v>
      </c>
      <c r="D1319">
        <v>2398</v>
      </c>
      <c r="E1319">
        <v>1015</v>
      </c>
      <c r="F1319">
        <v>1</v>
      </c>
      <c r="G1319">
        <v>119.74</v>
      </c>
      <c r="H1319" s="2">
        <v>45952</v>
      </c>
      <c r="I1319" s="2">
        <v>45961</v>
      </c>
      <c r="J1319" t="s">
        <v>9</v>
      </c>
      <c r="K1319" s="2" t="str">
        <f>IFERROR(INDEX(Product_lookup[Category],MATCH(RawWorking[[#This Row],[ProductID]],Product_lookup[ProductID],0)),"")</f>
        <v>Sports</v>
      </c>
      <c r="L1319" s="9">
        <f>IF(OR(RawWorking[[#This Row],[ShipDate]]="",RawWorking[[#This Row],[DeliveryDate]]=""),"",RawWorking[[#This Row],[DeliveryDate]]-RawWorking[[#This Row],[ShipDate]])</f>
        <v>9</v>
      </c>
      <c r="M1319" s="9">
        <f>IF(COUNTIF(INDEX(RawWorking[OrderID],1):RawWorking[[#This Row],[OrderID]],RawWorking[[#This Row],[OrderID]])=1,1,0)</f>
        <v>1</v>
      </c>
      <c r="N1319" s="4">
        <f>IFERROR(RawWorking[[#This Row],[LineAmount]]/RawWorking[[#This Row],[Quantity]],"")</f>
        <v>119.74</v>
      </c>
    </row>
    <row r="1320" spans="1:14">
      <c r="A1320">
        <v>51319</v>
      </c>
      <c r="B1320">
        <v>30764</v>
      </c>
      <c r="C1320" s="2">
        <v>45950</v>
      </c>
      <c r="D1320">
        <v>2398</v>
      </c>
      <c r="E1320">
        <v>1002</v>
      </c>
      <c r="F1320">
        <v>1</v>
      </c>
      <c r="G1320">
        <v>118.6</v>
      </c>
      <c r="H1320" s="2">
        <v>45951</v>
      </c>
      <c r="I1320" s="2">
        <v>45960</v>
      </c>
      <c r="J1320" t="s">
        <v>9</v>
      </c>
      <c r="K1320" s="2" t="str">
        <f>IFERROR(INDEX(Product_lookup[Category],MATCH(RawWorking[[#This Row],[ProductID]],Product_lookup[ProductID],0)),"")</f>
        <v>Electronics</v>
      </c>
      <c r="L1320" s="9">
        <f>IF(OR(RawWorking[[#This Row],[ShipDate]]="",RawWorking[[#This Row],[DeliveryDate]]=""),"",RawWorking[[#This Row],[DeliveryDate]]-RawWorking[[#This Row],[ShipDate]])</f>
        <v>9</v>
      </c>
      <c r="M1320" s="9">
        <f>IF(COUNTIF(INDEX(RawWorking[OrderID],1):RawWorking[[#This Row],[OrderID]],RawWorking[[#This Row],[OrderID]])=1,1,0)</f>
        <v>0</v>
      </c>
      <c r="N1320" s="4">
        <f>IFERROR(RawWorking[[#This Row],[LineAmount]]/RawWorking[[#This Row],[Quantity]],"")</f>
        <v>118.6</v>
      </c>
    </row>
    <row r="1321" spans="1:14">
      <c r="A1321">
        <v>51320</v>
      </c>
      <c r="B1321">
        <v>30765</v>
      </c>
      <c r="C1321" s="2">
        <v>45829</v>
      </c>
      <c r="D1321">
        <v>2041</v>
      </c>
      <c r="E1321">
        <v>1011</v>
      </c>
      <c r="F1321">
        <v>5</v>
      </c>
      <c r="G1321">
        <v>507.2</v>
      </c>
      <c r="H1321" s="2">
        <v>45830</v>
      </c>
      <c r="I1321" s="2">
        <v>45836</v>
      </c>
      <c r="J1321" t="s">
        <v>11</v>
      </c>
      <c r="K1321" s="2" t="str">
        <f>IFERROR(INDEX(Product_lookup[Category],MATCH(RawWorking[[#This Row],[ProductID]],Product_lookup[ProductID],0)),"")</f>
        <v>Office</v>
      </c>
      <c r="L1321" s="9">
        <f>IF(OR(RawWorking[[#This Row],[ShipDate]]="",RawWorking[[#This Row],[DeliveryDate]]=""),"",RawWorking[[#This Row],[DeliveryDate]]-RawWorking[[#This Row],[ShipDate]])</f>
        <v>6</v>
      </c>
      <c r="M1321" s="9">
        <f>IF(COUNTIF(INDEX(RawWorking[OrderID],1):RawWorking[[#This Row],[OrderID]],RawWorking[[#This Row],[OrderID]])=1,1,0)</f>
        <v>1</v>
      </c>
      <c r="N1321" s="4">
        <f>IFERROR(RawWorking[[#This Row],[LineAmount]]/RawWorking[[#This Row],[Quantity]],"")</f>
        <v>101.44</v>
      </c>
    </row>
    <row r="1322" spans="1:14">
      <c r="A1322">
        <v>51321</v>
      </c>
      <c r="B1322">
        <v>30766</v>
      </c>
      <c r="C1322" s="2">
        <v>45975</v>
      </c>
      <c r="D1322">
        <v>2106</v>
      </c>
      <c r="E1322">
        <v>1009</v>
      </c>
      <c r="F1322">
        <v>4</v>
      </c>
      <c r="G1322">
        <v>161.12</v>
      </c>
      <c r="H1322" s="2">
        <v>45976</v>
      </c>
      <c r="I1322" s="2">
        <v>45981</v>
      </c>
      <c r="J1322" t="s">
        <v>9</v>
      </c>
      <c r="K1322" s="2" t="str">
        <f>IFERROR(INDEX(Product_lookup[Category],MATCH(RawWorking[[#This Row],[ProductID]],Product_lookup[ProductID],0)),"")</f>
        <v>Home</v>
      </c>
      <c r="L1322" s="9">
        <f>IF(OR(RawWorking[[#This Row],[ShipDate]]="",RawWorking[[#This Row],[DeliveryDate]]=""),"",RawWorking[[#This Row],[DeliveryDate]]-RawWorking[[#This Row],[ShipDate]])</f>
        <v>5</v>
      </c>
      <c r="M1322" s="9">
        <f>IF(COUNTIF(INDEX(RawWorking[OrderID],1):RawWorking[[#This Row],[OrderID]],RawWorking[[#This Row],[OrderID]])=1,1,0)</f>
        <v>1</v>
      </c>
      <c r="N1322" s="4">
        <f>IFERROR(RawWorking[[#This Row],[LineAmount]]/RawWorking[[#This Row],[Quantity]],"")</f>
        <v>40.28</v>
      </c>
    </row>
    <row r="1323" spans="1:14">
      <c r="A1323">
        <v>51322</v>
      </c>
      <c r="B1323">
        <v>30766</v>
      </c>
      <c r="C1323" s="2">
        <v>45975</v>
      </c>
      <c r="D1323">
        <v>2106</v>
      </c>
      <c r="E1323">
        <v>1009</v>
      </c>
      <c r="F1323">
        <v>1</v>
      </c>
      <c r="G1323">
        <v>40.28</v>
      </c>
      <c r="H1323" s="2">
        <v>45976</v>
      </c>
      <c r="I1323" s="2">
        <v>45978</v>
      </c>
      <c r="J1323" t="s">
        <v>9</v>
      </c>
      <c r="K1323" s="2" t="str">
        <f>IFERROR(INDEX(Product_lookup[Category],MATCH(RawWorking[[#This Row],[ProductID]],Product_lookup[ProductID],0)),"")</f>
        <v>Home</v>
      </c>
      <c r="L1323" s="9">
        <f>IF(OR(RawWorking[[#This Row],[ShipDate]]="",RawWorking[[#This Row],[DeliveryDate]]=""),"",RawWorking[[#This Row],[DeliveryDate]]-RawWorking[[#This Row],[ShipDate]])</f>
        <v>2</v>
      </c>
      <c r="M1323" s="9">
        <f>IF(COUNTIF(INDEX(RawWorking[OrderID],1):RawWorking[[#This Row],[OrderID]],RawWorking[[#This Row],[OrderID]])=1,1,0)</f>
        <v>0</v>
      </c>
      <c r="N1323" s="4">
        <f>IFERROR(RawWorking[[#This Row],[LineAmount]]/RawWorking[[#This Row],[Quantity]],"")</f>
        <v>40.28</v>
      </c>
    </row>
    <row r="1324" spans="1:14">
      <c r="A1324">
        <v>51323</v>
      </c>
      <c r="B1324">
        <v>30766</v>
      </c>
      <c r="C1324" s="2">
        <v>45975</v>
      </c>
      <c r="D1324">
        <v>2106</v>
      </c>
      <c r="E1324">
        <v>1006</v>
      </c>
      <c r="F1324">
        <v>1</v>
      </c>
      <c r="G1324">
        <v>253.86</v>
      </c>
      <c r="H1324" s="2">
        <v>45978</v>
      </c>
      <c r="I1324" s="2">
        <v>45981</v>
      </c>
      <c r="J1324" t="s">
        <v>9</v>
      </c>
      <c r="K1324" s="2" t="str">
        <f>IFERROR(INDEX(Product_lookup[Category],MATCH(RawWorking[[#This Row],[ProductID]],Product_lookup[ProductID],0)),"")</f>
        <v>Home</v>
      </c>
      <c r="L1324" s="9">
        <f>IF(OR(RawWorking[[#This Row],[ShipDate]]="",RawWorking[[#This Row],[DeliveryDate]]=""),"",RawWorking[[#This Row],[DeliveryDate]]-RawWorking[[#This Row],[ShipDate]])</f>
        <v>3</v>
      </c>
      <c r="M1324" s="9">
        <f>IF(COUNTIF(INDEX(RawWorking[OrderID],1):RawWorking[[#This Row],[OrderID]],RawWorking[[#This Row],[OrderID]])=1,1,0)</f>
        <v>0</v>
      </c>
      <c r="N1324" s="4">
        <f>IFERROR(RawWorking[[#This Row],[LineAmount]]/RawWorking[[#This Row],[Quantity]],"")</f>
        <v>253.86</v>
      </c>
    </row>
    <row r="1325" spans="1:14">
      <c r="A1325">
        <v>51324</v>
      </c>
      <c r="B1325">
        <v>30767</v>
      </c>
      <c r="C1325" s="2">
        <v>45818</v>
      </c>
      <c r="D1325">
        <v>2386</v>
      </c>
      <c r="E1325">
        <v>1012</v>
      </c>
      <c r="F1325">
        <v>1</v>
      </c>
      <c r="G1325">
        <v>241.54</v>
      </c>
      <c r="H1325" s="2">
        <v>45821</v>
      </c>
      <c r="I1325" s="2">
        <v>45824</v>
      </c>
      <c r="J1325" t="s">
        <v>9</v>
      </c>
      <c r="K1325" s="2" t="str">
        <f>IFERROR(INDEX(Product_lookup[Category],MATCH(RawWorking[[#This Row],[ProductID]],Product_lookup[ProductID],0)),"")</f>
        <v>Office</v>
      </c>
      <c r="L1325" s="9">
        <f>IF(OR(RawWorking[[#This Row],[ShipDate]]="",RawWorking[[#This Row],[DeliveryDate]]=""),"",RawWorking[[#This Row],[DeliveryDate]]-RawWorking[[#This Row],[ShipDate]])</f>
        <v>3</v>
      </c>
      <c r="M1325" s="9">
        <f>IF(COUNTIF(INDEX(RawWorking[OrderID],1):RawWorking[[#This Row],[OrderID]],RawWorking[[#This Row],[OrderID]])=1,1,0)</f>
        <v>1</v>
      </c>
      <c r="N1325" s="4">
        <f>IFERROR(RawWorking[[#This Row],[LineAmount]]/RawWorking[[#This Row],[Quantity]],"")</f>
        <v>241.54</v>
      </c>
    </row>
    <row r="1326" spans="1:14">
      <c r="A1326">
        <v>51325</v>
      </c>
      <c r="B1326">
        <v>30768</v>
      </c>
      <c r="C1326" s="2">
        <v>45747</v>
      </c>
      <c r="D1326">
        <v>2080</v>
      </c>
      <c r="E1326">
        <v>1013</v>
      </c>
      <c r="F1326">
        <v>1</v>
      </c>
      <c r="G1326">
        <v>170.25</v>
      </c>
      <c r="H1326" s="2">
        <v>45749</v>
      </c>
      <c r="I1326" s="2">
        <v>45756</v>
      </c>
      <c r="J1326" t="s">
        <v>9</v>
      </c>
      <c r="K1326" s="2" t="str">
        <f>IFERROR(INDEX(Product_lookup[Category],MATCH(RawWorking[[#This Row],[ProductID]],Product_lookup[ProductID],0)),"")</f>
        <v>Office</v>
      </c>
      <c r="L1326" s="9">
        <f>IF(OR(RawWorking[[#This Row],[ShipDate]]="",RawWorking[[#This Row],[DeliveryDate]]=""),"",RawWorking[[#This Row],[DeliveryDate]]-RawWorking[[#This Row],[ShipDate]])</f>
        <v>7</v>
      </c>
      <c r="M1326" s="9">
        <f>IF(COUNTIF(INDEX(RawWorking[OrderID],1):RawWorking[[#This Row],[OrderID]],RawWorking[[#This Row],[OrderID]])=1,1,0)</f>
        <v>1</v>
      </c>
      <c r="N1326" s="4">
        <f>IFERROR(RawWorking[[#This Row],[LineAmount]]/RawWorking[[#This Row],[Quantity]],"")</f>
        <v>170.25</v>
      </c>
    </row>
    <row r="1327" spans="1:14">
      <c r="A1327">
        <v>51326</v>
      </c>
      <c r="B1327">
        <v>30769</v>
      </c>
      <c r="C1327" s="2">
        <v>45803</v>
      </c>
      <c r="D1327">
        <v>2229</v>
      </c>
      <c r="E1327">
        <v>1012</v>
      </c>
      <c r="F1327">
        <v>3</v>
      </c>
      <c r="G1327">
        <v>724.62</v>
      </c>
      <c r="H1327" s="2">
        <v>45804</v>
      </c>
      <c r="I1327" s="2">
        <v>45814</v>
      </c>
      <c r="J1327" t="s">
        <v>9</v>
      </c>
      <c r="K1327" s="2" t="str">
        <f>IFERROR(INDEX(Product_lookup[Category],MATCH(RawWorking[[#This Row],[ProductID]],Product_lookup[ProductID],0)),"")</f>
        <v>Office</v>
      </c>
      <c r="L1327" s="9">
        <f>IF(OR(RawWorking[[#This Row],[ShipDate]]="",RawWorking[[#This Row],[DeliveryDate]]=""),"",RawWorking[[#This Row],[DeliveryDate]]-RawWorking[[#This Row],[ShipDate]])</f>
        <v>10</v>
      </c>
      <c r="M1327" s="9">
        <f>IF(COUNTIF(INDEX(RawWorking[OrderID],1):RawWorking[[#This Row],[OrderID]],RawWorking[[#This Row],[OrderID]])=1,1,0)</f>
        <v>1</v>
      </c>
      <c r="N1327" s="4">
        <f>IFERROR(RawWorking[[#This Row],[LineAmount]]/RawWorking[[#This Row],[Quantity]],"")</f>
        <v>241.54</v>
      </c>
    </row>
    <row r="1328" spans="1:14">
      <c r="A1328">
        <v>51327</v>
      </c>
      <c r="B1328">
        <v>30769</v>
      </c>
      <c r="C1328" s="2">
        <v>45803</v>
      </c>
      <c r="D1328">
        <v>2229</v>
      </c>
      <c r="E1328">
        <v>1012</v>
      </c>
      <c r="F1328">
        <v>2</v>
      </c>
      <c r="G1328">
        <v>483.08</v>
      </c>
      <c r="H1328" s="2">
        <v>45805</v>
      </c>
      <c r="I1328" s="2">
        <v>45810</v>
      </c>
      <c r="J1328" t="s">
        <v>9</v>
      </c>
      <c r="K1328" s="2" t="str">
        <f>IFERROR(INDEX(Product_lookup[Category],MATCH(RawWorking[[#This Row],[ProductID]],Product_lookup[ProductID],0)),"")</f>
        <v>Office</v>
      </c>
      <c r="L1328" s="9">
        <f>IF(OR(RawWorking[[#This Row],[ShipDate]]="",RawWorking[[#This Row],[DeliveryDate]]=""),"",RawWorking[[#This Row],[DeliveryDate]]-RawWorking[[#This Row],[ShipDate]])</f>
        <v>5</v>
      </c>
      <c r="M1328" s="9">
        <f>IF(COUNTIF(INDEX(RawWorking[OrderID],1):RawWorking[[#This Row],[OrderID]],RawWorking[[#This Row],[OrderID]])=1,1,0)</f>
        <v>0</v>
      </c>
      <c r="N1328" s="4">
        <f>IFERROR(RawWorking[[#This Row],[LineAmount]]/RawWorking[[#This Row],[Quantity]],"")</f>
        <v>241.54</v>
      </c>
    </row>
    <row r="1329" spans="1:14">
      <c r="A1329">
        <v>51328</v>
      </c>
      <c r="B1329">
        <v>30770</v>
      </c>
      <c r="C1329" s="2">
        <v>45791</v>
      </c>
      <c r="D1329">
        <v>2499</v>
      </c>
      <c r="E1329">
        <v>1001</v>
      </c>
      <c r="F1329">
        <v>1</v>
      </c>
      <c r="G1329">
        <v>203.04</v>
      </c>
      <c r="H1329" s="2" t="s">
        <v>1421</v>
      </c>
      <c r="I1329" s="2" t="s">
        <v>1421</v>
      </c>
      <c r="J1329" t="s">
        <v>16</v>
      </c>
      <c r="K1329" s="2" t="str">
        <f>IFERROR(INDEX(Product_lookup[Category],MATCH(RawWorking[[#This Row],[ProductID]],Product_lookup[ProductID],0)),"")</f>
        <v>Electronics</v>
      </c>
      <c r="L1329" s="9" t="str">
        <f>IF(OR(RawWorking[[#This Row],[ShipDate]]="",RawWorking[[#This Row],[DeliveryDate]]=""),"",RawWorking[[#This Row],[DeliveryDate]]-RawWorking[[#This Row],[ShipDate]])</f>
        <v/>
      </c>
      <c r="M1329" s="9">
        <f>IF(COUNTIF(INDEX(RawWorking[OrderID],1):RawWorking[[#This Row],[OrderID]],RawWorking[[#This Row],[OrderID]])=1,1,0)</f>
        <v>1</v>
      </c>
      <c r="N1329" s="4">
        <f>IFERROR(RawWorking[[#This Row],[LineAmount]]/RawWorking[[#This Row],[Quantity]],"")</f>
        <v>203.04</v>
      </c>
    </row>
    <row r="1330" spans="1:14">
      <c r="A1330">
        <v>51329</v>
      </c>
      <c r="B1330">
        <v>30771</v>
      </c>
      <c r="C1330" s="2">
        <v>45761</v>
      </c>
      <c r="D1330">
        <v>2143</v>
      </c>
      <c r="E1330">
        <v>1008</v>
      </c>
      <c r="F1330">
        <v>1</v>
      </c>
      <c r="G1330">
        <v>206.09</v>
      </c>
      <c r="H1330" s="2">
        <v>45764</v>
      </c>
      <c r="I1330" s="2">
        <v>45772</v>
      </c>
      <c r="J1330" t="s">
        <v>9</v>
      </c>
      <c r="K1330" s="2" t="str">
        <f>IFERROR(INDEX(Product_lookup[Category],MATCH(RawWorking[[#This Row],[ProductID]],Product_lookup[ProductID],0)),"")</f>
        <v>Home</v>
      </c>
      <c r="L1330" s="9">
        <f>IF(OR(RawWorking[[#This Row],[ShipDate]]="",RawWorking[[#This Row],[DeliveryDate]]=""),"",RawWorking[[#This Row],[DeliveryDate]]-RawWorking[[#This Row],[ShipDate]])</f>
        <v>8</v>
      </c>
      <c r="M1330" s="9">
        <f>IF(COUNTIF(INDEX(RawWorking[OrderID],1):RawWorking[[#This Row],[OrderID]],RawWorking[[#This Row],[OrderID]])=1,1,0)</f>
        <v>1</v>
      </c>
      <c r="N1330" s="4">
        <f>IFERROR(RawWorking[[#This Row],[LineAmount]]/RawWorking[[#This Row],[Quantity]],"")</f>
        <v>206.09</v>
      </c>
    </row>
    <row r="1331" spans="1:14">
      <c r="A1331">
        <v>51330</v>
      </c>
      <c r="B1331">
        <v>30771</v>
      </c>
      <c r="C1331" s="2">
        <v>45761</v>
      </c>
      <c r="D1331">
        <v>2143</v>
      </c>
      <c r="E1331">
        <v>1003</v>
      </c>
      <c r="F1331">
        <v>3</v>
      </c>
      <c r="G1331">
        <v>673.11</v>
      </c>
      <c r="H1331" s="2">
        <v>45763</v>
      </c>
      <c r="I1331" s="2">
        <v>45768</v>
      </c>
      <c r="J1331" t="s">
        <v>9</v>
      </c>
      <c r="K1331" s="2" t="str">
        <f>IFERROR(INDEX(Product_lookup[Category],MATCH(RawWorking[[#This Row],[ProductID]],Product_lookup[ProductID],0)),"")</f>
        <v>Electronics</v>
      </c>
      <c r="L1331" s="9">
        <f>IF(OR(RawWorking[[#This Row],[ShipDate]]="",RawWorking[[#This Row],[DeliveryDate]]=""),"",RawWorking[[#This Row],[DeliveryDate]]-RawWorking[[#This Row],[ShipDate]])</f>
        <v>5</v>
      </c>
      <c r="M1331" s="9">
        <f>IF(COUNTIF(INDEX(RawWorking[OrderID],1):RawWorking[[#This Row],[OrderID]],RawWorking[[#This Row],[OrderID]])=1,1,0)</f>
        <v>0</v>
      </c>
      <c r="N1331" s="4">
        <f>IFERROR(RawWorking[[#This Row],[LineAmount]]/RawWorking[[#This Row],[Quantity]],"")</f>
        <v>224.37</v>
      </c>
    </row>
    <row r="1332" spans="1:14">
      <c r="A1332">
        <v>51331</v>
      </c>
      <c r="B1332">
        <v>30772</v>
      </c>
      <c r="C1332" s="2">
        <v>45901</v>
      </c>
      <c r="D1332">
        <v>2527</v>
      </c>
      <c r="E1332">
        <v>1007</v>
      </c>
      <c r="F1332">
        <v>3</v>
      </c>
      <c r="G1332">
        <v>599.42999999999995</v>
      </c>
      <c r="H1332" s="2">
        <v>45902</v>
      </c>
      <c r="I1332" s="2">
        <v>45909</v>
      </c>
      <c r="J1332" t="s">
        <v>9</v>
      </c>
      <c r="K1332" s="2" t="str">
        <f>IFERROR(INDEX(Product_lookup[Category],MATCH(RawWorking[[#This Row],[ProductID]],Product_lookup[ProductID],0)),"")</f>
        <v>Home</v>
      </c>
      <c r="L1332" s="9">
        <f>IF(OR(RawWorking[[#This Row],[ShipDate]]="",RawWorking[[#This Row],[DeliveryDate]]=""),"",RawWorking[[#This Row],[DeliveryDate]]-RawWorking[[#This Row],[ShipDate]])</f>
        <v>7</v>
      </c>
      <c r="M1332" s="9">
        <f>IF(COUNTIF(INDEX(RawWorking[OrderID],1):RawWorking[[#This Row],[OrderID]],RawWorking[[#This Row],[OrderID]])=1,1,0)</f>
        <v>1</v>
      </c>
      <c r="N1332" s="4">
        <f>IFERROR(RawWorking[[#This Row],[LineAmount]]/RawWorking[[#This Row],[Quantity]],"")</f>
        <v>199.80999999999997</v>
      </c>
    </row>
    <row r="1333" spans="1:14">
      <c r="A1333">
        <v>51332</v>
      </c>
      <c r="B1333">
        <v>30772</v>
      </c>
      <c r="C1333" s="2">
        <v>45666</v>
      </c>
      <c r="D1333">
        <v>2527</v>
      </c>
      <c r="E1333">
        <v>1005</v>
      </c>
      <c r="F1333">
        <v>2</v>
      </c>
      <c r="G1333">
        <v>63.46</v>
      </c>
      <c r="H1333" s="2">
        <v>45697</v>
      </c>
      <c r="I1333" s="2">
        <v>45904</v>
      </c>
      <c r="J1333" t="s">
        <v>9</v>
      </c>
      <c r="K1333" s="2" t="str">
        <f>IFERROR(INDEX(Product_lookup[Category],MATCH(RawWorking[[#This Row],[ProductID]],Product_lookup[ProductID],0)),"")</f>
        <v>Electronics</v>
      </c>
      <c r="L1333" s="9">
        <f>IF(OR(RawWorking[[#This Row],[ShipDate]]="",RawWorking[[#This Row],[DeliveryDate]]=""),"",RawWorking[[#This Row],[DeliveryDate]]-RawWorking[[#This Row],[ShipDate]])</f>
        <v>207</v>
      </c>
      <c r="M1333" s="9">
        <f>IF(COUNTIF(INDEX(RawWorking[OrderID],1):RawWorking[[#This Row],[OrderID]],RawWorking[[#This Row],[OrderID]])=1,1,0)</f>
        <v>0</v>
      </c>
      <c r="N1333" s="4">
        <f>IFERROR(RawWorking[[#This Row],[LineAmount]]/RawWorking[[#This Row],[Quantity]],"")</f>
        <v>31.73</v>
      </c>
    </row>
    <row r="1334" spans="1:14">
      <c r="A1334">
        <v>51333</v>
      </c>
      <c r="B1334">
        <v>30773</v>
      </c>
      <c r="C1334" s="2">
        <v>45732</v>
      </c>
      <c r="D1334">
        <v>2192</v>
      </c>
      <c r="E1334">
        <v>1004</v>
      </c>
      <c r="F1334">
        <v>2</v>
      </c>
      <c r="G1334">
        <v>367.48</v>
      </c>
      <c r="H1334" s="2">
        <v>45733</v>
      </c>
      <c r="I1334" s="2">
        <v>45741</v>
      </c>
      <c r="J1334" t="s">
        <v>9</v>
      </c>
      <c r="K1334" s="2" t="str">
        <f>IFERROR(INDEX(Product_lookup[Category],MATCH(RawWorking[[#This Row],[ProductID]],Product_lookup[ProductID],0)),"")</f>
        <v>Electronics</v>
      </c>
      <c r="L1334" s="9">
        <f>IF(OR(RawWorking[[#This Row],[ShipDate]]="",RawWorking[[#This Row],[DeliveryDate]]=""),"",RawWorking[[#This Row],[DeliveryDate]]-RawWorking[[#This Row],[ShipDate]])</f>
        <v>8</v>
      </c>
      <c r="M1334" s="9">
        <f>IF(COUNTIF(INDEX(RawWorking[OrderID],1):RawWorking[[#This Row],[OrderID]],RawWorking[[#This Row],[OrderID]])=1,1,0)</f>
        <v>1</v>
      </c>
      <c r="N1334" s="4">
        <f>IFERROR(RawWorking[[#This Row],[LineAmount]]/RawWorking[[#This Row],[Quantity]],"")</f>
        <v>183.74</v>
      </c>
    </row>
    <row r="1335" spans="1:14">
      <c r="A1335">
        <v>51334</v>
      </c>
      <c r="B1335">
        <v>30773</v>
      </c>
      <c r="C1335" s="2">
        <v>45732</v>
      </c>
      <c r="D1335">
        <v>2192</v>
      </c>
      <c r="E1335">
        <v>1008</v>
      </c>
      <c r="F1335">
        <v>2</v>
      </c>
      <c r="G1335">
        <v>412.18</v>
      </c>
      <c r="H1335" s="2">
        <v>45734</v>
      </c>
      <c r="I1335" s="2">
        <v>45738</v>
      </c>
      <c r="J1335" t="s">
        <v>9</v>
      </c>
      <c r="K1335" s="2" t="str">
        <f>IFERROR(INDEX(Product_lookup[Category],MATCH(RawWorking[[#This Row],[ProductID]],Product_lookup[ProductID],0)),"")</f>
        <v>Home</v>
      </c>
      <c r="L1335" s="9">
        <f>IF(OR(RawWorking[[#This Row],[ShipDate]]="",RawWorking[[#This Row],[DeliveryDate]]=""),"",RawWorking[[#This Row],[DeliveryDate]]-RawWorking[[#This Row],[ShipDate]])</f>
        <v>4</v>
      </c>
      <c r="M1335" s="9">
        <f>IF(COUNTIF(INDEX(RawWorking[OrderID],1):RawWorking[[#This Row],[OrderID]],RawWorking[[#This Row],[OrderID]])=1,1,0)</f>
        <v>0</v>
      </c>
      <c r="N1335" s="4">
        <f>IFERROR(RawWorking[[#This Row],[LineAmount]]/RawWorking[[#This Row],[Quantity]],"")</f>
        <v>206.09</v>
      </c>
    </row>
    <row r="1336" spans="1:14">
      <c r="A1336">
        <v>51335</v>
      </c>
      <c r="B1336">
        <v>30773</v>
      </c>
      <c r="C1336" s="2">
        <v>45732</v>
      </c>
      <c r="D1336">
        <v>2192</v>
      </c>
      <c r="E1336">
        <v>1014</v>
      </c>
      <c r="F1336">
        <v>3</v>
      </c>
      <c r="G1336">
        <v>646.02</v>
      </c>
      <c r="H1336" s="2">
        <v>45733</v>
      </c>
      <c r="I1336" s="2">
        <v>45734</v>
      </c>
      <c r="J1336" t="s">
        <v>9</v>
      </c>
      <c r="K1336" s="2" t="str">
        <f>IFERROR(INDEX(Product_lookup[Category],MATCH(RawWorking[[#This Row],[ProductID]],Product_lookup[ProductID],0)),"")</f>
        <v>Sports</v>
      </c>
      <c r="L1336" s="9">
        <f>IF(OR(RawWorking[[#This Row],[ShipDate]]="",RawWorking[[#This Row],[DeliveryDate]]=""),"",RawWorking[[#This Row],[DeliveryDate]]-RawWorking[[#This Row],[ShipDate]])</f>
        <v>1</v>
      </c>
      <c r="M1336" s="9">
        <f>IF(COUNTIF(INDEX(RawWorking[OrderID],1):RawWorking[[#This Row],[OrderID]],RawWorking[[#This Row],[OrderID]])=1,1,0)</f>
        <v>0</v>
      </c>
      <c r="N1336" s="4">
        <f>IFERROR(RawWorking[[#This Row],[LineAmount]]/RawWorking[[#This Row],[Quantity]],"")</f>
        <v>215.34</v>
      </c>
    </row>
    <row r="1337" spans="1:14">
      <c r="A1337">
        <v>51336</v>
      </c>
      <c r="B1337">
        <v>30773</v>
      </c>
      <c r="C1337" s="2">
        <v>45732</v>
      </c>
      <c r="D1337">
        <v>2192</v>
      </c>
      <c r="E1337">
        <v>1011</v>
      </c>
      <c r="F1337">
        <v>2</v>
      </c>
      <c r="G1337">
        <v>202.88</v>
      </c>
      <c r="H1337" s="2">
        <v>45733</v>
      </c>
      <c r="I1337" s="2">
        <v>45739</v>
      </c>
      <c r="J1337" t="s">
        <v>9</v>
      </c>
      <c r="K1337" s="2" t="str">
        <f>IFERROR(INDEX(Product_lookup[Category],MATCH(RawWorking[[#This Row],[ProductID]],Product_lookup[ProductID],0)),"")</f>
        <v>Office</v>
      </c>
      <c r="L1337" s="9">
        <f>IF(OR(RawWorking[[#This Row],[ShipDate]]="",RawWorking[[#This Row],[DeliveryDate]]=""),"",RawWorking[[#This Row],[DeliveryDate]]-RawWorking[[#This Row],[ShipDate]])</f>
        <v>6</v>
      </c>
      <c r="M1337" s="9">
        <f>IF(COUNTIF(INDEX(RawWorking[OrderID],1):RawWorking[[#This Row],[OrderID]],RawWorking[[#This Row],[OrderID]])=1,1,0)</f>
        <v>0</v>
      </c>
      <c r="N1337" s="4">
        <f>IFERROR(RawWorking[[#This Row],[LineAmount]]/RawWorking[[#This Row],[Quantity]],"")</f>
        <v>101.44</v>
      </c>
    </row>
    <row r="1338" spans="1:14">
      <c r="A1338">
        <v>51337</v>
      </c>
      <c r="B1338">
        <v>30774</v>
      </c>
      <c r="C1338" s="2">
        <v>45853</v>
      </c>
      <c r="D1338">
        <v>2117</v>
      </c>
      <c r="E1338">
        <v>1016</v>
      </c>
      <c r="F1338">
        <v>1</v>
      </c>
      <c r="G1338">
        <v>65.260000000000005</v>
      </c>
      <c r="H1338" s="2">
        <v>45854</v>
      </c>
      <c r="I1338" s="2">
        <v>45863</v>
      </c>
      <c r="J1338" t="s">
        <v>9</v>
      </c>
      <c r="K1338" s="2" t="str">
        <f>IFERROR(INDEX(Product_lookup[Category],MATCH(RawWorking[[#This Row],[ProductID]],Product_lookup[ProductID],0)),"")</f>
        <v>Sports</v>
      </c>
      <c r="L1338" s="9">
        <f>IF(OR(RawWorking[[#This Row],[ShipDate]]="",RawWorking[[#This Row],[DeliveryDate]]=""),"",RawWorking[[#This Row],[DeliveryDate]]-RawWorking[[#This Row],[ShipDate]])</f>
        <v>9</v>
      </c>
      <c r="M1338" s="9">
        <f>IF(COUNTIF(INDEX(RawWorking[OrderID],1):RawWorking[[#This Row],[OrderID]],RawWorking[[#This Row],[OrderID]])=1,1,0)</f>
        <v>1</v>
      </c>
      <c r="N1338" s="4">
        <f>IFERROR(RawWorking[[#This Row],[LineAmount]]/RawWorking[[#This Row],[Quantity]],"")</f>
        <v>65.260000000000005</v>
      </c>
    </row>
    <row r="1339" spans="1:14">
      <c r="A1339">
        <v>51338</v>
      </c>
      <c r="B1339">
        <v>30775</v>
      </c>
      <c r="C1339" s="2">
        <v>45898</v>
      </c>
      <c r="D1339">
        <v>2491</v>
      </c>
      <c r="E1339">
        <v>1006</v>
      </c>
      <c r="F1339">
        <v>2</v>
      </c>
      <c r="G1339">
        <v>507.72</v>
      </c>
      <c r="H1339" s="2">
        <v>45899</v>
      </c>
      <c r="I1339" s="2">
        <v>45902</v>
      </c>
      <c r="J1339" t="s">
        <v>9</v>
      </c>
      <c r="K1339" s="2" t="str">
        <f>IFERROR(INDEX(Product_lookup[Category],MATCH(RawWorking[[#This Row],[ProductID]],Product_lookup[ProductID],0)),"")</f>
        <v>Home</v>
      </c>
      <c r="L1339" s="9">
        <f>IF(OR(RawWorking[[#This Row],[ShipDate]]="",RawWorking[[#This Row],[DeliveryDate]]=""),"",RawWorking[[#This Row],[DeliveryDate]]-RawWorking[[#This Row],[ShipDate]])</f>
        <v>3</v>
      </c>
      <c r="M1339" s="9">
        <f>IF(COUNTIF(INDEX(RawWorking[OrderID],1):RawWorking[[#This Row],[OrderID]],RawWorking[[#This Row],[OrderID]])=1,1,0)</f>
        <v>1</v>
      </c>
      <c r="N1339" s="4">
        <f>IFERROR(RawWorking[[#This Row],[LineAmount]]/RawWorking[[#This Row],[Quantity]],"")</f>
        <v>253.86</v>
      </c>
    </row>
    <row r="1340" spans="1:14">
      <c r="A1340">
        <v>51339</v>
      </c>
      <c r="B1340">
        <v>30776</v>
      </c>
      <c r="C1340" s="2">
        <v>45785</v>
      </c>
      <c r="D1340">
        <v>2421</v>
      </c>
      <c r="E1340">
        <v>1002</v>
      </c>
      <c r="F1340">
        <v>1</v>
      </c>
      <c r="G1340">
        <v>118.6</v>
      </c>
      <c r="H1340" s="2">
        <v>45787</v>
      </c>
      <c r="I1340" s="2">
        <v>45796</v>
      </c>
      <c r="J1340" t="s">
        <v>9</v>
      </c>
      <c r="K1340" s="2" t="str">
        <f>IFERROR(INDEX(Product_lookup[Category],MATCH(RawWorking[[#This Row],[ProductID]],Product_lookup[ProductID],0)),"")</f>
        <v>Electronics</v>
      </c>
      <c r="L1340" s="9">
        <f>IF(OR(RawWorking[[#This Row],[ShipDate]]="",RawWorking[[#This Row],[DeliveryDate]]=""),"",RawWorking[[#This Row],[DeliveryDate]]-RawWorking[[#This Row],[ShipDate]])</f>
        <v>9</v>
      </c>
      <c r="M1340" s="9">
        <f>IF(COUNTIF(INDEX(RawWorking[OrderID],1):RawWorking[[#This Row],[OrderID]],RawWorking[[#This Row],[OrderID]])=1,1,0)</f>
        <v>1</v>
      </c>
      <c r="N1340" s="4">
        <f>IFERROR(RawWorking[[#This Row],[LineAmount]]/RawWorking[[#This Row],[Quantity]],"")</f>
        <v>118.6</v>
      </c>
    </row>
    <row r="1341" spans="1:14">
      <c r="A1341">
        <v>51340</v>
      </c>
      <c r="B1341">
        <v>30777</v>
      </c>
      <c r="C1341" s="2">
        <v>45936</v>
      </c>
      <c r="D1341">
        <v>2131</v>
      </c>
      <c r="E1341">
        <v>1006</v>
      </c>
      <c r="F1341">
        <v>1</v>
      </c>
      <c r="G1341">
        <v>253.86</v>
      </c>
      <c r="H1341" s="2">
        <v>45937</v>
      </c>
      <c r="I1341" s="2">
        <v>45943</v>
      </c>
      <c r="J1341" t="s">
        <v>9</v>
      </c>
      <c r="K1341" s="2" t="str">
        <f>IFERROR(INDEX(Product_lookup[Category],MATCH(RawWorking[[#This Row],[ProductID]],Product_lookup[ProductID],0)),"")</f>
        <v>Home</v>
      </c>
      <c r="L1341" s="9">
        <f>IF(OR(RawWorking[[#This Row],[ShipDate]]="",RawWorking[[#This Row],[DeliveryDate]]=""),"",RawWorking[[#This Row],[DeliveryDate]]-RawWorking[[#This Row],[ShipDate]])</f>
        <v>6</v>
      </c>
      <c r="M1341" s="9">
        <f>IF(COUNTIF(INDEX(RawWorking[OrderID],1):RawWorking[[#This Row],[OrderID]],RawWorking[[#This Row],[OrderID]])=1,1,0)</f>
        <v>1</v>
      </c>
      <c r="N1341" s="4">
        <f>IFERROR(RawWorking[[#This Row],[LineAmount]]/RawWorking[[#This Row],[Quantity]],"")</f>
        <v>253.86</v>
      </c>
    </row>
    <row r="1342" spans="1:14">
      <c r="A1342">
        <v>51341</v>
      </c>
      <c r="B1342">
        <v>30778</v>
      </c>
      <c r="C1342" s="2">
        <v>45732</v>
      </c>
      <c r="D1342">
        <v>2138</v>
      </c>
      <c r="E1342">
        <v>1002</v>
      </c>
      <c r="F1342">
        <v>1</v>
      </c>
      <c r="G1342">
        <v>118.6</v>
      </c>
      <c r="H1342" s="2">
        <v>45734</v>
      </c>
      <c r="I1342" s="2">
        <v>45736</v>
      </c>
      <c r="J1342" t="s">
        <v>9</v>
      </c>
      <c r="K1342" s="2" t="str">
        <f>IFERROR(INDEX(Product_lookup[Category],MATCH(RawWorking[[#This Row],[ProductID]],Product_lookup[ProductID],0)),"")</f>
        <v>Electronics</v>
      </c>
      <c r="L1342" s="9">
        <f>IF(OR(RawWorking[[#This Row],[ShipDate]]="",RawWorking[[#This Row],[DeliveryDate]]=""),"",RawWorking[[#This Row],[DeliveryDate]]-RawWorking[[#This Row],[ShipDate]])</f>
        <v>2</v>
      </c>
      <c r="M1342" s="9">
        <f>IF(COUNTIF(INDEX(RawWorking[OrderID],1):RawWorking[[#This Row],[OrderID]],RawWorking[[#This Row],[OrderID]])=1,1,0)</f>
        <v>1</v>
      </c>
      <c r="N1342" s="4">
        <f>IFERROR(RawWorking[[#This Row],[LineAmount]]/RawWorking[[#This Row],[Quantity]],"")</f>
        <v>118.6</v>
      </c>
    </row>
    <row r="1343" spans="1:14">
      <c r="A1343">
        <v>51342</v>
      </c>
      <c r="B1343">
        <v>30779</v>
      </c>
      <c r="C1343" s="2">
        <v>45982</v>
      </c>
      <c r="D1343">
        <v>2587</v>
      </c>
      <c r="E1343">
        <v>1006</v>
      </c>
      <c r="F1343">
        <v>1</v>
      </c>
      <c r="G1343">
        <v>253.86</v>
      </c>
      <c r="H1343" s="2">
        <v>45984</v>
      </c>
      <c r="I1343" s="2">
        <v>45987</v>
      </c>
      <c r="J1343" t="s">
        <v>9</v>
      </c>
      <c r="K1343" s="2" t="str">
        <f>IFERROR(INDEX(Product_lookup[Category],MATCH(RawWorking[[#This Row],[ProductID]],Product_lookup[ProductID],0)),"")</f>
        <v>Home</v>
      </c>
      <c r="L1343" s="9">
        <f>IF(OR(RawWorking[[#This Row],[ShipDate]]="",RawWorking[[#This Row],[DeliveryDate]]=""),"",RawWorking[[#This Row],[DeliveryDate]]-RawWorking[[#This Row],[ShipDate]])</f>
        <v>3</v>
      </c>
      <c r="M1343" s="9">
        <f>IF(COUNTIF(INDEX(RawWorking[OrderID],1):RawWorking[[#This Row],[OrderID]],RawWorking[[#This Row],[OrderID]])=1,1,0)</f>
        <v>1</v>
      </c>
      <c r="N1343" s="4">
        <f>IFERROR(RawWorking[[#This Row],[LineAmount]]/RawWorking[[#This Row],[Quantity]],"")</f>
        <v>253.86</v>
      </c>
    </row>
    <row r="1344" spans="1:14">
      <c r="A1344">
        <v>51343</v>
      </c>
      <c r="B1344">
        <v>30779</v>
      </c>
      <c r="C1344" s="2">
        <v>45982</v>
      </c>
      <c r="D1344">
        <v>2587</v>
      </c>
      <c r="E1344">
        <v>1009</v>
      </c>
      <c r="F1344">
        <v>3</v>
      </c>
      <c r="G1344">
        <v>120.84</v>
      </c>
      <c r="H1344" s="2">
        <v>45983</v>
      </c>
      <c r="I1344" s="2">
        <v>45988</v>
      </c>
      <c r="J1344" t="s">
        <v>9</v>
      </c>
      <c r="K1344" s="2" t="str">
        <f>IFERROR(INDEX(Product_lookup[Category],MATCH(RawWorking[[#This Row],[ProductID]],Product_lookup[ProductID],0)),"")</f>
        <v>Home</v>
      </c>
      <c r="L1344" s="9">
        <f>IF(OR(RawWorking[[#This Row],[ShipDate]]="",RawWorking[[#This Row],[DeliveryDate]]=""),"",RawWorking[[#This Row],[DeliveryDate]]-RawWorking[[#This Row],[ShipDate]])</f>
        <v>5</v>
      </c>
      <c r="M1344" s="9">
        <f>IF(COUNTIF(INDEX(RawWorking[OrderID],1):RawWorking[[#This Row],[OrderID]],RawWorking[[#This Row],[OrderID]])=1,1,0)</f>
        <v>0</v>
      </c>
      <c r="N1344" s="4">
        <f>IFERROR(RawWorking[[#This Row],[LineAmount]]/RawWorking[[#This Row],[Quantity]],"")</f>
        <v>40.28</v>
      </c>
    </row>
    <row r="1345" spans="1:14">
      <c r="A1345">
        <v>51344</v>
      </c>
      <c r="B1345">
        <v>30779</v>
      </c>
      <c r="C1345" s="2">
        <v>45982</v>
      </c>
      <c r="D1345">
        <v>2587</v>
      </c>
      <c r="E1345">
        <v>1006</v>
      </c>
      <c r="F1345">
        <v>2</v>
      </c>
      <c r="G1345">
        <v>507.72</v>
      </c>
      <c r="H1345" s="2">
        <v>45985</v>
      </c>
      <c r="I1345" s="2">
        <v>45989</v>
      </c>
      <c r="J1345" t="s">
        <v>9</v>
      </c>
      <c r="K1345" s="2" t="str">
        <f>IFERROR(INDEX(Product_lookup[Category],MATCH(RawWorking[[#This Row],[ProductID]],Product_lookup[ProductID],0)),"")</f>
        <v>Home</v>
      </c>
      <c r="L1345" s="9">
        <f>IF(OR(RawWorking[[#This Row],[ShipDate]]="",RawWorking[[#This Row],[DeliveryDate]]=""),"",RawWorking[[#This Row],[DeliveryDate]]-RawWorking[[#This Row],[ShipDate]])</f>
        <v>4</v>
      </c>
      <c r="M1345" s="9">
        <f>IF(COUNTIF(INDEX(RawWorking[OrderID],1):RawWorking[[#This Row],[OrderID]],RawWorking[[#This Row],[OrderID]])=1,1,0)</f>
        <v>0</v>
      </c>
      <c r="N1345" s="4">
        <f>IFERROR(RawWorking[[#This Row],[LineAmount]]/RawWorking[[#This Row],[Quantity]],"")</f>
        <v>253.86</v>
      </c>
    </row>
    <row r="1346" spans="1:14">
      <c r="A1346">
        <v>51345</v>
      </c>
      <c r="B1346">
        <v>30780</v>
      </c>
      <c r="C1346" s="2">
        <v>45745</v>
      </c>
      <c r="D1346">
        <v>2530</v>
      </c>
      <c r="E1346">
        <v>1001</v>
      </c>
      <c r="F1346">
        <v>1</v>
      </c>
      <c r="G1346">
        <v>203.04</v>
      </c>
      <c r="H1346" s="2">
        <v>45747</v>
      </c>
      <c r="I1346" s="2">
        <v>45749</v>
      </c>
      <c r="J1346" t="s">
        <v>11</v>
      </c>
      <c r="K1346" s="2" t="str">
        <f>IFERROR(INDEX(Product_lookup[Category],MATCH(RawWorking[[#This Row],[ProductID]],Product_lookup[ProductID],0)),"")</f>
        <v>Electronics</v>
      </c>
      <c r="L1346" s="9">
        <f>IF(OR(RawWorking[[#This Row],[ShipDate]]="",RawWorking[[#This Row],[DeliveryDate]]=""),"",RawWorking[[#This Row],[DeliveryDate]]-RawWorking[[#This Row],[ShipDate]])</f>
        <v>2</v>
      </c>
      <c r="M1346" s="9">
        <f>IF(COUNTIF(INDEX(RawWorking[OrderID],1):RawWorking[[#This Row],[OrderID]],RawWorking[[#This Row],[OrderID]])=1,1,0)</f>
        <v>1</v>
      </c>
      <c r="N1346" s="4">
        <f>IFERROR(RawWorking[[#This Row],[LineAmount]]/RawWorking[[#This Row],[Quantity]],"")</f>
        <v>203.04</v>
      </c>
    </row>
    <row r="1347" spans="1:14">
      <c r="A1347">
        <v>51346</v>
      </c>
      <c r="B1347">
        <v>30781</v>
      </c>
      <c r="C1347" s="2">
        <v>46011</v>
      </c>
      <c r="D1347">
        <v>2291</v>
      </c>
      <c r="E1347">
        <v>1007</v>
      </c>
      <c r="F1347">
        <v>1</v>
      </c>
      <c r="G1347">
        <v>199.81</v>
      </c>
      <c r="H1347" s="2">
        <v>46013</v>
      </c>
      <c r="I1347" s="2">
        <v>46022</v>
      </c>
      <c r="J1347" t="s">
        <v>11</v>
      </c>
      <c r="K1347" s="2" t="str">
        <f>IFERROR(INDEX(Product_lookup[Category],MATCH(RawWorking[[#This Row],[ProductID]],Product_lookup[ProductID],0)),"")</f>
        <v>Home</v>
      </c>
      <c r="L1347" s="9">
        <f>IF(OR(RawWorking[[#This Row],[ShipDate]]="",RawWorking[[#This Row],[DeliveryDate]]=""),"",RawWorking[[#This Row],[DeliveryDate]]-RawWorking[[#This Row],[ShipDate]])</f>
        <v>9</v>
      </c>
      <c r="M1347" s="9">
        <f>IF(COUNTIF(INDEX(RawWorking[OrderID],1):RawWorking[[#This Row],[OrderID]],RawWorking[[#This Row],[OrderID]])=1,1,0)</f>
        <v>1</v>
      </c>
      <c r="N1347" s="4">
        <f>IFERROR(RawWorking[[#This Row],[LineAmount]]/RawWorking[[#This Row],[Quantity]],"")</f>
        <v>199.81</v>
      </c>
    </row>
    <row r="1348" spans="1:14">
      <c r="A1348">
        <v>51347</v>
      </c>
      <c r="B1348">
        <v>30781</v>
      </c>
      <c r="C1348" s="2">
        <v>46011</v>
      </c>
      <c r="D1348">
        <v>2291</v>
      </c>
      <c r="E1348">
        <v>1015</v>
      </c>
      <c r="F1348">
        <v>1</v>
      </c>
      <c r="G1348">
        <v>119.74</v>
      </c>
      <c r="H1348" s="2">
        <v>46013</v>
      </c>
      <c r="I1348" s="2">
        <v>46014</v>
      </c>
      <c r="J1348" t="s">
        <v>11</v>
      </c>
      <c r="K1348" s="2" t="str">
        <f>IFERROR(INDEX(Product_lookup[Category],MATCH(RawWorking[[#This Row],[ProductID]],Product_lookup[ProductID],0)),"")</f>
        <v>Sports</v>
      </c>
      <c r="L1348" s="9">
        <f>IF(OR(RawWorking[[#This Row],[ShipDate]]="",RawWorking[[#This Row],[DeliveryDate]]=""),"",RawWorking[[#This Row],[DeliveryDate]]-RawWorking[[#This Row],[ShipDate]])</f>
        <v>1</v>
      </c>
      <c r="M1348" s="9">
        <f>IF(COUNTIF(INDEX(RawWorking[OrderID],1):RawWorking[[#This Row],[OrderID]],RawWorking[[#This Row],[OrderID]])=1,1,0)</f>
        <v>0</v>
      </c>
      <c r="N1348" s="4">
        <f>IFERROR(RawWorking[[#This Row],[LineAmount]]/RawWorking[[#This Row],[Quantity]],"")</f>
        <v>119.74</v>
      </c>
    </row>
    <row r="1349" spans="1:14">
      <c r="A1349">
        <v>51348</v>
      </c>
      <c r="B1349">
        <v>30782</v>
      </c>
      <c r="C1349" s="2">
        <v>45784</v>
      </c>
      <c r="D1349">
        <v>2483</v>
      </c>
      <c r="E1349">
        <v>1006</v>
      </c>
      <c r="F1349">
        <v>3</v>
      </c>
      <c r="G1349">
        <v>761.58</v>
      </c>
      <c r="H1349" s="2" t="s">
        <v>1421</v>
      </c>
      <c r="I1349" s="2" t="s">
        <v>1421</v>
      </c>
      <c r="J1349" t="s">
        <v>12</v>
      </c>
      <c r="K1349" s="2" t="str">
        <f>IFERROR(INDEX(Product_lookup[Category],MATCH(RawWorking[[#This Row],[ProductID]],Product_lookup[ProductID],0)),"")</f>
        <v>Home</v>
      </c>
      <c r="L1349" s="9" t="str">
        <f>IF(OR(RawWorking[[#This Row],[ShipDate]]="",RawWorking[[#This Row],[DeliveryDate]]=""),"",RawWorking[[#This Row],[DeliveryDate]]-RawWorking[[#This Row],[ShipDate]])</f>
        <v/>
      </c>
      <c r="M1349" s="9">
        <f>IF(COUNTIF(INDEX(RawWorking[OrderID],1):RawWorking[[#This Row],[OrderID]],RawWorking[[#This Row],[OrderID]])=1,1,0)</f>
        <v>1</v>
      </c>
      <c r="N1349" s="4">
        <f>IFERROR(RawWorking[[#This Row],[LineAmount]]/RawWorking[[#This Row],[Quantity]],"")</f>
        <v>253.86</v>
      </c>
    </row>
    <row r="1350" spans="1:14">
      <c r="A1350">
        <v>51349</v>
      </c>
      <c r="B1350">
        <v>30782</v>
      </c>
      <c r="C1350" s="2">
        <v>45784</v>
      </c>
      <c r="D1350">
        <v>2483</v>
      </c>
      <c r="E1350">
        <v>1008</v>
      </c>
      <c r="F1350">
        <v>1</v>
      </c>
      <c r="G1350">
        <v>206.09</v>
      </c>
      <c r="H1350" s="2" t="s">
        <v>1421</v>
      </c>
      <c r="I1350" s="2" t="s">
        <v>1421</v>
      </c>
      <c r="J1350" t="s">
        <v>12</v>
      </c>
      <c r="K1350" s="2" t="str">
        <f>IFERROR(INDEX(Product_lookup[Category],MATCH(RawWorking[[#This Row],[ProductID]],Product_lookup[ProductID],0)),"")</f>
        <v>Home</v>
      </c>
      <c r="L1350" s="9" t="str">
        <f>IF(OR(RawWorking[[#This Row],[ShipDate]]="",RawWorking[[#This Row],[DeliveryDate]]=""),"",RawWorking[[#This Row],[DeliveryDate]]-RawWorking[[#This Row],[ShipDate]])</f>
        <v/>
      </c>
      <c r="M1350" s="9">
        <f>IF(COUNTIF(INDEX(RawWorking[OrderID],1):RawWorking[[#This Row],[OrderID]],RawWorking[[#This Row],[OrderID]])=1,1,0)</f>
        <v>0</v>
      </c>
      <c r="N1350" s="4">
        <f>IFERROR(RawWorking[[#This Row],[LineAmount]]/RawWorking[[#This Row],[Quantity]],"")</f>
        <v>206.09</v>
      </c>
    </row>
    <row r="1351" spans="1:14">
      <c r="A1351">
        <v>51350</v>
      </c>
      <c r="B1351">
        <v>30783</v>
      </c>
      <c r="C1351" s="2">
        <v>45995</v>
      </c>
      <c r="D1351">
        <v>2421</v>
      </c>
      <c r="E1351">
        <v>1006</v>
      </c>
      <c r="F1351">
        <v>1</v>
      </c>
      <c r="G1351">
        <v>253.86</v>
      </c>
      <c r="H1351" s="2">
        <v>45997</v>
      </c>
      <c r="I1351" s="2">
        <v>45998</v>
      </c>
      <c r="J1351" t="s">
        <v>9</v>
      </c>
      <c r="K1351" s="2" t="str">
        <f>IFERROR(INDEX(Product_lookup[Category],MATCH(RawWorking[[#This Row],[ProductID]],Product_lookup[ProductID],0)),"")</f>
        <v>Home</v>
      </c>
      <c r="L1351" s="9">
        <f>IF(OR(RawWorking[[#This Row],[ShipDate]]="",RawWorking[[#This Row],[DeliveryDate]]=""),"",RawWorking[[#This Row],[DeliveryDate]]-RawWorking[[#This Row],[ShipDate]])</f>
        <v>1</v>
      </c>
      <c r="M1351" s="9">
        <f>IF(COUNTIF(INDEX(RawWorking[OrderID],1):RawWorking[[#This Row],[OrderID]],RawWorking[[#This Row],[OrderID]])=1,1,0)</f>
        <v>1</v>
      </c>
      <c r="N1351" s="4">
        <f>IFERROR(RawWorking[[#This Row],[LineAmount]]/RawWorking[[#This Row],[Quantity]],"")</f>
        <v>253.86</v>
      </c>
    </row>
    <row r="1352" spans="1:14">
      <c r="A1352">
        <v>51351</v>
      </c>
      <c r="B1352">
        <v>30784</v>
      </c>
      <c r="C1352" s="2">
        <v>45927</v>
      </c>
      <c r="D1352">
        <v>2524</v>
      </c>
      <c r="E1352">
        <v>1011</v>
      </c>
      <c r="F1352">
        <v>1</v>
      </c>
      <c r="G1352">
        <v>101.44</v>
      </c>
      <c r="H1352" s="2">
        <v>45930</v>
      </c>
      <c r="I1352" s="2">
        <v>45935</v>
      </c>
      <c r="J1352" t="s">
        <v>9</v>
      </c>
      <c r="K1352" s="2" t="str">
        <f>IFERROR(INDEX(Product_lookup[Category],MATCH(RawWorking[[#This Row],[ProductID]],Product_lookup[ProductID],0)),"")</f>
        <v>Office</v>
      </c>
      <c r="L1352" s="9">
        <f>IF(OR(RawWorking[[#This Row],[ShipDate]]="",RawWorking[[#This Row],[DeliveryDate]]=""),"",RawWorking[[#This Row],[DeliveryDate]]-RawWorking[[#This Row],[ShipDate]])</f>
        <v>5</v>
      </c>
      <c r="M1352" s="9">
        <f>IF(COUNTIF(INDEX(RawWorking[OrderID],1):RawWorking[[#This Row],[OrderID]],RawWorking[[#This Row],[OrderID]])=1,1,0)</f>
        <v>1</v>
      </c>
      <c r="N1352" s="4">
        <f>IFERROR(RawWorking[[#This Row],[LineAmount]]/RawWorking[[#This Row],[Quantity]],"")</f>
        <v>101.44</v>
      </c>
    </row>
    <row r="1353" spans="1:14">
      <c r="A1353">
        <v>51352</v>
      </c>
      <c r="B1353">
        <v>30785</v>
      </c>
      <c r="C1353" s="2">
        <v>45691</v>
      </c>
      <c r="D1353">
        <v>2465</v>
      </c>
      <c r="E1353">
        <v>1003</v>
      </c>
      <c r="F1353">
        <v>1</v>
      </c>
      <c r="G1353">
        <v>224.37</v>
      </c>
      <c r="H1353" s="2">
        <v>45692</v>
      </c>
      <c r="I1353" s="2">
        <v>45696</v>
      </c>
      <c r="J1353" t="s">
        <v>9</v>
      </c>
      <c r="K1353" s="2" t="str">
        <f>IFERROR(INDEX(Product_lookup[Category],MATCH(RawWorking[[#This Row],[ProductID]],Product_lookup[ProductID],0)),"")</f>
        <v>Electronics</v>
      </c>
      <c r="L1353" s="9">
        <f>IF(OR(RawWorking[[#This Row],[ShipDate]]="",RawWorking[[#This Row],[DeliveryDate]]=""),"",RawWorking[[#This Row],[DeliveryDate]]-RawWorking[[#This Row],[ShipDate]])</f>
        <v>4</v>
      </c>
      <c r="M1353" s="9">
        <f>IF(COUNTIF(INDEX(RawWorking[OrderID],1):RawWorking[[#This Row],[OrderID]],RawWorking[[#This Row],[OrderID]])=1,1,0)</f>
        <v>1</v>
      </c>
      <c r="N1353" s="4">
        <f>IFERROR(RawWorking[[#This Row],[LineAmount]]/RawWorking[[#This Row],[Quantity]],"")</f>
        <v>224.37</v>
      </c>
    </row>
    <row r="1354" spans="1:14">
      <c r="A1354">
        <v>51353</v>
      </c>
      <c r="B1354">
        <v>30786</v>
      </c>
      <c r="C1354" s="2">
        <v>46005</v>
      </c>
      <c r="D1354">
        <v>2236</v>
      </c>
      <c r="E1354">
        <v>1005</v>
      </c>
      <c r="F1354">
        <v>1</v>
      </c>
      <c r="G1354">
        <v>31.73</v>
      </c>
      <c r="H1354" s="2">
        <v>46008</v>
      </c>
      <c r="I1354" s="2">
        <v>46009</v>
      </c>
      <c r="J1354" t="s">
        <v>9</v>
      </c>
      <c r="K1354" s="2" t="str">
        <f>IFERROR(INDEX(Product_lookup[Category],MATCH(RawWorking[[#This Row],[ProductID]],Product_lookup[ProductID],0)),"")</f>
        <v>Electronics</v>
      </c>
      <c r="L1354" s="9">
        <f>IF(OR(RawWorking[[#This Row],[ShipDate]]="",RawWorking[[#This Row],[DeliveryDate]]=""),"",RawWorking[[#This Row],[DeliveryDate]]-RawWorking[[#This Row],[ShipDate]])</f>
        <v>1</v>
      </c>
      <c r="M1354" s="9">
        <f>IF(COUNTIF(INDEX(RawWorking[OrderID],1):RawWorking[[#This Row],[OrderID]],RawWorking[[#This Row],[OrderID]])=1,1,0)</f>
        <v>1</v>
      </c>
      <c r="N1354" s="4">
        <f>IFERROR(RawWorking[[#This Row],[LineAmount]]/RawWorking[[#This Row],[Quantity]],"")</f>
        <v>31.73</v>
      </c>
    </row>
    <row r="1355" spans="1:14">
      <c r="A1355">
        <v>51354</v>
      </c>
      <c r="B1355">
        <v>30786</v>
      </c>
      <c r="C1355" s="2">
        <v>46005</v>
      </c>
      <c r="D1355">
        <v>2236</v>
      </c>
      <c r="E1355">
        <v>1004</v>
      </c>
      <c r="F1355">
        <v>2</v>
      </c>
      <c r="G1355">
        <v>367.48</v>
      </c>
      <c r="H1355" s="2">
        <v>46007</v>
      </c>
      <c r="I1355" s="2">
        <v>46008</v>
      </c>
      <c r="J1355" t="s">
        <v>9</v>
      </c>
      <c r="K1355" s="2" t="str">
        <f>IFERROR(INDEX(Product_lookup[Category],MATCH(RawWorking[[#This Row],[ProductID]],Product_lookup[ProductID],0)),"")</f>
        <v>Electronics</v>
      </c>
      <c r="L1355" s="9">
        <f>IF(OR(RawWorking[[#This Row],[ShipDate]]="",RawWorking[[#This Row],[DeliveryDate]]=""),"",RawWorking[[#This Row],[DeliveryDate]]-RawWorking[[#This Row],[ShipDate]])</f>
        <v>1</v>
      </c>
      <c r="M1355" s="9">
        <f>IF(COUNTIF(INDEX(RawWorking[OrderID],1):RawWorking[[#This Row],[OrderID]],RawWorking[[#This Row],[OrderID]])=1,1,0)</f>
        <v>0</v>
      </c>
      <c r="N1355" s="4">
        <f>IFERROR(RawWorking[[#This Row],[LineAmount]]/RawWorking[[#This Row],[Quantity]],"")</f>
        <v>183.74</v>
      </c>
    </row>
    <row r="1356" spans="1:14">
      <c r="A1356">
        <v>51355</v>
      </c>
      <c r="B1356">
        <v>30787</v>
      </c>
      <c r="C1356" s="2">
        <v>45945</v>
      </c>
      <c r="D1356">
        <v>2017</v>
      </c>
      <c r="E1356">
        <v>1014</v>
      </c>
      <c r="F1356">
        <v>1</v>
      </c>
      <c r="G1356">
        <v>215.34</v>
      </c>
      <c r="H1356" s="2">
        <v>45947</v>
      </c>
      <c r="I1356" s="2">
        <v>45950</v>
      </c>
      <c r="J1356" t="s">
        <v>9</v>
      </c>
      <c r="K1356" s="2" t="str">
        <f>IFERROR(INDEX(Product_lookup[Category],MATCH(RawWorking[[#This Row],[ProductID]],Product_lookup[ProductID],0)),"")</f>
        <v>Sports</v>
      </c>
      <c r="L1356" s="9">
        <f>IF(OR(RawWorking[[#This Row],[ShipDate]]="",RawWorking[[#This Row],[DeliveryDate]]=""),"",RawWorking[[#This Row],[DeliveryDate]]-RawWorking[[#This Row],[ShipDate]])</f>
        <v>3</v>
      </c>
      <c r="M1356" s="9">
        <f>IF(COUNTIF(INDEX(RawWorking[OrderID],1):RawWorking[[#This Row],[OrderID]],RawWorking[[#This Row],[OrderID]])=1,1,0)</f>
        <v>1</v>
      </c>
      <c r="N1356" s="4">
        <f>IFERROR(RawWorking[[#This Row],[LineAmount]]/RawWorking[[#This Row],[Quantity]],"")</f>
        <v>215.34</v>
      </c>
    </row>
    <row r="1357" spans="1:14">
      <c r="A1357">
        <v>51356</v>
      </c>
      <c r="B1357">
        <v>30787</v>
      </c>
      <c r="C1357" s="2">
        <v>45945</v>
      </c>
      <c r="D1357">
        <v>2017</v>
      </c>
      <c r="E1357">
        <v>1005</v>
      </c>
      <c r="F1357">
        <v>1</v>
      </c>
      <c r="G1357">
        <v>31.73</v>
      </c>
      <c r="H1357" s="2">
        <v>45946</v>
      </c>
      <c r="I1357" s="2">
        <v>45951</v>
      </c>
      <c r="J1357" t="s">
        <v>9</v>
      </c>
      <c r="K1357" s="2" t="str">
        <f>IFERROR(INDEX(Product_lookup[Category],MATCH(RawWorking[[#This Row],[ProductID]],Product_lookup[ProductID],0)),"")</f>
        <v>Electronics</v>
      </c>
      <c r="L1357" s="9">
        <f>IF(OR(RawWorking[[#This Row],[ShipDate]]="",RawWorking[[#This Row],[DeliveryDate]]=""),"",RawWorking[[#This Row],[DeliveryDate]]-RawWorking[[#This Row],[ShipDate]])</f>
        <v>5</v>
      </c>
      <c r="M1357" s="9">
        <f>IF(COUNTIF(INDEX(RawWorking[OrderID],1):RawWorking[[#This Row],[OrderID]],RawWorking[[#This Row],[OrderID]])=1,1,0)</f>
        <v>0</v>
      </c>
      <c r="N1357" s="4">
        <f>IFERROR(RawWorking[[#This Row],[LineAmount]]/RawWorking[[#This Row],[Quantity]],"")</f>
        <v>31.73</v>
      </c>
    </row>
    <row r="1358" spans="1:14">
      <c r="A1358">
        <v>51357</v>
      </c>
      <c r="B1358">
        <v>30788</v>
      </c>
      <c r="C1358" s="2">
        <v>45667</v>
      </c>
      <c r="D1358">
        <v>2099</v>
      </c>
      <c r="E1358">
        <v>1002</v>
      </c>
      <c r="F1358">
        <v>3</v>
      </c>
      <c r="G1358">
        <v>355.8</v>
      </c>
      <c r="H1358" s="2">
        <v>45668</v>
      </c>
      <c r="I1358" s="2">
        <v>45671</v>
      </c>
      <c r="J1358" t="s">
        <v>9</v>
      </c>
      <c r="K1358" s="2" t="str">
        <f>IFERROR(INDEX(Product_lookup[Category],MATCH(RawWorking[[#This Row],[ProductID]],Product_lookup[ProductID],0)),"")</f>
        <v>Electronics</v>
      </c>
      <c r="L1358" s="9">
        <f>IF(OR(RawWorking[[#This Row],[ShipDate]]="",RawWorking[[#This Row],[DeliveryDate]]=""),"",RawWorking[[#This Row],[DeliveryDate]]-RawWorking[[#This Row],[ShipDate]])</f>
        <v>3</v>
      </c>
      <c r="M1358" s="9">
        <f>IF(COUNTIF(INDEX(RawWorking[OrderID],1):RawWorking[[#This Row],[OrderID]],RawWorking[[#This Row],[OrderID]])=1,1,0)</f>
        <v>1</v>
      </c>
      <c r="N1358" s="4">
        <f>IFERROR(RawWorking[[#This Row],[LineAmount]]/RawWorking[[#This Row],[Quantity]],"")</f>
        <v>118.60000000000001</v>
      </c>
    </row>
    <row r="1359" spans="1:14">
      <c r="A1359">
        <v>51358</v>
      </c>
      <c r="B1359">
        <v>30789</v>
      </c>
      <c r="C1359" s="2">
        <v>45722</v>
      </c>
      <c r="D1359">
        <v>2545</v>
      </c>
      <c r="E1359">
        <v>1004</v>
      </c>
      <c r="F1359">
        <v>1</v>
      </c>
      <c r="G1359">
        <v>183.74</v>
      </c>
      <c r="H1359" s="2">
        <v>45783</v>
      </c>
      <c r="I1359" s="2">
        <v>45814</v>
      </c>
      <c r="J1359" t="s">
        <v>9</v>
      </c>
      <c r="K1359" s="2" t="str">
        <f>IFERROR(INDEX(Product_lookup[Category],MATCH(RawWorking[[#This Row],[ProductID]],Product_lookup[ProductID],0)),"")</f>
        <v>Electronics</v>
      </c>
      <c r="L1359" s="9">
        <f>IF(OR(RawWorking[[#This Row],[ShipDate]]="",RawWorking[[#This Row],[DeliveryDate]]=""),"",RawWorking[[#This Row],[DeliveryDate]]-RawWorking[[#This Row],[ShipDate]])</f>
        <v>31</v>
      </c>
      <c r="M1359" s="9">
        <f>IF(COUNTIF(INDEX(RawWorking[OrderID],1):RawWorking[[#This Row],[OrderID]],RawWorking[[#This Row],[OrderID]])=1,1,0)</f>
        <v>1</v>
      </c>
      <c r="N1359" s="4">
        <f>IFERROR(RawWorking[[#This Row],[LineAmount]]/RawWorking[[#This Row],[Quantity]],"")</f>
        <v>183.74</v>
      </c>
    </row>
    <row r="1360" spans="1:14">
      <c r="A1360">
        <v>51359</v>
      </c>
      <c r="B1360">
        <v>30789</v>
      </c>
      <c r="C1360" s="2">
        <v>45811</v>
      </c>
      <c r="D1360">
        <v>2545</v>
      </c>
      <c r="E1360">
        <v>1003</v>
      </c>
      <c r="F1360">
        <v>1</v>
      </c>
      <c r="G1360">
        <v>224.37</v>
      </c>
      <c r="H1360" s="2">
        <v>45812</v>
      </c>
      <c r="I1360" s="2">
        <v>45844</v>
      </c>
      <c r="J1360" t="s">
        <v>9</v>
      </c>
      <c r="K1360" s="2" t="str">
        <f>IFERROR(INDEX(Product_lookup[Category],MATCH(RawWorking[[#This Row],[ProductID]],Product_lookup[ProductID],0)),"")</f>
        <v>Electronics</v>
      </c>
      <c r="L1360" s="9">
        <f>IF(OR(RawWorking[[#This Row],[ShipDate]]="",RawWorking[[#This Row],[DeliveryDate]]=""),"",RawWorking[[#This Row],[DeliveryDate]]-RawWorking[[#This Row],[ShipDate]])</f>
        <v>32</v>
      </c>
      <c r="M1360" s="9">
        <f>IF(COUNTIF(INDEX(RawWorking[OrderID],1):RawWorking[[#This Row],[OrderID]],RawWorking[[#This Row],[OrderID]])=1,1,0)</f>
        <v>0</v>
      </c>
      <c r="N1360" s="4">
        <f>IFERROR(RawWorking[[#This Row],[LineAmount]]/RawWorking[[#This Row],[Quantity]],"")</f>
        <v>224.37</v>
      </c>
    </row>
    <row r="1361" spans="1:14">
      <c r="A1361">
        <v>51360</v>
      </c>
      <c r="B1361">
        <v>30790</v>
      </c>
      <c r="C1361" s="2">
        <v>45902</v>
      </c>
      <c r="D1361">
        <v>2494</v>
      </c>
      <c r="E1361">
        <v>1001</v>
      </c>
      <c r="F1361">
        <v>2</v>
      </c>
      <c r="G1361">
        <v>406.08</v>
      </c>
      <c r="H1361" s="2">
        <v>45905</v>
      </c>
      <c r="I1361" s="2">
        <v>45914</v>
      </c>
      <c r="J1361" t="s">
        <v>9</v>
      </c>
      <c r="K1361" s="2" t="str">
        <f>IFERROR(INDEX(Product_lookup[Category],MATCH(RawWorking[[#This Row],[ProductID]],Product_lookup[ProductID],0)),"")</f>
        <v>Electronics</v>
      </c>
      <c r="L1361" s="9">
        <f>IF(OR(RawWorking[[#This Row],[ShipDate]]="",RawWorking[[#This Row],[DeliveryDate]]=""),"",RawWorking[[#This Row],[DeliveryDate]]-RawWorking[[#This Row],[ShipDate]])</f>
        <v>9</v>
      </c>
      <c r="M1361" s="9">
        <f>IF(COUNTIF(INDEX(RawWorking[OrderID],1):RawWorking[[#This Row],[OrderID]],RawWorking[[#This Row],[OrderID]])=1,1,0)</f>
        <v>1</v>
      </c>
      <c r="N1361" s="4">
        <f>IFERROR(RawWorking[[#This Row],[LineAmount]]/RawWorking[[#This Row],[Quantity]],"")</f>
        <v>203.04</v>
      </c>
    </row>
    <row r="1362" spans="1:14">
      <c r="A1362">
        <v>51361</v>
      </c>
      <c r="B1362">
        <v>30791</v>
      </c>
      <c r="C1362" s="2">
        <v>45725</v>
      </c>
      <c r="D1362">
        <v>2442</v>
      </c>
      <c r="E1362">
        <v>1012</v>
      </c>
      <c r="F1362">
        <v>2</v>
      </c>
      <c r="G1362">
        <v>483.08</v>
      </c>
      <c r="H1362" s="2">
        <v>45728</v>
      </c>
      <c r="I1362" s="2">
        <v>45737</v>
      </c>
      <c r="J1362" t="s">
        <v>9</v>
      </c>
      <c r="K1362" s="2" t="str">
        <f>IFERROR(INDEX(Product_lookup[Category],MATCH(RawWorking[[#This Row],[ProductID]],Product_lookup[ProductID],0)),"")</f>
        <v>Office</v>
      </c>
      <c r="L1362" s="9">
        <f>IF(OR(RawWorking[[#This Row],[ShipDate]]="",RawWorking[[#This Row],[DeliveryDate]]=""),"",RawWorking[[#This Row],[DeliveryDate]]-RawWorking[[#This Row],[ShipDate]])</f>
        <v>9</v>
      </c>
      <c r="M1362" s="9">
        <f>IF(COUNTIF(INDEX(RawWorking[OrderID],1):RawWorking[[#This Row],[OrderID]],RawWorking[[#This Row],[OrderID]])=1,1,0)</f>
        <v>1</v>
      </c>
      <c r="N1362" s="4">
        <f>IFERROR(RawWorking[[#This Row],[LineAmount]]/RawWorking[[#This Row],[Quantity]],"")</f>
        <v>241.54</v>
      </c>
    </row>
    <row r="1363" spans="1:14">
      <c r="A1363">
        <v>51362</v>
      </c>
      <c r="B1363">
        <v>30791</v>
      </c>
      <c r="C1363" s="2">
        <v>45725</v>
      </c>
      <c r="D1363">
        <v>2442</v>
      </c>
      <c r="E1363">
        <v>1002</v>
      </c>
      <c r="F1363">
        <v>3</v>
      </c>
      <c r="G1363">
        <v>355.8</v>
      </c>
      <c r="H1363" s="2">
        <v>45728</v>
      </c>
      <c r="I1363" s="2">
        <v>45732</v>
      </c>
      <c r="J1363" t="s">
        <v>9</v>
      </c>
      <c r="K1363" s="2" t="str">
        <f>IFERROR(INDEX(Product_lookup[Category],MATCH(RawWorking[[#This Row],[ProductID]],Product_lookup[ProductID],0)),"")</f>
        <v>Electronics</v>
      </c>
      <c r="L1363" s="9">
        <f>IF(OR(RawWorking[[#This Row],[ShipDate]]="",RawWorking[[#This Row],[DeliveryDate]]=""),"",RawWorking[[#This Row],[DeliveryDate]]-RawWorking[[#This Row],[ShipDate]])</f>
        <v>4</v>
      </c>
      <c r="M1363" s="9">
        <f>IF(COUNTIF(INDEX(RawWorking[OrderID],1):RawWorking[[#This Row],[OrderID]],RawWorking[[#This Row],[OrderID]])=1,1,0)</f>
        <v>0</v>
      </c>
      <c r="N1363" s="4">
        <f>IFERROR(RawWorking[[#This Row],[LineAmount]]/RawWorking[[#This Row],[Quantity]],"")</f>
        <v>118.60000000000001</v>
      </c>
    </row>
    <row r="1364" spans="1:14">
      <c r="A1364">
        <v>51363</v>
      </c>
      <c r="B1364">
        <v>30791</v>
      </c>
      <c r="C1364" s="2">
        <v>45725</v>
      </c>
      <c r="D1364">
        <v>2442</v>
      </c>
      <c r="E1364">
        <v>1014</v>
      </c>
      <c r="F1364">
        <v>2</v>
      </c>
      <c r="G1364">
        <v>430.68</v>
      </c>
      <c r="H1364" s="2">
        <v>45728</v>
      </c>
      <c r="I1364" s="2">
        <v>45737</v>
      </c>
      <c r="J1364" t="s">
        <v>9</v>
      </c>
      <c r="K1364" s="2" t="str">
        <f>IFERROR(INDEX(Product_lookup[Category],MATCH(RawWorking[[#This Row],[ProductID]],Product_lookup[ProductID],0)),"")</f>
        <v>Sports</v>
      </c>
      <c r="L1364" s="9">
        <f>IF(OR(RawWorking[[#This Row],[ShipDate]]="",RawWorking[[#This Row],[DeliveryDate]]=""),"",RawWorking[[#This Row],[DeliveryDate]]-RawWorking[[#This Row],[ShipDate]])</f>
        <v>9</v>
      </c>
      <c r="M1364" s="9">
        <f>IF(COUNTIF(INDEX(RawWorking[OrderID],1):RawWorking[[#This Row],[OrderID]],RawWorking[[#This Row],[OrderID]])=1,1,0)</f>
        <v>0</v>
      </c>
      <c r="N1364" s="4">
        <f>IFERROR(RawWorking[[#This Row],[LineAmount]]/RawWorking[[#This Row],[Quantity]],"")</f>
        <v>215.34</v>
      </c>
    </row>
    <row r="1365" spans="1:14">
      <c r="A1365">
        <v>51364</v>
      </c>
      <c r="B1365">
        <v>30791</v>
      </c>
      <c r="C1365" s="2">
        <v>45725</v>
      </c>
      <c r="D1365">
        <v>2442</v>
      </c>
      <c r="E1365">
        <v>1008</v>
      </c>
      <c r="F1365">
        <v>1</v>
      </c>
      <c r="G1365">
        <v>206.09</v>
      </c>
      <c r="H1365" s="2">
        <v>45728</v>
      </c>
      <c r="I1365" s="2">
        <v>45730</v>
      </c>
      <c r="J1365" t="s">
        <v>9</v>
      </c>
      <c r="K1365" s="2" t="str">
        <f>IFERROR(INDEX(Product_lookup[Category],MATCH(RawWorking[[#This Row],[ProductID]],Product_lookup[ProductID],0)),"")</f>
        <v>Home</v>
      </c>
      <c r="L1365" s="9">
        <f>IF(OR(RawWorking[[#This Row],[ShipDate]]="",RawWorking[[#This Row],[DeliveryDate]]=""),"",RawWorking[[#This Row],[DeliveryDate]]-RawWorking[[#This Row],[ShipDate]])</f>
        <v>2</v>
      </c>
      <c r="M1365" s="9">
        <f>IF(COUNTIF(INDEX(RawWorking[OrderID],1):RawWorking[[#This Row],[OrderID]],RawWorking[[#This Row],[OrderID]])=1,1,0)</f>
        <v>0</v>
      </c>
      <c r="N1365" s="4">
        <f>IFERROR(RawWorking[[#This Row],[LineAmount]]/RawWorking[[#This Row],[Quantity]],"")</f>
        <v>206.09</v>
      </c>
    </row>
    <row r="1366" spans="1:14">
      <c r="A1366">
        <v>51365</v>
      </c>
      <c r="B1366">
        <v>30792</v>
      </c>
      <c r="C1366" s="2">
        <v>45890</v>
      </c>
      <c r="D1366">
        <v>2494</v>
      </c>
      <c r="E1366">
        <v>1013</v>
      </c>
      <c r="F1366">
        <v>3</v>
      </c>
      <c r="G1366">
        <v>510.75</v>
      </c>
      <c r="H1366" s="2" t="s">
        <v>1421</v>
      </c>
      <c r="I1366" s="2" t="s">
        <v>1421</v>
      </c>
      <c r="J1366" t="s">
        <v>16</v>
      </c>
      <c r="K1366" s="2" t="str">
        <f>IFERROR(INDEX(Product_lookup[Category],MATCH(RawWorking[[#This Row],[ProductID]],Product_lookup[ProductID],0)),"")</f>
        <v>Office</v>
      </c>
      <c r="L1366" s="9" t="str">
        <f>IF(OR(RawWorking[[#This Row],[ShipDate]]="",RawWorking[[#This Row],[DeliveryDate]]=""),"",RawWorking[[#This Row],[DeliveryDate]]-RawWorking[[#This Row],[ShipDate]])</f>
        <v/>
      </c>
      <c r="M1366" s="9">
        <f>IF(COUNTIF(INDEX(RawWorking[OrderID],1):RawWorking[[#This Row],[OrderID]],RawWorking[[#This Row],[OrderID]])=1,1,0)</f>
        <v>1</v>
      </c>
      <c r="N1366" s="4">
        <f>IFERROR(RawWorking[[#This Row],[LineAmount]]/RawWorking[[#This Row],[Quantity]],"")</f>
        <v>170.25</v>
      </c>
    </row>
    <row r="1367" spans="1:14">
      <c r="A1367">
        <v>51366</v>
      </c>
      <c r="B1367">
        <v>30793</v>
      </c>
      <c r="C1367" s="2">
        <v>45712</v>
      </c>
      <c r="D1367">
        <v>2590</v>
      </c>
      <c r="E1367">
        <v>1005</v>
      </c>
      <c r="F1367">
        <v>2</v>
      </c>
      <c r="G1367">
        <v>63.46</v>
      </c>
      <c r="H1367" s="2">
        <v>45714</v>
      </c>
      <c r="I1367" s="2">
        <v>45723</v>
      </c>
      <c r="J1367" t="s">
        <v>9</v>
      </c>
      <c r="K1367" s="2" t="str">
        <f>IFERROR(INDEX(Product_lookup[Category],MATCH(RawWorking[[#This Row],[ProductID]],Product_lookup[ProductID],0)),"")</f>
        <v>Electronics</v>
      </c>
      <c r="L1367" s="9">
        <f>IF(OR(RawWorking[[#This Row],[ShipDate]]="",RawWorking[[#This Row],[DeliveryDate]]=""),"",RawWorking[[#This Row],[DeliveryDate]]-RawWorking[[#This Row],[ShipDate]])</f>
        <v>9</v>
      </c>
      <c r="M1367" s="9">
        <f>IF(COUNTIF(INDEX(RawWorking[OrderID],1):RawWorking[[#This Row],[OrderID]],RawWorking[[#This Row],[OrderID]])=1,1,0)</f>
        <v>1</v>
      </c>
      <c r="N1367" s="4">
        <f>IFERROR(RawWorking[[#This Row],[LineAmount]]/RawWorking[[#This Row],[Quantity]],"")</f>
        <v>31.73</v>
      </c>
    </row>
    <row r="1368" spans="1:14">
      <c r="A1368">
        <v>51367</v>
      </c>
      <c r="B1368">
        <v>30793</v>
      </c>
      <c r="C1368" s="2">
        <v>45712</v>
      </c>
      <c r="D1368">
        <v>2590</v>
      </c>
      <c r="E1368">
        <v>1009</v>
      </c>
      <c r="F1368">
        <v>1</v>
      </c>
      <c r="G1368">
        <v>40.28</v>
      </c>
      <c r="H1368" s="2">
        <v>45715</v>
      </c>
      <c r="I1368" s="2">
        <v>45721</v>
      </c>
      <c r="J1368" t="s">
        <v>9</v>
      </c>
      <c r="K1368" s="2" t="str">
        <f>IFERROR(INDEX(Product_lookup[Category],MATCH(RawWorking[[#This Row],[ProductID]],Product_lookup[ProductID],0)),"")</f>
        <v>Home</v>
      </c>
      <c r="L1368" s="9">
        <f>IF(OR(RawWorking[[#This Row],[ShipDate]]="",RawWorking[[#This Row],[DeliveryDate]]=""),"",RawWorking[[#This Row],[DeliveryDate]]-RawWorking[[#This Row],[ShipDate]])</f>
        <v>6</v>
      </c>
      <c r="M1368" s="9">
        <f>IF(COUNTIF(INDEX(RawWorking[OrderID],1):RawWorking[[#This Row],[OrderID]],RawWorking[[#This Row],[OrderID]])=1,1,0)</f>
        <v>0</v>
      </c>
      <c r="N1368" s="4">
        <f>IFERROR(RawWorking[[#This Row],[LineAmount]]/RawWorking[[#This Row],[Quantity]],"")</f>
        <v>40.28</v>
      </c>
    </row>
    <row r="1369" spans="1:14">
      <c r="A1369">
        <v>51368</v>
      </c>
      <c r="B1369">
        <v>30793</v>
      </c>
      <c r="C1369" s="2">
        <v>45712</v>
      </c>
      <c r="D1369">
        <v>2590</v>
      </c>
      <c r="E1369">
        <v>1016</v>
      </c>
      <c r="F1369">
        <v>2</v>
      </c>
      <c r="G1369">
        <v>130.52000000000001</v>
      </c>
      <c r="H1369" s="2">
        <v>45715</v>
      </c>
      <c r="I1369" s="2">
        <v>45780</v>
      </c>
      <c r="J1369" t="s">
        <v>9</v>
      </c>
      <c r="K1369" s="2" t="str">
        <f>IFERROR(INDEX(Product_lookup[Category],MATCH(RawWorking[[#This Row],[ProductID]],Product_lookup[ProductID],0)),"")</f>
        <v>Sports</v>
      </c>
      <c r="L1369" s="9">
        <f>IF(OR(RawWorking[[#This Row],[ShipDate]]="",RawWorking[[#This Row],[DeliveryDate]]=""),"",RawWorking[[#This Row],[DeliveryDate]]-RawWorking[[#This Row],[ShipDate]])</f>
        <v>65</v>
      </c>
      <c r="M1369" s="9">
        <f>IF(COUNTIF(INDEX(RawWorking[OrderID],1):RawWorking[[#This Row],[OrderID]],RawWorking[[#This Row],[OrderID]])=1,1,0)</f>
        <v>0</v>
      </c>
      <c r="N1369" s="4">
        <f>IFERROR(RawWorking[[#This Row],[LineAmount]]/RawWorking[[#This Row],[Quantity]],"")</f>
        <v>65.260000000000005</v>
      </c>
    </row>
    <row r="1370" spans="1:14">
      <c r="A1370">
        <v>51369</v>
      </c>
      <c r="B1370">
        <v>30794</v>
      </c>
      <c r="C1370" s="2">
        <v>45881</v>
      </c>
      <c r="D1370">
        <v>2239</v>
      </c>
      <c r="E1370">
        <v>1003</v>
      </c>
      <c r="F1370">
        <v>1</v>
      </c>
      <c r="G1370">
        <v>224.37</v>
      </c>
      <c r="H1370" s="2" t="s">
        <v>1421</v>
      </c>
      <c r="I1370" s="2" t="s">
        <v>1421</v>
      </c>
      <c r="J1370" t="s">
        <v>12</v>
      </c>
      <c r="K1370" s="2" t="str">
        <f>IFERROR(INDEX(Product_lookup[Category],MATCH(RawWorking[[#This Row],[ProductID]],Product_lookup[ProductID],0)),"")</f>
        <v>Electronics</v>
      </c>
      <c r="L1370" s="9" t="str">
        <f>IF(OR(RawWorking[[#This Row],[ShipDate]]="",RawWorking[[#This Row],[DeliveryDate]]=""),"",RawWorking[[#This Row],[DeliveryDate]]-RawWorking[[#This Row],[ShipDate]])</f>
        <v/>
      </c>
      <c r="M1370" s="9">
        <f>IF(COUNTIF(INDEX(RawWorking[OrderID],1):RawWorking[[#This Row],[OrderID]],RawWorking[[#This Row],[OrderID]])=1,1,0)</f>
        <v>1</v>
      </c>
      <c r="N1370" s="4">
        <f>IFERROR(RawWorking[[#This Row],[LineAmount]]/RawWorking[[#This Row],[Quantity]],"")</f>
        <v>224.37</v>
      </c>
    </row>
    <row r="1371" spans="1:14">
      <c r="A1371">
        <v>51370</v>
      </c>
      <c r="B1371">
        <v>30794</v>
      </c>
      <c r="C1371" s="2">
        <v>45999</v>
      </c>
      <c r="D1371">
        <v>2239</v>
      </c>
      <c r="E1371">
        <v>1010</v>
      </c>
      <c r="F1371">
        <v>1</v>
      </c>
      <c r="G1371">
        <v>121.5</v>
      </c>
      <c r="H1371" s="2" t="s">
        <v>1421</v>
      </c>
      <c r="I1371" s="2" t="s">
        <v>1421</v>
      </c>
      <c r="J1371" t="s">
        <v>12</v>
      </c>
      <c r="K1371" s="2" t="str">
        <f>IFERROR(INDEX(Product_lookup[Category],MATCH(RawWorking[[#This Row],[ProductID]],Product_lookup[ProductID],0)),"")</f>
        <v>Office</v>
      </c>
      <c r="L1371" s="9" t="str">
        <f>IF(OR(RawWorking[[#This Row],[ShipDate]]="",RawWorking[[#This Row],[DeliveryDate]]=""),"",RawWorking[[#This Row],[DeliveryDate]]-RawWorking[[#This Row],[ShipDate]])</f>
        <v/>
      </c>
      <c r="M1371" s="9">
        <f>IF(COUNTIF(INDEX(RawWorking[OrderID],1):RawWorking[[#This Row],[OrderID]],RawWorking[[#This Row],[OrderID]])=1,1,0)</f>
        <v>0</v>
      </c>
      <c r="N1371" s="4">
        <f>IFERROR(RawWorking[[#This Row],[LineAmount]]/RawWorking[[#This Row],[Quantity]],"")</f>
        <v>121.5</v>
      </c>
    </row>
    <row r="1372" spans="1:14">
      <c r="A1372">
        <v>51371</v>
      </c>
      <c r="B1372">
        <v>30794</v>
      </c>
      <c r="C1372" s="2">
        <v>45881</v>
      </c>
      <c r="D1372">
        <v>2239</v>
      </c>
      <c r="E1372">
        <v>1014</v>
      </c>
      <c r="F1372">
        <v>1</v>
      </c>
      <c r="G1372">
        <v>215.34</v>
      </c>
      <c r="H1372" s="2" t="s">
        <v>1421</v>
      </c>
      <c r="I1372" s="2" t="s">
        <v>1421</v>
      </c>
      <c r="J1372" t="s">
        <v>12</v>
      </c>
      <c r="K1372" s="2" t="str">
        <f>IFERROR(INDEX(Product_lookup[Category],MATCH(RawWorking[[#This Row],[ProductID]],Product_lookup[ProductID],0)),"")</f>
        <v>Sports</v>
      </c>
      <c r="L1372" s="9" t="str">
        <f>IF(OR(RawWorking[[#This Row],[ShipDate]]="",RawWorking[[#This Row],[DeliveryDate]]=""),"",RawWorking[[#This Row],[DeliveryDate]]-RawWorking[[#This Row],[ShipDate]])</f>
        <v/>
      </c>
      <c r="M1372" s="9">
        <f>IF(COUNTIF(INDEX(RawWorking[OrderID],1):RawWorking[[#This Row],[OrderID]],RawWorking[[#This Row],[OrderID]])=1,1,0)</f>
        <v>0</v>
      </c>
      <c r="N1372" s="4">
        <f>IFERROR(RawWorking[[#This Row],[LineAmount]]/RawWorking[[#This Row],[Quantity]],"")</f>
        <v>215.34</v>
      </c>
    </row>
    <row r="1373" spans="1:14">
      <c r="A1373">
        <v>51372</v>
      </c>
      <c r="B1373">
        <v>30795</v>
      </c>
      <c r="C1373" s="2">
        <v>45924</v>
      </c>
      <c r="D1373">
        <v>2264</v>
      </c>
      <c r="E1373">
        <v>1001</v>
      </c>
      <c r="F1373">
        <v>2</v>
      </c>
      <c r="G1373">
        <v>406.08</v>
      </c>
      <c r="H1373" s="2">
        <v>45927</v>
      </c>
      <c r="I1373" s="2">
        <v>45937</v>
      </c>
      <c r="J1373" t="s">
        <v>9</v>
      </c>
      <c r="K1373" s="2" t="str">
        <f>IFERROR(INDEX(Product_lookup[Category],MATCH(RawWorking[[#This Row],[ProductID]],Product_lookup[ProductID],0)),"")</f>
        <v>Electronics</v>
      </c>
      <c r="L1373" s="9">
        <f>IF(OR(RawWorking[[#This Row],[ShipDate]]="",RawWorking[[#This Row],[DeliveryDate]]=""),"",RawWorking[[#This Row],[DeliveryDate]]-RawWorking[[#This Row],[ShipDate]])</f>
        <v>10</v>
      </c>
      <c r="M1373" s="9">
        <f>IF(COUNTIF(INDEX(RawWorking[OrderID],1):RawWorking[[#This Row],[OrderID]],RawWorking[[#This Row],[OrderID]])=1,1,0)</f>
        <v>1</v>
      </c>
      <c r="N1373" s="4">
        <f>IFERROR(RawWorking[[#This Row],[LineAmount]]/RawWorking[[#This Row],[Quantity]],"")</f>
        <v>203.04</v>
      </c>
    </row>
    <row r="1374" spans="1:14">
      <c r="A1374">
        <v>51373</v>
      </c>
      <c r="B1374">
        <v>30796</v>
      </c>
      <c r="C1374" s="2">
        <v>45948</v>
      </c>
      <c r="D1374">
        <v>2592</v>
      </c>
      <c r="E1374">
        <v>1001</v>
      </c>
      <c r="F1374">
        <v>1</v>
      </c>
      <c r="G1374">
        <v>203.04</v>
      </c>
      <c r="H1374" s="2">
        <v>45950</v>
      </c>
      <c r="I1374" s="2">
        <v>45952</v>
      </c>
      <c r="J1374" t="s">
        <v>9</v>
      </c>
      <c r="K1374" s="2" t="str">
        <f>IFERROR(INDEX(Product_lookup[Category],MATCH(RawWorking[[#This Row],[ProductID]],Product_lookup[ProductID],0)),"")</f>
        <v>Electronics</v>
      </c>
      <c r="L1374" s="9">
        <f>IF(OR(RawWorking[[#This Row],[ShipDate]]="",RawWorking[[#This Row],[DeliveryDate]]=""),"",RawWorking[[#This Row],[DeliveryDate]]-RawWorking[[#This Row],[ShipDate]])</f>
        <v>2</v>
      </c>
      <c r="M1374" s="9">
        <f>IF(COUNTIF(INDEX(RawWorking[OrderID],1):RawWorking[[#This Row],[OrderID]],RawWorking[[#This Row],[OrderID]])=1,1,0)</f>
        <v>1</v>
      </c>
      <c r="N1374" s="4">
        <f>IFERROR(RawWorking[[#This Row],[LineAmount]]/RawWorking[[#This Row],[Quantity]],"")</f>
        <v>203.04</v>
      </c>
    </row>
    <row r="1375" spans="1:14">
      <c r="A1375">
        <v>51374</v>
      </c>
      <c r="B1375">
        <v>30797</v>
      </c>
      <c r="C1375" s="2">
        <v>45667</v>
      </c>
      <c r="D1375">
        <v>2385</v>
      </c>
      <c r="E1375">
        <v>1011</v>
      </c>
      <c r="F1375">
        <v>1</v>
      </c>
      <c r="G1375">
        <v>101.44</v>
      </c>
      <c r="H1375" s="2">
        <v>45670</v>
      </c>
      <c r="I1375" s="2">
        <v>45672</v>
      </c>
      <c r="J1375" t="s">
        <v>9</v>
      </c>
      <c r="K1375" s="2" t="str">
        <f>IFERROR(INDEX(Product_lookup[Category],MATCH(RawWorking[[#This Row],[ProductID]],Product_lookup[ProductID],0)),"")</f>
        <v>Office</v>
      </c>
      <c r="L1375" s="9">
        <f>IF(OR(RawWorking[[#This Row],[ShipDate]]="",RawWorking[[#This Row],[DeliveryDate]]=""),"",RawWorking[[#This Row],[DeliveryDate]]-RawWorking[[#This Row],[ShipDate]])</f>
        <v>2</v>
      </c>
      <c r="M1375" s="9">
        <f>IF(COUNTIF(INDEX(RawWorking[OrderID],1):RawWorking[[#This Row],[OrderID]],RawWorking[[#This Row],[OrderID]])=1,1,0)</f>
        <v>1</v>
      </c>
      <c r="N1375" s="4">
        <f>IFERROR(RawWorking[[#This Row],[LineAmount]]/RawWorking[[#This Row],[Quantity]],"")</f>
        <v>101.44</v>
      </c>
    </row>
    <row r="1376" spans="1:14">
      <c r="A1376">
        <v>51375</v>
      </c>
      <c r="B1376">
        <v>30798</v>
      </c>
      <c r="C1376" s="2">
        <v>45919</v>
      </c>
      <c r="D1376">
        <v>2419</v>
      </c>
      <c r="E1376">
        <v>1005</v>
      </c>
      <c r="F1376">
        <v>3</v>
      </c>
      <c r="G1376">
        <v>95.19</v>
      </c>
      <c r="H1376" s="2">
        <v>45922</v>
      </c>
      <c r="I1376" s="2">
        <v>45926</v>
      </c>
      <c r="J1376" t="s">
        <v>9</v>
      </c>
      <c r="K1376" s="2" t="str">
        <f>IFERROR(INDEX(Product_lookup[Category],MATCH(RawWorking[[#This Row],[ProductID]],Product_lookup[ProductID],0)),"")</f>
        <v>Electronics</v>
      </c>
      <c r="L1376" s="9">
        <f>IF(OR(RawWorking[[#This Row],[ShipDate]]="",RawWorking[[#This Row],[DeliveryDate]]=""),"",RawWorking[[#This Row],[DeliveryDate]]-RawWorking[[#This Row],[ShipDate]])</f>
        <v>4</v>
      </c>
      <c r="M1376" s="9">
        <f>IF(COUNTIF(INDEX(RawWorking[OrderID],1):RawWorking[[#This Row],[OrderID]],RawWorking[[#This Row],[OrderID]])=1,1,0)</f>
        <v>1</v>
      </c>
      <c r="N1376" s="4">
        <f>IFERROR(RawWorking[[#This Row],[LineAmount]]/RawWorking[[#This Row],[Quantity]],"")</f>
        <v>31.73</v>
      </c>
    </row>
    <row r="1377" spans="1:14">
      <c r="A1377">
        <v>51376</v>
      </c>
      <c r="B1377">
        <v>30799</v>
      </c>
      <c r="C1377" s="2">
        <v>45869</v>
      </c>
      <c r="D1377">
        <v>2437</v>
      </c>
      <c r="E1377">
        <v>1009</v>
      </c>
      <c r="F1377">
        <v>1</v>
      </c>
      <c r="G1377">
        <v>40.28</v>
      </c>
      <c r="H1377" s="2">
        <v>45870</v>
      </c>
      <c r="I1377" s="2">
        <v>45878</v>
      </c>
      <c r="J1377" t="s">
        <v>9</v>
      </c>
      <c r="K1377" s="2" t="str">
        <f>IFERROR(INDEX(Product_lookup[Category],MATCH(RawWorking[[#This Row],[ProductID]],Product_lookup[ProductID],0)),"")</f>
        <v>Home</v>
      </c>
      <c r="L1377" s="9">
        <f>IF(OR(RawWorking[[#This Row],[ShipDate]]="",RawWorking[[#This Row],[DeliveryDate]]=""),"",RawWorking[[#This Row],[DeliveryDate]]-RawWorking[[#This Row],[ShipDate]])</f>
        <v>8</v>
      </c>
      <c r="M1377" s="9">
        <f>IF(COUNTIF(INDEX(RawWorking[OrderID],1):RawWorking[[#This Row],[OrderID]],RawWorking[[#This Row],[OrderID]])=1,1,0)</f>
        <v>1</v>
      </c>
      <c r="N1377" s="4">
        <f>IFERROR(RawWorking[[#This Row],[LineAmount]]/RawWorking[[#This Row],[Quantity]],"")</f>
        <v>40.28</v>
      </c>
    </row>
    <row r="1378" spans="1:14">
      <c r="A1378">
        <v>51377</v>
      </c>
      <c r="B1378">
        <v>30800</v>
      </c>
      <c r="C1378" s="2">
        <v>45822</v>
      </c>
      <c r="D1378">
        <v>2268</v>
      </c>
      <c r="E1378">
        <v>1014</v>
      </c>
      <c r="F1378">
        <v>1</v>
      </c>
      <c r="G1378">
        <v>215.34</v>
      </c>
      <c r="H1378" s="2" t="s">
        <v>1421</v>
      </c>
      <c r="I1378" s="2" t="s">
        <v>1421</v>
      </c>
      <c r="J1378" t="s">
        <v>16</v>
      </c>
      <c r="K1378" s="2" t="str">
        <f>IFERROR(INDEX(Product_lookup[Category],MATCH(RawWorking[[#This Row],[ProductID]],Product_lookup[ProductID],0)),"")</f>
        <v>Sports</v>
      </c>
      <c r="L1378" s="9" t="str">
        <f>IF(OR(RawWorking[[#This Row],[ShipDate]]="",RawWorking[[#This Row],[DeliveryDate]]=""),"",RawWorking[[#This Row],[DeliveryDate]]-RawWorking[[#This Row],[ShipDate]])</f>
        <v/>
      </c>
      <c r="M1378" s="9">
        <f>IF(COUNTIF(INDEX(RawWorking[OrderID],1):RawWorking[[#This Row],[OrderID]],RawWorking[[#This Row],[OrderID]])=1,1,0)</f>
        <v>1</v>
      </c>
      <c r="N1378" s="4">
        <f>IFERROR(RawWorking[[#This Row],[LineAmount]]/RawWorking[[#This Row],[Quantity]],"")</f>
        <v>215.34</v>
      </c>
    </row>
    <row r="1379" spans="1:14">
      <c r="A1379">
        <v>51378</v>
      </c>
      <c r="B1379">
        <v>30800</v>
      </c>
      <c r="C1379" s="2">
        <v>45822</v>
      </c>
      <c r="D1379">
        <v>2268</v>
      </c>
      <c r="E1379">
        <v>1009</v>
      </c>
      <c r="F1379">
        <v>1</v>
      </c>
      <c r="G1379">
        <v>40.28</v>
      </c>
      <c r="H1379" s="2" t="s">
        <v>1421</v>
      </c>
      <c r="I1379" s="2" t="s">
        <v>1421</v>
      </c>
      <c r="J1379" t="s">
        <v>16</v>
      </c>
      <c r="K1379" s="2" t="str">
        <f>IFERROR(INDEX(Product_lookup[Category],MATCH(RawWorking[[#This Row],[ProductID]],Product_lookup[ProductID],0)),"")</f>
        <v>Home</v>
      </c>
      <c r="L1379" s="9" t="str">
        <f>IF(OR(RawWorking[[#This Row],[ShipDate]]="",RawWorking[[#This Row],[DeliveryDate]]=""),"",RawWorking[[#This Row],[DeliveryDate]]-RawWorking[[#This Row],[ShipDate]])</f>
        <v/>
      </c>
      <c r="M1379" s="9">
        <f>IF(COUNTIF(INDEX(RawWorking[OrderID],1):RawWorking[[#This Row],[OrderID]],RawWorking[[#This Row],[OrderID]])=1,1,0)</f>
        <v>0</v>
      </c>
      <c r="N1379" s="4">
        <f>IFERROR(RawWorking[[#This Row],[LineAmount]]/RawWorking[[#This Row],[Quantity]],"")</f>
        <v>40.28</v>
      </c>
    </row>
    <row r="1380" spans="1:14">
      <c r="A1380">
        <v>51379</v>
      </c>
      <c r="B1380">
        <v>30801</v>
      </c>
      <c r="C1380" s="2">
        <v>45833</v>
      </c>
      <c r="D1380">
        <v>2407</v>
      </c>
      <c r="E1380">
        <v>1014</v>
      </c>
      <c r="F1380">
        <v>4</v>
      </c>
      <c r="G1380">
        <v>861.36</v>
      </c>
      <c r="H1380" s="2">
        <v>45834</v>
      </c>
      <c r="I1380" s="2">
        <v>45837</v>
      </c>
      <c r="J1380" t="s">
        <v>9</v>
      </c>
      <c r="K1380" s="2" t="str">
        <f>IFERROR(INDEX(Product_lookup[Category],MATCH(RawWorking[[#This Row],[ProductID]],Product_lookup[ProductID],0)),"")</f>
        <v>Sports</v>
      </c>
      <c r="L1380" s="9">
        <f>IF(OR(RawWorking[[#This Row],[ShipDate]]="",RawWorking[[#This Row],[DeliveryDate]]=""),"",RawWorking[[#This Row],[DeliveryDate]]-RawWorking[[#This Row],[ShipDate]])</f>
        <v>3</v>
      </c>
      <c r="M1380" s="9">
        <f>IF(COUNTIF(INDEX(RawWorking[OrderID],1):RawWorking[[#This Row],[OrderID]],RawWorking[[#This Row],[OrderID]])=1,1,0)</f>
        <v>1</v>
      </c>
      <c r="N1380" s="4">
        <f>IFERROR(RawWorking[[#This Row],[LineAmount]]/RawWorking[[#This Row],[Quantity]],"")</f>
        <v>215.34</v>
      </c>
    </row>
    <row r="1381" spans="1:14">
      <c r="A1381">
        <v>51380</v>
      </c>
      <c r="B1381">
        <v>30802</v>
      </c>
      <c r="C1381" s="2">
        <v>45718</v>
      </c>
      <c r="D1381">
        <v>2566</v>
      </c>
      <c r="E1381">
        <v>1016</v>
      </c>
      <c r="F1381">
        <v>1</v>
      </c>
      <c r="G1381">
        <v>65.260000000000005</v>
      </c>
      <c r="H1381" s="2">
        <v>45720</v>
      </c>
      <c r="I1381" s="2" t="s">
        <v>1421</v>
      </c>
      <c r="J1381" t="s">
        <v>16</v>
      </c>
      <c r="K1381" s="2" t="str">
        <f>IFERROR(INDEX(Product_lookup[Category],MATCH(RawWorking[[#This Row],[ProductID]],Product_lookup[ProductID],0)),"")</f>
        <v>Sports</v>
      </c>
      <c r="L1381" s="9" t="str">
        <f>IF(OR(RawWorking[[#This Row],[ShipDate]]="",RawWorking[[#This Row],[DeliveryDate]]=""),"",RawWorking[[#This Row],[DeliveryDate]]-RawWorking[[#This Row],[ShipDate]])</f>
        <v/>
      </c>
      <c r="M1381" s="9">
        <f>IF(COUNTIF(INDEX(RawWorking[OrderID],1):RawWorking[[#This Row],[OrderID]],RawWorking[[#This Row],[OrderID]])=1,1,0)</f>
        <v>1</v>
      </c>
      <c r="N1381" s="4">
        <f>IFERROR(RawWorking[[#This Row],[LineAmount]]/RawWorking[[#This Row],[Quantity]],"")</f>
        <v>65.260000000000005</v>
      </c>
    </row>
    <row r="1382" spans="1:14">
      <c r="A1382">
        <v>51381</v>
      </c>
      <c r="B1382">
        <v>30802</v>
      </c>
      <c r="C1382" s="2">
        <v>45718</v>
      </c>
      <c r="D1382">
        <v>2566</v>
      </c>
      <c r="E1382">
        <v>1016</v>
      </c>
      <c r="F1382">
        <v>1</v>
      </c>
      <c r="G1382">
        <v>65.260000000000005</v>
      </c>
      <c r="H1382" s="2" t="s">
        <v>1421</v>
      </c>
      <c r="I1382" s="2" t="s">
        <v>1421</v>
      </c>
      <c r="J1382" t="s">
        <v>16</v>
      </c>
      <c r="K1382" s="2" t="str">
        <f>IFERROR(INDEX(Product_lookup[Category],MATCH(RawWorking[[#This Row],[ProductID]],Product_lookup[ProductID],0)),"")</f>
        <v>Sports</v>
      </c>
      <c r="L1382" s="9" t="str">
        <f>IF(OR(RawWorking[[#This Row],[ShipDate]]="",RawWorking[[#This Row],[DeliveryDate]]=""),"",RawWorking[[#This Row],[DeliveryDate]]-RawWorking[[#This Row],[ShipDate]])</f>
        <v/>
      </c>
      <c r="M1382" s="9">
        <f>IF(COUNTIF(INDEX(RawWorking[OrderID],1):RawWorking[[#This Row],[OrderID]],RawWorking[[#This Row],[OrderID]])=1,1,0)</f>
        <v>0</v>
      </c>
      <c r="N1382" s="4">
        <f>IFERROR(RawWorking[[#This Row],[LineAmount]]/RawWorking[[#This Row],[Quantity]],"")</f>
        <v>65.260000000000005</v>
      </c>
    </row>
    <row r="1383" spans="1:14">
      <c r="A1383">
        <v>51382</v>
      </c>
      <c r="B1383">
        <v>30802</v>
      </c>
      <c r="C1383" s="2">
        <v>45718</v>
      </c>
      <c r="D1383">
        <v>2566</v>
      </c>
      <c r="E1383">
        <v>1010</v>
      </c>
      <c r="F1383">
        <v>1</v>
      </c>
      <c r="G1383">
        <v>121.5</v>
      </c>
      <c r="H1383" s="2" t="s">
        <v>1421</v>
      </c>
      <c r="I1383" s="2" t="s">
        <v>1421</v>
      </c>
      <c r="J1383" t="s">
        <v>16</v>
      </c>
      <c r="K1383" s="2" t="str">
        <f>IFERROR(INDEX(Product_lookup[Category],MATCH(RawWorking[[#This Row],[ProductID]],Product_lookup[ProductID],0)),"")</f>
        <v>Office</v>
      </c>
      <c r="L1383" s="9" t="str">
        <f>IF(OR(RawWorking[[#This Row],[ShipDate]]="",RawWorking[[#This Row],[DeliveryDate]]=""),"",RawWorking[[#This Row],[DeliveryDate]]-RawWorking[[#This Row],[ShipDate]])</f>
        <v/>
      </c>
      <c r="M1383" s="9">
        <f>IF(COUNTIF(INDEX(RawWorking[OrderID],1):RawWorking[[#This Row],[OrderID]],RawWorking[[#This Row],[OrderID]])=1,1,0)</f>
        <v>0</v>
      </c>
      <c r="N1383" s="4">
        <f>IFERROR(RawWorking[[#This Row],[LineAmount]]/RawWorking[[#This Row],[Quantity]],"")</f>
        <v>121.5</v>
      </c>
    </row>
    <row r="1384" spans="1:14">
      <c r="A1384">
        <v>51383</v>
      </c>
      <c r="B1384">
        <v>30802</v>
      </c>
      <c r="C1384" s="2">
        <v>45691</v>
      </c>
      <c r="D1384">
        <v>2566</v>
      </c>
      <c r="E1384">
        <v>1013</v>
      </c>
      <c r="F1384">
        <v>2</v>
      </c>
      <c r="G1384">
        <v>340.5</v>
      </c>
      <c r="H1384" s="2" t="s">
        <v>1421</v>
      </c>
      <c r="I1384" s="2" t="s">
        <v>1421</v>
      </c>
      <c r="J1384" t="s">
        <v>16</v>
      </c>
      <c r="K1384" s="2" t="str">
        <f>IFERROR(INDEX(Product_lookup[Category],MATCH(RawWorking[[#This Row],[ProductID]],Product_lookup[ProductID],0)),"")</f>
        <v>Office</v>
      </c>
      <c r="L1384" s="9" t="str">
        <f>IF(OR(RawWorking[[#This Row],[ShipDate]]="",RawWorking[[#This Row],[DeliveryDate]]=""),"",RawWorking[[#This Row],[DeliveryDate]]-RawWorking[[#This Row],[ShipDate]])</f>
        <v/>
      </c>
      <c r="M1384" s="9">
        <f>IF(COUNTIF(INDEX(RawWorking[OrderID],1):RawWorking[[#This Row],[OrderID]],RawWorking[[#This Row],[OrderID]])=1,1,0)</f>
        <v>0</v>
      </c>
      <c r="N1384" s="4">
        <f>IFERROR(RawWorking[[#This Row],[LineAmount]]/RawWorking[[#This Row],[Quantity]],"")</f>
        <v>170.25</v>
      </c>
    </row>
    <row r="1385" spans="1:14">
      <c r="A1385">
        <v>51384</v>
      </c>
      <c r="B1385">
        <v>30803</v>
      </c>
      <c r="C1385" s="2">
        <v>45690</v>
      </c>
      <c r="D1385">
        <v>2122</v>
      </c>
      <c r="E1385">
        <v>1015</v>
      </c>
      <c r="F1385">
        <v>1</v>
      </c>
      <c r="G1385">
        <v>119.74</v>
      </c>
      <c r="H1385" s="2">
        <v>45691</v>
      </c>
      <c r="I1385" s="2">
        <v>45932</v>
      </c>
      <c r="J1385" t="s">
        <v>9</v>
      </c>
      <c r="K1385" s="2" t="str">
        <f>IFERROR(INDEX(Product_lookup[Category],MATCH(RawWorking[[#This Row],[ProductID]],Product_lookup[ProductID],0)),"")</f>
        <v>Sports</v>
      </c>
      <c r="L1385" s="9">
        <f>IF(OR(RawWorking[[#This Row],[ShipDate]]="",RawWorking[[#This Row],[DeliveryDate]]=""),"",RawWorking[[#This Row],[DeliveryDate]]-RawWorking[[#This Row],[ShipDate]])</f>
        <v>241</v>
      </c>
      <c r="M1385" s="9">
        <f>IF(COUNTIF(INDEX(RawWorking[OrderID],1):RawWorking[[#This Row],[OrderID]],RawWorking[[#This Row],[OrderID]])=1,1,0)</f>
        <v>1</v>
      </c>
      <c r="N1385" s="4">
        <f>IFERROR(RawWorking[[#This Row],[LineAmount]]/RawWorking[[#This Row],[Quantity]],"")</f>
        <v>119.74</v>
      </c>
    </row>
    <row r="1386" spans="1:14">
      <c r="A1386">
        <v>51385</v>
      </c>
      <c r="B1386">
        <v>30804</v>
      </c>
      <c r="C1386" s="2">
        <v>45764</v>
      </c>
      <c r="D1386">
        <v>2166</v>
      </c>
      <c r="E1386">
        <v>1013</v>
      </c>
      <c r="F1386">
        <v>4</v>
      </c>
      <c r="G1386">
        <v>681</v>
      </c>
      <c r="H1386" s="2">
        <v>45766</v>
      </c>
      <c r="I1386" s="2">
        <v>45771</v>
      </c>
      <c r="J1386" t="s">
        <v>9</v>
      </c>
      <c r="K1386" s="2" t="str">
        <f>IFERROR(INDEX(Product_lookup[Category],MATCH(RawWorking[[#This Row],[ProductID]],Product_lookup[ProductID],0)),"")</f>
        <v>Office</v>
      </c>
      <c r="L1386" s="9">
        <f>IF(OR(RawWorking[[#This Row],[ShipDate]]="",RawWorking[[#This Row],[DeliveryDate]]=""),"",RawWorking[[#This Row],[DeliveryDate]]-RawWorking[[#This Row],[ShipDate]])</f>
        <v>5</v>
      </c>
      <c r="M1386" s="9">
        <f>IF(COUNTIF(INDEX(RawWorking[OrderID],1):RawWorking[[#This Row],[OrderID]],RawWorking[[#This Row],[OrderID]])=1,1,0)</f>
        <v>1</v>
      </c>
      <c r="N1386" s="4">
        <f>IFERROR(RawWorking[[#This Row],[LineAmount]]/RawWorking[[#This Row],[Quantity]],"")</f>
        <v>170.25</v>
      </c>
    </row>
    <row r="1387" spans="1:14">
      <c r="A1387">
        <v>51386</v>
      </c>
      <c r="B1387">
        <v>30804</v>
      </c>
      <c r="C1387" s="2">
        <v>45764</v>
      </c>
      <c r="D1387">
        <v>2166</v>
      </c>
      <c r="E1387">
        <v>1011</v>
      </c>
      <c r="F1387">
        <v>3</v>
      </c>
      <c r="G1387">
        <v>304.32</v>
      </c>
      <c r="H1387" s="2">
        <v>45767</v>
      </c>
      <c r="I1387" s="2">
        <v>45772</v>
      </c>
      <c r="J1387" t="s">
        <v>9</v>
      </c>
      <c r="K1387" s="2" t="str">
        <f>IFERROR(INDEX(Product_lookup[Category],MATCH(RawWorking[[#This Row],[ProductID]],Product_lookup[ProductID],0)),"")</f>
        <v>Office</v>
      </c>
      <c r="L1387" s="9">
        <f>IF(OR(RawWorking[[#This Row],[ShipDate]]="",RawWorking[[#This Row],[DeliveryDate]]=""),"",RawWorking[[#This Row],[DeliveryDate]]-RawWorking[[#This Row],[ShipDate]])</f>
        <v>5</v>
      </c>
      <c r="M1387" s="9">
        <f>IF(COUNTIF(INDEX(RawWorking[OrderID],1):RawWorking[[#This Row],[OrderID]],RawWorking[[#This Row],[OrderID]])=1,1,0)</f>
        <v>0</v>
      </c>
      <c r="N1387" s="4">
        <f>IFERROR(RawWorking[[#This Row],[LineAmount]]/RawWorking[[#This Row],[Quantity]],"")</f>
        <v>101.44</v>
      </c>
    </row>
    <row r="1388" spans="1:14">
      <c r="A1388">
        <v>51387</v>
      </c>
      <c r="B1388">
        <v>30804</v>
      </c>
      <c r="C1388" s="2">
        <v>45764</v>
      </c>
      <c r="D1388">
        <v>2166</v>
      </c>
      <c r="E1388">
        <v>1002</v>
      </c>
      <c r="F1388">
        <v>1</v>
      </c>
      <c r="G1388">
        <v>118.6</v>
      </c>
      <c r="H1388" s="2">
        <v>45767</v>
      </c>
      <c r="I1388" s="2">
        <v>45772</v>
      </c>
      <c r="J1388" t="s">
        <v>9</v>
      </c>
      <c r="K1388" s="2" t="str">
        <f>IFERROR(INDEX(Product_lookup[Category],MATCH(RawWorking[[#This Row],[ProductID]],Product_lookup[ProductID],0)),"")</f>
        <v>Electronics</v>
      </c>
      <c r="L1388" s="9">
        <f>IF(OR(RawWorking[[#This Row],[ShipDate]]="",RawWorking[[#This Row],[DeliveryDate]]=""),"",RawWorking[[#This Row],[DeliveryDate]]-RawWorking[[#This Row],[ShipDate]])</f>
        <v>5</v>
      </c>
      <c r="M1388" s="9">
        <f>IF(COUNTIF(INDEX(RawWorking[OrderID],1):RawWorking[[#This Row],[OrderID]],RawWorking[[#This Row],[OrderID]])=1,1,0)</f>
        <v>0</v>
      </c>
      <c r="N1388" s="4">
        <f>IFERROR(RawWorking[[#This Row],[LineAmount]]/RawWorking[[#This Row],[Quantity]],"")</f>
        <v>118.6</v>
      </c>
    </row>
    <row r="1389" spans="1:14">
      <c r="A1389">
        <v>51388</v>
      </c>
      <c r="B1389">
        <v>30805</v>
      </c>
      <c r="C1389" s="2">
        <v>45915</v>
      </c>
      <c r="D1389">
        <v>2165</v>
      </c>
      <c r="E1389">
        <v>1001</v>
      </c>
      <c r="F1389">
        <v>2</v>
      </c>
      <c r="G1389">
        <v>406.08</v>
      </c>
      <c r="H1389" s="2">
        <v>45916</v>
      </c>
      <c r="I1389" s="2">
        <v>45926</v>
      </c>
      <c r="J1389" t="s">
        <v>9</v>
      </c>
      <c r="K1389" s="2" t="str">
        <f>IFERROR(INDEX(Product_lookup[Category],MATCH(RawWorking[[#This Row],[ProductID]],Product_lookup[ProductID],0)),"")</f>
        <v>Electronics</v>
      </c>
      <c r="L1389" s="9">
        <f>IF(OR(RawWorking[[#This Row],[ShipDate]]="",RawWorking[[#This Row],[DeliveryDate]]=""),"",RawWorking[[#This Row],[DeliveryDate]]-RawWorking[[#This Row],[ShipDate]])</f>
        <v>10</v>
      </c>
      <c r="M1389" s="9">
        <f>IF(COUNTIF(INDEX(RawWorking[OrderID],1):RawWorking[[#This Row],[OrderID]],RawWorking[[#This Row],[OrderID]])=1,1,0)</f>
        <v>1</v>
      </c>
      <c r="N1389" s="4">
        <f>IFERROR(RawWorking[[#This Row],[LineAmount]]/RawWorking[[#This Row],[Quantity]],"")</f>
        <v>203.04</v>
      </c>
    </row>
    <row r="1390" spans="1:14">
      <c r="A1390">
        <v>51389</v>
      </c>
      <c r="B1390">
        <v>30806</v>
      </c>
      <c r="C1390" s="2">
        <v>45899</v>
      </c>
      <c r="D1390">
        <v>2094</v>
      </c>
      <c r="E1390">
        <v>1016</v>
      </c>
      <c r="F1390">
        <v>4</v>
      </c>
      <c r="G1390">
        <v>261.04000000000002</v>
      </c>
      <c r="H1390" s="2" t="s">
        <v>1421</v>
      </c>
      <c r="I1390" s="2" t="s">
        <v>1421</v>
      </c>
      <c r="J1390" t="s">
        <v>16</v>
      </c>
      <c r="K1390" s="2" t="str">
        <f>IFERROR(INDEX(Product_lookup[Category],MATCH(RawWorking[[#This Row],[ProductID]],Product_lookup[ProductID],0)),"")</f>
        <v>Sports</v>
      </c>
      <c r="L1390" s="9" t="str">
        <f>IF(OR(RawWorking[[#This Row],[ShipDate]]="",RawWorking[[#This Row],[DeliveryDate]]=""),"",RawWorking[[#This Row],[DeliveryDate]]-RawWorking[[#This Row],[ShipDate]])</f>
        <v/>
      </c>
      <c r="M1390" s="9">
        <f>IF(COUNTIF(INDEX(RawWorking[OrderID],1):RawWorking[[#This Row],[OrderID]],RawWorking[[#This Row],[OrderID]])=1,1,0)</f>
        <v>1</v>
      </c>
      <c r="N1390" s="4">
        <f>IFERROR(RawWorking[[#This Row],[LineAmount]]/RawWorking[[#This Row],[Quantity]],"")</f>
        <v>65.260000000000005</v>
      </c>
    </row>
    <row r="1391" spans="1:14">
      <c r="A1391">
        <v>51390</v>
      </c>
      <c r="B1391">
        <v>30806</v>
      </c>
      <c r="C1391" s="2">
        <v>45899</v>
      </c>
      <c r="D1391">
        <v>2094</v>
      </c>
      <c r="E1391">
        <v>1014</v>
      </c>
      <c r="F1391">
        <v>1</v>
      </c>
      <c r="G1391">
        <v>215.34</v>
      </c>
      <c r="H1391" s="2">
        <v>46576</v>
      </c>
      <c r="I1391" s="2" t="s">
        <v>1421</v>
      </c>
      <c r="J1391" t="s">
        <v>16</v>
      </c>
      <c r="K1391" s="2" t="str">
        <f>IFERROR(INDEX(Product_lookup[Category],MATCH(RawWorking[[#This Row],[ProductID]],Product_lookup[ProductID],0)),"")</f>
        <v>Sports</v>
      </c>
      <c r="L1391" s="9" t="str">
        <f>IF(OR(RawWorking[[#This Row],[ShipDate]]="",RawWorking[[#This Row],[DeliveryDate]]=""),"",RawWorking[[#This Row],[DeliveryDate]]-RawWorking[[#This Row],[ShipDate]])</f>
        <v/>
      </c>
      <c r="M1391" s="9">
        <f>IF(COUNTIF(INDEX(RawWorking[OrderID],1):RawWorking[[#This Row],[OrderID]],RawWorking[[#This Row],[OrderID]])=1,1,0)</f>
        <v>0</v>
      </c>
      <c r="N1391" s="4">
        <f>IFERROR(RawWorking[[#This Row],[LineAmount]]/RawWorking[[#This Row],[Quantity]],"")</f>
        <v>215.34</v>
      </c>
    </row>
    <row r="1392" spans="1:14">
      <c r="A1392">
        <v>51391</v>
      </c>
      <c r="B1392">
        <v>30806</v>
      </c>
      <c r="C1392" s="2">
        <v>45899</v>
      </c>
      <c r="D1392">
        <v>2094</v>
      </c>
      <c r="E1392">
        <v>1009</v>
      </c>
      <c r="F1392">
        <v>1</v>
      </c>
      <c r="G1392">
        <v>40.28</v>
      </c>
      <c r="H1392" s="2">
        <v>45902</v>
      </c>
      <c r="I1392" s="2" t="s">
        <v>1421</v>
      </c>
      <c r="J1392" t="s">
        <v>16</v>
      </c>
      <c r="K1392" s="2" t="str">
        <f>IFERROR(INDEX(Product_lookup[Category],MATCH(RawWorking[[#This Row],[ProductID]],Product_lookup[ProductID],0)),"")</f>
        <v>Home</v>
      </c>
      <c r="L1392" s="9" t="str">
        <f>IF(OR(RawWorking[[#This Row],[ShipDate]]="",RawWorking[[#This Row],[DeliveryDate]]=""),"",RawWorking[[#This Row],[DeliveryDate]]-RawWorking[[#This Row],[ShipDate]])</f>
        <v/>
      </c>
      <c r="M1392" s="9">
        <f>IF(COUNTIF(INDEX(RawWorking[OrderID],1):RawWorking[[#This Row],[OrderID]],RawWorking[[#This Row],[OrderID]])=1,1,0)</f>
        <v>0</v>
      </c>
      <c r="N1392" s="4">
        <f>IFERROR(RawWorking[[#This Row],[LineAmount]]/RawWorking[[#This Row],[Quantity]],"")</f>
        <v>40.28</v>
      </c>
    </row>
    <row r="1393" spans="1:14">
      <c r="A1393">
        <v>51392</v>
      </c>
      <c r="B1393">
        <v>30807</v>
      </c>
      <c r="C1393" s="2">
        <v>45996</v>
      </c>
      <c r="D1393">
        <v>2082</v>
      </c>
      <c r="E1393">
        <v>1013</v>
      </c>
      <c r="F1393">
        <v>1</v>
      </c>
      <c r="G1393">
        <v>170.25</v>
      </c>
      <c r="H1393" s="2">
        <v>45999</v>
      </c>
      <c r="I1393" s="2">
        <v>46003</v>
      </c>
      <c r="J1393" t="s">
        <v>9</v>
      </c>
      <c r="K1393" s="2" t="str">
        <f>IFERROR(INDEX(Product_lookup[Category],MATCH(RawWorking[[#This Row],[ProductID]],Product_lookup[ProductID],0)),"")</f>
        <v>Office</v>
      </c>
      <c r="L1393" s="9">
        <f>IF(OR(RawWorking[[#This Row],[ShipDate]]="",RawWorking[[#This Row],[DeliveryDate]]=""),"",RawWorking[[#This Row],[DeliveryDate]]-RawWorking[[#This Row],[ShipDate]])</f>
        <v>4</v>
      </c>
      <c r="M1393" s="9">
        <f>IF(COUNTIF(INDEX(RawWorking[OrderID],1):RawWorking[[#This Row],[OrderID]],RawWorking[[#This Row],[OrderID]])=1,1,0)</f>
        <v>1</v>
      </c>
      <c r="N1393" s="4">
        <f>IFERROR(RawWorking[[#This Row],[LineAmount]]/RawWorking[[#This Row],[Quantity]],"")</f>
        <v>170.25</v>
      </c>
    </row>
    <row r="1394" spans="1:14">
      <c r="A1394">
        <v>51393</v>
      </c>
      <c r="B1394">
        <v>30807</v>
      </c>
      <c r="C1394" s="2">
        <v>45996</v>
      </c>
      <c r="D1394">
        <v>2082</v>
      </c>
      <c r="E1394">
        <v>1013</v>
      </c>
      <c r="F1394">
        <v>2</v>
      </c>
      <c r="G1394">
        <v>340.5</v>
      </c>
      <c r="H1394" s="2">
        <v>45997</v>
      </c>
      <c r="I1394" s="2">
        <v>46000</v>
      </c>
      <c r="J1394" t="s">
        <v>9</v>
      </c>
      <c r="K1394" s="2" t="str">
        <f>IFERROR(INDEX(Product_lookup[Category],MATCH(RawWorking[[#This Row],[ProductID]],Product_lookup[ProductID],0)),"")</f>
        <v>Office</v>
      </c>
      <c r="L1394" s="9">
        <f>IF(OR(RawWorking[[#This Row],[ShipDate]]="",RawWorking[[#This Row],[DeliveryDate]]=""),"",RawWorking[[#This Row],[DeliveryDate]]-RawWorking[[#This Row],[ShipDate]])</f>
        <v>3</v>
      </c>
      <c r="M1394" s="9">
        <f>IF(COUNTIF(INDEX(RawWorking[OrderID],1):RawWorking[[#This Row],[OrderID]],RawWorking[[#This Row],[OrderID]])=1,1,0)</f>
        <v>0</v>
      </c>
      <c r="N1394" s="4">
        <f>IFERROR(RawWorking[[#This Row],[LineAmount]]/RawWorking[[#This Row],[Quantity]],"")</f>
        <v>170.25</v>
      </c>
    </row>
    <row r="1395" spans="1:14">
      <c r="A1395">
        <v>51394</v>
      </c>
      <c r="B1395">
        <v>30807</v>
      </c>
      <c r="C1395" s="2">
        <v>45996</v>
      </c>
      <c r="D1395">
        <v>2082</v>
      </c>
      <c r="E1395">
        <v>1010</v>
      </c>
      <c r="F1395">
        <v>1</v>
      </c>
      <c r="G1395">
        <v>121.5</v>
      </c>
      <c r="H1395" s="2">
        <v>45997</v>
      </c>
      <c r="I1395" s="2">
        <v>45998</v>
      </c>
      <c r="J1395" t="s">
        <v>9</v>
      </c>
      <c r="K1395" s="2" t="str">
        <f>IFERROR(INDEX(Product_lookup[Category],MATCH(RawWorking[[#This Row],[ProductID]],Product_lookup[ProductID],0)),"")</f>
        <v>Office</v>
      </c>
      <c r="L1395" s="9">
        <f>IF(OR(RawWorking[[#This Row],[ShipDate]]="",RawWorking[[#This Row],[DeliveryDate]]=""),"",RawWorking[[#This Row],[DeliveryDate]]-RawWorking[[#This Row],[ShipDate]])</f>
        <v>1</v>
      </c>
      <c r="M1395" s="9">
        <f>IF(COUNTIF(INDEX(RawWorking[OrderID],1):RawWorking[[#This Row],[OrderID]],RawWorking[[#This Row],[OrderID]])=1,1,0)</f>
        <v>0</v>
      </c>
      <c r="N1395" s="4">
        <f>IFERROR(RawWorking[[#This Row],[LineAmount]]/RawWorking[[#This Row],[Quantity]],"")</f>
        <v>121.5</v>
      </c>
    </row>
    <row r="1396" spans="1:14">
      <c r="A1396">
        <v>51395</v>
      </c>
      <c r="B1396">
        <v>30807</v>
      </c>
      <c r="C1396" s="2">
        <v>45996</v>
      </c>
      <c r="D1396">
        <v>2082</v>
      </c>
      <c r="E1396">
        <v>1002</v>
      </c>
      <c r="F1396">
        <v>1</v>
      </c>
      <c r="G1396">
        <v>118.6</v>
      </c>
      <c r="H1396" s="2">
        <v>45997</v>
      </c>
      <c r="I1396" s="2">
        <v>46003</v>
      </c>
      <c r="J1396" t="s">
        <v>9</v>
      </c>
      <c r="K1396" s="2" t="str">
        <f>IFERROR(INDEX(Product_lookup[Category],MATCH(RawWorking[[#This Row],[ProductID]],Product_lookup[ProductID],0)),"")</f>
        <v>Electronics</v>
      </c>
      <c r="L1396" s="9">
        <f>IF(OR(RawWorking[[#This Row],[ShipDate]]="",RawWorking[[#This Row],[DeliveryDate]]=""),"",RawWorking[[#This Row],[DeliveryDate]]-RawWorking[[#This Row],[ShipDate]])</f>
        <v>6</v>
      </c>
      <c r="M1396" s="9">
        <f>IF(COUNTIF(INDEX(RawWorking[OrderID],1):RawWorking[[#This Row],[OrderID]],RawWorking[[#This Row],[OrderID]])=1,1,0)</f>
        <v>0</v>
      </c>
      <c r="N1396" s="4">
        <f>IFERROR(RawWorking[[#This Row],[LineAmount]]/RawWorking[[#This Row],[Quantity]],"")</f>
        <v>118.6</v>
      </c>
    </row>
    <row r="1397" spans="1:14">
      <c r="A1397">
        <v>51396</v>
      </c>
      <c r="B1397">
        <v>30808</v>
      </c>
      <c r="C1397" s="2">
        <v>45701</v>
      </c>
      <c r="D1397">
        <v>2180</v>
      </c>
      <c r="E1397">
        <v>1015</v>
      </c>
      <c r="F1397">
        <v>2</v>
      </c>
      <c r="G1397">
        <v>239.48</v>
      </c>
      <c r="H1397" s="2">
        <v>45703</v>
      </c>
      <c r="I1397" s="2">
        <v>45710</v>
      </c>
      <c r="J1397" t="s">
        <v>9</v>
      </c>
      <c r="K1397" s="2" t="str">
        <f>IFERROR(INDEX(Product_lookup[Category],MATCH(RawWorking[[#This Row],[ProductID]],Product_lookup[ProductID],0)),"")</f>
        <v>Sports</v>
      </c>
      <c r="L1397" s="9">
        <f>IF(OR(RawWorking[[#This Row],[ShipDate]]="",RawWorking[[#This Row],[DeliveryDate]]=""),"",RawWorking[[#This Row],[DeliveryDate]]-RawWorking[[#This Row],[ShipDate]])</f>
        <v>7</v>
      </c>
      <c r="M1397" s="9">
        <f>IF(COUNTIF(INDEX(RawWorking[OrderID],1):RawWorking[[#This Row],[OrderID]],RawWorking[[#This Row],[OrderID]])=1,1,0)</f>
        <v>1</v>
      </c>
      <c r="N1397" s="4">
        <f>IFERROR(RawWorking[[#This Row],[LineAmount]]/RawWorking[[#This Row],[Quantity]],"")</f>
        <v>119.74</v>
      </c>
    </row>
    <row r="1398" spans="1:14">
      <c r="A1398">
        <v>51397</v>
      </c>
      <c r="B1398">
        <v>30808</v>
      </c>
      <c r="C1398" s="2">
        <v>45701</v>
      </c>
      <c r="D1398">
        <v>2180</v>
      </c>
      <c r="E1398">
        <v>1001</v>
      </c>
      <c r="F1398">
        <v>1</v>
      </c>
      <c r="G1398">
        <v>203.04</v>
      </c>
      <c r="H1398" s="2">
        <v>45703</v>
      </c>
      <c r="I1398" s="2">
        <v>45705</v>
      </c>
      <c r="J1398" t="s">
        <v>9</v>
      </c>
      <c r="K1398" s="2" t="str">
        <f>IFERROR(INDEX(Product_lookup[Category],MATCH(RawWorking[[#This Row],[ProductID]],Product_lookup[ProductID],0)),"")</f>
        <v>Electronics</v>
      </c>
      <c r="L1398" s="9">
        <f>IF(OR(RawWorking[[#This Row],[ShipDate]]="",RawWorking[[#This Row],[DeliveryDate]]=""),"",RawWorking[[#This Row],[DeliveryDate]]-RawWorking[[#This Row],[ShipDate]])</f>
        <v>2</v>
      </c>
      <c r="M1398" s="9">
        <f>IF(COUNTIF(INDEX(RawWorking[OrderID],1):RawWorking[[#This Row],[OrderID]],RawWorking[[#This Row],[OrderID]])=1,1,0)</f>
        <v>0</v>
      </c>
      <c r="N1398" s="4">
        <f>IFERROR(RawWorking[[#This Row],[LineAmount]]/RawWorking[[#This Row],[Quantity]],"")</f>
        <v>203.04</v>
      </c>
    </row>
    <row r="1399" spans="1:14">
      <c r="A1399">
        <v>51398</v>
      </c>
      <c r="B1399">
        <v>30809</v>
      </c>
      <c r="C1399" s="2">
        <v>45663</v>
      </c>
      <c r="D1399">
        <v>2207</v>
      </c>
      <c r="E1399">
        <v>1010</v>
      </c>
      <c r="F1399">
        <v>1</v>
      </c>
      <c r="G1399">
        <v>121.5</v>
      </c>
      <c r="H1399" s="2">
        <v>45666</v>
      </c>
      <c r="I1399" s="2" t="s">
        <v>1421</v>
      </c>
      <c r="J1399" t="s">
        <v>16</v>
      </c>
      <c r="K1399" s="2" t="str">
        <f>IFERROR(INDEX(Product_lookup[Category],MATCH(RawWorking[[#This Row],[ProductID]],Product_lookup[ProductID],0)),"")</f>
        <v>Office</v>
      </c>
      <c r="L1399" s="9" t="str">
        <f>IF(OR(RawWorking[[#This Row],[ShipDate]]="",RawWorking[[#This Row],[DeliveryDate]]=""),"",RawWorking[[#This Row],[DeliveryDate]]-RawWorking[[#This Row],[ShipDate]])</f>
        <v/>
      </c>
      <c r="M1399" s="9">
        <f>IF(COUNTIF(INDEX(RawWorking[OrderID],1):RawWorking[[#This Row],[OrderID]],RawWorking[[#This Row],[OrderID]])=1,1,0)</f>
        <v>1</v>
      </c>
      <c r="N1399" s="4">
        <f>IFERROR(RawWorking[[#This Row],[LineAmount]]/RawWorking[[#This Row],[Quantity]],"")</f>
        <v>121.5</v>
      </c>
    </row>
    <row r="1400" spans="1:14">
      <c r="A1400">
        <v>51399</v>
      </c>
      <c r="B1400">
        <v>30810</v>
      </c>
      <c r="C1400" s="2">
        <v>45723</v>
      </c>
      <c r="D1400">
        <v>2523</v>
      </c>
      <c r="E1400">
        <v>1008</v>
      </c>
      <c r="F1400">
        <v>1</v>
      </c>
      <c r="G1400">
        <v>206.09</v>
      </c>
      <c r="H1400" s="2">
        <v>45725</v>
      </c>
      <c r="I1400" s="2">
        <v>45732</v>
      </c>
      <c r="J1400" t="s">
        <v>9</v>
      </c>
      <c r="K1400" s="2" t="str">
        <f>IFERROR(INDEX(Product_lookup[Category],MATCH(RawWorking[[#This Row],[ProductID]],Product_lookup[ProductID],0)),"")</f>
        <v>Home</v>
      </c>
      <c r="L1400" s="9">
        <f>IF(OR(RawWorking[[#This Row],[ShipDate]]="",RawWorking[[#This Row],[DeliveryDate]]=""),"",RawWorking[[#This Row],[DeliveryDate]]-RawWorking[[#This Row],[ShipDate]])</f>
        <v>7</v>
      </c>
      <c r="M1400" s="9">
        <f>IF(COUNTIF(INDEX(RawWorking[OrderID],1):RawWorking[[#This Row],[OrderID]],RawWorking[[#This Row],[OrderID]])=1,1,0)</f>
        <v>1</v>
      </c>
      <c r="N1400" s="4">
        <f>IFERROR(RawWorking[[#This Row],[LineAmount]]/RawWorking[[#This Row],[Quantity]],"")</f>
        <v>206.09</v>
      </c>
    </row>
    <row r="1401" spans="1:14">
      <c r="A1401">
        <v>51400</v>
      </c>
      <c r="B1401">
        <v>30811</v>
      </c>
      <c r="C1401" s="2">
        <v>45945</v>
      </c>
      <c r="D1401">
        <v>2174</v>
      </c>
      <c r="E1401">
        <v>1012</v>
      </c>
      <c r="F1401">
        <v>2</v>
      </c>
      <c r="G1401">
        <v>483.08</v>
      </c>
      <c r="H1401" s="2">
        <v>45947</v>
      </c>
      <c r="I1401" s="2">
        <v>45957</v>
      </c>
      <c r="J1401" t="s">
        <v>9</v>
      </c>
      <c r="K1401" s="2" t="str">
        <f>IFERROR(INDEX(Product_lookup[Category],MATCH(RawWorking[[#This Row],[ProductID]],Product_lookup[ProductID],0)),"")</f>
        <v>Office</v>
      </c>
      <c r="L1401" s="9">
        <f>IF(OR(RawWorking[[#This Row],[ShipDate]]="",RawWorking[[#This Row],[DeliveryDate]]=""),"",RawWorking[[#This Row],[DeliveryDate]]-RawWorking[[#This Row],[ShipDate]])</f>
        <v>10</v>
      </c>
      <c r="M1401" s="9">
        <f>IF(COUNTIF(INDEX(RawWorking[OrderID],1):RawWorking[[#This Row],[OrderID]],RawWorking[[#This Row],[OrderID]])=1,1,0)</f>
        <v>1</v>
      </c>
      <c r="N1401" s="4">
        <f>IFERROR(RawWorking[[#This Row],[LineAmount]]/RawWorking[[#This Row],[Quantity]],"")</f>
        <v>241.54</v>
      </c>
    </row>
    <row r="1402" spans="1:14">
      <c r="A1402">
        <v>51401</v>
      </c>
      <c r="B1402">
        <v>30811</v>
      </c>
      <c r="C1402" s="2">
        <v>45945</v>
      </c>
      <c r="D1402">
        <v>2174</v>
      </c>
      <c r="E1402">
        <v>1008</v>
      </c>
      <c r="F1402">
        <v>1</v>
      </c>
      <c r="G1402">
        <v>206.09</v>
      </c>
      <c r="H1402" s="2">
        <v>45947</v>
      </c>
      <c r="I1402" s="2">
        <v>45956</v>
      </c>
      <c r="J1402" t="s">
        <v>9</v>
      </c>
      <c r="K1402" s="2" t="str">
        <f>IFERROR(INDEX(Product_lookup[Category],MATCH(RawWorking[[#This Row],[ProductID]],Product_lookup[ProductID],0)),"")</f>
        <v>Home</v>
      </c>
      <c r="L1402" s="9">
        <f>IF(OR(RawWorking[[#This Row],[ShipDate]]="",RawWorking[[#This Row],[DeliveryDate]]=""),"",RawWorking[[#This Row],[DeliveryDate]]-RawWorking[[#This Row],[ShipDate]])</f>
        <v>9</v>
      </c>
      <c r="M1402" s="9">
        <f>IF(COUNTIF(INDEX(RawWorking[OrderID],1):RawWorking[[#This Row],[OrderID]],RawWorking[[#This Row],[OrderID]])=1,1,0)</f>
        <v>0</v>
      </c>
      <c r="N1402" s="4">
        <f>IFERROR(RawWorking[[#This Row],[LineAmount]]/RawWorking[[#This Row],[Quantity]],"")</f>
        <v>206.09</v>
      </c>
    </row>
    <row r="1403" spans="1:14">
      <c r="A1403">
        <v>51402</v>
      </c>
      <c r="B1403">
        <v>30811</v>
      </c>
      <c r="C1403" s="2">
        <v>45945</v>
      </c>
      <c r="D1403">
        <v>2174</v>
      </c>
      <c r="E1403">
        <v>1001</v>
      </c>
      <c r="F1403">
        <v>1</v>
      </c>
      <c r="G1403">
        <v>203.04</v>
      </c>
      <c r="H1403" s="2">
        <v>45947</v>
      </c>
      <c r="I1403" s="2">
        <v>45955</v>
      </c>
      <c r="J1403" t="s">
        <v>9</v>
      </c>
      <c r="K1403" s="2" t="str">
        <f>IFERROR(INDEX(Product_lookup[Category],MATCH(RawWorking[[#This Row],[ProductID]],Product_lookup[ProductID],0)),"")</f>
        <v>Electronics</v>
      </c>
      <c r="L1403" s="9">
        <f>IF(OR(RawWorking[[#This Row],[ShipDate]]="",RawWorking[[#This Row],[DeliveryDate]]=""),"",RawWorking[[#This Row],[DeliveryDate]]-RawWorking[[#This Row],[ShipDate]])</f>
        <v>8</v>
      </c>
      <c r="M1403" s="9">
        <f>IF(COUNTIF(INDEX(RawWorking[OrderID],1):RawWorking[[#This Row],[OrderID]],RawWorking[[#This Row],[OrderID]])=1,1,0)</f>
        <v>0</v>
      </c>
      <c r="N1403" s="4">
        <f>IFERROR(RawWorking[[#This Row],[LineAmount]]/RawWorking[[#This Row],[Quantity]],"")</f>
        <v>203.04</v>
      </c>
    </row>
    <row r="1404" spans="1:14">
      <c r="A1404">
        <v>51403</v>
      </c>
      <c r="B1404">
        <v>30812</v>
      </c>
      <c r="C1404" s="2">
        <v>45815</v>
      </c>
      <c r="D1404">
        <v>2162</v>
      </c>
      <c r="E1404">
        <v>1009</v>
      </c>
      <c r="F1404">
        <v>1</v>
      </c>
      <c r="G1404">
        <v>40.28</v>
      </c>
      <c r="H1404" s="2">
        <v>45816</v>
      </c>
      <c r="I1404" s="2">
        <v>45819</v>
      </c>
      <c r="J1404" t="s">
        <v>9</v>
      </c>
      <c r="K1404" s="2" t="str">
        <f>IFERROR(INDEX(Product_lookup[Category],MATCH(RawWorking[[#This Row],[ProductID]],Product_lookup[ProductID],0)),"")</f>
        <v>Home</v>
      </c>
      <c r="L1404" s="9">
        <f>IF(OR(RawWorking[[#This Row],[ShipDate]]="",RawWorking[[#This Row],[DeliveryDate]]=""),"",RawWorking[[#This Row],[DeliveryDate]]-RawWorking[[#This Row],[ShipDate]])</f>
        <v>3</v>
      </c>
      <c r="M1404" s="9">
        <f>IF(COUNTIF(INDEX(RawWorking[OrderID],1):RawWorking[[#This Row],[OrderID]],RawWorking[[#This Row],[OrderID]])=1,1,0)</f>
        <v>1</v>
      </c>
      <c r="N1404" s="4">
        <f>IFERROR(RawWorking[[#This Row],[LineAmount]]/RawWorking[[#This Row],[Quantity]],"")</f>
        <v>40.28</v>
      </c>
    </row>
    <row r="1405" spans="1:14">
      <c r="A1405">
        <v>51404</v>
      </c>
      <c r="B1405">
        <v>30813</v>
      </c>
      <c r="C1405" s="2">
        <v>45711</v>
      </c>
      <c r="D1405">
        <v>2410</v>
      </c>
      <c r="E1405">
        <v>1013</v>
      </c>
      <c r="F1405">
        <v>2</v>
      </c>
      <c r="G1405">
        <v>340.5</v>
      </c>
      <c r="H1405" s="2">
        <v>45714</v>
      </c>
      <c r="I1405" s="2">
        <v>45719</v>
      </c>
      <c r="J1405" t="s">
        <v>9</v>
      </c>
      <c r="K1405" s="2" t="str">
        <f>IFERROR(INDEX(Product_lookup[Category],MATCH(RawWorking[[#This Row],[ProductID]],Product_lookup[ProductID],0)),"")</f>
        <v>Office</v>
      </c>
      <c r="L1405" s="9">
        <f>IF(OR(RawWorking[[#This Row],[ShipDate]]="",RawWorking[[#This Row],[DeliveryDate]]=""),"",RawWorking[[#This Row],[DeliveryDate]]-RawWorking[[#This Row],[ShipDate]])</f>
        <v>5</v>
      </c>
      <c r="M1405" s="9">
        <f>IF(COUNTIF(INDEX(RawWorking[OrderID],1):RawWorking[[#This Row],[OrderID]],RawWorking[[#This Row],[OrderID]])=1,1,0)</f>
        <v>1</v>
      </c>
      <c r="N1405" s="4">
        <f>IFERROR(RawWorking[[#This Row],[LineAmount]]/RawWorking[[#This Row],[Quantity]],"")</f>
        <v>170.25</v>
      </c>
    </row>
    <row r="1406" spans="1:14">
      <c r="A1406">
        <v>51405</v>
      </c>
      <c r="B1406">
        <v>30813</v>
      </c>
      <c r="C1406" s="2">
        <v>45711</v>
      </c>
      <c r="D1406">
        <v>2410</v>
      </c>
      <c r="E1406">
        <v>1013</v>
      </c>
      <c r="F1406">
        <v>1</v>
      </c>
      <c r="G1406">
        <v>170.25</v>
      </c>
      <c r="H1406" s="2">
        <v>45713</v>
      </c>
      <c r="I1406" s="2">
        <v>45719</v>
      </c>
      <c r="J1406" t="s">
        <v>9</v>
      </c>
      <c r="K1406" s="2" t="str">
        <f>IFERROR(INDEX(Product_lookup[Category],MATCH(RawWorking[[#This Row],[ProductID]],Product_lookup[ProductID],0)),"")</f>
        <v>Office</v>
      </c>
      <c r="L1406" s="9">
        <f>IF(OR(RawWorking[[#This Row],[ShipDate]]="",RawWorking[[#This Row],[DeliveryDate]]=""),"",RawWorking[[#This Row],[DeliveryDate]]-RawWorking[[#This Row],[ShipDate]])</f>
        <v>6</v>
      </c>
      <c r="M1406" s="9">
        <f>IF(COUNTIF(INDEX(RawWorking[OrderID],1):RawWorking[[#This Row],[OrderID]],RawWorking[[#This Row],[OrderID]])=1,1,0)</f>
        <v>0</v>
      </c>
      <c r="N1406" s="4">
        <f>IFERROR(RawWorking[[#This Row],[LineAmount]]/RawWorking[[#This Row],[Quantity]],"")</f>
        <v>170.25</v>
      </c>
    </row>
    <row r="1407" spans="1:14">
      <c r="A1407">
        <v>51406</v>
      </c>
      <c r="B1407">
        <v>30813</v>
      </c>
      <c r="C1407" s="2">
        <v>45711</v>
      </c>
      <c r="D1407">
        <v>2410</v>
      </c>
      <c r="E1407">
        <v>1007</v>
      </c>
      <c r="F1407">
        <v>2</v>
      </c>
      <c r="G1407">
        <v>399.62</v>
      </c>
      <c r="H1407" s="2">
        <v>45712</v>
      </c>
      <c r="I1407" s="2">
        <v>45716</v>
      </c>
      <c r="J1407" t="s">
        <v>9</v>
      </c>
      <c r="K1407" s="2" t="str">
        <f>IFERROR(INDEX(Product_lookup[Category],MATCH(RawWorking[[#This Row],[ProductID]],Product_lookup[ProductID],0)),"")</f>
        <v>Home</v>
      </c>
      <c r="L1407" s="9">
        <f>IF(OR(RawWorking[[#This Row],[ShipDate]]="",RawWorking[[#This Row],[DeliveryDate]]=""),"",RawWorking[[#This Row],[DeliveryDate]]-RawWorking[[#This Row],[ShipDate]])</f>
        <v>4</v>
      </c>
      <c r="M1407" s="9">
        <f>IF(COUNTIF(INDEX(RawWorking[OrderID],1):RawWorking[[#This Row],[OrderID]],RawWorking[[#This Row],[OrderID]])=1,1,0)</f>
        <v>0</v>
      </c>
      <c r="N1407" s="4">
        <f>IFERROR(RawWorking[[#This Row],[LineAmount]]/RawWorking[[#This Row],[Quantity]],"")</f>
        <v>199.81</v>
      </c>
    </row>
    <row r="1408" spans="1:14">
      <c r="A1408">
        <v>51407</v>
      </c>
      <c r="B1408">
        <v>30814</v>
      </c>
      <c r="C1408" s="2">
        <v>45856</v>
      </c>
      <c r="D1408">
        <v>2531</v>
      </c>
      <c r="E1408">
        <v>1003</v>
      </c>
      <c r="F1408">
        <v>1</v>
      </c>
      <c r="G1408">
        <v>224.37</v>
      </c>
      <c r="H1408" s="2">
        <v>45859</v>
      </c>
      <c r="I1408" s="2">
        <v>45869</v>
      </c>
      <c r="J1408" t="s">
        <v>9</v>
      </c>
      <c r="K1408" s="2" t="str">
        <f>IFERROR(INDEX(Product_lookup[Category],MATCH(RawWorking[[#This Row],[ProductID]],Product_lookup[ProductID],0)),"")</f>
        <v>Electronics</v>
      </c>
      <c r="L1408" s="9">
        <f>IF(OR(RawWorking[[#This Row],[ShipDate]]="",RawWorking[[#This Row],[DeliveryDate]]=""),"",RawWorking[[#This Row],[DeliveryDate]]-RawWorking[[#This Row],[ShipDate]])</f>
        <v>10</v>
      </c>
      <c r="M1408" s="9">
        <f>IF(COUNTIF(INDEX(RawWorking[OrderID],1):RawWorking[[#This Row],[OrderID]],RawWorking[[#This Row],[OrderID]])=1,1,0)</f>
        <v>1</v>
      </c>
      <c r="N1408" s="4">
        <f>IFERROR(RawWorking[[#This Row],[LineAmount]]/RawWorking[[#This Row],[Quantity]],"")</f>
        <v>224.37</v>
      </c>
    </row>
    <row r="1409" spans="1:14">
      <c r="A1409">
        <v>51408</v>
      </c>
      <c r="B1409">
        <v>30815</v>
      </c>
      <c r="C1409" s="2">
        <v>45890</v>
      </c>
      <c r="D1409">
        <v>2093</v>
      </c>
      <c r="E1409">
        <v>1012</v>
      </c>
      <c r="F1409">
        <v>2</v>
      </c>
      <c r="G1409">
        <v>483.08</v>
      </c>
      <c r="H1409" s="2">
        <v>45892</v>
      </c>
      <c r="I1409" s="2">
        <v>45900</v>
      </c>
      <c r="J1409" t="s">
        <v>9</v>
      </c>
      <c r="K1409" s="2" t="str">
        <f>IFERROR(INDEX(Product_lookup[Category],MATCH(RawWorking[[#This Row],[ProductID]],Product_lookup[ProductID],0)),"")</f>
        <v>Office</v>
      </c>
      <c r="L1409" s="9">
        <f>IF(OR(RawWorking[[#This Row],[ShipDate]]="",RawWorking[[#This Row],[DeliveryDate]]=""),"",RawWorking[[#This Row],[DeliveryDate]]-RawWorking[[#This Row],[ShipDate]])</f>
        <v>8</v>
      </c>
      <c r="M1409" s="9">
        <f>IF(COUNTIF(INDEX(RawWorking[OrderID],1):RawWorking[[#This Row],[OrderID]],RawWorking[[#This Row],[OrderID]])=1,1,0)</f>
        <v>1</v>
      </c>
      <c r="N1409" s="4">
        <f>IFERROR(RawWorking[[#This Row],[LineAmount]]/RawWorking[[#This Row],[Quantity]],"")</f>
        <v>241.54</v>
      </c>
    </row>
    <row r="1410" spans="1:14">
      <c r="A1410">
        <v>51409</v>
      </c>
      <c r="B1410">
        <v>30816</v>
      </c>
      <c r="C1410" s="2">
        <v>45809</v>
      </c>
      <c r="D1410">
        <v>2356</v>
      </c>
      <c r="E1410">
        <v>1009</v>
      </c>
      <c r="F1410">
        <v>1</v>
      </c>
      <c r="G1410">
        <v>40.28</v>
      </c>
      <c r="H1410" s="2">
        <v>45810</v>
      </c>
      <c r="I1410" s="2">
        <v>45815</v>
      </c>
      <c r="J1410" t="s">
        <v>11</v>
      </c>
      <c r="K1410" s="2" t="str">
        <f>IFERROR(INDEX(Product_lookup[Category],MATCH(RawWorking[[#This Row],[ProductID]],Product_lookup[ProductID],0)),"")</f>
        <v>Home</v>
      </c>
      <c r="L1410" s="9">
        <f>IF(OR(RawWorking[[#This Row],[ShipDate]]="",RawWorking[[#This Row],[DeliveryDate]]=""),"",RawWorking[[#This Row],[DeliveryDate]]-RawWorking[[#This Row],[ShipDate]])</f>
        <v>5</v>
      </c>
      <c r="M1410" s="9">
        <f>IF(COUNTIF(INDEX(RawWorking[OrderID],1):RawWorking[[#This Row],[OrderID]],RawWorking[[#This Row],[OrderID]])=1,1,0)</f>
        <v>1</v>
      </c>
      <c r="N1410" s="4">
        <f>IFERROR(RawWorking[[#This Row],[LineAmount]]/RawWorking[[#This Row],[Quantity]],"")</f>
        <v>40.28</v>
      </c>
    </row>
    <row r="1411" spans="1:14">
      <c r="A1411">
        <v>51410</v>
      </c>
      <c r="B1411">
        <v>30817</v>
      </c>
      <c r="C1411" s="2">
        <v>45918</v>
      </c>
      <c r="D1411">
        <v>2232</v>
      </c>
      <c r="E1411">
        <v>1007</v>
      </c>
      <c r="F1411">
        <v>2</v>
      </c>
      <c r="G1411">
        <v>399.62</v>
      </c>
      <c r="H1411" s="2">
        <v>45921</v>
      </c>
      <c r="I1411" s="2">
        <v>45926</v>
      </c>
      <c r="J1411" t="s">
        <v>9</v>
      </c>
      <c r="K1411" s="2" t="str">
        <f>IFERROR(INDEX(Product_lookup[Category],MATCH(RawWorking[[#This Row],[ProductID]],Product_lookup[ProductID],0)),"")</f>
        <v>Home</v>
      </c>
      <c r="L1411" s="9">
        <f>IF(OR(RawWorking[[#This Row],[ShipDate]]="",RawWorking[[#This Row],[DeliveryDate]]=""),"",RawWorking[[#This Row],[DeliveryDate]]-RawWorking[[#This Row],[ShipDate]])</f>
        <v>5</v>
      </c>
      <c r="M1411" s="9">
        <f>IF(COUNTIF(INDEX(RawWorking[OrderID],1):RawWorking[[#This Row],[OrderID]],RawWorking[[#This Row],[OrderID]])=1,1,0)</f>
        <v>1</v>
      </c>
      <c r="N1411" s="4">
        <f>IFERROR(RawWorking[[#This Row],[LineAmount]]/RawWorking[[#This Row],[Quantity]],"")</f>
        <v>199.81</v>
      </c>
    </row>
    <row r="1412" spans="1:14">
      <c r="A1412">
        <v>51411</v>
      </c>
      <c r="B1412">
        <v>30818</v>
      </c>
      <c r="C1412" s="2">
        <v>45761</v>
      </c>
      <c r="D1412">
        <v>2466</v>
      </c>
      <c r="E1412">
        <v>1001</v>
      </c>
      <c r="F1412">
        <v>2</v>
      </c>
      <c r="G1412">
        <v>406.08</v>
      </c>
      <c r="H1412" s="2" t="s">
        <v>1421</v>
      </c>
      <c r="I1412" s="2" t="s">
        <v>1421</v>
      </c>
      <c r="J1412" t="s">
        <v>12</v>
      </c>
      <c r="K1412" s="2" t="str">
        <f>IFERROR(INDEX(Product_lookup[Category],MATCH(RawWorking[[#This Row],[ProductID]],Product_lookup[ProductID],0)),"")</f>
        <v>Electronics</v>
      </c>
      <c r="L1412" s="9" t="str">
        <f>IF(OR(RawWorking[[#This Row],[ShipDate]]="",RawWorking[[#This Row],[DeliveryDate]]=""),"",RawWorking[[#This Row],[DeliveryDate]]-RawWorking[[#This Row],[ShipDate]])</f>
        <v/>
      </c>
      <c r="M1412" s="9">
        <f>IF(COUNTIF(INDEX(RawWorking[OrderID],1):RawWorking[[#This Row],[OrderID]],RawWorking[[#This Row],[OrderID]])=1,1,0)</f>
        <v>1</v>
      </c>
      <c r="N1412" s="4">
        <f>IFERROR(RawWorking[[#This Row],[LineAmount]]/RawWorking[[#This Row],[Quantity]],"")</f>
        <v>203.04</v>
      </c>
    </row>
    <row r="1413" spans="1:14">
      <c r="A1413">
        <v>51412</v>
      </c>
      <c r="B1413">
        <v>30818</v>
      </c>
      <c r="C1413" s="2">
        <v>45761</v>
      </c>
      <c r="D1413">
        <v>2466</v>
      </c>
      <c r="E1413">
        <v>1009</v>
      </c>
      <c r="F1413">
        <v>2</v>
      </c>
      <c r="G1413">
        <v>80.56</v>
      </c>
      <c r="H1413" s="2" t="s">
        <v>1421</v>
      </c>
      <c r="I1413" s="2" t="s">
        <v>1421</v>
      </c>
      <c r="J1413" t="s">
        <v>12</v>
      </c>
      <c r="K1413" s="2" t="str">
        <f>IFERROR(INDEX(Product_lookup[Category],MATCH(RawWorking[[#This Row],[ProductID]],Product_lookup[ProductID],0)),"")</f>
        <v>Home</v>
      </c>
      <c r="L1413" s="9" t="str">
        <f>IF(OR(RawWorking[[#This Row],[ShipDate]]="",RawWorking[[#This Row],[DeliveryDate]]=""),"",RawWorking[[#This Row],[DeliveryDate]]-RawWorking[[#This Row],[ShipDate]])</f>
        <v/>
      </c>
      <c r="M1413" s="9">
        <f>IF(COUNTIF(INDEX(RawWorking[OrderID],1):RawWorking[[#This Row],[OrderID]],RawWorking[[#This Row],[OrderID]])=1,1,0)</f>
        <v>0</v>
      </c>
      <c r="N1413" s="4">
        <f>IFERROR(RawWorking[[#This Row],[LineAmount]]/RawWorking[[#This Row],[Quantity]],"")</f>
        <v>40.28</v>
      </c>
    </row>
    <row r="1414" spans="1:14">
      <c r="A1414">
        <v>51413</v>
      </c>
      <c r="B1414">
        <v>30819</v>
      </c>
      <c r="C1414" s="2">
        <v>45683</v>
      </c>
      <c r="D1414">
        <v>2180</v>
      </c>
      <c r="E1414">
        <v>1004</v>
      </c>
      <c r="F1414">
        <v>1</v>
      </c>
      <c r="G1414">
        <v>183.74</v>
      </c>
      <c r="H1414" s="2">
        <v>45685</v>
      </c>
      <c r="I1414" s="2">
        <v>45689</v>
      </c>
      <c r="J1414" t="s">
        <v>9</v>
      </c>
      <c r="K1414" s="2" t="str">
        <f>IFERROR(INDEX(Product_lookup[Category],MATCH(RawWorking[[#This Row],[ProductID]],Product_lookup[ProductID],0)),"")</f>
        <v>Electronics</v>
      </c>
      <c r="L1414" s="9">
        <f>IF(OR(RawWorking[[#This Row],[ShipDate]]="",RawWorking[[#This Row],[DeliveryDate]]=""),"",RawWorking[[#This Row],[DeliveryDate]]-RawWorking[[#This Row],[ShipDate]])</f>
        <v>4</v>
      </c>
      <c r="M1414" s="9">
        <f>IF(COUNTIF(INDEX(RawWorking[OrderID],1):RawWorking[[#This Row],[OrderID]],RawWorking[[#This Row],[OrderID]])=1,1,0)</f>
        <v>1</v>
      </c>
      <c r="N1414" s="4">
        <f>IFERROR(RawWorking[[#This Row],[LineAmount]]/RawWorking[[#This Row],[Quantity]],"")</f>
        <v>183.74</v>
      </c>
    </row>
    <row r="1415" spans="1:14">
      <c r="A1415">
        <v>51414</v>
      </c>
      <c r="B1415">
        <v>30819</v>
      </c>
      <c r="C1415" s="2">
        <v>45683</v>
      </c>
      <c r="D1415">
        <v>2180</v>
      </c>
      <c r="E1415">
        <v>1003</v>
      </c>
      <c r="F1415">
        <v>2</v>
      </c>
      <c r="G1415">
        <v>448.74</v>
      </c>
      <c r="H1415" s="2">
        <v>45686</v>
      </c>
      <c r="I1415" s="2">
        <v>45692</v>
      </c>
      <c r="J1415" t="s">
        <v>9</v>
      </c>
      <c r="K1415" s="2" t="str">
        <f>IFERROR(INDEX(Product_lookup[Category],MATCH(RawWorking[[#This Row],[ProductID]],Product_lookup[ProductID],0)),"")</f>
        <v>Electronics</v>
      </c>
      <c r="L1415" s="9">
        <f>IF(OR(RawWorking[[#This Row],[ShipDate]]="",RawWorking[[#This Row],[DeliveryDate]]=""),"",RawWorking[[#This Row],[DeliveryDate]]-RawWorking[[#This Row],[ShipDate]])</f>
        <v>6</v>
      </c>
      <c r="M1415" s="9">
        <f>IF(COUNTIF(INDEX(RawWorking[OrderID],1):RawWorking[[#This Row],[OrderID]],RawWorking[[#This Row],[OrderID]])=1,1,0)</f>
        <v>0</v>
      </c>
      <c r="N1415" s="4">
        <f>IFERROR(RawWorking[[#This Row],[LineAmount]]/RawWorking[[#This Row],[Quantity]],"")</f>
        <v>224.37</v>
      </c>
    </row>
    <row r="1416" spans="1:14">
      <c r="A1416">
        <v>51415</v>
      </c>
      <c r="B1416">
        <v>30819</v>
      </c>
      <c r="C1416" s="2">
        <v>45683</v>
      </c>
      <c r="D1416">
        <v>2180</v>
      </c>
      <c r="E1416">
        <v>1010</v>
      </c>
      <c r="F1416">
        <v>1</v>
      </c>
      <c r="G1416">
        <v>121.5</v>
      </c>
      <c r="H1416" s="2">
        <v>45684</v>
      </c>
      <c r="I1416" s="2">
        <v>45690</v>
      </c>
      <c r="J1416" t="s">
        <v>9</v>
      </c>
      <c r="K1416" s="2" t="str">
        <f>IFERROR(INDEX(Product_lookup[Category],MATCH(RawWorking[[#This Row],[ProductID]],Product_lookup[ProductID],0)),"")</f>
        <v>Office</v>
      </c>
      <c r="L1416" s="9">
        <f>IF(OR(RawWorking[[#This Row],[ShipDate]]="",RawWorking[[#This Row],[DeliveryDate]]=""),"",RawWorking[[#This Row],[DeliveryDate]]-RawWorking[[#This Row],[ShipDate]])</f>
        <v>6</v>
      </c>
      <c r="M1416" s="9">
        <f>IF(COUNTIF(INDEX(RawWorking[OrderID],1):RawWorking[[#This Row],[OrderID]],RawWorking[[#This Row],[OrderID]])=1,1,0)</f>
        <v>0</v>
      </c>
      <c r="N1416" s="4">
        <f>IFERROR(RawWorking[[#This Row],[LineAmount]]/RawWorking[[#This Row],[Quantity]],"")</f>
        <v>121.5</v>
      </c>
    </row>
    <row r="1417" spans="1:14">
      <c r="A1417">
        <v>51416</v>
      </c>
      <c r="B1417">
        <v>30819</v>
      </c>
      <c r="C1417" s="2">
        <v>45683</v>
      </c>
      <c r="D1417">
        <v>2180</v>
      </c>
      <c r="E1417">
        <v>1011</v>
      </c>
      <c r="F1417">
        <v>1</v>
      </c>
      <c r="G1417">
        <v>101.44</v>
      </c>
      <c r="H1417" s="2">
        <v>45685</v>
      </c>
      <c r="I1417" s="2">
        <v>45695</v>
      </c>
      <c r="J1417" t="s">
        <v>9</v>
      </c>
      <c r="K1417" s="2" t="str">
        <f>IFERROR(INDEX(Product_lookup[Category],MATCH(RawWorking[[#This Row],[ProductID]],Product_lookup[ProductID],0)),"")</f>
        <v>Office</v>
      </c>
      <c r="L1417" s="9">
        <f>IF(OR(RawWorking[[#This Row],[ShipDate]]="",RawWorking[[#This Row],[DeliveryDate]]=""),"",RawWorking[[#This Row],[DeliveryDate]]-RawWorking[[#This Row],[ShipDate]])</f>
        <v>10</v>
      </c>
      <c r="M1417" s="9">
        <f>IF(COUNTIF(INDEX(RawWorking[OrderID],1):RawWorking[[#This Row],[OrderID]],RawWorking[[#This Row],[OrderID]])=1,1,0)</f>
        <v>0</v>
      </c>
      <c r="N1417" s="4">
        <f>IFERROR(RawWorking[[#This Row],[LineAmount]]/RawWorking[[#This Row],[Quantity]],"")</f>
        <v>101.44</v>
      </c>
    </row>
    <row r="1418" spans="1:14">
      <c r="A1418">
        <v>51417</v>
      </c>
      <c r="B1418">
        <v>30820</v>
      </c>
      <c r="C1418" s="2">
        <v>45791</v>
      </c>
      <c r="D1418">
        <v>2120</v>
      </c>
      <c r="E1418">
        <v>1009</v>
      </c>
      <c r="F1418">
        <v>2</v>
      </c>
      <c r="G1418">
        <v>80.56</v>
      </c>
      <c r="H1418" s="2" t="s">
        <v>1421</v>
      </c>
      <c r="I1418" s="2" t="s">
        <v>1421</v>
      </c>
      <c r="J1418" t="s">
        <v>16</v>
      </c>
      <c r="K1418" s="2" t="str">
        <f>IFERROR(INDEX(Product_lookup[Category],MATCH(RawWorking[[#This Row],[ProductID]],Product_lookup[ProductID],0)),"")</f>
        <v>Home</v>
      </c>
      <c r="L1418" s="9" t="str">
        <f>IF(OR(RawWorking[[#This Row],[ShipDate]]="",RawWorking[[#This Row],[DeliveryDate]]=""),"",RawWorking[[#This Row],[DeliveryDate]]-RawWorking[[#This Row],[ShipDate]])</f>
        <v/>
      </c>
      <c r="M1418" s="9">
        <f>IF(COUNTIF(INDEX(RawWorking[OrderID],1):RawWorking[[#This Row],[OrderID]],RawWorking[[#This Row],[OrderID]])=1,1,0)</f>
        <v>1</v>
      </c>
      <c r="N1418" s="4">
        <f>IFERROR(RawWorking[[#This Row],[LineAmount]]/RawWorking[[#This Row],[Quantity]],"")</f>
        <v>40.28</v>
      </c>
    </row>
    <row r="1419" spans="1:14">
      <c r="A1419">
        <v>51418</v>
      </c>
      <c r="B1419">
        <v>30821</v>
      </c>
      <c r="C1419" s="2">
        <v>45754</v>
      </c>
      <c r="D1419">
        <v>2589</v>
      </c>
      <c r="E1419">
        <v>1015</v>
      </c>
      <c r="F1419">
        <v>1</v>
      </c>
      <c r="G1419">
        <v>119.74</v>
      </c>
      <c r="H1419" s="2">
        <v>45755</v>
      </c>
      <c r="I1419" s="2">
        <v>45762</v>
      </c>
      <c r="J1419" t="s">
        <v>9</v>
      </c>
      <c r="K1419" s="2" t="str">
        <f>IFERROR(INDEX(Product_lookup[Category],MATCH(RawWorking[[#This Row],[ProductID]],Product_lookup[ProductID],0)),"")</f>
        <v>Sports</v>
      </c>
      <c r="L1419" s="9">
        <f>IF(OR(RawWorking[[#This Row],[ShipDate]]="",RawWorking[[#This Row],[DeliveryDate]]=""),"",RawWorking[[#This Row],[DeliveryDate]]-RawWorking[[#This Row],[ShipDate]])</f>
        <v>7</v>
      </c>
      <c r="M1419" s="9">
        <f>IF(COUNTIF(INDEX(RawWorking[OrderID],1):RawWorking[[#This Row],[OrderID]],RawWorking[[#This Row],[OrderID]])=1,1,0)</f>
        <v>1</v>
      </c>
      <c r="N1419" s="4">
        <f>IFERROR(RawWorking[[#This Row],[LineAmount]]/RawWorking[[#This Row],[Quantity]],"")</f>
        <v>119.74</v>
      </c>
    </row>
    <row r="1420" spans="1:14">
      <c r="A1420">
        <v>51419</v>
      </c>
      <c r="B1420">
        <v>30821</v>
      </c>
      <c r="C1420" s="2">
        <v>45754</v>
      </c>
      <c r="D1420">
        <v>2589</v>
      </c>
      <c r="E1420">
        <v>1013</v>
      </c>
      <c r="F1420">
        <v>1</v>
      </c>
      <c r="G1420">
        <v>170.25</v>
      </c>
      <c r="H1420" s="2">
        <v>45757</v>
      </c>
      <c r="I1420" s="2">
        <v>45758</v>
      </c>
      <c r="J1420" t="s">
        <v>9</v>
      </c>
      <c r="K1420" s="2" t="str">
        <f>IFERROR(INDEX(Product_lookup[Category],MATCH(RawWorking[[#This Row],[ProductID]],Product_lookup[ProductID],0)),"")</f>
        <v>Office</v>
      </c>
      <c r="L1420" s="9">
        <f>IF(OR(RawWorking[[#This Row],[ShipDate]]="",RawWorking[[#This Row],[DeliveryDate]]=""),"",RawWorking[[#This Row],[DeliveryDate]]-RawWorking[[#This Row],[ShipDate]])</f>
        <v>1</v>
      </c>
      <c r="M1420" s="9">
        <f>IF(COUNTIF(INDEX(RawWorking[OrderID],1):RawWorking[[#This Row],[OrderID]],RawWorking[[#This Row],[OrderID]])=1,1,0)</f>
        <v>0</v>
      </c>
      <c r="N1420" s="4">
        <f>IFERROR(RawWorking[[#This Row],[LineAmount]]/RawWorking[[#This Row],[Quantity]],"")</f>
        <v>170.25</v>
      </c>
    </row>
    <row r="1421" spans="1:14">
      <c r="A1421">
        <v>51420</v>
      </c>
      <c r="B1421">
        <v>30821</v>
      </c>
      <c r="C1421" s="2">
        <v>45754</v>
      </c>
      <c r="D1421">
        <v>2589</v>
      </c>
      <c r="E1421">
        <v>1016</v>
      </c>
      <c r="F1421">
        <v>1</v>
      </c>
      <c r="G1421">
        <v>65.260000000000005</v>
      </c>
      <c r="H1421" s="2">
        <v>45756</v>
      </c>
      <c r="I1421" s="2">
        <v>45765</v>
      </c>
      <c r="J1421" t="s">
        <v>9</v>
      </c>
      <c r="K1421" s="2" t="str">
        <f>IFERROR(INDEX(Product_lookup[Category],MATCH(RawWorking[[#This Row],[ProductID]],Product_lookup[ProductID],0)),"")</f>
        <v>Sports</v>
      </c>
      <c r="L1421" s="9">
        <f>IF(OR(RawWorking[[#This Row],[ShipDate]]="",RawWorking[[#This Row],[DeliveryDate]]=""),"",RawWorking[[#This Row],[DeliveryDate]]-RawWorking[[#This Row],[ShipDate]])</f>
        <v>9</v>
      </c>
      <c r="M1421" s="9">
        <f>IF(COUNTIF(INDEX(RawWorking[OrderID],1):RawWorking[[#This Row],[OrderID]],RawWorking[[#This Row],[OrderID]])=1,1,0)</f>
        <v>0</v>
      </c>
      <c r="N1421" s="4">
        <f>IFERROR(RawWorking[[#This Row],[LineAmount]]/RawWorking[[#This Row],[Quantity]],"")</f>
        <v>65.260000000000005</v>
      </c>
    </row>
    <row r="1422" spans="1:14">
      <c r="A1422">
        <v>51421</v>
      </c>
      <c r="B1422">
        <v>30822</v>
      </c>
      <c r="C1422" s="2">
        <v>45904</v>
      </c>
      <c r="D1422">
        <v>2250</v>
      </c>
      <c r="E1422">
        <v>1015</v>
      </c>
      <c r="F1422">
        <v>4</v>
      </c>
      <c r="G1422">
        <v>478.96</v>
      </c>
      <c r="H1422" s="2">
        <v>45906</v>
      </c>
      <c r="I1422" s="2">
        <v>45939</v>
      </c>
      <c r="J1422" t="s">
        <v>9</v>
      </c>
      <c r="K1422" s="2" t="str">
        <f>IFERROR(INDEX(Product_lookup[Category],MATCH(RawWorking[[#This Row],[ProductID]],Product_lookup[ProductID],0)),"")</f>
        <v>Sports</v>
      </c>
      <c r="L1422" s="9">
        <f>IF(OR(RawWorking[[#This Row],[ShipDate]]="",RawWorking[[#This Row],[DeliveryDate]]=""),"",RawWorking[[#This Row],[DeliveryDate]]-RawWorking[[#This Row],[ShipDate]])</f>
        <v>33</v>
      </c>
      <c r="M1422" s="9">
        <f>IF(COUNTIF(INDEX(RawWorking[OrderID],1):RawWorking[[#This Row],[OrderID]],RawWorking[[#This Row],[OrderID]])=1,1,0)</f>
        <v>1</v>
      </c>
      <c r="N1422" s="4">
        <f>IFERROR(RawWorking[[#This Row],[LineAmount]]/RawWorking[[#This Row],[Quantity]],"")</f>
        <v>119.74</v>
      </c>
    </row>
    <row r="1423" spans="1:14">
      <c r="A1423">
        <v>51422</v>
      </c>
      <c r="B1423">
        <v>30823</v>
      </c>
      <c r="C1423" s="2">
        <v>45759</v>
      </c>
      <c r="D1423">
        <v>2472</v>
      </c>
      <c r="E1423">
        <v>1001</v>
      </c>
      <c r="F1423">
        <v>2</v>
      </c>
      <c r="G1423">
        <v>406.08</v>
      </c>
      <c r="H1423" s="2" t="s">
        <v>1421</v>
      </c>
      <c r="I1423" s="2" t="s">
        <v>1421</v>
      </c>
      <c r="J1423" t="s">
        <v>12</v>
      </c>
      <c r="K1423" s="2" t="str">
        <f>IFERROR(INDEX(Product_lookup[Category],MATCH(RawWorking[[#This Row],[ProductID]],Product_lookup[ProductID],0)),"")</f>
        <v>Electronics</v>
      </c>
      <c r="L1423" s="9" t="str">
        <f>IF(OR(RawWorking[[#This Row],[ShipDate]]="",RawWorking[[#This Row],[DeliveryDate]]=""),"",RawWorking[[#This Row],[DeliveryDate]]-RawWorking[[#This Row],[ShipDate]])</f>
        <v/>
      </c>
      <c r="M1423" s="9">
        <f>IF(COUNTIF(INDEX(RawWorking[OrderID],1):RawWorking[[#This Row],[OrderID]],RawWorking[[#This Row],[OrderID]])=1,1,0)</f>
        <v>1</v>
      </c>
      <c r="N1423" s="4">
        <f>IFERROR(RawWorking[[#This Row],[LineAmount]]/RawWorking[[#This Row],[Quantity]],"")</f>
        <v>203.04</v>
      </c>
    </row>
    <row r="1424" spans="1:14">
      <c r="A1424">
        <v>51423</v>
      </c>
      <c r="B1424">
        <v>30824</v>
      </c>
      <c r="C1424" s="2">
        <v>45863</v>
      </c>
      <c r="D1424">
        <v>2494</v>
      </c>
      <c r="E1424">
        <v>1003</v>
      </c>
      <c r="F1424">
        <v>1</v>
      </c>
      <c r="G1424">
        <v>224.37</v>
      </c>
      <c r="H1424" s="2">
        <v>45866</v>
      </c>
      <c r="I1424" s="2">
        <v>45869</v>
      </c>
      <c r="J1424" t="s">
        <v>9</v>
      </c>
      <c r="K1424" s="2" t="str">
        <f>IFERROR(INDEX(Product_lookup[Category],MATCH(RawWorking[[#This Row],[ProductID]],Product_lookup[ProductID],0)),"")</f>
        <v>Electronics</v>
      </c>
      <c r="L1424" s="9">
        <f>IF(OR(RawWorking[[#This Row],[ShipDate]]="",RawWorking[[#This Row],[DeliveryDate]]=""),"",RawWorking[[#This Row],[DeliveryDate]]-RawWorking[[#This Row],[ShipDate]])</f>
        <v>3</v>
      </c>
      <c r="M1424" s="9">
        <f>IF(COUNTIF(INDEX(RawWorking[OrderID],1):RawWorking[[#This Row],[OrderID]],RawWorking[[#This Row],[OrderID]])=1,1,0)</f>
        <v>1</v>
      </c>
      <c r="N1424" s="4">
        <f>IFERROR(RawWorking[[#This Row],[LineAmount]]/RawWorking[[#This Row],[Quantity]],"")</f>
        <v>224.37</v>
      </c>
    </row>
    <row r="1425" spans="1:14">
      <c r="A1425">
        <v>51424</v>
      </c>
      <c r="B1425">
        <v>30825</v>
      </c>
      <c r="C1425" s="2">
        <v>45717</v>
      </c>
      <c r="D1425">
        <v>2392</v>
      </c>
      <c r="E1425">
        <v>1008</v>
      </c>
      <c r="F1425">
        <v>5</v>
      </c>
      <c r="G1425">
        <v>1030.45</v>
      </c>
      <c r="H1425" s="2">
        <v>45718</v>
      </c>
      <c r="I1425" s="2">
        <v>45903</v>
      </c>
      <c r="J1425" t="s">
        <v>9</v>
      </c>
      <c r="K1425" s="2" t="str">
        <f>IFERROR(INDEX(Product_lookup[Category],MATCH(RawWorking[[#This Row],[ProductID]],Product_lookup[ProductID],0)),"")</f>
        <v>Home</v>
      </c>
      <c r="L1425" s="9">
        <f>IF(OR(RawWorking[[#This Row],[ShipDate]]="",RawWorking[[#This Row],[DeliveryDate]]=""),"",RawWorking[[#This Row],[DeliveryDate]]-RawWorking[[#This Row],[ShipDate]])</f>
        <v>185</v>
      </c>
      <c r="M1425" s="9">
        <f>IF(COUNTIF(INDEX(RawWorking[OrderID],1):RawWorking[[#This Row],[OrderID]],RawWorking[[#This Row],[OrderID]])=1,1,0)</f>
        <v>1</v>
      </c>
      <c r="N1425" s="4">
        <f>IFERROR(RawWorking[[#This Row],[LineAmount]]/RawWorking[[#This Row],[Quantity]],"")</f>
        <v>206.09</v>
      </c>
    </row>
    <row r="1426" spans="1:14">
      <c r="A1426">
        <v>51425</v>
      </c>
      <c r="B1426">
        <v>30826</v>
      </c>
      <c r="C1426" s="2">
        <v>45808</v>
      </c>
      <c r="D1426">
        <v>2236</v>
      </c>
      <c r="E1426">
        <v>1014</v>
      </c>
      <c r="F1426">
        <v>4</v>
      </c>
      <c r="G1426">
        <v>861.36</v>
      </c>
      <c r="H1426" s="2" t="s">
        <v>1421</v>
      </c>
      <c r="I1426" s="2" t="s">
        <v>1421</v>
      </c>
      <c r="J1426" t="s">
        <v>16</v>
      </c>
      <c r="K1426" s="2" t="str">
        <f>IFERROR(INDEX(Product_lookup[Category],MATCH(RawWorking[[#This Row],[ProductID]],Product_lookup[ProductID],0)),"")</f>
        <v>Sports</v>
      </c>
      <c r="L1426" s="9" t="str">
        <f>IF(OR(RawWorking[[#This Row],[ShipDate]]="",RawWorking[[#This Row],[DeliveryDate]]=""),"",RawWorking[[#This Row],[DeliveryDate]]-RawWorking[[#This Row],[ShipDate]])</f>
        <v/>
      </c>
      <c r="M1426" s="9">
        <f>IF(COUNTIF(INDEX(RawWorking[OrderID],1):RawWorking[[#This Row],[OrderID]],RawWorking[[#This Row],[OrderID]])=1,1,0)</f>
        <v>1</v>
      </c>
      <c r="N1426" s="4">
        <f>IFERROR(RawWorking[[#This Row],[LineAmount]]/RawWorking[[#This Row],[Quantity]],"")</f>
        <v>215.34</v>
      </c>
    </row>
    <row r="1427" spans="1:14">
      <c r="A1427">
        <v>51426</v>
      </c>
      <c r="B1427">
        <v>30827</v>
      </c>
      <c r="C1427" s="2">
        <v>45710</v>
      </c>
      <c r="D1427">
        <v>2529</v>
      </c>
      <c r="E1427">
        <v>1009</v>
      </c>
      <c r="F1427">
        <v>2</v>
      </c>
      <c r="G1427">
        <v>80.56</v>
      </c>
      <c r="H1427" s="2">
        <v>45711</v>
      </c>
      <c r="I1427" s="2">
        <v>45717</v>
      </c>
      <c r="J1427" t="s">
        <v>9</v>
      </c>
      <c r="K1427" s="2" t="str">
        <f>IFERROR(INDEX(Product_lookup[Category],MATCH(RawWorking[[#This Row],[ProductID]],Product_lookup[ProductID],0)),"")</f>
        <v>Home</v>
      </c>
      <c r="L1427" s="9">
        <f>IF(OR(RawWorking[[#This Row],[ShipDate]]="",RawWorking[[#This Row],[DeliveryDate]]=""),"",RawWorking[[#This Row],[DeliveryDate]]-RawWorking[[#This Row],[ShipDate]])</f>
        <v>6</v>
      </c>
      <c r="M1427" s="9">
        <f>IF(COUNTIF(INDEX(RawWorking[OrderID],1):RawWorking[[#This Row],[OrderID]],RawWorking[[#This Row],[OrderID]])=1,1,0)</f>
        <v>1</v>
      </c>
      <c r="N1427" s="4">
        <f>IFERROR(RawWorking[[#This Row],[LineAmount]]/RawWorking[[#This Row],[Quantity]],"")</f>
        <v>40.28</v>
      </c>
    </row>
    <row r="1428" spans="1:14">
      <c r="A1428">
        <v>51427</v>
      </c>
      <c r="B1428">
        <v>30828</v>
      </c>
      <c r="C1428" s="2">
        <v>45991</v>
      </c>
      <c r="D1428">
        <v>2255</v>
      </c>
      <c r="E1428">
        <v>1013</v>
      </c>
      <c r="F1428">
        <v>1</v>
      </c>
      <c r="G1428">
        <v>170.25</v>
      </c>
      <c r="H1428" s="2">
        <v>45992</v>
      </c>
      <c r="I1428" s="2">
        <v>46002</v>
      </c>
      <c r="J1428" t="s">
        <v>9</v>
      </c>
      <c r="K1428" s="2" t="str">
        <f>IFERROR(INDEX(Product_lookup[Category],MATCH(RawWorking[[#This Row],[ProductID]],Product_lookup[ProductID],0)),"")</f>
        <v>Office</v>
      </c>
      <c r="L1428" s="9">
        <f>IF(OR(RawWorking[[#This Row],[ShipDate]]="",RawWorking[[#This Row],[DeliveryDate]]=""),"",RawWorking[[#This Row],[DeliveryDate]]-RawWorking[[#This Row],[ShipDate]])</f>
        <v>10</v>
      </c>
      <c r="M1428" s="9">
        <f>IF(COUNTIF(INDEX(RawWorking[OrderID],1):RawWorking[[#This Row],[OrderID]],RawWorking[[#This Row],[OrderID]])=1,1,0)</f>
        <v>1</v>
      </c>
      <c r="N1428" s="4">
        <f>IFERROR(RawWorking[[#This Row],[LineAmount]]/RawWorking[[#This Row],[Quantity]],"")</f>
        <v>170.25</v>
      </c>
    </row>
    <row r="1429" spans="1:14">
      <c r="A1429">
        <v>51428</v>
      </c>
      <c r="B1429">
        <v>30828</v>
      </c>
      <c r="C1429" s="2">
        <v>45991</v>
      </c>
      <c r="D1429">
        <v>2255</v>
      </c>
      <c r="E1429">
        <v>1011</v>
      </c>
      <c r="F1429">
        <v>1</v>
      </c>
      <c r="G1429">
        <v>101.44</v>
      </c>
      <c r="H1429" s="2">
        <v>45993</v>
      </c>
      <c r="I1429" s="2">
        <v>46003</v>
      </c>
      <c r="J1429" t="s">
        <v>9</v>
      </c>
      <c r="K1429" s="2" t="str">
        <f>IFERROR(INDEX(Product_lookup[Category],MATCH(RawWorking[[#This Row],[ProductID]],Product_lookup[ProductID],0)),"")</f>
        <v>Office</v>
      </c>
      <c r="L1429" s="9">
        <f>IF(OR(RawWorking[[#This Row],[ShipDate]]="",RawWorking[[#This Row],[DeliveryDate]]=""),"",RawWorking[[#This Row],[DeliveryDate]]-RawWorking[[#This Row],[ShipDate]])</f>
        <v>10</v>
      </c>
      <c r="M1429" s="9">
        <f>IF(COUNTIF(INDEX(RawWorking[OrderID],1):RawWorking[[#This Row],[OrderID]],RawWorking[[#This Row],[OrderID]])=1,1,0)</f>
        <v>0</v>
      </c>
      <c r="N1429" s="4">
        <f>IFERROR(RawWorking[[#This Row],[LineAmount]]/RawWorking[[#This Row],[Quantity]],"")</f>
        <v>101.44</v>
      </c>
    </row>
    <row r="1430" spans="1:14">
      <c r="A1430">
        <v>51429</v>
      </c>
      <c r="B1430">
        <v>30829</v>
      </c>
      <c r="C1430" s="2">
        <v>45689</v>
      </c>
      <c r="D1430">
        <v>2078</v>
      </c>
      <c r="E1430">
        <v>1006</v>
      </c>
      <c r="F1430">
        <v>1</v>
      </c>
      <c r="G1430">
        <v>253.86</v>
      </c>
      <c r="H1430" s="2">
        <v>45692</v>
      </c>
      <c r="I1430" s="2">
        <v>45698</v>
      </c>
      <c r="J1430" t="s">
        <v>9</v>
      </c>
      <c r="K1430" s="2" t="str">
        <f>IFERROR(INDEX(Product_lookup[Category],MATCH(RawWorking[[#This Row],[ProductID]],Product_lookup[ProductID],0)),"")</f>
        <v>Home</v>
      </c>
      <c r="L1430" s="9">
        <f>IF(OR(RawWorking[[#This Row],[ShipDate]]="",RawWorking[[#This Row],[DeliveryDate]]=""),"",RawWorking[[#This Row],[DeliveryDate]]-RawWorking[[#This Row],[ShipDate]])</f>
        <v>6</v>
      </c>
      <c r="M1430" s="9">
        <f>IF(COUNTIF(INDEX(RawWorking[OrderID],1):RawWorking[[#This Row],[OrderID]],RawWorking[[#This Row],[OrderID]])=1,1,0)</f>
        <v>1</v>
      </c>
      <c r="N1430" s="4">
        <f>IFERROR(RawWorking[[#This Row],[LineAmount]]/RawWorking[[#This Row],[Quantity]],"")</f>
        <v>253.86</v>
      </c>
    </row>
    <row r="1431" spans="1:14">
      <c r="A1431">
        <v>51430</v>
      </c>
      <c r="B1431">
        <v>30829</v>
      </c>
      <c r="C1431" s="2">
        <v>45689</v>
      </c>
      <c r="D1431">
        <v>2078</v>
      </c>
      <c r="E1431">
        <v>1016</v>
      </c>
      <c r="F1431">
        <v>2</v>
      </c>
      <c r="G1431">
        <v>130.52000000000001</v>
      </c>
      <c r="H1431" s="2">
        <v>45690</v>
      </c>
      <c r="I1431" s="2">
        <v>45695</v>
      </c>
      <c r="J1431" t="s">
        <v>9</v>
      </c>
      <c r="K1431" s="2" t="str">
        <f>IFERROR(INDEX(Product_lookup[Category],MATCH(RawWorking[[#This Row],[ProductID]],Product_lookup[ProductID],0)),"")</f>
        <v>Sports</v>
      </c>
      <c r="L1431" s="9">
        <f>IF(OR(RawWorking[[#This Row],[ShipDate]]="",RawWorking[[#This Row],[DeliveryDate]]=""),"",RawWorking[[#This Row],[DeliveryDate]]-RawWorking[[#This Row],[ShipDate]])</f>
        <v>5</v>
      </c>
      <c r="M1431" s="9">
        <f>IF(COUNTIF(INDEX(RawWorking[OrderID],1):RawWorking[[#This Row],[OrderID]],RawWorking[[#This Row],[OrderID]])=1,1,0)</f>
        <v>0</v>
      </c>
      <c r="N1431" s="4">
        <f>IFERROR(RawWorking[[#This Row],[LineAmount]]/RawWorking[[#This Row],[Quantity]],"")</f>
        <v>65.260000000000005</v>
      </c>
    </row>
    <row r="1432" spans="1:14">
      <c r="A1432">
        <v>51431</v>
      </c>
      <c r="B1432">
        <v>30829</v>
      </c>
      <c r="C1432" s="2">
        <v>45689</v>
      </c>
      <c r="D1432">
        <v>2078</v>
      </c>
      <c r="E1432">
        <v>1011</v>
      </c>
      <c r="F1432">
        <v>1</v>
      </c>
      <c r="G1432">
        <v>101.44</v>
      </c>
      <c r="H1432" s="2">
        <v>45718</v>
      </c>
      <c r="I1432" s="2">
        <v>45993</v>
      </c>
      <c r="J1432" t="s">
        <v>9</v>
      </c>
      <c r="K1432" s="2" t="str">
        <f>IFERROR(INDEX(Product_lookup[Category],MATCH(RawWorking[[#This Row],[ProductID]],Product_lookup[ProductID],0)),"")</f>
        <v>Office</v>
      </c>
      <c r="L1432" s="9">
        <f>IF(OR(RawWorking[[#This Row],[ShipDate]]="",RawWorking[[#This Row],[DeliveryDate]]=""),"",RawWorking[[#This Row],[DeliveryDate]]-RawWorking[[#This Row],[ShipDate]])</f>
        <v>275</v>
      </c>
      <c r="M1432" s="9">
        <f>IF(COUNTIF(INDEX(RawWorking[OrderID],1):RawWorking[[#This Row],[OrderID]],RawWorking[[#This Row],[OrderID]])=1,1,0)</f>
        <v>0</v>
      </c>
      <c r="N1432" s="4">
        <f>IFERROR(RawWorking[[#This Row],[LineAmount]]/RawWorking[[#This Row],[Quantity]],"")</f>
        <v>101.44</v>
      </c>
    </row>
    <row r="1433" spans="1:14">
      <c r="A1433">
        <v>51432</v>
      </c>
      <c r="B1433">
        <v>30830</v>
      </c>
      <c r="C1433" s="2">
        <v>45759</v>
      </c>
      <c r="D1433">
        <v>2363</v>
      </c>
      <c r="E1433">
        <v>1009</v>
      </c>
      <c r="F1433">
        <v>1</v>
      </c>
      <c r="G1433">
        <v>40.28</v>
      </c>
      <c r="H1433" s="2">
        <v>45789</v>
      </c>
      <c r="I1433" s="2">
        <v>45942</v>
      </c>
      <c r="J1433" t="s">
        <v>9</v>
      </c>
      <c r="K1433" s="2" t="str">
        <f>IFERROR(INDEX(Product_lookup[Category],MATCH(RawWorking[[#This Row],[ProductID]],Product_lookup[ProductID],0)),"")</f>
        <v>Home</v>
      </c>
      <c r="L1433" s="9">
        <f>IF(OR(RawWorking[[#This Row],[ShipDate]]="",RawWorking[[#This Row],[DeliveryDate]]=""),"",RawWorking[[#This Row],[DeliveryDate]]-RawWorking[[#This Row],[ShipDate]])</f>
        <v>153</v>
      </c>
      <c r="M1433" s="9">
        <f>IF(COUNTIF(INDEX(RawWorking[OrderID],1):RawWorking[[#This Row],[OrderID]],RawWorking[[#This Row],[OrderID]])=1,1,0)</f>
        <v>1</v>
      </c>
      <c r="N1433" s="4">
        <f>IFERROR(RawWorking[[#This Row],[LineAmount]]/RawWorking[[#This Row],[Quantity]],"")</f>
        <v>40.28</v>
      </c>
    </row>
    <row r="1434" spans="1:14">
      <c r="A1434">
        <v>51433</v>
      </c>
      <c r="B1434">
        <v>30830</v>
      </c>
      <c r="C1434" s="2">
        <v>45759</v>
      </c>
      <c r="D1434">
        <v>2363</v>
      </c>
      <c r="E1434">
        <v>1006</v>
      </c>
      <c r="F1434">
        <v>1</v>
      </c>
      <c r="G1434">
        <v>253.86</v>
      </c>
      <c r="H1434" s="2">
        <v>45997</v>
      </c>
      <c r="I1434" s="2">
        <v>45999</v>
      </c>
      <c r="J1434" t="s">
        <v>9</v>
      </c>
      <c r="K1434" s="2" t="str">
        <f>IFERROR(INDEX(Product_lookup[Category],MATCH(RawWorking[[#This Row],[ProductID]],Product_lookup[ProductID],0)),"")</f>
        <v>Home</v>
      </c>
      <c r="L1434" s="9">
        <f>IF(OR(RawWorking[[#This Row],[ShipDate]]="",RawWorking[[#This Row],[DeliveryDate]]=""),"",RawWorking[[#This Row],[DeliveryDate]]-RawWorking[[#This Row],[ShipDate]])</f>
        <v>2</v>
      </c>
      <c r="M1434" s="9">
        <f>IF(COUNTIF(INDEX(RawWorking[OrderID],1):RawWorking[[#This Row],[OrderID]],RawWorking[[#This Row],[OrderID]])=1,1,0)</f>
        <v>0</v>
      </c>
      <c r="N1434" s="4">
        <f>IFERROR(RawWorking[[#This Row],[LineAmount]]/RawWorking[[#This Row],[Quantity]],"")</f>
        <v>253.86</v>
      </c>
    </row>
    <row r="1435" spans="1:14">
      <c r="A1435">
        <v>51434</v>
      </c>
      <c r="B1435">
        <v>30831</v>
      </c>
      <c r="C1435" s="2">
        <v>45814</v>
      </c>
      <c r="D1435">
        <v>2195</v>
      </c>
      <c r="E1435">
        <v>1007</v>
      </c>
      <c r="F1435">
        <v>2</v>
      </c>
      <c r="G1435">
        <v>399.62</v>
      </c>
      <c r="H1435" s="2">
        <v>45815</v>
      </c>
      <c r="I1435" s="2">
        <v>45936</v>
      </c>
      <c r="J1435" t="s">
        <v>9</v>
      </c>
      <c r="K1435" s="2" t="str">
        <f>IFERROR(INDEX(Product_lookup[Category],MATCH(RawWorking[[#This Row],[ProductID]],Product_lookup[ProductID],0)),"")</f>
        <v>Home</v>
      </c>
      <c r="L1435" s="9">
        <f>IF(OR(RawWorking[[#This Row],[ShipDate]]="",RawWorking[[#This Row],[DeliveryDate]]=""),"",RawWorking[[#This Row],[DeliveryDate]]-RawWorking[[#This Row],[ShipDate]])</f>
        <v>121</v>
      </c>
      <c r="M1435" s="9">
        <f>IF(COUNTIF(INDEX(RawWorking[OrderID],1):RawWorking[[#This Row],[OrderID]],RawWorking[[#This Row],[OrderID]])=1,1,0)</f>
        <v>1</v>
      </c>
      <c r="N1435" s="4">
        <f>IFERROR(RawWorking[[#This Row],[LineAmount]]/RawWorking[[#This Row],[Quantity]],"")</f>
        <v>199.81</v>
      </c>
    </row>
    <row r="1436" spans="1:14">
      <c r="A1436">
        <v>51435</v>
      </c>
      <c r="B1436">
        <v>30831</v>
      </c>
      <c r="C1436" s="2">
        <v>45814</v>
      </c>
      <c r="D1436">
        <v>2195</v>
      </c>
      <c r="E1436">
        <v>1008</v>
      </c>
      <c r="F1436">
        <v>1</v>
      </c>
      <c r="G1436">
        <v>206.09</v>
      </c>
      <c r="H1436" s="2">
        <v>45816</v>
      </c>
      <c r="I1436" s="2">
        <v>45822</v>
      </c>
      <c r="J1436" t="s">
        <v>9</v>
      </c>
      <c r="K1436" s="2" t="str">
        <f>IFERROR(INDEX(Product_lookup[Category],MATCH(RawWorking[[#This Row],[ProductID]],Product_lookup[ProductID],0)),"")</f>
        <v>Home</v>
      </c>
      <c r="L1436" s="9">
        <f>IF(OR(RawWorking[[#This Row],[ShipDate]]="",RawWorking[[#This Row],[DeliveryDate]]=""),"",RawWorking[[#This Row],[DeliveryDate]]-RawWorking[[#This Row],[ShipDate]])</f>
        <v>6</v>
      </c>
      <c r="M1436" s="9">
        <f>IF(COUNTIF(INDEX(RawWorking[OrderID],1):RawWorking[[#This Row],[OrderID]],RawWorking[[#This Row],[OrderID]])=1,1,0)</f>
        <v>0</v>
      </c>
      <c r="N1436" s="4">
        <f>IFERROR(RawWorking[[#This Row],[LineAmount]]/RawWorking[[#This Row],[Quantity]],"")</f>
        <v>206.09</v>
      </c>
    </row>
    <row r="1437" spans="1:14">
      <c r="A1437">
        <v>51436</v>
      </c>
      <c r="B1437">
        <v>30831</v>
      </c>
      <c r="C1437" s="2">
        <v>45814</v>
      </c>
      <c r="D1437">
        <v>2195</v>
      </c>
      <c r="E1437">
        <v>1008</v>
      </c>
      <c r="F1437">
        <v>3</v>
      </c>
      <c r="G1437">
        <v>618.27</v>
      </c>
      <c r="H1437" s="2">
        <v>45817</v>
      </c>
      <c r="I1437" s="2">
        <v>45822</v>
      </c>
      <c r="J1437" t="s">
        <v>9</v>
      </c>
      <c r="K1437" s="2" t="str">
        <f>IFERROR(INDEX(Product_lookup[Category],MATCH(RawWorking[[#This Row],[ProductID]],Product_lookup[ProductID],0)),"")</f>
        <v>Home</v>
      </c>
      <c r="L1437" s="9">
        <f>IF(OR(RawWorking[[#This Row],[ShipDate]]="",RawWorking[[#This Row],[DeliveryDate]]=""),"",RawWorking[[#This Row],[DeliveryDate]]-RawWorking[[#This Row],[ShipDate]])</f>
        <v>5</v>
      </c>
      <c r="M1437" s="9">
        <f>IF(COUNTIF(INDEX(RawWorking[OrderID],1):RawWorking[[#This Row],[OrderID]],RawWorking[[#This Row],[OrderID]])=1,1,0)</f>
        <v>0</v>
      </c>
      <c r="N1437" s="4">
        <f>IFERROR(RawWorking[[#This Row],[LineAmount]]/RawWorking[[#This Row],[Quantity]],"")</f>
        <v>206.09</v>
      </c>
    </row>
    <row r="1438" spans="1:14">
      <c r="A1438">
        <v>51437</v>
      </c>
      <c r="B1438">
        <v>30832</v>
      </c>
      <c r="C1438" s="2">
        <v>45979</v>
      </c>
      <c r="D1438">
        <v>2272</v>
      </c>
      <c r="E1438">
        <v>1007</v>
      </c>
      <c r="F1438">
        <v>3</v>
      </c>
      <c r="G1438">
        <v>599.42999999999995</v>
      </c>
      <c r="H1438" s="2">
        <v>45980</v>
      </c>
      <c r="I1438" s="2">
        <v>45986</v>
      </c>
      <c r="J1438" t="s">
        <v>9</v>
      </c>
      <c r="K1438" s="2" t="str">
        <f>IFERROR(INDEX(Product_lookup[Category],MATCH(RawWorking[[#This Row],[ProductID]],Product_lookup[ProductID],0)),"")</f>
        <v>Home</v>
      </c>
      <c r="L1438" s="9">
        <f>IF(OR(RawWorking[[#This Row],[ShipDate]]="",RawWorking[[#This Row],[DeliveryDate]]=""),"",RawWorking[[#This Row],[DeliveryDate]]-RawWorking[[#This Row],[ShipDate]])</f>
        <v>6</v>
      </c>
      <c r="M1438" s="9">
        <f>IF(COUNTIF(INDEX(RawWorking[OrderID],1):RawWorking[[#This Row],[OrderID]],RawWorking[[#This Row],[OrderID]])=1,1,0)</f>
        <v>1</v>
      </c>
      <c r="N1438" s="4">
        <f>IFERROR(RawWorking[[#This Row],[LineAmount]]/RawWorking[[#This Row],[Quantity]],"")</f>
        <v>199.80999999999997</v>
      </c>
    </row>
    <row r="1439" spans="1:14">
      <c r="A1439">
        <v>51438</v>
      </c>
      <c r="B1439">
        <v>30832</v>
      </c>
      <c r="C1439" s="2">
        <v>45979</v>
      </c>
      <c r="D1439">
        <v>2272</v>
      </c>
      <c r="E1439">
        <v>1008</v>
      </c>
      <c r="F1439">
        <v>1</v>
      </c>
      <c r="G1439">
        <v>206.09</v>
      </c>
      <c r="H1439" s="2">
        <v>45982</v>
      </c>
      <c r="I1439" s="2">
        <v>45991</v>
      </c>
      <c r="J1439" t="s">
        <v>9</v>
      </c>
      <c r="K1439" s="2" t="str">
        <f>IFERROR(INDEX(Product_lookup[Category],MATCH(RawWorking[[#This Row],[ProductID]],Product_lookup[ProductID],0)),"")</f>
        <v>Home</v>
      </c>
      <c r="L1439" s="9">
        <f>IF(OR(RawWorking[[#This Row],[ShipDate]]="",RawWorking[[#This Row],[DeliveryDate]]=""),"",RawWorking[[#This Row],[DeliveryDate]]-RawWorking[[#This Row],[ShipDate]])</f>
        <v>9</v>
      </c>
      <c r="M1439" s="9">
        <f>IF(COUNTIF(INDEX(RawWorking[OrderID],1):RawWorking[[#This Row],[OrderID]],RawWorking[[#This Row],[OrderID]])=1,1,0)</f>
        <v>0</v>
      </c>
      <c r="N1439" s="4">
        <f>IFERROR(RawWorking[[#This Row],[LineAmount]]/RawWorking[[#This Row],[Quantity]],"")</f>
        <v>206.09</v>
      </c>
    </row>
    <row r="1440" spans="1:14">
      <c r="A1440">
        <v>51439</v>
      </c>
      <c r="B1440">
        <v>30833</v>
      </c>
      <c r="C1440" s="2">
        <v>45761</v>
      </c>
      <c r="D1440">
        <v>2365</v>
      </c>
      <c r="E1440">
        <v>1004</v>
      </c>
      <c r="F1440">
        <v>1</v>
      </c>
      <c r="G1440">
        <v>183.74</v>
      </c>
      <c r="H1440" s="2">
        <v>45763</v>
      </c>
      <c r="I1440" s="2">
        <v>45768</v>
      </c>
      <c r="J1440" t="s">
        <v>9</v>
      </c>
      <c r="K1440" s="2" t="str">
        <f>IFERROR(INDEX(Product_lookup[Category],MATCH(RawWorking[[#This Row],[ProductID]],Product_lookup[ProductID],0)),"")</f>
        <v>Electronics</v>
      </c>
      <c r="L1440" s="9">
        <f>IF(OR(RawWorking[[#This Row],[ShipDate]]="",RawWorking[[#This Row],[DeliveryDate]]=""),"",RawWorking[[#This Row],[DeliveryDate]]-RawWorking[[#This Row],[ShipDate]])</f>
        <v>5</v>
      </c>
      <c r="M1440" s="9">
        <f>IF(COUNTIF(INDEX(RawWorking[OrderID],1):RawWorking[[#This Row],[OrderID]],RawWorking[[#This Row],[OrderID]])=1,1,0)</f>
        <v>1</v>
      </c>
      <c r="N1440" s="4">
        <f>IFERROR(RawWorking[[#This Row],[LineAmount]]/RawWorking[[#This Row],[Quantity]],"")</f>
        <v>183.74</v>
      </c>
    </row>
    <row r="1441" spans="1:14">
      <c r="A1441">
        <v>51440</v>
      </c>
      <c r="B1441">
        <v>30834</v>
      </c>
      <c r="C1441" s="2">
        <v>45847</v>
      </c>
      <c r="D1441">
        <v>2123</v>
      </c>
      <c r="E1441">
        <v>1016</v>
      </c>
      <c r="F1441">
        <v>2</v>
      </c>
      <c r="G1441">
        <v>130.52000000000001</v>
      </c>
      <c r="H1441" s="2" t="s">
        <v>1421</v>
      </c>
      <c r="I1441" s="2" t="s">
        <v>1421</v>
      </c>
      <c r="J1441" t="s">
        <v>12</v>
      </c>
      <c r="K1441" s="2" t="str">
        <f>IFERROR(INDEX(Product_lookup[Category],MATCH(RawWorking[[#This Row],[ProductID]],Product_lookup[ProductID],0)),"")</f>
        <v>Sports</v>
      </c>
      <c r="L1441" s="9" t="str">
        <f>IF(OR(RawWorking[[#This Row],[ShipDate]]="",RawWorking[[#This Row],[DeliveryDate]]=""),"",RawWorking[[#This Row],[DeliveryDate]]-RawWorking[[#This Row],[ShipDate]])</f>
        <v/>
      </c>
      <c r="M1441" s="9">
        <f>IF(COUNTIF(INDEX(RawWorking[OrderID],1):RawWorking[[#This Row],[OrderID]],RawWorking[[#This Row],[OrderID]])=1,1,0)</f>
        <v>1</v>
      </c>
      <c r="N1441" s="4">
        <f>IFERROR(RawWorking[[#This Row],[LineAmount]]/RawWorking[[#This Row],[Quantity]],"")</f>
        <v>65.260000000000005</v>
      </c>
    </row>
    <row r="1442" spans="1:14">
      <c r="A1442">
        <v>51441</v>
      </c>
      <c r="B1442">
        <v>30834</v>
      </c>
      <c r="C1442" s="2">
        <v>45847</v>
      </c>
      <c r="D1442">
        <v>2123</v>
      </c>
      <c r="E1442">
        <v>1001</v>
      </c>
      <c r="F1442">
        <v>1</v>
      </c>
      <c r="G1442">
        <v>203.04</v>
      </c>
      <c r="H1442" s="2" t="s">
        <v>1421</v>
      </c>
      <c r="I1442" s="2" t="s">
        <v>1421</v>
      </c>
      <c r="J1442" t="s">
        <v>12</v>
      </c>
      <c r="K1442" s="2" t="str">
        <f>IFERROR(INDEX(Product_lookup[Category],MATCH(RawWorking[[#This Row],[ProductID]],Product_lookup[ProductID],0)),"")</f>
        <v>Electronics</v>
      </c>
      <c r="L1442" s="9" t="str">
        <f>IF(OR(RawWorking[[#This Row],[ShipDate]]="",RawWorking[[#This Row],[DeliveryDate]]=""),"",RawWorking[[#This Row],[DeliveryDate]]-RawWorking[[#This Row],[ShipDate]])</f>
        <v/>
      </c>
      <c r="M1442" s="9">
        <f>IF(COUNTIF(INDEX(RawWorking[OrderID],1):RawWorking[[#This Row],[OrderID]],RawWorking[[#This Row],[OrderID]])=1,1,0)</f>
        <v>0</v>
      </c>
      <c r="N1442" s="4">
        <f>IFERROR(RawWorking[[#This Row],[LineAmount]]/RawWorking[[#This Row],[Quantity]],"")</f>
        <v>203.04</v>
      </c>
    </row>
    <row r="1443" spans="1:14">
      <c r="A1443">
        <v>51442</v>
      </c>
      <c r="B1443">
        <v>30835</v>
      </c>
      <c r="C1443" s="2">
        <v>45836</v>
      </c>
      <c r="D1443">
        <v>2555</v>
      </c>
      <c r="E1443">
        <v>1016</v>
      </c>
      <c r="F1443">
        <v>1</v>
      </c>
      <c r="G1443">
        <v>65.260000000000005</v>
      </c>
      <c r="H1443" s="2">
        <v>45837</v>
      </c>
      <c r="I1443" s="2">
        <v>45840</v>
      </c>
      <c r="J1443" t="s">
        <v>11</v>
      </c>
      <c r="K1443" s="2" t="str">
        <f>IFERROR(INDEX(Product_lookup[Category],MATCH(RawWorking[[#This Row],[ProductID]],Product_lookup[ProductID],0)),"")</f>
        <v>Sports</v>
      </c>
      <c r="L1443" s="9">
        <f>IF(OR(RawWorking[[#This Row],[ShipDate]]="",RawWorking[[#This Row],[DeliveryDate]]=""),"",RawWorking[[#This Row],[DeliveryDate]]-RawWorking[[#This Row],[ShipDate]])</f>
        <v>3</v>
      </c>
      <c r="M1443" s="9">
        <f>IF(COUNTIF(INDEX(RawWorking[OrderID],1):RawWorking[[#This Row],[OrderID]],RawWorking[[#This Row],[OrderID]])=1,1,0)</f>
        <v>1</v>
      </c>
      <c r="N1443" s="4">
        <f>IFERROR(RawWorking[[#This Row],[LineAmount]]/RawWorking[[#This Row],[Quantity]],"")</f>
        <v>65.260000000000005</v>
      </c>
    </row>
    <row r="1444" spans="1:14">
      <c r="A1444">
        <v>51443</v>
      </c>
      <c r="B1444">
        <v>30835</v>
      </c>
      <c r="C1444" s="2">
        <v>45836</v>
      </c>
      <c r="D1444">
        <v>2555</v>
      </c>
      <c r="E1444">
        <v>1012</v>
      </c>
      <c r="F1444">
        <v>1</v>
      </c>
      <c r="G1444">
        <v>241.54</v>
      </c>
      <c r="H1444" s="2">
        <v>45839</v>
      </c>
      <c r="I1444" s="2">
        <v>45843</v>
      </c>
      <c r="J1444" t="s">
        <v>11</v>
      </c>
      <c r="K1444" s="2" t="str">
        <f>IFERROR(INDEX(Product_lookup[Category],MATCH(RawWorking[[#This Row],[ProductID]],Product_lookup[ProductID],0)),"")</f>
        <v>Office</v>
      </c>
      <c r="L1444" s="9">
        <f>IF(OR(RawWorking[[#This Row],[ShipDate]]="",RawWorking[[#This Row],[DeliveryDate]]=""),"",RawWorking[[#This Row],[DeliveryDate]]-RawWorking[[#This Row],[ShipDate]])</f>
        <v>4</v>
      </c>
      <c r="M1444" s="9">
        <f>IF(COUNTIF(INDEX(RawWorking[OrderID],1):RawWorking[[#This Row],[OrderID]],RawWorking[[#This Row],[OrderID]])=1,1,0)</f>
        <v>0</v>
      </c>
      <c r="N1444" s="4">
        <f>IFERROR(RawWorking[[#This Row],[LineAmount]]/RawWorking[[#This Row],[Quantity]],"")</f>
        <v>241.54</v>
      </c>
    </row>
    <row r="1445" spans="1:14">
      <c r="A1445">
        <v>51444</v>
      </c>
      <c r="B1445">
        <v>30835</v>
      </c>
      <c r="C1445" s="2">
        <v>45836</v>
      </c>
      <c r="D1445">
        <v>2555</v>
      </c>
      <c r="E1445">
        <v>1011</v>
      </c>
      <c r="F1445">
        <v>1</v>
      </c>
      <c r="G1445">
        <v>101.44</v>
      </c>
      <c r="H1445" s="2">
        <v>45838</v>
      </c>
      <c r="I1445" s="2">
        <v>45846</v>
      </c>
      <c r="J1445" t="s">
        <v>11</v>
      </c>
      <c r="K1445" s="2" t="str">
        <f>IFERROR(INDEX(Product_lookup[Category],MATCH(RawWorking[[#This Row],[ProductID]],Product_lookup[ProductID],0)),"")</f>
        <v>Office</v>
      </c>
      <c r="L1445" s="9">
        <f>IF(OR(RawWorking[[#This Row],[ShipDate]]="",RawWorking[[#This Row],[DeliveryDate]]=""),"",RawWorking[[#This Row],[DeliveryDate]]-RawWorking[[#This Row],[ShipDate]])</f>
        <v>8</v>
      </c>
      <c r="M1445" s="9">
        <f>IF(COUNTIF(INDEX(RawWorking[OrderID],1):RawWorking[[#This Row],[OrderID]],RawWorking[[#This Row],[OrderID]])=1,1,0)</f>
        <v>0</v>
      </c>
      <c r="N1445" s="4">
        <f>IFERROR(RawWorking[[#This Row],[LineAmount]]/RawWorking[[#This Row],[Quantity]],"")</f>
        <v>101.44</v>
      </c>
    </row>
    <row r="1446" spans="1:14">
      <c r="A1446">
        <v>51445</v>
      </c>
      <c r="B1446">
        <v>30836</v>
      </c>
      <c r="C1446" s="2">
        <v>45960</v>
      </c>
      <c r="D1446">
        <v>2505</v>
      </c>
      <c r="E1446">
        <v>1009</v>
      </c>
      <c r="F1446">
        <v>3</v>
      </c>
      <c r="G1446">
        <v>120.84</v>
      </c>
      <c r="H1446" s="2" t="s">
        <v>1421</v>
      </c>
      <c r="I1446" s="2" t="s">
        <v>1421</v>
      </c>
      <c r="J1446" t="s">
        <v>12</v>
      </c>
      <c r="K1446" s="2" t="str">
        <f>IFERROR(INDEX(Product_lookup[Category],MATCH(RawWorking[[#This Row],[ProductID]],Product_lookup[ProductID],0)),"")</f>
        <v>Home</v>
      </c>
      <c r="L1446" s="9" t="str">
        <f>IF(OR(RawWorking[[#This Row],[ShipDate]]="",RawWorking[[#This Row],[DeliveryDate]]=""),"",RawWorking[[#This Row],[DeliveryDate]]-RawWorking[[#This Row],[ShipDate]])</f>
        <v/>
      </c>
      <c r="M1446" s="9">
        <f>IF(COUNTIF(INDEX(RawWorking[OrderID],1):RawWorking[[#This Row],[OrderID]],RawWorking[[#This Row],[OrderID]])=1,1,0)</f>
        <v>1</v>
      </c>
      <c r="N1446" s="4">
        <f>IFERROR(RawWorking[[#This Row],[LineAmount]]/RawWorking[[#This Row],[Quantity]],"")</f>
        <v>40.28</v>
      </c>
    </row>
    <row r="1447" spans="1:14">
      <c r="A1447">
        <v>51446</v>
      </c>
      <c r="B1447">
        <v>30837</v>
      </c>
      <c r="C1447" s="2">
        <v>45896</v>
      </c>
      <c r="D1447">
        <v>2503</v>
      </c>
      <c r="E1447">
        <v>1009</v>
      </c>
      <c r="F1447">
        <v>1</v>
      </c>
      <c r="G1447">
        <v>40.28</v>
      </c>
      <c r="H1447" s="2">
        <v>45898</v>
      </c>
      <c r="I1447" s="2">
        <v>45906</v>
      </c>
      <c r="J1447" t="s">
        <v>9</v>
      </c>
      <c r="K1447" s="2" t="str">
        <f>IFERROR(INDEX(Product_lookup[Category],MATCH(RawWorking[[#This Row],[ProductID]],Product_lookup[ProductID],0)),"")</f>
        <v>Home</v>
      </c>
      <c r="L1447" s="9">
        <f>IF(OR(RawWorking[[#This Row],[ShipDate]]="",RawWorking[[#This Row],[DeliveryDate]]=""),"",RawWorking[[#This Row],[DeliveryDate]]-RawWorking[[#This Row],[ShipDate]])</f>
        <v>8</v>
      </c>
      <c r="M1447" s="9">
        <f>IF(COUNTIF(INDEX(RawWorking[OrderID],1):RawWorking[[#This Row],[OrderID]],RawWorking[[#This Row],[OrderID]])=1,1,0)</f>
        <v>1</v>
      </c>
      <c r="N1447" s="4">
        <f>IFERROR(RawWorking[[#This Row],[LineAmount]]/RawWorking[[#This Row],[Quantity]],"")</f>
        <v>40.28</v>
      </c>
    </row>
    <row r="1448" spans="1:14">
      <c r="A1448">
        <v>51447</v>
      </c>
      <c r="B1448">
        <v>30837</v>
      </c>
      <c r="C1448" s="2">
        <v>45896</v>
      </c>
      <c r="D1448">
        <v>2503</v>
      </c>
      <c r="E1448">
        <v>1013</v>
      </c>
      <c r="F1448">
        <v>1</v>
      </c>
      <c r="G1448">
        <v>170.25</v>
      </c>
      <c r="H1448" s="2">
        <v>45897</v>
      </c>
      <c r="I1448" s="2">
        <v>45898</v>
      </c>
      <c r="J1448" t="s">
        <v>9</v>
      </c>
      <c r="K1448" s="2" t="str">
        <f>IFERROR(INDEX(Product_lookup[Category],MATCH(RawWorking[[#This Row],[ProductID]],Product_lookup[ProductID],0)),"")</f>
        <v>Office</v>
      </c>
      <c r="L1448" s="9">
        <f>IF(OR(RawWorking[[#This Row],[ShipDate]]="",RawWorking[[#This Row],[DeliveryDate]]=""),"",RawWorking[[#This Row],[DeliveryDate]]-RawWorking[[#This Row],[ShipDate]])</f>
        <v>1</v>
      </c>
      <c r="M1448" s="9">
        <f>IF(COUNTIF(INDEX(RawWorking[OrderID],1):RawWorking[[#This Row],[OrderID]],RawWorking[[#This Row],[OrderID]])=1,1,0)</f>
        <v>0</v>
      </c>
      <c r="N1448" s="4">
        <f>IFERROR(RawWorking[[#This Row],[LineAmount]]/RawWorking[[#This Row],[Quantity]],"")</f>
        <v>170.25</v>
      </c>
    </row>
    <row r="1449" spans="1:14">
      <c r="A1449">
        <v>51448</v>
      </c>
      <c r="B1449">
        <v>30838</v>
      </c>
      <c r="C1449" s="2">
        <v>45754</v>
      </c>
      <c r="D1449">
        <v>2228</v>
      </c>
      <c r="E1449">
        <v>1005</v>
      </c>
      <c r="F1449">
        <v>2</v>
      </c>
      <c r="G1449">
        <v>63.46</v>
      </c>
      <c r="H1449" s="2">
        <v>45756</v>
      </c>
      <c r="I1449" s="2">
        <v>45761</v>
      </c>
      <c r="J1449" t="s">
        <v>9</v>
      </c>
      <c r="K1449" s="2" t="str">
        <f>IFERROR(INDEX(Product_lookup[Category],MATCH(RawWorking[[#This Row],[ProductID]],Product_lookup[ProductID],0)),"")</f>
        <v>Electronics</v>
      </c>
      <c r="L1449" s="9">
        <f>IF(OR(RawWorking[[#This Row],[ShipDate]]="",RawWorking[[#This Row],[DeliveryDate]]=""),"",RawWorking[[#This Row],[DeliveryDate]]-RawWorking[[#This Row],[ShipDate]])</f>
        <v>5</v>
      </c>
      <c r="M1449" s="9">
        <f>IF(COUNTIF(INDEX(RawWorking[OrderID],1):RawWorking[[#This Row],[OrderID]],RawWorking[[#This Row],[OrderID]])=1,1,0)</f>
        <v>1</v>
      </c>
      <c r="N1449" s="4">
        <f>IFERROR(RawWorking[[#This Row],[LineAmount]]/RawWorking[[#This Row],[Quantity]],"")</f>
        <v>31.73</v>
      </c>
    </row>
    <row r="1450" spans="1:14">
      <c r="A1450">
        <v>51449</v>
      </c>
      <c r="B1450">
        <v>30839</v>
      </c>
      <c r="C1450" s="2">
        <v>45949</v>
      </c>
      <c r="D1450">
        <v>2056</v>
      </c>
      <c r="E1450">
        <v>1014</v>
      </c>
      <c r="F1450">
        <v>1</v>
      </c>
      <c r="G1450">
        <v>215.34</v>
      </c>
      <c r="H1450" s="2">
        <v>45950</v>
      </c>
      <c r="I1450" s="2">
        <v>45959</v>
      </c>
      <c r="J1450" t="s">
        <v>9</v>
      </c>
      <c r="K1450" s="2" t="str">
        <f>IFERROR(INDEX(Product_lookup[Category],MATCH(RawWorking[[#This Row],[ProductID]],Product_lookup[ProductID],0)),"")</f>
        <v>Sports</v>
      </c>
      <c r="L1450" s="9">
        <f>IF(OR(RawWorking[[#This Row],[ShipDate]]="",RawWorking[[#This Row],[DeliveryDate]]=""),"",RawWorking[[#This Row],[DeliveryDate]]-RawWorking[[#This Row],[ShipDate]])</f>
        <v>9</v>
      </c>
      <c r="M1450" s="9">
        <f>IF(COUNTIF(INDEX(RawWorking[OrderID],1):RawWorking[[#This Row],[OrderID]],RawWorking[[#This Row],[OrderID]])=1,1,0)</f>
        <v>1</v>
      </c>
      <c r="N1450" s="4">
        <f>IFERROR(RawWorking[[#This Row],[LineAmount]]/RawWorking[[#This Row],[Quantity]],"")</f>
        <v>215.34</v>
      </c>
    </row>
    <row r="1451" spans="1:14">
      <c r="A1451">
        <v>51450</v>
      </c>
      <c r="B1451">
        <v>30840</v>
      </c>
      <c r="C1451" s="2">
        <v>45727</v>
      </c>
      <c r="D1451">
        <v>2490</v>
      </c>
      <c r="E1451">
        <v>1002</v>
      </c>
      <c r="F1451">
        <v>1</v>
      </c>
      <c r="G1451">
        <v>118.6</v>
      </c>
      <c r="H1451" s="2" t="s">
        <v>1421</v>
      </c>
      <c r="I1451" s="2" t="s">
        <v>1421</v>
      </c>
      <c r="J1451" t="s">
        <v>12</v>
      </c>
      <c r="K1451" s="2" t="str">
        <f>IFERROR(INDEX(Product_lookup[Category],MATCH(RawWorking[[#This Row],[ProductID]],Product_lookup[ProductID],0)),"")</f>
        <v>Electronics</v>
      </c>
      <c r="L1451" s="9" t="str">
        <f>IF(OR(RawWorking[[#This Row],[ShipDate]]="",RawWorking[[#This Row],[DeliveryDate]]=""),"",RawWorking[[#This Row],[DeliveryDate]]-RawWorking[[#This Row],[ShipDate]])</f>
        <v/>
      </c>
      <c r="M1451" s="9">
        <f>IF(COUNTIF(INDEX(RawWorking[OrderID],1):RawWorking[[#This Row],[OrderID]],RawWorking[[#This Row],[OrderID]])=1,1,0)</f>
        <v>1</v>
      </c>
      <c r="N1451" s="4">
        <f>IFERROR(RawWorking[[#This Row],[LineAmount]]/RawWorking[[#This Row],[Quantity]],"")</f>
        <v>118.6</v>
      </c>
    </row>
    <row r="1452" spans="1:14">
      <c r="A1452">
        <v>51451</v>
      </c>
      <c r="B1452">
        <v>30840</v>
      </c>
      <c r="C1452" s="2">
        <v>45727</v>
      </c>
      <c r="D1452">
        <v>2490</v>
      </c>
      <c r="E1452">
        <v>1012</v>
      </c>
      <c r="F1452">
        <v>3</v>
      </c>
      <c r="G1452">
        <v>724.62</v>
      </c>
      <c r="H1452" s="2" t="s">
        <v>1421</v>
      </c>
      <c r="I1452" s="2" t="s">
        <v>1421</v>
      </c>
      <c r="J1452" t="s">
        <v>12</v>
      </c>
      <c r="K1452" s="2" t="str">
        <f>IFERROR(INDEX(Product_lookup[Category],MATCH(RawWorking[[#This Row],[ProductID]],Product_lookup[ProductID],0)),"")</f>
        <v>Office</v>
      </c>
      <c r="L1452" s="9" t="str">
        <f>IF(OR(RawWorking[[#This Row],[ShipDate]]="",RawWorking[[#This Row],[DeliveryDate]]=""),"",RawWorking[[#This Row],[DeliveryDate]]-RawWorking[[#This Row],[ShipDate]])</f>
        <v/>
      </c>
      <c r="M1452" s="9">
        <f>IF(COUNTIF(INDEX(RawWorking[OrderID],1):RawWorking[[#This Row],[OrderID]],RawWorking[[#This Row],[OrderID]])=1,1,0)</f>
        <v>0</v>
      </c>
      <c r="N1452" s="4">
        <f>IFERROR(RawWorking[[#This Row],[LineAmount]]/RawWorking[[#This Row],[Quantity]],"")</f>
        <v>241.54</v>
      </c>
    </row>
    <row r="1453" spans="1:14">
      <c r="A1453">
        <v>51452</v>
      </c>
      <c r="B1453">
        <v>30841</v>
      </c>
      <c r="C1453" s="2">
        <v>45775</v>
      </c>
      <c r="D1453">
        <v>2404</v>
      </c>
      <c r="E1453">
        <v>1006</v>
      </c>
      <c r="F1453">
        <v>3</v>
      </c>
      <c r="G1453">
        <v>761.58</v>
      </c>
      <c r="H1453" s="2" t="s">
        <v>1421</v>
      </c>
      <c r="I1453" s="2" t="s">
        <v>1421</v>
      </c>
      <c r="J1453" t="s">
        <v>12</v>
      </c>
      <c r="K1453" s="2" t="str">
        <f>IFERROR(INDEX(Product_lookup[Category],MATCH(RawWorking[[#This Row],[ProductID]],Product_lookup[ProductID],0)),"")</f>
        <v>Home</v>
      </c>
      <c r="L1453" s="9" t="str">
        <f>IF(OR(RawWorking[[#This Row],[ShipDate]]="",RawWorking[[#This Row],[DeliveryDate]]=""),"",RawWorking[[#This Row],[DeliveryDate]]-RawWorking[[#This Row],[ShipDate]])</f>
        <v/>
      </c>
      <c r="M1453" s="9">
        <f>IF(COUNTIF(INDEX(RawWorking[OrderID],1):RawWorking[[#This Row],[OrderID]],RawWorking[[#This Row],[OrderID]])=1,1,0)</f>
        <v>1</v>
      </c>
      <c r="N1453" s="4">
        <f>IFERROR(RawWorking[[#This Row],[LineAmount]]/RawWorking[[#This Row],[Quantity]],"")</f>
        <v>253.86</v>
      </c>
    </row>
    <row r="1454" spans="1:14">
      <c r="A1454">
        <v>51453</v>
      </c>
      <c r="B1454">
        <v>30842</v>
      </c>
      <c r="C1454" s="2">
        <v>45734</v>
      </c>
      <c r="D1454">
        <v>2469</v>
      </c>
      <c r="E1454">
        <v>1015</v>
      </c>
      <c r="F1454">
        <v>1</v>
      </c>
      <c r="G1454">
        <v>119.74</v>
      </c>
      <c r="H1454" s="2">
        <v>45736</v>
      </c>
      <c r="I1454" s="2">
        <v>45746</v>
      </c>
      <c r="J1454" t="s">
        <v>11</v>
      </c>
      <c r="K1454" s="2" t="str">
        <f>IFERROR(INDEX(Product_lookup[Category],MATCH(RawWorking[[#This Row],[ProductID]],Product_lookup[ProductID],0)),"")</f>
        <v>Sports</v>
      </c>
      <c r="L1454" s="9">
        <f>IF(OR(RawWorking[[#This Row],[ShipDate]]="",RawWorking[[#This Row],[DeliveryDate]]=""),"",RawWorking[[#This Row],[DeliveryDate]]-RawWorking[[#This Row],[ShipDate]])</f>
        <v>10</v>
      </c>
      <c r="M1454" s="9">
        <f>IF(COUNTIF(INDEX(RawWorking[OrderID],1):RawWorking[[#This Row],[OrderID]],RawWorking[[#This Row],[OrderID]])=1,1,0)</f>
        <v>1</v>
      </c>
      <c r="N1454" s="4">
        <f>IFERROR(RawWorking[[#This Row],[LineAmount]]/RawWorking[[#This Row],[Quantity]],"")</f>
        <v>119.74</v>
      </c>
    </row>
    <row r="1455" spans="1:14">
      <c r="A1455">
        <v>51454</v>
      </c>
      <c r="B1455">
        <v>30843</v>
      </c>
      <c r="C1455" s="2">
        <v>45888</v>
      </c>
      <c r="D1455">
        <v>2324</v>
      </c>
      <c r="E1455">
        <v>1001</v>
      </c>
      <c r="F1455">
        <v>1</v>
      </c>
      <c r="G1455">
        <v>203.04</v>
      </c>
      <c r="H1455" s="2">
        <v>45891</v>
      </c>
      <c r="I1455" s="2">
        <v>45892</v>
      </c>
      <c r="J1455" t="s">
        <v>9</v>
      </c>
      <c r="K1455" s="2" t="str">
        <f>IFERROR(INDEX(Product_lookup[Category],MATCH(RawWorking[[#This Row],[ProductID]],Product_lookup[ProductID],0)),"")</f>
        <v>Electronics</v>
      </c>
      <c r="L1455" s="9">
        <f>IF(OR(RawWorking[[#This Row],[ShipDate]]="",RawWorking[[#This Row],[DeliveryDate]]=""),"",RawWorking[[#This Row],[DeliveryDate]]-RawWorking[[#This Row],[ShipDate]])</f>
        <v>1</v>
      </c>
      <c r="M1455" s="9">
        <f>IF(COUNTIF(INDEX(RawWorking[OrderID],1):RawWorking[[#This Row],[OrderID]],RawWorking[[#This Row],[OrderID]])=1,1,0)</f>
        <v>1</v>
      </c>
      <c r="N1455" s="4">
        <f>IFERROR(RawWorking[[#This Row],[LineAmount]]/RawWorking[[#This Row],[Quantity]],"")</f>
        <v>203.04</v>
      </c>
    </row>
    <row r="1456" spans="1:14">
      <c r="A1456">
        <v>51455</v>
      </c>
      <c r="B1456">
        <v>30843</v>
      </c>
      <c r="C1456" s="2">
        <v>45888</v>
      </c>
      <c r="D1456">
        <v>2324</v>
      </c>
      <c r="E1456">
        <v>1007</v>
      </c>
      <c r="F1456">
        <v>5</v>
      </c>
      <c r="G1456">
        <v>999.05</v>
      </c>
      <c r="H1456" s="2">
        <v>45890</v>
      </c>
      <c r="I1456" s="2">
        <v>45892</v>
      </c>
      <c r="J1456" t="s">
        <v>9</v>
      </c>
      <c r="K1456" s="2" t="str">
        <f>IFERROR(INDEX(Product_lookup[Category],MATCH(RawWorking[[#This Row],[ProductID]],Product_lookup[ProductID],0)),"")</f>
        <v>Home</v>
      </c>
      <c r="L1456" s="9">
        <f>IF(OR(RawWorking[[#This Row],[ShipDate]]="",RawWorking[[#This Row],[DeliveryDate]]=""),"",RawWorking[[#This Row],[DeliveryDate]]-RawWorking[[#This Row],[ShipDate]])</f>
        <v>2</v>
      </c>
      <c r="M1456" s="9">
        <f>IF(COUNTIF(INDEX(RawWorking[OrderID],1):RawWorking[[#This Row],[OrderID]],RawWorking[[#This Row],[OrderID]])=1,1,0)</f>
        <v>0</v>
      </c>
      <c r="N1456" s="4">
        <f>IFERROR(RawWorking[[#This Row],[LineAmount]]/RawWorking[[#This Row],[Quantity]],"")</f>
        <v>199.81</v>
      </c>
    </row>
    <row r="1457" spans="1:14">
      <c r="A1457">
        <v>51456</v>
      </c>
      <c r="B1457">
        <v>30844</v>
      </c>
      <c r="C1457" s="2">
        <v>46003</v>
      </c>
      <c r="D1457">
        <v>2389</v>
      </c>
      <c r="E1457">
        <v>1011</v>
      </c>
      <c r="F1457">
        <v>1</v>
      </c>
      <c r="G1457">
        <v>101.44</v>
      </c>
      <c r="H1457" s="2">
        <v>46005</v>
      </c>
      <c r="I1457" s="2">
        <v>46009</v>
      </c>
      <c r="J1457" t="s">
        <v>9</v>
      </c>
      <c r="K1457" s="2" t="str">
        <f>IFERROR(INDEX(Product_lookup[Category],MATCH(RawWorking[[#This Row],[ProductID]],Product_lookup[ProductID],0)),"")</f>
        <v>Office</v>
      </c>
      <c r="L1457" s="9">
        <f>IF(OR(RawWorking[[#This Row],[ShipDate]]="",RawWorking[[#This Row],[DeliveryDate]]=""),"",RawWorking[[#This Row],[DeliveryDate]]-RawWorking[[#This Row],[ShipDate]])</f>
        <v>4</v>
      </c>
      <c r="M1457" s="9">
        <f>IF(COUNTIF(INDEX(RawWorking[OrderID],1):RawWorking[[#This Row],[OrderID]],RawWorking[[#This Row],[OrderID]])=1,1,0)</f>
        <v>1</v>
      </c>
      <c r="N1457" s="4">
        <f>IFERROR(RawWorking[[#This Row],[LineAmount]]/RawWorking[[#This Row],[Quantity]],"")</f>
        <v>101.44</v>
      </c>
    </row>
    <row r="1458" spans="1:14">
      <c r="A1458">
        <v>51457</v>
      </c>
      <c r="B1458">
        <v>30845</v>
      </c>
      <c r="C1458" s="2">
        <v>45850</v>
      </c>
      <c r="D1458">
        <v>2371</v>
      </c>
      <c r="E1458">
        <v>1009</v>
      </c>
      <c r="F1458">
        <v>1</v>
      </c>
      <c r="G1458">
        <v>40.28</v>
      </c>
      <c r="H1458" s="2">
        <v>45851</v>
      </c>
      <c r="I1458" s="2">
        <v>45861</v>
      </c>
      <c r="J1458" t="s">
        <v>9</v>
      </c>
      <c r="K1458" s="2" t="str">
        <f>IFERROR(INDEX(Product_lookup[Category],MATCH(RawWorking[[#This Row],[ProductID]],Product_lookup[ProductID],0)),"")</f>
        <v>Home</v>
      </c>
      <c r="L1458" s="9">
        <f>IF(OR(RawWorking[[#This Row],[ShipDate]]="",RawWorking[[#This Row],[DeliveryDate]]=""),"",RawWorking[[#This Row],[DeliveryDate]]-RawWorking[[#This Row],[ShipDate]])</f>
        <v>10</v>
      </c>
      <c r="M1458" s="9">
        <f>IF(COUNTIF(INDEX(RawWorking[OrderID],1):RawWorking[[#This Row],[OrderID]],RawWorking[[#This Row],[OrderID]])=1,1,0)</f>
        <v>1</v>
      </c>
      <c r="N1458" s="4">
        <f>IFERROR(RawWorking[[#This Row],[LineAmount]]/RawWorking[[#This Row],[Quantity]],"")</f>
        <v>40.28</v>
      </c>
    </row>
    <row r="1459" spans="1:14">
      <c r="A1459">
        <v>51458</v>
      </c>
      <c r="B1459">
        <v>30845</v>
      </c>
      <c r="C1459" s="2">
        <v>45850</v>
      </c>
      <c r="D1459">
        <v>2371</v>
      </c>
      <c r="E1459">
        <v>1006</v>
      </c>
      <c r="F1459">
        <v>1</v>
      </c>
      <c r="G1459">
        <v>253.86</v>
      </c>
      <c r="H1459" s="2">
        <v>45852</v>
      </c>
      <c r="I1459" s="2">
        <v>45857</v>
      </c>
      <c r="J1459" t="s">
        <v>9</v>
      </c>
      <c r="K1459" s="2" t="str">
        <f>IFERROR(INDEX(Product_lookup[Category],MATCH(RawWorking[[#This Row],[ProductID]],Product_lookup[ProductID],0)),"")</f>
        <v>Home</v>
      </c>
      <c r="L1459" s="9">
        <f>IF(OR(RawWorking[[#This Row],[ShipDate]]="",RawWorking[[#This Row],[DeliveryDate]]=""),"",RawWorking[[#This Row],[DeliveryDate]]-RawWorking[[#This Row],[ShipDate]])</f>
        <v>5</v>
      </c>
      <c r="M1459" s="9">
        <f>IF(COUNTIF(INDEX(RawWorking[OrderID],1):RawWorking[[#This Row],[OrderID]],RawWorking[[#This Row],[OrderID]])=1,1,0)</f>
        <v>0</v>
      </c>
      <c r="N1459" s="4">
        <f>IFERROR(RawWorking[[#This Row],[LineAmount]]/RawWorking[[#This Row],[Quantity]],"")</f>
        <v>253.86</v>
      </c>
    </row>
    <row r="1460" spans="1:14">
      <c r="A1460">
        <v>51459</v>
      </c>
      <c r="B1460">
        <v>30846</v>
      </c>
      <c r="C1460" s="2">
        <v>45839</v>
      </c>
      <c r="D1460">
        <v>2562</v>
      </c>
      <c r="E1460">
        <v>1009</v>
      </c>
      <c r="F1460">
        <v>1</v>
      </c>
      <c r="G1460">
        <v>40.28</v>
      </c>
      <c r="H1460" s="2">
        <v>45840</v>
      </c>
      <c r="I1460" s="2">
        <v>45842</v>
      </c>
      <c r="J1460" t="s">
        <v>9</v>
      </c>
      <c r="K1460" s="2" t="str">
        <f>IFERROR(INDEX(Product_lookup[Category],MATCH(RawWorking[[#This Row],[ProductID]],Product_lookup[ProductID],0)),"")</f>
        <v>Home</v>
      </c>
      <c r="L1460" s="9">
        <f>IF(OR(RawWorking[[#This Row],[ShipDate]]="",RawWorking[[#This Row],[DeliveryDate]]=""),"",RawWorking[[#This Row],[DeliveryDate]]-RawWorking[[#This Row],[ShipDate]])</f>
        <v>2</v>
      </c>
      <c r="M1460" s="9">
        <f>IF(COUNTIF(INDEX(RawWorking[OrderID],1):RawWorking[[#This Row],[OrderID]],RawWorking[[#This Row],[OrderID]])=1,1,0)</f>
        <v>1</v>
      </c>
      <c r="N1460" s="4">
        <f>IFERROR(RawWorking[[#This Row],[LineAmount]]/RawWorking[[#This Row],[Quantity]],"")</f>
        <v>40.28</v>
      </c>
    </row>
    <row r="1461" spans="1:14">
      <c r="A1461">
        <v>51460</v>
      </c>
      <c r="B1461">
        <v>30847</v>
      </c>
      <c r="C1461" s="2">
        <v>45887</v>
      </c>
      <c r="D1461">
        <v>2483</v>
      </c>
      <c r="E1461">
        <v>1011</v>
      </c>
      <c r="F1461">
        <v>1</v>
      </c>
      <c r="G1461">
        <v>101.44</v>
      </c>
      <c r="H1461" s="2">
        <v>45890</v>
      </c>
      <c r="I1461" s="2">
        <v>45898</v>
      </c>
      <c r="J1461" t="s">
        <v>11</v>
      </c>
      <c r="K1461" s="2" t="str">
        <f>IFERROR(INDEX(Product_lookup[Category],MATCH(RawWorking[[#This Row],[ProductID]],Product_lookup[ProductID],0)),"")</f>
        <v>Office</v>
      </c>
      <c r="L1461" s="9">
        <f>IF(OR(RawWorking[[#This Row],[ShipDate]]="",RawWorking[[#This Row],[DeliveryDate]]=""),"",RawWorking[[#This Row],[DeliveryDate]]-RawWorking[[#This Row],[ShipDate]])</f>
        <v>8</v>
      </c>
      <c r="M1461" s="9">
        <f>IF(COUNTIF(INDEX(RawWorking[OrderID],1):RawWorking[[#This Row],[OrderID]],RawWorking[[#This Row],[OrderID]])=1,1,0)</f>
        <v>1</v>
      </c>
      <c r="N1461" s="4">
        <f>IFERROR(RawWorking[[#This Row],[LineAmount]]/RawWorking[[#This Row],[Quantity]],"")</f>
        <v>101.44</v>
      </c>
    </row>
    <row r="1462" spans="1:14">
      <c r="A1462">
        <v>51461</v>
      </c>
      <c r="B1462">
        <v>30848</v>
      </c>
      <c r="C1462" s="2">
        <v>45729</v>
      </c>
      <c r="D1462">
        <v>2375</v>
      </c>
      <c r="E1462">
        <v>1014</v>
      </c>
      <c r="F1462">
        <v>1</v>
      </c>
      <c r="G1462">
        <v>215.34</v>
      </c>
      <c r="H1462" s="2">
        <v>45732</v>
      </c>
      <c r="I1462" s="2">
        <v>45733</v>
      </c>
      <c r="J1462" t="s">
        <v>9</v>
      </c>
      <c r="K1462" s="2" t="str">
        <f>IFERROR(INDEX(Product_lookup[Category],MATCH(RawWorking[[#This Row],[ProductID]],Product_lookup[ProductID],0)),"")</f>
        <v>Sports</v>
      </c>
      <c r="L1462" s="9">
        <f>IF(OR(RawWorking[[#This Row],[ShipDate]]="",RawWorking[[#This Row],[DeliveryDate]]=""),"",RawWorking[[#This Row],[DeliveryDate]]-RawWorking[[#This Row],[ShipDate]])</f>
        <v>1</v>
      </c>
      <c r="M1462" s="9">
        <f>IF(COUNTIF(INDEX(RawWorking[OrderID],1):RawWorking[[#This Row],[OrderID]],RawWorking[[#This Row],[OrderID]])=1,1,0)</f>
        <v>1</v>
      </c>
      <c r="N1462" s="4">
        <f>IFERROR(RawWorking[[#This Row],[LineAmount]]/RawWorking[[#This Row],[Quantity]],"")</f>
        <v>215.34</v>
      </c>
    </row>
    <row r="1463" spans="1:14">
      <c r="A1463">
        <v>51462</v>
      </c>
      <c r="B1463">
        <v>30849</v>
      </c>
      <c r="C1463" s="2">
        <v>45896</v>
      </c>
      <c r="D1463">
        <v>2216</v>
      </c>
      <c r="E1463">
        <v>1012</v>
      </c>
      <c r="F1463">
        <v>2</v>
      </c>
      <c r="G1463">
        <v>483.08</v>
      </c>
      <c r="H1463" s="2">
        <v>45897</v>
      </c>
      <c r="I1463" s="2">
        <v>45901</v>
      </c>
      <c r="J1463" t="s">
        <v>9</v>
      </c>
      <c r="K1463" s="2" t="str">
        <f>IFERROR(INDEX(Product_lookup[Category],MATCH(RawWorking[[#This Row],[ProductID]],Product_lookup[ProductID],0)),"")</f>
        <v>Office</v>
      </c>
      <c r="L1463" s="9">
        <f>IF(OR(RawWorking[[#This Row],[ShipDate]]="",RawWorking[[#This Row],[DeliveryDate]]=""),"",RawWorking[[#This Row],[DeliveryDate]]-RawWorking[[#This Row],[ShipDate]])</f>
        <v>4</v>
      </c>
      <c r="M1463" s="9">
        <f>IF(COUNTIF(INDEX(RawWorking[OrderID],1):RawWorking[[#This Row],[OrderID]],RawWorking[[#This Row],[OrderID]])=1,1,0)</f>
        <v>1</v>
      </c>
      <c r="N1463" s="4">
        <f>IFERROR(RawWorking[[#This Row],[LineAmount]]/RawWorking[[#This Row],[Quantity]],"")</f>
        <v>241.54</v>
      </c>
    </row>
    <row r="1464" spans="1:14">
      <c r="A1464">
        <v>51463</v>
      </c>
      <c r="B1464">
        <v>30850</v>
      </c>
      <c r="C1464" s="2">
        <v>45689</v>
      </c>
      <c r="D1464">
        <v>2374</v>
      </c>
      <c r="E1464">
        <v>1009</v>
      </c>
      <c r="F1464">
        <v>2</v>
      </c>
      <c r="G1464">
        <v>80.56</v>
      </c>
      <c r="H1464" s="2" t="s">
        <v>1421</v>
      </c>
      <c r="I1464" s="2" t="s">
        <v>1421</v>
      </c>
      <c r="J1464" t="s">
        <v>16</v>
      </c>
      <c r="K1464" s="2" t="str">
        <f>IFERROR(INDEX(Product_lookup[Category],MATCH(RawWorking[[#This Row],[ProductID]],Product_lookup[ProductID],0)),"")</f>
        <v>Home</v>
      </c>
      <c r="L1464" s="9" t="str">
        <f>IF(OR(RawWorking[[#This Row],[ShipDate]]="",RawWorking[[#This Row],[DeliveryDate]]=""),"",RawWorking[[#This Row],[DeliveryDate]]-RawWorking[[#This Row],[ShipDate]])</f>
        <v/>
      </c>
      <c r="M1464" s="9">
        <f>IF(COUNTIF(INDEX(RawWorking[OrderID],1):RawWorking[[#This Row],[OrderID]],RawWorking[[#This Row],[OrderID]])=1,1,0)</f>
        <v>1</v>
      </c>
      <c r="N1464" s="4">
        <f>IFERROR(RawWorking[[#This Row],[LineAmount]]/RawWorking[[#This Row],[Quantity]],"")</f>
        <v>40.28</v>
      </c>
    </row>
    <row r="1465" spans="1:14">
      <c r="A1465">
        <v>51464</v>
      </c>
      <c r="B1465">
        <v>30851</v>
      </c>
      <c r="C1465" s="2">
        <v>45734</v>
      </c>
      <c r="D1465">
        <v>2586</v>
      </c>
      <c r="E1465">
        <v>1008</v>
      </c>
      <c r="F1465">
        <v>1</v>
      </c>
      <c r="G1465">
        <v>206.09</v>
      </c>
      <c r="H1465" s="2">
        <v>45735</v>
      </c>
      <c r="I1465" s="2">
        <v>45740</v>
      </c>
      <c r="J1465" t="s">
        <v>9</v>
      </c>
      <c r="K1465" s="2" t="str">
        <f>IFERROR(INDEX(Product_lookup[Category],MATCH(RawWorking[[#This Row],[ProductID]],Product_lookup[ProductID],0)),"")</f>
        <v>Home</v>
      </c>
      <c r="L1465" s="9">
        <f>IF(OR(RawWorking[[#This Row],[ShipDate]]="",RawWorking[[#This Row],[DeliveryDate]]=""),"",RawWorking[[#This Row],[DeliveryDate]]-RawWorking[[#This Row],[ShipDate]])</f>
        <v>5</v>
      </c>
      <c r="M1465" s="9">
        <f>IF(COUNTIF(INDEX(RawWorking[OrderID],1):RawWorking[[#This Row],[OrderID]],RawWorking[[#This Row],[OrderID]])=1,1,0)</f>
        <v>1</v>
      </c>
      <c r="N1465" s="4">
        <f>IFERROR(RawWorking[[#This Row],[LineAmount]]/RawWorking[[#This Row],[Quantity]],"")</f>
        <v>206.09</v>
      </c>
    </row>
    <row r="1466" spans="1:14">
      <c r="A1466">
        <v>51465</v>
      </c>
      <c r="B1466">
        <v>30852</v>
      </c>
      <c r="C1466" s="2">
        <v>45738</v>
      </c>
      <c r="D1466">
        <v>2103</v>
      </c>
      <c r="E1466">
        <v>1008</v>
      </c>
      <c r="F1466">
        <v>5</v>
      </c>
      <c r="G1466">
        <v>1030.45</v>
      </c>
      <c r="H1466" s="2">
        <v>45740</v>
      </c>
      <c r="I1466" s="2">
        <v>45750</v>
      </c>
      <c r="J1466" t="s">
        <v>9</v>
      </c>
      <c r="K1466" s="2" t="str">
        <f>IFERROR(INDEX(Product_lookup[Category],MATCH(RawWorking[[#This Row],[ProductID]],Product_lookup[ProductID],0)),"")</f>
        <v>Home</v>
      </c>
      <c r="L1466" s="9">
        <f>IF(OR(RawWorking[[#This Row],[ShipDate]]="",RawWorking[[#This Row],[DeliveryDate]]=""),"",RawWorking[[#This Row],[DeliveryDate]]-RawWorking[[#This Row],[ShipDate]])</f>
        <v>10</v>
      </c>
      <c r="M1466" s="9">
        <f>IF(COUNTIF(INDEX(RawWorking[OrderID],1):RawWorking[[#This Row],[OrderID]],RawWorking[[#This Row],[OrderID]])=1,1,0)</f>
        <v>1</v>
      </c>
      <c r="N1466" s="4">
        <f>IFERROR(RawWorking[[#This Row],[LineAmount]]/RawWorking[[#This Row],[Quantity]],"")</f>
        <v>206.09</v>
      </c>
    </row>
    <row r="1467" spans="1:14">
      <c r="A1467">
        <v>51466</v>
      </c>
      <c r="B1467">
        <v>30853</v>
      </c>
      <c r="C1467" s="2">
        <v>45979</v>
      </c>
      <c r="D1467">
        <v>2569</v>
      </c>
      <c r="E1467">
        <v>1013</v>
      </c>
      <c r="F1467">
        <v>1</v>
      </c>
      <c r="G1467">
        <v>170.25</v>
      </c>
      <c r="H1467" s="2">
        <v>45982</v>
      </c>
      <c r="I1467" s="2">
        <v>45991</v>
      </c>
      <c r="J1467" t="s">
        <v>9</v>
      </c>
      <c r="K1467" s="2" t="str">
        <f>IFERROR(INDEX(Product_lookup[Category],MATCH(RawWorking[[#This Row],[ProductID]],Product_lookup[ProductID],0)),"")</f>
        <v>Office</v>
      </c>
      <c r="L1467" s="9">
        <f>IF(OR(RawWorking[[#This Row],[ShipDate]]="",RawWorking[[#This Row],[DeliveryDate]]=""),"",RawWorking[[#This Row],[DeliveryDate]]-RawWorking[[#This Row],[ShipDate]])</f>
        <v>9</v>
      </c>
      <c r="M1467" s="9">
        <f>IF(COUNTIF(INDEX(RawWorking[OrderID],1):RawWorking[[#This Row],[OrderID]],RawWorking[[#This Row],[OrderID]])=1,1,0)</f>
        <v>1</v>
      </c>
      <c r="N1467" s="4">
        <f>IFERROR(RawWorking[[#This Row],[LineAmount]]/RawWorking[[#This Row],[Quantity]],"")</f>
        <v>170.25</v>
      </c>
    </row>
    <row r="1468" spans="1:14">
      <c r="A1468">
        <v>51467</v>
      </c>
      <c r="B1468">
        <v>30854</v>
      </c>
      <c r="C1468" s="2">
        <v>45776</v>
      </c>
      <c r="D1468">
        <v>2201</v>
      </c>
      <c r="E1468">
        <v>1005</v>
      </c>
      <c r="F1468">
        <v>1</v>
      </c>
      <c r="G1468">
        <v>31.73</v>
      </c>
      <c r="H1468" s="2">
        <v>45779</v>
      </c>
      <c r="I1468" s="2">
        <v>45780</v>
      </c>
      <c r="J1468" t="s">
        <v>9</v>
      </c>
      <c r="K1468" s="2" t="str">
        <f>IFERROR(INDEX(Product_lookup[Category],MATCH(RawWorking[[#This Row],[ProductID]],Product_lookup[ProductID],0)),"")</f>
        <v>Electronics</v>
      </c>
      <c r="L1468" s="9">
        <f>IF(OR(RawWorking[[#This Row],[ShipDate]]="",RawWorking[[#This Row],[DeliveryDate]]=""),"",RawWorking[[#This Row],[DeliveryDate]]-RawWorking[[#This Row],[ShipDate]])</f>
        <v>1</v>
      </c>
      <c r="M1468" s="9">
        <f>IF(COUNTIF(INDEX(RawWorking[OrderID],1):RawWorking[[#This Row],[OrderID]],RawWorking[[#This Row],[OrderID]])=1,1,0)</f>
        <v>1</v>
      </c>
      <c r="N1468" s="4">
        <f>IFERROR(RawWorking[[#This Row],[LineAmount]]/RawWorking[[#This Row],[Quantity]],"")</f>
        <v>31.73</v>
      </c>
    </row>
    <row r="1469" spans="1:14">
      <c r="A1469">
        <v>51468</v>
      </c>
      <c r="B1469">
        <v>30855</v>
      </c>
      <c r="C1469" s="2">
        <v>45967</v>
      </c>
      <c r="D1469">
        <v>2485</v>
      </c>
      <c r="E1469">
        <v>1006</v>
      </c>
      <c r="F1469">
        <v>1</v>
      </c>
      <c r="G1469">
        <v>253.86</v>
      </c>
      <c r="H1469" s="2" t="s">
        <v>1421</v>
      </c>
      <c r="I1469" s="2" t="s">
        <v>1421</v>
      </c>
      <c r="J1469" t="s">
        <v>16</v>
      </c>
      <c r="K1469" s="2" t="str">
        <f>IFERROR(INDEX(Product_lookup[Category],MATCH(RawWorking[[#This Row],[ProductID]],Product_lookup[ProductID],0)),"")</f>
        <v>Home</v>
      </c>
      <c r="L1469" s="9" t="str">
        <f>IF(OR(RawWorking[[#This Row],[ShipDate]]="",RawWorking[[#This Row],[DeliveryDate]]=""),"",RawWorking[[#This Row],[DeliveryDate]]-RawWorking[[#This Row],[ShipDate]])</f>
        <v/>
      </c>
      <c r="M1469" s="9">
        <f>IF(COUNTIF(INDEX(RawWorking[OrderID],1):RawWorking[[#This Row],[OrderID]],RawWorking[[#This Row],[OrderID]])=1,1,0)</f>
        <v>1</v>
      </c>
      <c r="N1469" s="4">
        <f>IFERROR(RawWorking[[#This Row],[LineAmount]]/RawWorking[[#This Row],[Quantity]],"")</f>
        <v>253.86</v>
      </c>
    </row>
    <row r="1470" spans="1:14">
      <c r="A1470">
        <v>51469</v>
      </c>
      <c r="B1470">
        <v>30856</v>
      </c>
      <c r="C1470" s="2">
        <v>45823</v>
      </c>
      <c r="D1470">
        <v>2138</v>
      </c>
      <c r="E1470">
        <v>1011</v>
      </c>
      <c r="F1470">
        <v>1</v>
      </c>
      <c r="G1470">
        <v>101.44</v>
      </c>
      <c r="H1470" s="2">
        <v>45826</v>
      </c>
      <c r="I1470" s="2">
        <v>45835</v>
      </c>
      <c r="J1470" t="s">
        <v>11</v>
      </c>
      <c r="K1470" s="2" t="str">
        <f>IFERROR(INDEX(Product_lookup[Category],MATCH(RawWorking[[#This Row],[ProductID]],Product_lookup[ProductID],0)),"")</f>
        <v>Office</v>
      </c>
      <c r="L1470" s="9">
        <f>IF(OR(RawWorking[[#This Row],[ShipDate]]="",RawWorking[[#This Row],[DeliveryDate]]=""),"",RawWorking[[#This Row],[DeliveryDate]]-RawWorking[[#This Row],[ShipDate]])</f>
        <v>9</v>
      </c>
      <c r="M1470" s="9">
        <f>IF(COUNTIF(INDEX(RawWorking[OrderID],1):RawWorking[[#This Row],[OrderID]],RawWorking[[#This Row],[OrderID]])=1,1,0)</f>
        <v>1</v>
      </c>
      <c r="N1470" s="4">
        <f>IFERROR(RawWorking[[#This Row],[LineAmount]]/RawWorking[[#This Row],[Quantity]],"")</f>
        <v>101.44</v>
      </c>
    </row>
    <row r="1471" spans="1:14">
      <c r="A1471">
        <v>51470</v>
      </c>
      <c r="B1471">
        <v>30856</v>
      </c>
      <c r="C1471" s="2">
        <v>45823</v>
      </c>
      <c r="D1471">
        <v>2138</v>
      </c>
      <c r="E1471">
        <v>1016</v>
      </c>
      <c r="F1471">
        <v>1</v>
      </c>
      <c r="G1471">
        <v>65.260000000000005</v>
      </c>
      <c r="H1471" s="2">
        <v>45824</v>
      </c>
      <c r="I1471" s="2">
        <v>45830</v>
      </c>
      <c r="J1471" t="s">
        <v>11</v>
      </c>
      <c r="K1471" s="2" t="str">
        <f>IFERROR(INDEX(Product_lookup[Category],MATCH(RawWorking[[#This Row],[ProductID]],Product_lookup[ProductID],0)),"")</f>
        <v>Sports</v>
      </c>
      <c r="L1471" s="9">
        <f>IF(OR(RawWorking[[#This Row],[ShipDate]]="",RawWorking[[#This Row],[DeliveryDate]]=""),"",RawWorking[[#This Row],[DeliveryDate]]-RawWorking[[#This Row],[ShipDate]])</f>
        <v>6</v>
      </c>
      <c r="M1471" s="9">
        <f>IF(COUNTIF(INDEX(RawWorking[OrderID],1):RawWorking[[#This Row],[OrderID]],RawWorking[[#This Row],[OrderID]])=1,1,0)</f>
        <v>0</v>
      </c>
      <c r="N1471" s="4">
        <f>IFERROR(RawWorking[[#This Row],[LineAmount]]/RawWorking[[#This Row],[Quantity]],"")</f>
        <v>65.260000000000005</v>
      </c>
    </row>
    <row r="1472" spans="1:14">
      <c r="A1472">
        <v>51471</v>
      </c>
      <c r="B1472">
        <v>30857</v>
      </c>
      <c r="C1472" s="2">
        <v>45864</v>
      </c>
      <c r="D1472">
        <v>2308</v>
      </c>
      <c r="E1472">
        <v>1002</v>
      </c>
      <c r="F1472">
        <v>1</v>
      </c>
      <c r="G1472">
        <v>118.6</v>
      </c>
      <c r="H1472" s="2">
        <v>45865</v>
      </c>
      <c r="I1472" s="2">
        <v>45870</v>
      </c>
      <c r="J1472" t="s">
        <v>9</v>
      </c>
      <c r="K1472" s="2" t="str">
        <f>IFERROR(INDEX(Product_lookup[Category],MATCH(RawWorking[[#This Row],[ProductID]],Product_lookup[ProductID],0)),"")</f>
        <v>Electronics</v>
      </c>
      <c r="L1472" s="9">
        <f>IF(OR(RawWorking[[#This Row],[ShipDate]]="",RawWorking[[#This Row],[DeliveryDate]]=""),"",RawWorking[[#This Row],[DeliveryDate]]-RawWorking[[#This Row],[ShipDate]])</f>
        <v>5</v>
      </c>
      <c r="M1472" s="9">
        <f>IF(COUNTIF(INDEX(RawWorking[OrderID],1):RawWorking[[#This Row],[OrderID]],RawWorking[[#This Row],[OrderID]])=1,1,0)</f>
        <v>1</v>
      </c>
      <c r="N1472" s="4">
        <f>IFERROR(RawWorking[[#This Row],[LineAmount]]/RawWorking[[#This Row],[Quantity]],"")</f>
        <v>118.6</v>
      </c>
    </row>
    <row r="1473" spans="1:14">
      <c r="A1473">
        <v>51472</v>
      </c>
      <c r="B1473">
        <v>30858</v>
      </c>
      <c r="C1473" s="2">
        <v>45716</v>
      </c>
      <c r="D1473">
        <v>2408</v>
      </c>
      <c r="E1473">
        <v>1006</v>
      </c>
      <c r="F1473">
        <v>1</v>
      </c>
      <c r="G1473">
        <v>253.86</v>
      </c>
      <c r="H1473" s="2">
        <v>45719</v>
      </c>
      <c r="I1473" s="2">
        <v>45721</v>
      </c>
      <c r="J1473" t="s">
        <v>9</v>
      </c>
      <c r="K1473" s="2" t="str">
        <f>IFERROR(INDEX(Product_lookup[Category],MATCH(RawWorking[[#This Row],[ProductID]],Product_lookup[ProductID],0)),"")</f>
        <v>Home</v>
      </c>
      <c r="L1473" s="9">
        <f>IF(OR(RawWorking[[#This Row],[ShipDate]]="",RawWorking[[#This Row],[DeliveryDate]]=""),"",RawWorking[[#This Row],[DeliveryDate]]-RawWorking[[#This Row],[ShipDate]])</f>
        <v>2</v>
      </c>
      <c r="M1473" s="9">
        <f>IF(COUNTIF(INDEX(RawWorking[OrderID],1):RawWorking[[#This Row],[OrderID]],RawWorking[[#This Row],[OrderID]])=1,1,0)</f>
        <v>1</v>
      </c>
      <c r="N1473" s="4">
        <f>IFERROR(RawWorking[[#This Row],[LineAmount]]/RawWorking[[#This Row],[Quantity]],"")</f>
        <v>253.86</v>
      </c>
    </row>
    <row r="1474" spans="1:14">
      <c r="A1474">
        <v>51473</v>
      </c>
      <c r="B1474">
        <v>30858</v>
      </c>
      <c r="C1474" s="2">
        <v>45716</v>
      </c>
      <c r="D1474">
        <v>2408</v>
      </c>
      <c r="E1474">
        <v>1002</v>
      </c>
      <c r="F1474">
        <v>4</v>
      </c>
      <c r="G1474">
        <v>474.4</v>
      </c>
      <c r="H1474" s="2">
        <v>45718</v>
      </c>
      <c r="I1474" s="2">
        <v>45719</v>
      </c>
      <c r="J1474" t="s">
        <v>9</v>
      </c>
      <c r="K1474" s="2" t="str">
        <f>IFERROR(INDEX(Product_lookup[Category],MATCH(RawWorking[[#This Row],[ProductID]],Product_lookup[ProductID],0)),"")</f>
        <v>Electronics</v>
      </c>
      <c r="L1474" s="9">
        <f>IF(OR(RawWorking[[#This Row],[ShipDate]]="",RawWorking[[#This Row],[DeliveryDate]]=""),"",RawWorking[[#This Row],[DeliveryDate]]-RawWorking[[#This Row],[ShipDate]])</f>
        <v>1</v>
      </c>
      <c r="M1474" s="9">
        <f>IF(COUNTIF(INDEX(RawWorking[OrderID],1):RawWorking[[#This Row],[OrderID]],RawWorking[[#This Row],[OrderID]])=1,1,0)</f>
        <v>0</v>
      </c>
      <c r="N1474" s="4">
        <f>IFERROR(RawWorking[[#This Row],[LineAmount]]/RawWorking[[#This Row],[Quantity]],"")</f>
        <v>118.6</v>
      </c>
    </row>
    <row r="1475" spans="1:14">
      <c r="A1475">
        <v>51474</v>
      </c>
      <c r="B1475">
        <v>30859</v>
      </c>
      <c r="C1475" s="2">
        <v>45813</v>
      </c>
      <c r="D1475">
        <v>2221</v>
      </c>
      <c r="E1475">
        <v>1016</v>
      </c>
      <c r="F1475">
        <v>1</v>
      </c>
      <c r="G1475">
        <v>65.260000000000005</v>
      </c>
      <c r="H1475" s="2" t="s">
        <v>1421</v>
      </c>
      <c r="I1475" s="2" t="s">
        <v>1421</v>
      </c>
      <c r="J1475" t="s">
        <v>16</v>
      </c>
      <c r="K1475" s="2" t="str">
        <f>IFERROR(INDEX(Product_lookup[Category],MATCH(RawWorking[[#This Row],[ProductID]],Product_lookup[ProductID],0)),"")</f>
        <v>Sports</v>
      </c>
      <c r="L1475" s="9" t="str">
        <f>IF(OR(RawWorking[[#This Row],[ShipDate]]="",RawWorking[[#This Row],[DeliveryDate]]=""),"",RawWorking[[#This Row],[DeliveryDate]]-RawWorking[[#This Row],[ShipDate]])</f>
        <v/>
      </c>
      <c r="M1475" s="9">
        <f>IF(COUNTIF(INDEX(RawWorking[OrderID],1):RawWorking[[#This Row],[OrderID]],RawWorking[[#This Row],[OrderID]])=1,1,0)</f>
        <v>1</v>
      </c>
      <c r="N1475" s="4">
        <f>IFERROR(RawWorking[[#This Row],[LineAmount]]/RawWorking[[#This Row],[Quantity]],"")</f>
        <v>65.260000000000005</v>
      </c>
    </row>
    <row r="1476" spans="1:14">
      <c r="A1476">
        <v>51475</v>
      </c>
      <c r="B1476">
        <v>30859</v>
      </c>
      <c r="C1476" s="2">
        <v>45783</v>
      </c>
      <c r="D1476">
        <v>2221</v>
      </c>
      <c r="E1476">
        <v>1004</v>
      </c>
      <c r="F1476">
        <v>1</v>
      </c>
      <c r="G1476">
        <v>183.74</v>
      </c>
      <c r="H1476" s="2" t="s">
        <v>1421</v>
      </c>
      <c r="I1476" s="2" t="s">
        <v>1421</v>
      </c>
      <c r="J1476" t="s">
        <v>16</v>
      </c>
      <c r="K1476" s="2" t="str">
        <f>IFERROR(INDEX(Product_lookup[Category],MATCH(RawWorking[[#This Row],[ProductID]],Product_lookup[ProductID],0)),"")</f>
        <v>Electronics</v>
      </c>
      <c r="L1476" s="9" t="str">
        <f>IF(OR(RawWorking[[#This Row],[ShipDate]]="",RawWorking[[#This Row],[DeliveryDate]]=""),"",RawWorking[[#This Row],[DeliveryDate]]-RawWorking[[#This Row],[ShipDate]])</f>
        <v/>
      </c>
      <c r="M1476" s="9">
        <f>IF(COUNTIF(INDEX(RawWorking[OrderID],1):RawWorking[[#This Row],[OrderID]],RawWorking[[#This Row],[OrderID]])=1,1,0)</f>
        <v>0</v>
      </c>
      <c r="N1476" s="4">
        <f>IFERROR(RawWorking[[#This Row],[LineAmount]]/RawWorking[[#This Row],[Quantity]],"")</f>
        <v>183.74</v>
      </c>
    </row>
    <row r="1477" spans="1:14">
      <c r="A1477">
        <v>51476</v>
      </c>
      <c r="B1477">
        <v>30860</v>
      </c>
      <c r="C1477" s="2">
        <v>45864</v>
      </c>
      <c r="D1477">
        <v>2343</v>
      </c>
      <c r="E1477">
        <v>1012</v>
      </c>
      <c r="F1477">
        <v>2</v>
      </c>
      <c r="G1477">
        <v>483.08</v>
      </c>
      <c r="H1477" s="2">
        <v>45867</v>
      </c>
      <c r="I1477" s="2">
        <v>45870</v>
      </c>
      <c r="J1477" t="s">
        <v>9</v>
      </c>
      <c r="K1477" s="2" t="str">
        <f>IFERROR(INDEX(Product_lookup[Category],MATCH(RawWorking[[#This Row],[ProductID]],Product_lookup[ProductID],0)),"")</f>
        <v>Office</v>
      </c>
      <c r="L1477" s="9">
        <f>IF(OR(RawWorking[[#This Row],[ShipDate]]="",RawWorking[[#This Row],[DeliveryDate]]=""),"",RawWorking[[#This Row],[DeliveryDate]]-RawWorking[[#This Row],[ShipDate]])</f>
        <v>3</v>
      </c>
      <c r="M1477" s="9">
        <f>IF(COUNTIF(INDEX(RawWorking[OrderID],1):RawWorking[[#This Row],[OrderID]],RawWorking[[#This Row],[OrderID]])=1,1,0)</f>
        <v>1</v>
      </c>
      <c r="N1477" s="4">
        <f>IFERROR(RawWorking[[#This Row],[LineAmount]]/RawWorking[[#This Row],[Quantity]],"")</f>
        <v>241.54</v>
      </c>
    </row>
    <row r="1478" spans="1:14">
      <c r="A1478">
        <v>51477</v>
      </c>
      <c r="B1478">
        <v>30861</v>
      </c>
      <c r="C1478" s="2">
        <v>46015</v>
      </c>
      <c r="D1478">
        <v>2574</v>
      </c>
      <c r="E1478">
        <v>1009</v>
      </c>
      <c r="F1478">
        <v>3</v>
      </c>
      <c r="G1478">
        <v>120.84</v>
      </c>
      <c r="H1478" s="2">
        <v>46016</v>
      </c>
      <c r="I1478" s="2">
        <v>46024</v>
      </c>
      <c r="J1478" t="s">
        <v>9</v>
      </c>
      <c r="K1478" s="2" t="str">
        <f>IFERROR(INDEX(Product_lookup[Category],MATCH(RawWorking[[#This Row],[ProductID]],Product_lookup[ProductID],0)),"")</f>
        <v>Home</v>
      </c>
      <c r="L1478" s="9">
        <f>IF(OR(RawWorking[[#This Row],[ShipDate]]="",RawWorking[[#This Row],[DeliveryDate]]=""),"",RawWorking[[#This Row],[DeliveryDate]]-RawWorking[[#This Row],[ShipDate]])</f>
        <v>8</v>
      </c>
      <c r="M1478" s="9">
        <f>IF(COUNTIF(INDEX(RawWorking[OrderID],1):RawWorking[[#This Row],[OrderID]],RawWorking[[#This Row],[OrderID]])=1,1,0)</f>
        <v>1</v>
      </c>
      <c r="N1478" s="4">
        <f>IFERROR(RawWorking[[#This Row],[LineAmount]]/RawWorking[[#This Row],[Quantity]],"")</f>
        <v>40.28</v>
      </c>
    </row>
    <row r="1479" spans="1:14">
      <c r="A1479">
        <v>51478</v>
      </c>
      <c r="B1479">
        <v>30862</v>
      </c>
      <c r="C1479" s="2">
        <v>45948</v>
      </c>
      <c r="D1479">
        <v>2353</v>
      </c>
      <c r="E1479">
        <v>1004</v>
      </c>
      <c r="F1479">
        <v>2</v>
      </c>
      <c r="G1479">
        <v>367.48</v>
      </c>
      <c r="H1479" s="2">
        <v>45951</v>
      </c>
      <c r="I1479" s="2">
        <v>45958</v>
      </c>
      <c r="J1479" t="s">
        <v>9</v>
      </c>
      <c r="K1479" s="2" t="str">
        <f>IFERROR(INDEX(Product_lookup[Category],MATCH(RawWorking[[#This Row],[ProductID]],Product_lookup[ProductID],0)),"")</f>
        <v>Electronics</v>
      </c>
      <c r="L1479" s="9">
        <f>IF(OR(RawWorking[[#This Row],[ShipDate]]="",RawWorking[[#This Row],[DeliveryDate]]=""),"",RawWorking[[#This Row],[DeliveryDate]]-RawWorking[[#This Row],[ShipDate]])</f>
        <v>7</v>
      </c>
      <c r="M1479" s="9">
        <f>IF(COUNTIF(INDEX(RawWorking[OrderID],1):RawWorking[[#This Row],[OrderID]],RawWorking[[#This Row],[OrderID]])=1,1,0)</f>
        <v>1</v>
      </c>
      <c r="N1479" s="4">
        <f>IFERROR(RawWorking[[#This Row],[LineAmount]]/RawWorking[[#This Row],[Quantity]],"")</f>
        <v>183.74</v>
      </c>
    </row>
    <row r="1480" spans="1:14">
      <c r="A1480">
        <v>51479</v>
      </c>
      <c r="B1480">
        <v>30862</v>
      </c>
      <c r="C1480" s="2">
        <v>45948</v>
      </c>
      <c r="D1480">
        <v>2353</v>
      </c>
      <c r="E1480">
        <v>1012</v>
      </c>
      <c r="F1480">
        <v>1</v>
      </c>
      <c r="G1480">
        <v>241.54</v>
      </c>
      <c r="H1480" s="2">
        <v>45950</v>
      </c>
      <c r="I1480" s="2">
        <v>45960</v>
      </c>
      <c r="J1480" t="s">
        <v>9</v>
      </c>
      <c r="K1480" s="2" t="str">
        <f>IFERROR(INDEX(Product_lookup[Category],MATCH(RawWorking[[#This Row],[ProductID]],Product_lookup[ProductID],0)),"")</f>
        <v>Office</v>
      </c>
      <c r="L1480" s="9">
        <f>IF(OR(RawWorking[[#This Row],[ShipDate]]="",RawWorking[[#This Row],[DeliveryDate]]=""),"",RawWorking[[#This Row],[DeliveryDate]]-RawWorking[[#This Row],[ShipDate]])</f>
        <v>10</v>
      </c>
      <c r="M1480" s="9">
        <f>IF(COUNTIF(INDEX(RawWorking[OrderID],1):RawWorking[[#This Row],[OrderID]],RawWorking[[#This Row],[OrderID]])=1,1,0)</f>
        <v>0</v>
      </c>
      <c r="N1480" s="4">
        <f>IFERROR(RawWorking[[#This Row],[LineAmount]]/RawWorking[[#This Row],[Quantity]],"")</f>
        <v>241.54</v>
      </c>
    </row>
    <row r="1481" spans="1:14">
      <c r="A1481">
        <v>51480</v>
      </c>
      <c r="B1481">
        <v>30862</v>
      </c>
      <c r="C1481" s="2">
        <v>45948</v>
      </c>
      <c r="D1481">
        <v>2353</v>
      </c>
      <c r="E1481">
        <v>1007</v>
      </c>
      <c r="F1481">
        <v>1</v>
      </c>
      <c r="G1481">
        <v>199.81</v>
      </c>
      <c r="H1481" s="2">
        <v>45949</v>
      </c>
      <c r="I1481" s="2">
        <v>45953</v>
      </c>
      <c r="J1481" t="s">
        <v>9</v>
      </c>
      <c r="K1481" s="2" t="str">
        <f>IFERROR(INDEX(Product_lookup[Category],MATCH(RawWorking[[#This Row],[ProductID]],Product_lookup[ProductID],0)),"")</f>
        <v>Home</v>
      </c>
      <c r="L1481" s="9">
        <f>IF(OR(RawWorking[[#This Row],[ShipDate]]="",RawWorking[[#This Row],[DeliveryDate]]=""),"",RawWorking[[#This Row],[DeliveryDate]]-RawWorking[[#This Row],[ShipDate]])</f>
        <v>4</v>
      </c>
      <c r="M1481" s="9">
        <f>IF(COUNTIF(INDEX(RawWorking[OrderID],1):RawWorking[[#This Row],[OrderID]],RawWorking[[#This Row],[OrderID]])=1,1,0)</f>
        <v>0</v>
      </c>
      <c r="N1481" s="4">
        <f>IFERROR(RawWorking[[#This Row],[LineAmount]]/RawWorking[[#This Row],[Quantity]],"")</f>
        <v>199.81</v>
      </c>
    </row>
    <row r="1482" spans="1:14">
      <c r="A1482">
        <v>51481</v>
      </c>
      <c r="B1482">
        <v>30863</v>
      </c>
      <c r="C1482" s="2">
        <v>45939</v>
      </c>
      <c r="D1482">
        <v>2591</v>
      </c>
      <c r="E1482">
        <v>1006</v>
      </c>
      <c r="F1482">
        <v>1</v>
      </c>
      <c r="G1482">
        <v>253.86</v>
      </c>
      <c r="H1482" s="2">
        <v>45941</v>
      </c>
      <c r="I1482" s="2">
        <v>46001</v>
      </c>
      <c r="J1482" t="s">
        <v>9</v>
      </c>
      <c r="K1482" s="2" t="str">
        <f>IFERROR(INDEX(Product_lookup[Category],MATCH(RawWorking[[#This Row],[ProductID]],Product_lookup[ProductID],0)),"")</f>
        <v>Home</v>
      </c>
      <c r="L1482" s="9">
        <f>IF(OR(RawWorking[[#This Row],[ShipDate]]="",RawWorking[[#This Row],[DeliveryDate]]=""),"",RawWorking[[#This Row],[DeliveryDate]]-RawWorking[[#This Row],[ShipDate]])</f>
        <v>60</v>
      </c>
      <c r="M1482" s="9">
        <f>IF(COUNTIF(INDEX(RawWorking[OrderID],1):RawWorking[[#This Row],[OrderID]],RawWorking[[#This Row],[OrderID]])=1,1,0)</f>
        <v>1</v>
      </c>
      <c r="N1482" s="4">
        <f>IFERROR(RawWorking[[#This Row],[LineAmount]]/RawWorking[[#This Row],[Quantity]],"")</f>
        <v>253.86</v>
      </c>
    </row>
    <row r="1483" spans="1:14">
      <c r="A1483">
        <v>51482</v>
      </c>
      <c r="B1483">
        <v>30863</v>
      </c>
      <c r="C1483" s="2">
        <v>45939</v>
      </c>
      <c r="D1483">
        <v>2591</v>
      </c>
      <c r="E1483">
        <v>1010</v>
      </c>
      <c r="F1483">
        <v>1</v>
      </c>
      <c r="G1483">
        <v>121.5</v>
      </c>
      <c r="H1483" s="2">
        <v>45941</v>
      </c>
      <c r="I1483" s="2">
        <v>45950</v>
      </c>
      <c r="J1483" t="s">
        <v>9</v>
      </c>
      <c r="K1483" s="2" t="str">
        <f>IFERROR(INDEX(Product_lookup[Category],MATCH(RawWorking[[#This Row],[ProductID]],Product_lookup[ProductID],0)),"")</f>
        <v>Office</v>
      </c>
      <c r="L1483" s="9">
        <f>IF(OR(RawWorking[[#This Row],[ShipDate]]="",RawWorking[[#This Row],[DeliveryDate]]=""),"",RawWorking[[#This Row],[DeliveryDate]]-RawWorking[[#This Row],[ShipDate]])</f>
        <v>9</v>
      </c>
      <c r="M1483" s="9">
        <f>IF(COUNTIF(INDEX(RawWorking[OrderID],1):RawWorking[[#This Row],[OrderID]],RawWorking[[#This Row],[OrderID]])=1,1,0)</f>
        <v>0</v>
      </c>
      <c r="N1483" s="4">
        <f>IFERROR(RawWorking[[#This Row],[LineAmount]]/RawWorking[[#This Row],[Quantity]],"")</f>
        <v>121.5</v>
      </c>
    </row>
    <row r="1484" spans="1:14">
      <c r="A1484">
        <v>51483</v>
      </c>
      <c r="B1484">
        <v>30864</v>
      </c>
      <c r="C1484" s="2">
        <v>45819</v>
      </c>
      <c r="D1484">
        <v>2364</v>
      </c>
      <c r="E1484">
        <v>1016</v>
      </c>
      <c r="F1484">
        <v>3</v>
      </c>
      <c r="G1484">
        <v>195.78</v>
      </c>
      <c r="H1484" s="2">
        <v>45970</v>
      </c>
      <c r="I1484" s="2">
        <v>45975</v>
      </c>
      <c r="J1484" t="s">
        <v>9</v>
      </c>
      <c r="K1484" s="2" t="str">
        <f>IFERROR(INDEX(Product_lookup[Category],MATCH(RawWorking[[#This Row],[ProductID]],Product_lookup[ProductID],0)),"")</f>
        <v>Sports</v>
      </c>
      <c r="L1484" s="9">
        <f>IF(OR(RawWorking[[#This Row],[ShipDate]]="",RawWorking[[#This Row],[DeliveryDate]]=""),"",RawWorking[[#This Row],[DeliveryDate]]-RawWorking[[#This Row],[ShipDate]])</f>
        <v>5</v>
      </c>
      <c r="M1484" s="9">
        <f>IF(COUNTIF(INDEX(RawWorking[OrderID],1):RawWorking[[#This Row],[OrderID]],RawWorking[[#This Row],[OrderID]])=1,1,0)</f>
        <v>1</v>
      </c>
      <c r="N1484" s="4">
        <f>IFERROR(RawWorking[[#This Row],[LineAmount]]/RawWorking[[#This Row],[Quantity]],"")</f>
        <v>65.260000000000005</v>
      </c>
    </row>
    <row r="1485" spans="1:14">
      <c r="A1485">
        <v>51484</v>
      </c>
      <c r="B1485">
        <v>30865</v>
      </c>
      <c r="C1485" s="2">
        <v>45846</v>
      </c>
      <c r="D1485">
        <v>2458</v>
      </c>
      <c r="E1485">
        <v>1013</v>
      </c>
      <c r="F1485">
        <v>4</v>
      </c>
      <c r="G1485">
        <v>681</v>
      </c>
      <c r="H1485" s="2" t="s">
        <v>1421</v>
      </c>
      <c r="I1485" s="2" t="s">
        <v>1421</v>
      </c>
      <c r="J1485" t="s">
        <v>12</v>
      </c>
      <c r="K1485" s="2" t="str">
        <f>IFERROR(INDEX(Product_lookup[Category],MATCH(RawWorking[[#This Row],[ProductID]],Product_lookup[ProductID],0)),"")</f>
        <v>Office</v>
      </c>
      <c r="L1485" s="9" t="str">
        <f>IF(OR(RawWorking[[#This Row],[ShipDate]]="",RawWorking[[#This Row],[DeliveryDate]]=""),"",RawWorking[[#This Row],[DeliveryDate]]-RawWorking[[#This Row],[ShipDate]])</f>
        <v/>
      </c>
      <c r="M1485" s="9">
        <f>IF(COUNTIF(INDEX(RawWorking[OrderID],1):RawWorking[[#This Row],[OrderID]],RawWorking[[#This Row],[OrderID]])=1,1,0)</f>
        <v>1</v>
      </c>
      <c r="N1485" s="4">
        <f>IFERROR(RawWorking[[#This Row],[LineAmount]]/RawWorking[[#This Row],[Quantity]],"")</f>
        <v>170.25</v>
      </c>
    </row>
    <row r="1486" spans="1:14">
      <c r="A1486">
        <v>51485</v>
      </c>
      <c r="B1486">
        <v>30866</v>
      </c>
      <c r="C1486" s="2">
        <v>45726</v>
      </c>
      <c r="D1486">
        <v>2294</v>
      </c>
      <c r="E1486">
        <v>1005</v>
      </c>
      <c r="F1486">
        <v>1</v>
      </c>
      <c r="G1486">
        <v>31.73</v>
      </c>
      <c r="H1486" s="2">
        <v>45935</v>
      </c>
      <c r="I1486" s="2">
        <v>45938</v>
      </c>
      <c r="J1486" t="s">
        <v>9</v>
      </c>
      <c r="K1486" s="2" t="str">
        <f>IFERROR(INDEX(Product_lookup[Category],MATCH(RawWorking[[#This Row],[ProductID]],Product_lookup[ProductID],0)),"")</f>
        <v>Electronics</v>
      </c>
      <c r="L1486" s="9">
        <f>IF(OR(RawWorking[[#This Row],[ShipDate]]="",RawWorking[[#This Row],[DeliveryDate]]=""),"",RawWorking[[#This Row],[DeliveryDate]]-RawWorking[[#This Row],[ShipDate]])</f>
        <v>3</v>
      </c>
      <c r="M1486" s="9">
        <f>IF(COUNTIF(INDEX(RawWorking[OrderID],1):RawWorking[[#This Row],[OrderID]],RawWorking[[#This Row],[OrderID]])=1,1,0)</f>
        <v>1</v>
      </c>
      <c r="N1486" s="4">
        <f>IFERROR(RawWorking[[#This Row],[LineAmount]]/RawWorking[[#This Row],[Quantity]],"")</f>
        <v>31.73</v>
      </c>
    </row>
    <row r="1487" spans="1:14">
      <c r="A1487">
        <v>51486</v>
      </c>
      <c r="B1487">
        <v>30867</v>
      </c>
      <c r="C1487" s="2">
        <v>45782</v>
      </c>
      <c r="D1487">
        <v>2172</v>
      </c>
      <c r="E1487">
        <v>1011</v>
      </c>
      <c r="F1487">
        <v>2</v>
      </c>
      <c r="G1487">
        <v>202.88</v>
      </c>
      <c r="H1487" s="2">
        <v>45783</v>
      </c>
      <c r="I1487" s="2">
        <v>45966</v>
      </c>
      <c r="J1487" t="s">
        <v>9</v>
      </c>
      <c r="K1487" s="2" t="str">
        <f>IFERROR(INDEX(Product_lookup[Category],MATCH(RawWorking[[#This Row],[ProductID]],Product_lookup[ProductID],0)),"")</f>
        <v>Office</v>
      </c>
      <c r="L1487" s="9">
        <f>IF(OR(RawWorking[[#This Row],[ShipDate]]="",RawWorking[[#This Row],[DeliveryDate]]=""),"",RawWorking[[#This Row],[DeliveryDate]]-RawWorking[[#This Row],[ShipDate]])</f>
        <v>183</v>
      </c>
      <c r="M1487" s="9">
        <f>IF(COUNTIF(INDEX(RawWorking[OrderID],1):RawWorking[[#This Row],[OrderID]],RawWorking[[#This Row],[OrderID]])=1,1,0)</f>
        <v>1</v>
      </c>
      <c r="N1487" s="4">
        <f>IFERROR(RawWorking[[#This Row],[LineAmount]]/RawWorking[[#This Row],[Quantity]],"")</f>
        <v>101.44</v>
      </c>
    </row>
    <row r="1488" spans="1:14">
      <c r="A1488">
        <v>51487</v>
      </c>
      <c r="B1488">
        <v>30868</v>
      </c>
      <c r="C1488" s="2">
        <v>46004</v>
      </c>
      <c r="D1488">
        <v>2432</v>
      </c>
      <c r="E1488">
        <v>1013</v>
      </c>
      <c r="F1488">
        <v>1</v>
      </c>
      <c r="G1488">
        <v>170.25</v>
      </c>
      <c r="H1488" s="2">
        <v>46006</v>
      </c>
      <c r="I1488" s="2">
        <v>46011</v>
      </c>
      <c r="J1488" t="s">
        <v>9</v>
      </c>
      <c r="K1488" s="2" t="str">
        <f>IFERROR(INDEX(Product_lookup[Category],MATCH(RawWorking[[#This Row],[ProductID]],Product_lookup[ProductID],0)),"")</f>
        <v>Office</v>
      </c>
      <c r="L1488" s="9">
        <f>IF(OR(RawWorking[[#This Row],[ShipDate]]="",RawWorking[[#This Row],[DeliveryDate]]=""),"",RawWorking[[#This Row],[DeliveryDate]]-RawWorking[[#This Row],[ShipDate]])</f>
        <v>5</v>
      </c>
      <c r="M1488" s="9">
        <f>IF(COUNTIF(INDEX(RawWorking[OrderID],1):RawWorking[[#This Row],[OrderID]],RawWorking[[#This Row],[OrderID]])=1,1,0)</f>
        <v>1</v>
      </c>
      <c r="N1488" s="4">
        <f>IFERROR(RawWorking[[#This Row],[LineAmount]]/RawWorking[[#This Row],[Quantity]],"")</f>
        <v>170.25</v>
      </c>
    </row>
    <row r="1489" spans="1:14">
      <c r="A1489">
        <v>51488</v>
      </c>
      <c r="B1489">
        <v>30868</v>
      </c>
      <c r="C1489" s="2">
        <v>46004</v>
      </c>
      <c r="D1489">
        <v>2432</v>
      </c>
      <c r="E1489">
        <v>1003</v>
      </c>
      <c r="F1489">
        <v>3</v>
      </c>
      <c r="G1489">
        <v>673.11</v>
      </c>
      <c r="H1489" s="2">
        <v>46005</v>
      </c>
      <c r="I1489" s="2">
        <v>46014</v>
      </c>
      <c r="J1489" t="s">
        <v>9</v>
      </c>
      <c r="K1489" s="2" t="str">
        <f>IFERROR(INDEX(Product_lookup[Category],MATCH(RawWorking[[#This Row],[ProductID]],Product_lookup[ProductID],0)),"")</f>
        <v>Electronics</v>
      </c>
      <c r="L1489" s="9">
        <f>IF(OR(RawWorking[[#This Row],[ShipDate]]="",RawWorking[[#This Row],[DeliveryDate]]=""),"",RawWorking[[#This Row],[DeliveryDate]]-RawWorking[[#This Row],[ShipDate]])</f>
        <v>9</v>
      </c>
      <c r="M1489" s="9">
        <f>IF(COUNTIF(INDEX(RawWorking[OrderID],1):RawWorking[[#This Row],[OrderID]],RawWorking[[#This Row],[OrderID]])=1,1,0)</f>
        <v>0</v>
      </c>
      <c r="N1489" s="4">
        <f>IFERROR(RawWorking[[#This Row],[LineAmount]]/RawWorking[[#This Row],[Quantity]],"")</f>
        <v>224.37</v>
      </c>
    </row>
    <row r="1490" spans="1:14">
      <c r="A1490">
        <v>51489</v>
      </c>
      <c r="B1490">
        <v>30869</v>
      </c>
      <c r="C1490" s="2">
        <v>45725</v>
      </c>
      <c r="D1490">
        <v>2082</v>
      </c>
      <c r="E1490">
        <v>1008</v>
      </c>
      <c r="F1490">
        <v>1</v>
      </c>
      <c r="G1490">
        <v>206.09</v>
      </c>
      <c r="H1490" s="2">
        <v>45726</v>
      </c>
      <c r="I1490" s="2">
        <v>45731</v>
      </c>
      <c r="J1490" t="s">
        <v>9</v>
      </c>
      <c r="K1490" s="2" t="str">
        <f>IFERROR(INDEX(Product_lookup[Category],MATCH(RawWorking[[#This Row],[ProductID]],Product_lookup[ProductID],0)),"")</f>
        <v>Home</v>
      </c>
      <c r="L1490" s="9">
        <f>IF(OR(RawWorking[[#This Row],[ShipDate]]="",RawWorking[[#This Row],[DeliveryDate]]=""),"",RawWorking[[#This Row],[DeliveryDate]]-RawWorking[[#This Row],[ShipDate]])</f>
        <v>5</v>
      </c>
      <c r="M1490" s="9">
        <f>IF(COUNTIF(INDEX(RawWorking[OrderID],1):RawWorking[[#This Row],[OrderID]],RawWorking[[#This Row],[OrderID]])=1,1,0)</f>
        <v>1</v>
      </c>
      <c r="N1490" s="4">
        <f>IFERROR(RawWorking[[#This Row],[LineAmount]]/RawWorking[[#This Row],[Quantity]],"")</f>
        <v>206.09</v>
      </c>
    </row>
    <row r="1491" spans="1:14">
      <c r="A1491">
        <v>51490</v>
      </c>
      <c r="B1491">
        <v>30869</v>
      </c>
      <c r="C1491" s="2">
        <v>45725</v>
      </c>
      <c r="D1491">
        <v>2082</v>
      </c>
      <c r="E1491">
        <v>1011</v>
      </c>
      <c r="F1491">
        <v>4</v>
      </c>
      <c r="G1491">
        <v>405.76</v>
      </c>
      <c r="H1491" s="2">
        <v>45728</v>
      </c>
      <c r="I1491" s="2">
        <v>45736</v>
      </c>
      <c r="J1491" t="s">
        <v>9</v>
      </c>
      <c r="K1491" s="2" t="str">
        <f>IFERROR(INDEX(Product_lookup[Category],MATCH(RawWorking[[#This Row],[ProductID]],Product_lookup[ProductID],0)),"")</f>
        <v>Office</v>
      </c>
      <c r="L1491" s="9">
        <f>IF(OR(RawWorking[[#This Row],[ShipDate]]="",RawWorking[[#This Row],[DeliveryDate]]=""),"",RawWorking[[#This Row],[DeliveryDate]]-RawWorking[[#This Row],[ShipDate]])</f>
        <v>8</v>
      </c>
      <c r="M1491" s="9">
        <f>IF(COUNTIF(INDEX(RawWorking[OrderID],1):RawWorking[[#This Row],[OrderID]],RawWorking[[#This Row],[OrderID]])=1,1,0)</f>
        <v>0</v>
      </c>
      <c r="N1491" s="4">
        <f>IFERROR(RawWorking[[#This Row],[LineAmount]]/RawWorking[[#This Row],[Quantity]],"")</f>
        <v>101.44</v>
      </c>
    </row>
    <row r="1492" spans="1:14">
      <c r="A1492">
        <v>51491</v>
      </c>
      <c r="B1492">
        <v>30869</v>
      </c>
      <c r="C1492" s="2">
        <v>45725</v>
      </c>
      <c r="D1492">
        <v>2082</v>
      </c>
      <c r="E1492">
        <v>1011</v>
      </c>
      <c r="F1492">
        <v>1</v>
      </c>
      <c r="G1492">
        <v>101.44</v>
      </c>
      <c r="H1492" s="2">
        <v>45728</v>
      </c>
      <c r="I1492" s="2">
        <v>45733</v>
      </c>
      <c r="J1492" t="s">
        <v>9</v>
      </c>
      <c r="K1492" s="2" t="str">
        <f>IFERROR(INDEX(Product_lookup[Category],MATCH(RawWorking[[#This Row],[ProductID]],Product_lookup[ProductID],0)),"")</f>
        <v>Office</v>
      </c>
      <c r="L1492" s="9">
        <f>IF(OR(RawWorking[[#This Row],[ShipDate]]="",RawWorking[[#This Row],[DeliveryDate]]=""),"",RawWorking[[#This Row],[DeliveryDate]]-RawWorking[[#This Row],[ShipDate]])</f>
        <v>5</v>
      </c>
      <c r="M1492" s="9">
        <f>IF(COUNTIF(INDEX(RawWorking[OrderID],1):RawWorking[[#This Row],[OrderID]],RawWorking[[#This Row],[OrderID]])=1,1,0)</f>
        <v>0</v>
      </c>
      <c r="N1492" s="4">
        <f>IFERROR(RawWorking[[#This Row],[LineAmount]]/RawWorking[[#This Row],[Quantity]],"")</f>
        <v>101.44</v>
      </c>
    </row>
    <row r="1493" spans="1:14">
      <c r="A1493">
        <v>51492</v>
      </c>
      <c r="B1493">
        <v>30869</v>
      </c>
      <c r="C1493" s="2">
        <v>45725</v>
      </c>
      <c r="D1493">
        <v>2082</v>
      </c>
      <c r="E1493">
        <v>1010</v>
      </c>
      <c r="F1493">
        <v>1</v>
      </c>
      <c r="G1493">
        <v>121.5</v>
      </c>
      <c r="H1493" s="2">
        <v>45727</v>
      </c>
      <c r="I1493" s="2">
        <v>45729</v>
      </c>
      <c r="J1493" t="s">
        <v>9</v>
      </c>
      <c r="K1493" s="2" t="str">
        <f>IFERROR(INDEX(Product_lookup[Category],MATCH(RawWorking[[#This Row],[ProductID]],Product_lookup[ProductID],0)),"")</f>
        <v>Office</v>
      </c>
      <c r="L1493" s="9">
        <f>IF(OR(RawWorking[[#This Row],[ShipDate]]="",RawWorking[[#This Row],[DeliveryDate]]=""),"",RawWorking[[#This Row],[DeliveryDate]]-RawWorking[[#This Row],[ShipDate]])</f>
        <v>2</v>
      </c>
      <c r="M1493" s="9">
        <f>IF(COUNTIF(INDEX(RawWorking[OrderID],1):RawWorking[[#This Row],[OrderID]],RawWorking[[#This Row],[OrderID]])=1,1,0)</f>
        <v>0</v>
      </c>
      <c r="N1493" s="4">
        <f>IFERROR(RawWorking[[#This Row],[LineAmount]]/RawWorking[[#This Row],[Quantity]],"")</f>
        <v>121.5</v>
      </c>
    </row>
    <row r="1494" spans="1:14">
      <c r="A1494">
        <v>51493</v>
      </c>
      <c r="B1494">
        <v>30870</v>
      </c>
      <c r="C1494" s="2">
        <v>45946</v>
      </c>
      <c r="D1494">
        <v>2274</v>
      </c>
      <c r="E1494">
        <v>1013</v>
      </c>
      <c r="F1494">
        <v>2</v>
      </c>
      <c r="G1494">
        <v>340.5</v>
      </c>
      <c r="H1494" s="2">
        <v>45949</v>
      </c>
      <c r="I1494" s="2">
        <v>45959</v>
      </c>
      <c r="J1494" t="s">
        <v>9</v>
      </c>
      <c r="K1494" s="2" t="str">
        <f>IFERROR(INDEX(Product_lookup[Category],MATCH(RawWorking[[#This Row],[ProductID]],Product_lookup[ProductID],0)),"")</f>
        <v>Office</v>
      </c>
      <c r="L1494" s="9">
        <f>IF(OR(RawWorking[[#This Row],[ShipDate]]="",RawWorking[[#This Row],[DeliveryDate]]=""),"",RawWorking[[#This Row],[DeliveryDate]]-RawWorking[[#This Row],[ShipDate]])</f>
        <v>10</v>
      </c>
      <c r="M1494" s="9">
        <f>IF(COUNTIF(INDEX(RawWorking[OrderID],1):RawWorking[[#This Row],[OrderID]],RawWorking[[#This Row],[OrderID]])=1,1,0)</f>
        <v>1</v>
      </c>
      <c r="N1494" s="4">
        <f>IFERROR(RawWorking[[#This Row],[LineAmount]]/RawWorking[[#This Row],[Quantity]],"")</f>
        <v>170.25</v>
      </c>
    </row>
    <row r="1495" spans="1:14">
      <c r="A1495">
        <v>51494</v>
      </c>
      <c r="B1495">
        <v>30871</v>
      </c>
      <c r="C1495" s="2">
        <v>45980</v>
      </c>
      <c r="D1495">
        <v>2278</v>
      </c>
      <c r="E1495">
        <v>1012</v>
      </c>
      <c r="F1495">
        <v>2</v>
      </c>
      <c r="G1495">
        <v>483.08</v>
      </c>
      <c r="H1495" s="2" t="s">
        <v>1421</v>
      </c>
      <c r="I1495" s="2" t="s">
        <v>1421</v>
      </c>
      <c r="J1495" t="s">
        <v>12</v>
      </c>
      <c r="K1495" s="2" t="str">
        <f>IFERROR(INDEX(Product_lookup[Category],MATCH(RawWorking[[#This Row],[ProductID]],Product_lookup[ProductID],0)),"")</f>
        <v>Office</v>
      </c>
      <c r="L1495" s="9" t="str">
        <f>IF(OR(RawWorking[[#This Row],[ShipDate]]="",RawWorking[[#This Row],[DeliveryDate]]=""),"",RawWorking[[#This Row],[DeliveryDate]]-RawWorking[[#This Row],[ShipDate]])</f>
        <v/>
      </c>
      <c r="M1495" s="9">
        <f>IF(COUNTIF(INDEX(RawWorking[OrderID],1):RawWorking[[#This Row],[OrderID]],RawWorking[[#This Row],[OrderID]])=1,1,0)</f>
        <v>1</v>
      </c>
      <c r="N1495" s="4">
        <f>IFERROR(RawWorking[[#This Row],[LineAmount]]/RawWorking[[#This Row],[Quantity]],"")</f>
        <v>241.54</v>
      </c>
    </row>
    <row r="1496" spans="1:14">
      <c r="A1496">
        <v>51495</v>
      </c>
      <c r="B1496">
        <v>30872</v>
      </c>
      <c r="C1496" s="2">
        <v>45724</v>
      </c>
      <c r="D1496">
        <v>2534</v>
      </c>
      <c r="E1496">
        <v>1014</v>
      </c>
      <c r="F1496">
        <v>1</v>
      </c>
      <c r="G1496">
        <v>215.34</v>
      </c>
      <c r="H1496" s="2">
        <v>45725</v>
      </c>
      <c r="I1496" s="2">
        <v>45726</v>
      </c>
      <c r="J1496" t="s">
        <v>11</v>
      </c>
      <c r="K1496" s="2" t="str">
        <f>IFERROR(INDEX(Product_lookup[Category],MATCH(RawWorking[[#This Row],[ProductID]],Product_lookup[ProductID],0)),"")</f>
        <v>Sports</v>
      </c>
      <c r="L1496" s="9">
        <f>IF(OR(RawWorking[[#This Row],[ShipDate]]="",RawWorking[[#This Row],[DeliveryDate]]=""),"",RawWorking[[#This Row],[DeliveryDate]]-RawWorking[[#This Row],[ShipDate]])</f>
        <v>1</v>
      </c>
      <c r="M1496" s="9">
        <f>IF(COUNTIF(INDEX(RawWorking[OrderID],1):RawWorking[[#This Row],[OrderID]],RawWorking[[#This Row],[OrderID]])=1,1,0)</f>
        <v>1</v>
      </c>
      <c r="N1496" s="4">
        <f>IFERROR(RawWorking[[#This Row],[LineAmount]]/RawWorking[[#This Row],[Quantity]],"")</f>
        <v>215.34</v>
      </c>
    </row>
    <row r="1497" spans="1:14">
      <c r="A1497">
        <v>51496</v>
      </c>
      <c r="B1497">
        <v>30873</v>
      </c>
      <c r="C1497" s="2">
        <v>45955</v>
      </c>
      <c r="D1497">
        <v>2172</v>
      </c>
      <c r="E1497">
        <v>1001</v>
      </c>
      <c r="F1497">
        <v>1</v>
      </c>
      <c r="G1497">
        <v>203.04</v>
      </c>
      <c r="H1497" s="2">
        <v>45957</v>
      </c>
      <c r="I1497" s="2">
        <v>45958</v>
      </c>
      <c r="J1497" t="s">
        <v>9</v>
      </c>
      <c r="K1497" s="2" t="str">
        <f>IFERROR(INDEX(Product_lookup[Category],MATCH(RawWorking[[#This Row],[ProductID]],Product_lookup[ProductID],0)),"")</f>
        <v>Electronics</v>
      </c>
      <c r="L1497" s="9">
        <f>IF(OR(RawWorking[[#This Row],[ShipDate]]="",RawWorking[[#This Row],[DeliveryDate]]=""),"",RawWorking[[#This Row],[DeliveryDate]]-RawWorking[[#This Row],[ShipDate]])</f>
        <v>1</v>
      </c>
      <c r="M1497" s="9">
        <f>IF(COUNTIF(INDEX(RawWorking[OrderID],1):RawWorking[[#This Row],[OrderID]],RawWorking[[#This Row],[OrderID]])=1,1,0)</f>
        <v>1</v>
      </c>
      <c r="N1497" s="4">
        <f>IFERROR(RawWorking[[#This Row],[LineAmount]]/RawWorking[[#This Row],[Quantity]],"")</f>
        <v>203.04</v>
      </c>
    </row>
    <row r="1498" spans="1:14">
      <c r="A1498">
        <v>51497</v>
      </c>
      <c r="B1498">
        <v>30873</v>
      </c>
      <c r="C1498" s="2">
        <v>45955</v>
      </c>
      <c r="D1498">
        <v>2172</v>
      </c>
      <c r="E1498">
        <v>1005</v>
      </c>
      <c r="F1498">
        <v>1</v>
      </c>
      <c r="G1498">
        <v>31.73</v>
      </c>
      <c r="H1498" s="2">
        <v>45956</v>
      </c>
      <c r="I1498" s="2">
        <v>45958</v>
      </c>
      <c r="J1498" t="s">
        <v>9</v>
      </c>
      <c r="K1498" s="2" t="str">
        <f>IFERROR(INDEX(Product_lookup[Category],MATCH(RawWorking[[#This Row],[ProductID]],Product_lookup[ProductID],0)),"")</f>
        <v>Electronics</v>
      </c>
      <c r="L1498" s="9">
        <f>IF(OR(RawWorking[[#This Row],[ShipDate]]="",RawWorking[[#This Row],[DeliveryDate]]=""),"",RawWorking[[#This Row],[DeliveryDate]]-RawWorking[[#This Row],[ShipDate]])</f>
        <v>2</v>
      </c>
      <c r="M1498" s="9">
        <f>IF(COUNTIF(INDEX(RawWorking[OrderID],1):RawWorking[[#This Row],[OrderID]],RawWorking[[#This Row],[OrderID]])=1,1,0)</f>
        <v>0</v>
      </c>
      <c r="N1498" s="4">
        <f>IFERROR(RawWorking[[#This Row],[LineAmount]]/RawWorking[[#This Row],[Quantity]],"")</f>
        <v>31.73</v>
      </c>
    </row>
    <row r="1499" spans="1:14">
      <c r="A1499">
        <v>51498</v>
      </c>
      <c r="B1499">
        <v>30874</v>
      </c>
      <c r="C1499" s="2">
        <v>45792</v>
      </c>
      <c r="D1499">
        <v>2241</v>
      </c>
      <c r="E1499">
        <v>1003</v>
      </c>
      <c r="F1499">
        <v>2</v>
      </c>
      <c r="G1499">
        <v>448.74</v>
      </c>
      <c r="H1499" s="2">
        <v>45793</v>
      </c>
      <c r="I1499" s="2">
        <v>45797</v>
      </c>
      <c r="J1499" t="s">
        <v>9</v>
      </c>
      <c r="K1499" s="2" t="str">
        <f>IFERROR(INDEX(Product_lookup[Category],MATCH(RawWorking[[#This Row],[ProductID]],Product_lookup[ProductID],0)),"")</f>
        <v>Electronics</v>
      </c>
      <c r="L1499" s="9">
        <f>IF(OR(RawWorking[[#This Row],[ShipDate]]="",RawWorking[[#This Row],[DeliveryDate]]=""),"",RawWorking[[#This Row],[DeliveryDate]]-RawWorking[[#This Row],[ShipDate]])</f>
        <v>4</v>
      </c>
      <c r="M1499" s="9">
        <f>IF(COUNTIF(INDEX(RawWorking[OrderID],1):RawWorking[[#This Row],[OrderID]],RawWorking[[#This Row],[OrderID]])=1,1,0)</f>
        <v>1</v>
      </c>
      <c r="N1499" s="4">
        <f>IFERROR(RawWorking[[#This Row],[LineAmount]]/RawWorking[[#This Row],[Quantity]],"")</f>
        <v>224.37</v>
      </c>
    </row>
    <row r="1500" spans="1:14">
      <c r="A1500">
        <v>51499</v>
      </c>
      <c r="B1500">
        <v>30875</v>
      </c>
      <c r="C1500" s="2">
        <v>45828</v>
      </c>
      <c r="D1500">
        <v>2216</v>
      </c>
      <c r="E1500">
        <v>1004</v>
      </c>
      <c r="F1500">
        <v>1</v>
      </c>
      <c r="G1500">
        <v>183.74</v>
      </c>
      <c r="H1500" s="2">
        <v>45830</v>
      </c>
      <c r="I1500" s="2">
        <v>45831</v>
      </c>
      <c r="J1500" t="s">
        <v>9</v>
      </c>
      <c r="K1500" s="2" t="str">
        <f>IFERROR(INDEX(Product_lookup[Category],MATCH(RawWorking[[#This Row],[ProductID]],Product_lookup[ProductID],0)),"")</f>
        <v>Electronics</v>
      </c>
      <c r="L1500" s="9">
        <f>IF(OR(RawWorking[[#This Row],[ShipDate]]="",RawWorking[[#This Row],[DeliveryDate]]=""),"",RawWorking[[#This Row],[DeliveryDate]]-RawWorking[[#This Row],[ShipDate]])</f>
        <v>1</v>
      </c>
      <c r="M1500" s="9">
        <f>IF(COUNTIF(INDEX(RawWorking[OrderID],1):RawWorking[[#This Row],[OrderID]],RawWorking[[#This Row],[OrderID]])=1,1,0)</f>
        <v>1</v>
      </c>
      <c r="N1500" s="4">
        <f>IFERROR(RawWorking[[#This Row],[LineAmount]]/RawWorking[[#This Row],[Quantity]],"")</f>
        <v>183.74</v>
      </c>
    </row>
    <row r="1501" spans="1:14">
      <c r="A1501">
        <v>51500</v>
      </c>
      <c r="B1501">
        <v>30875</v>
      </c>
      <c r="C1501" s="2">
        <v>45828</v>
      </c>
      <c r="D1501">
        <v>2216</v>
      </c>
      <c r="E1501">
        <v>1004</v>
      </c>
      <c r="F1501">
        <v>1</v>
      </c>
      <c r="G1501">
        <v>183.74</v>
      </c>
      <c r="H1501" s="2">
        <v>45830</v>
      </c>
      <c r="I1501" s="2">
        <v>45837</v>
      </c>
      <c r="J1501" t="s">
        <v>9</v>
      </c>
      <c r="K1501" s="2" t="str">
        <f>IFERROR(INDEX(Product_lookup[Category],MATCH(RawWorking[[#This Row],[ProductID]],Product_lookup[ProductID],0)),"")</f>
        <v>Electronics</v>
      </c>
      <c r="L1501" s="9">
        <f>IF(OR(RawWorking[[#This Row],[ShipDate]]="",RawWorking[[#This Row],[DeliveryDate]]=""),"",RawWorking[[#This Row],[DeliveryDate]]-RawWorking[[#This Row],[ShipDate]])</f>
        <v>7</v>
      </c>
      <c r="M1501" s="9">
        <f>IF(COUNTIF(INDEX(RawWorking[OrderID],1):RawWorking[[#This Row],[OrderID]],RawWorking[[#This Row],[OrderID]])=1,1,0)</f>
        <v>0</v>
      </c>
      <c r="N1501" s="4">
        <f>IFERROR(RawWorking[[#This Row],[LineAmount]]/RawWorking[[#This Row],[Quantity]],"")</f>
        <v>183.74</v>
      </c>
    </row>
    <row r="1502" spans="1:14">
      <c r="A1502">
        <v>51501</v>
      </c>
      <c r="B1502">
        <v>30875</v>
      </c>
      <c r="C1502" s="2">
        <v>45828</v>
      </c>
      <c r="D1502">
        <v>2216</v>
      </c>
      <c r="E1502">
        <v>1003</v>
      </c>
      <c r="F1502">
        <v>1</v>
      </c>
      <c r="G1502">
        <v>224.37</v>
      </c>
      <c r="H1502" s="2">
        <v>45829</v>
      </c>
      <c r="I1502" s="2">
        <v>45837</v>
      </c>
      <c r="J1502" t="s">
        <v>9</v>
      </c>
      <c r="K1502" s="2" t="str">
        <f>IFERROR(INDEX(Product_lookup[Category],MATCH(RawWorking[[#This Row],[ProductID]],Product_lookup[ProductID],0)),"")</f>
        <v>Electronics</v>
      </c>
      <c r="L1502" s="9">
        <f>IF(OR(RawWorking[[#This Row],[ShipDate]]="",RawWorking[[#This Row],[DeliveryDate]]=""),"",RawWorking[[#This Row],[DeliveryDate]]-RawWorking[[#This Row],[ShipDate]])</f>
        <v>8</v>
      </c>
      <c r="M1502" s="9">
        <f>IF(COUNTIF(INDEX(RawWorking[OrderID],1):RawWorking[[#This Row],[OrderID]],RawWorking[[#This Row],[OrderID]])=1,1,0)</f>
        <v>0</v>
      </c>
      <c r="N1502" s="4">
        <f>IFERROR(RawWorking[[#This Row],[LineAmount]]/RawWorking[[#This Row],[Quantity]],"")</f>
        <v>224.37</v>
      </c>
    </row>
    <row r="1503" spans="1:14">
      <c r="A1503">
        <v>51502</v>
      </c>
      <c r="B1503">
        <v>30876</v>
      </c>
      <c r="C1503" s="2">
        <v>45937</v>
      </c>
      <c r="D1503">
        <v>2485</v>
      </c>
      <c r="E1503">
        <v>1001</v>
      </c>
      <c r="F1503">
        <v>1</v>
      </c>
      <c r="G1503">
        <v>203.04</v>
      </c>
      <c r="H1503" s="2">
        <v>45938</v>
      </c>
      <c r="I1503" s="2">
        <v>45941</v>
      </c>
      <c r="J1503" t="s">
        <v>9</v>
      </c>
      <c r="K1503" s="2" t="str">
        <f>IFERROR(INDEX(Product_lookup[Category],MATCH(RawWorking[[#This Row],[ProductID]],Product_lookup[ProductID],0)),"")</f>
        <v>Electronics</v>
      </c>
      <c r="L1503" s="9">
        <f>IF(OR(RawWorking[[#This Row],[ShipDate]]="",RawWorking[[#This Row],[DeliveryDate]]=""),"",RawWorking[[#This Row],[DeliveryDate]]-RawWorking[[#This Row],[ShipDate]])</f>
        <v>3</v>
      </c>
      <c r="M1503" s="9">
        <f>IF(COUNTIF(INDEX(RawWorking[OrderID],1):RawWorking[[#This Row],[OrderID]],RawWorking[[#This Row],[OrderID]])=1,1,0)</f>
        <v>1</v>
      </c>
      <c r="N1503" s="4">
        <f>IFERROR(RawWorking[[#This Row],[LineAmount]]/RawWorking[[#This Row],[Quantity]],"")</f>
        <v>203.04</v>
      </c>
    </row>
    <row r="1504" spans="1:14">
      <c r="A1504">
        <v>51503</v>
      </c>
      <c r="B1504">
        <v>30876</v>
      </c>
      <c r="C1504" s="2">
        <v>45848</v>
      </c>
      <c r="D1504">
        <v>2485</v>
      </c>
      <c r="E1504">
        <v>1013</v>
      </c>
      <c r="F1504">
        <v>1</v>
      </c>
      <c r="G1504">
        <v>170.25</v>
      </c>
      <c r="H1504" s="2">
        <v>45938</v>
      </c>
      <c r="I1504" s="2">
        <v>45944</v>
      </c>
      <c r="J1504" t="s">
        <v>9</v>
      </c>
      <c r="K1504" s="2" t="str">
        <f>IFERROR(INDEX(Product_lookup[Category],MATCH(RawWorking[[#This Row],[ProductID]],Product_lookup[ProductID],0)),"")</f>
        <v>Office</v>
      </c>
      <c r="L1504" s="9">
        <f>IF(OR(RawWorking[[#This Row],[ShipDate]]="",RawWorking[[#This Row],[DeliveryDate]]=""),"",RawWorking[[#This Row],[DeliveryDate]]-RawWorking[[#This Row],[ShipDate]])</f>
        <v>6</v>
      </c>
      <c r="M1504" s="9">
        <f>IF(COUNTIF(INDEX(RawWorking[OrderID],1):RawWorking[[#This Row],[OrderID]],RawWorking[[#This Row],[OrderID]])=1,1,0)</f>
        <v>0</v>
      </c>
      <c r="N1504" s="4">
        <f>IFERROR(RawWorking[[#This Row],[LineAmount]]/RawWorking[[#This Row],[Quantity]],"")</f>
        <v>170.25</v>
      </c>
    </row>
    <row r="1505" spans="1:14">
      <c r="A1505">
        <v>51504</v>
      </c>
      <c r="B1505">
        <v>30876</v>
      </c>
      <c r="C1505" s="2">
        <v>45848</v>
      </c>
      <c r="D1505">
        <v>2485</v>
      </c>
      <c r="E1505">
        <v>1003</v>
      </c>
      <c r="F1505">
        <v>2</v>
      </c>
      <c r="G1505">
        <v>448.74</v>
      </c>
      <c r="H1505" s="2">
        <v>45939</v>
      </c>
      <c r="I1505" s="2">
        <v>45946</v>
      </c>
      <c r="J1505" t="s">
        <v>9</v>
      </c>
      <c r="K1505" s="2" t="str">
        <f>IFERROR(INDEX(Product_lookup[Category],MATCH(RawWorking[[#This Row],[ProductID]],Product_lookup[ProductID],0)),"")</f>
        <v>Electronics</v>
      </c>
      <c r="L1505" s="9">
        <f>IF(OR(RawWorking[[#This Row],[ShipDate]]="",RawWorking[[#This Row],[DeliveryDate]]=""),"",RawWorking[[#This Row],[DeliveryDate]]-RawWorking[[#This Row],[ShipDate]])</f>
        <v>7</v>
      </c>
      <c r="M1505" s="9">
        <f>IF(COUNTIF(INDEX(RawWorking[OrderID],1):RawWorking[[#This Row],[OrderID]],RawWorking[[#This Row],[OrderID]])=1,1,0)</f>
        <v>0</v>
      </c>
      <c r="N1505" s="4">
        <f>IFERROR(RawWorking[[#This Row],[LineAmount]]/RawWorking[[#This Row],[Quantity]],"")</f>
        <v>224.37</v>
      </c>
    </row>
    <row r="1506" spans="1:14">
      <c r="A1506">
        <v>51505</v>
      </c>
      <c r="B1506">
        <v>30877</v>
      </c>
      <c r="C1506" s="2">
        <v>45845</v>
      </c>
      <c r="D1506">
        <v>2107</v>
      </c>
      <c r="E1506">
        <v>1005</v>
      </c>
      <c r="F1506">
        <v>2</v>
      </c>
      <c r="G1506">
        <v>63.46</v>
      </c>
      <c r="H1506" s="2">
        <v>45848</v>
      </c>
      <c r="I1506" s="2">
        <v>45853</v>
      </c>
      <c r="J1506" t="s">
        <v>9</v>
      </c>
      <c r="K1506" s="2" t="str">
        <f>IFERROR(INDEX(Product_lookup[Category],MATCH(RawWorking[[#This Row],[ProductID]],Product_lookup[ProductID],0)),"")</f>
        <v>Electronics</v>
      </c>
      <c r="L1506" s="9">
        <f>IF(OR(RawWorking[[#This Row],[ShipDate]]="",RawWorking[[#This Row],[DeliveryDate]]=""),"",RawWorking[[#This Row],[DeliveryDate]]-RawWorking[[#This Row],[ShipDate]])</f>
        <v>5</v>
      </c>
      <c r="M1506" s="9">
        <f>IF(COUNTIF(INDEX(RawWorking[OrderID],1):RawWorking[[#This Row],[OrderID]],RawWorking[[#This Row],[OrderID]])=1,1,0)</f>
        <v>1</v>
      </c>
      <c r="N1506" s="4">
        <f>IFERROR(RawWorking[[#This Row],[LineAmount]]/RawWorking[[#This Row],[Quantity]],"")</f>
        <v>31.73</v>
      </c>
    </row>
    <row r="1507" spans="1:14">
      <c r="A1507">
        <v>51506</v>
      </c>
      <c r="B1507">
        <v>30878</v>
      </c>
      <c r="C1507" s="2">
        <v>45862</v>
      </c>
      <c r="D1507">
        <v>2087</v>
      </c>
      <c r="E1507">
        <v>1013</v>
      </c>
      <c r="F1507">
        <v>3</v>
      </c>
      <c r="G1507">
        <v>510.75</v>
      </c>
      <c r="H1507" s="2">
        <v>45865</v>
      </c>
      <c r="I1507" s="2">
        <v>45866</v>
      </c>
      <c r="J1507" t="s">
        <v>9</v>
      </c>
      <c r="K1507" s="2" t="str">
        <f>IFERROR(INDEX(Product_lookup[Category],MATCH(RawWorking[[#This Row],[ProductID]],Product_lookup[ProductID],0)),"")</f>
        <v>Office</v>
      </c>
      <c r="L1507" s="9">
        <f>IF(OR(RawWorking[[#This Row],[ShipDate]]="",RawWorking[[#This Row],[DeliveryDate]]=""),"",RawWorking[[#This Row],[DeliveryDate]]-RawWorking[[#This Row],[ShipDate]])</f>
        <v>1</v>
      </c>
      <c r="M1507" s="9">
        <f>IF(COUNTIF(INDEX(RawWorking[OrderID],1):RawWorking[[#This Row],[OrderID]],RawWorking[[#This Row],[OrderID]])=1,1,0)</f>
        <v>1</v>
      </c>
      <c r="N1507" s="4">
        <f>IFERROR(RawWorking[[#This Row],[LineAmount]]/RawWorking[[#This Row],[Quantity]],"")</f>
        <v>170.25</v>
      </c>
    </row>
    <row r="1508" spans="1:14">
      <c r="A1508">
        <v>51507</v>
      </c>
      <c r="B1508">
        <v>30879</v>
      </c>
      <c r="C1508" s="2">
        <v>46009</v>
      </c>
      <c r="D1508">
        <v>2317</v>
      </c>
      <c r="E1508">
        <v>1010</v>
      </c>
      <c r="F1508">
        <v>3</v>
      </c>
      <c r="G1508">
        <v>364.5</v>
      </c>
      <c r="H1508" s="2">
        <v>46012</v>
      </c>
      <c r="I1508" s="2">
        <v>46017</v>
      </c>
      <c r="J1508" t="s">
        <v>9</v>
      </c>
      <c r="K1508" s="2" t="str">
        <f>IFERROR(INDEX(Product_lookup[Category],MATCH(RawWorking[[#This Row],[ProductID]],Product_lookup[ProductID],0)),"")</f>
        <v>Office</v>
      </c>
      <c r="L1508" s="9">
        <f>IF(OR(RawWorking[[#This Row],[ShipDate]]="",RawWorking[[#This Row],[DeliveryDate]]=""),"",RawWorking[[#This Row],[DeliveryDate]]-RawWorking[[#This Row],[ShipDate]])</f>
        <v>5</v>
      </c>
      <c r="M1508" s="9">
        <f>IF(COUNTIF(INDEX(RawWorking[OrderID],1):RawWorking[[#This Row],[OrderID]],RawWorking[[#This Row],[OrderID]])=1,1,0)</f>
        <v>1</v>
      </c>
      <c r="N1508" s="4">
        <f>IFERROR(RawWorking[[#This Row],[LineAmount]]/RawWorking[[#This Row],[Quantity]],"")</f>
        <v>121.5</v>
      </c>
    </row>
    <row r="1509" spans="1:14">
      <c r="A1509">
        <v>51508</v>
      </c>
      <c r="B1509">
        <v>30879</v>
      </c>
      <c r="C1509" s="2">
        <v>46009</v>
      </c>
      <c r="D1509">
        <v>2317</v>
      </c>
      <c r="E1509">
        <v>1015</v>
      </c>
      <c r="F1509">
        <v>1</v>
      </c>
      <c r="G1509">
        <v>119.74</v>
      </c>
      <c r="H1509" s="2">
        <v>46011</v>
      </c>
      <c r="I1509" s="2">
        <v>46018</v>
      </c>
      <c r="J1509" t="s">
        <v>9</v>
      </c>
      <c r="K1509" s="2" t="str">
        <f>IFERROR(INDEX(Product_lookup[Category],MATCH(RawWorking[[#This Row],[ProductID]],Product_lookup[ProductID],0)),"")</f>
        <v>Sports</v>
      </c>
      <c r="L1509" s="9">
        <f>IF(OR(RawWorking[[#This Row],[ShipDate]]="",RawWorking[[#This Row],[DeliveryDate]]=""),"",RawWorking[[#This Row],[DeliveryDate]]-RawWorking[[#This Row],[ShipDate]])</f>
        <v>7</v>
      </c>
      <c r="M1509" s="9">
        <f>IF(COUNTIF(INDEX(RawWorking[OrderID],1):RawWorking[[#This Row],[OrderID]],RawWorking[[#This Row],[OrderID]])=1,1,0)</f>
        <v>0</v>
      </c>
      <c r="N1509" s="4">
        <f>IFERROR(RawWorking[[#This Row],[LineAmount]]/RawWorking[[#This Row],[Quantity]],"")</f>
        <v>119.74</v>
      </c>
    </row>
    <row r="1510" spans="1:14">
      <c r="A1510">
        <v>51509</v>
      </c>
      <c r="B1510">
        <v>30880</v>
      </c>
      <c r="C1510" s="2">
        <v>45960</v>
      </c>
      <c r="D1510">
        <v>2130</v>
      </c>
      <c r="E1510">
        <v>1006</v>
      </c>
      <c r="F1510">
        <v>1</v>
      </c>
      <c r="G1510">
        <v>253.86</v>
      </c>
      <c r="H1510" s="2">
        <v>45962</v>
      </c>
      <c r="I1510" s="2">
        <v>45970</v>
      </c>
      <c r="J1510" t="s">
        <v>9</v>
      </c>
      <c r="K1510" s="2" t="str">
        <f>IFERROR(INDEX(Product_lookup[Category],MATCH(RawWorking[[#This Row],[ProductID]],Product_lookup[ProductID],0)),"")</f>
        <v>Home</v>
      </c>
      <c r="L1510" s="9">
        <f>IF(OR(RawWorking[[#This Row],[ShipDate]]="",RawWorking[[#This Row],[DeliveryDate]]=""),"",RawWorking[[#This Row],[DeliveryDate]]-RawWorking[[#This Row],[ShipDate]])</f>
        <v>8</v>
      </c>
      <c r="M1510" s="9">
        <f>IF(COUNTIF(INDEX(RawWorking[OrderID],1):RawWorking[[#This Row],[OrderID]],RawWorking[[#This Row],[OrderID]])=1,1,0)</f>
        <v>1</v>
      </c>
      <c r="N1510" s="4">
        <f>IFERROR(RawWorking[[#This Row],[LineAmount]]/RawWorking[[#This Row],[Quantity]],"")</f>
        <v>253.86</v>
      </c>
    </row>
    <row r="1511" spans="1:14">
      <c r="A1511">
        <v>51510</v>
      </c>
      <c r="B1511">
        <v>30880</v>
      </c>
      <c r="C1511" s="2">
        <v>45960</v>
      </c>
      <c r="D1511">
        <v>2130</v>
      </c>
      <c r="E1511">
        <v>1001</v>
      </c>
      <c r="F1511">
        <v>1</v>
      </c>
      <c r="G1511">
        <v>203.04</v>
      </c>
      <c r="H1511" s="2">
        <v>45963</v>
      </c>
      <c r="I1511" s="2">
        <v>45969</v>
      </c>
      <c r="J1511" t="s">
        <v>9</v>
      </c>
      <c r="K1511" s="2" t="str">
        <f>IFERROR(INDEX(Product_lookup[Category],MATCH(RawWorking[[#This Row],[ProductID]],Product_lookup[ProductID],0)),"")</f>
        <v>Electronics</v>
      </c>
      <c r="L1511" s="9">
        <f>IF(OR(RawWorking[[#This Row],[ShipDate]]="",RawWorking[[#This Row],[DeliveryDate]]=""),"",RawWorking[[#This Row],[DeliveryDate]]-RawWorking[[#This Row],[ShipDate]])</f>
        <v>6</v>
      </c>
      <c r="M1511" s="9">
        <f>IF(COUNTIF(INDEX(RawWorking[OrderID],1):RawWorking[[#This Row],[OrderID]],RawWorking[[#This Row],[OrderID]])=1,1,0)</f>
        <v>0</v>
      </c>
      <c r="N1511" s="4">
        <f>IFERROR(RawWorking[[#This Row],[LineAmount]]/RawWorking[[#This Row],[Quantity]],"")</f>
        <v>203.04</v>
      </c>
    </row>
    <row r="1512" spans="1:14">
      <c r="A1512">
        <v>51511</v>
      </c>
      <c r="B1512">
        <v>30881</v>
      </c>
      <c r="C1512" s="2">
        <v>45787</v>
      </c>
      <c r="D1512">
        <v>2036</v>
      </c>
      <c r="E1512">
        <v>1011</v>
      </c>
      <c r="F1512">
        <v>1</v>
      </c>
      <c r="G1512">
        <v>101.44</v>
      </c>
      <c r="H1512" s="2">
        <v>45790</v>
      </c>
      <c r="I1512" s="2">
        <v>45798</v>
      </c>
      <c r="J1512" t="s">
        <v>9</v>
      </c>
      <c r="K1512" s="2" t="str">
        <f>IFERROR(INDEX(Product_lookup[Category],MATCH(RawWorking[[#This Row],[ProductID]],Product_lookup[ProductID],0)),"")</f>
        <v>Office</v>
      </c>
      <c r="L1512" s="9">
        <f>IF(OR(RawWorking[[#This Row],[ShipDate]]="",RawWorking[[#This Row],[DeliveryDate]]=""),"",RawWorking[[#This Row],[DeliveryDate]]-RawWorking[[#This Row],[ShipDate]])</f>
        <v>8</v>
      </c>
      <c r="M1512" s="9">
        <f>IF(COUNTIF(INDEX(RawWorking[OrderID],1):RawWorking[[#This Row],[OrderID]],RawWorking[[#This Row],[OrderID]])=1,1,0)</f>
        <v>1</v>
      </c>
      <c r="N1512" s="4">
        <f>IFERROR(RawWorking[[#This Row],[LineAmount]]/RawWorking[[#This Row],[Quantity]],"")</f>
        <v>101.44</v>
      </c>
    </row>
    <row r="1513" spans="1:14">
      <c r="A1513">
        <v>51512</v>
      </c>
      <c r="B1513">
        <v>30882</v>
      </c>
      <c r="C1513" s="2">
        <v>46005</v>
      </c>
      <c r="D1513">
        <v>2488</v>
      </c>
      <c r="E1513">
        <v>1009</v>
      </c>
      <c r="F1513">
        <v>3</v>
      </c>
      <c r="G1513">
        <v>120.84</v>
      </c>
      <c r="H1513" s="2">
        <v>46007</v>
      </c>
      <c r="I1513" s="2">
        <v>46011</v>
      </c>
      <c r="J1513" t="s">
        <v>9</v>
      </c>
      <c r="K1513" s="2" t="str">
        <f>IFERROR(INDEX(Product_lookup[Category],MATCH(RawWorking[[#This Row],[ProductID]],Product_lookup[ProductID],0)),"")</f>
        <v>Home</v>
      </c>
      <c r="L1513" s="9">
        <f>IF(OR(RawWorking[[#This Row],[ShipDate]]="",RawWorking[[#This Row],[DeliveryDate]]=""),"",RawWorking[[#This Row],[DeliveryDate]]-RawWorking[[#This Row],[ShipDate]])</f>
        <v>4</v>
      </c>
      <c r="M1513" s="9">
        <f>IF(COUNTIF(INDEX(RawWorking[OrderID],1):RawWorking[[#This Row],[OrderID]],RawWorking[[#This Row],[OrderID]])=1,1,0)</f>
        <v>1</v>
      </c>
      <c r="N1513" s="4">
        <f>IFERROR(RawWorking[[#This Row],[LineAmount]]/RawWorking[[#This Row],[Quantity]],"")</f>
        <v>40.28</v>
      </c>
    </row>
    <row r="1514" spans="1:14">
      <c r="A1514">
        <v>51513</v>
      </c>
      <c r="B1514">
        <v>30882</v>
      </c>
      <c r="C1514" s="2">
        <v>46005</v>
      </c>
      <c r="D1514">
        <v>2488</v>
      </c>
      <c r="E1514">
        <v>1015</v>
      </c>
      <c r="F1514">
        <v>5</v>
      </c>
      <c r="G1514">
        <v>598.70000000000005</v>
      </c>
      <c r="H1514" s="2">
        <v>46007</v>
      </c>
      <c r="I1514" s="2">
        <v>46009</v>
      </c>
      <c r="J1514" t="s">
        <v>9</v>
      </c>
      <c r="K1514" s="2" t="str">
        <f>IFERROR(INDEX(Product_lookup[Category],MATCH(RawWorking[[#This Row],[ProductID]],Product_lookup[ProductID],0)),"")</f>
        <v>Sports</v>
      </c>
      <c r="L1514" s="9">
        <f>IF(OR(RawWorking[[#This Row],[ShipDate]]="",RawWorking[[#This Row],[DeliveryDate]]=""),"",RawWorking[[#This Row],[DeliveryDate]]-RawWorking[[#This Row],[ShipDate]])</f>
        <v>2</v>
      </c>
      <c r="M1514" s="9">
        <f>IF(COUNTIF(INDEX(RawWorking[OrderID],1):RawWorking[[#This Row],[OrderID]],RawWorking[[#This Row],[OrderID]])=1,1,0)</f>
        <v>0</v>
      </c>
      <c r="N1514" s="4">
        <f>IFERROR(RawWorking[[#This Row],[LineAmount]]/RawWorking[[#This Row],[Quantity]],"")</f>
        <v>119.74000000000001</v>
      </c>
    </row>
    <row r="1515" spans="1:14">
      <c r="A1515">
        <v>51514</v>
      </c>
      <c r="B1515">
        <v>30883</v>
      </c>
      <c r="C1515" s="2">
        <v>45672</v>
      </c>
      <c r="D1515">
        <v>2139</v>
      </c>
      <c r="E1515">
        <v>1006</v>
      </c>
      <c r="F1515">
        <v>2</v>
      </c>
      <c r="G1515">
        <v>507.72</v>
      </c>
      <c r="H1515" s="2">
        <v>45674</v>
      </c>
      <c r="I1515" s="2">
        <v>45680</v>
      </c>
      <c r="J1515" t="s">
        <v>11</v>
      </c>
      <c r="K1515" s="2" t="str">
        <f>IFERROR(INDEX(Product_lookup[Category],MATCH(RawWorking[[#This Row],[ProductID]],Product_lookup[ProductID],0)),"")</f>
        <v>Home</v>
      </c>
      <c r="L1515" s="9">
        <f>IF(OR(RawWorking[[#This Row],[ShipDate]]="",RawWorking[[#This Row],[DeliveryDate]]=""),"",RawWorking[[#This Row],[DeliveryDate]]-RawWorking[[#This Row],[ShipDate]])</f>
        <v>6</v>
      </c>
      <c r="M1515" s="9">
        <f>IF(COUNTIF(INDEX(RawWorking[OrderID],1):RawWorking[[#This Row],[OrderID]],RawWorking[[#This Row],[OrderID]])=1,1,0)</f>
        <v>1</v>
      </c>
      <c r="N1515" s="4">
        <f>IFERROR(RawWorking[[#This Row],[LineAmount]]/RawWorking[[#This Row],[Quantity]],"")</f>
        <v>253.86</v>
      </c>
    </row>
    <row r="1516" spans="1:14">
      <c r="A1516">
        <v>51515</v>
      </c>
      <c r="B1516">
        <v>30884</v>
      </c>
      <c r="C1516" s="2">
        <v>45989</v>
      </c>
      <c r="D1516">
        <v>2468</v>
      </c>
      <c r="E1516">
        <v>1014</v>
      </c>
      <c r="F1516">
        <v>2</v>
      </c>
      <c r="G1516">
        <v>430.68</v>
      </c>
      <c r="H1516" s="2">
        <v>45990</v>
      </c>
      <c r="I1516" s="2">
        <v>45995</v>
      </c>
      <c r="J1516" t="s">
        <v>9</v>
      </c>
      <c r="K1516" s="2" t="str">
        <f>IFERROR(INDEX(Product_lookup[Category],MATCH(RawWorking[[#This Row],[ProductID]],Product_lookup[ProductID],0)),"")</f>
        <v>Sports</v>
      </c>
      <c r="L1516" s="9">
        <f>IF(OR(RawWorking[[#This Row],[ShipDate]]="",RawWorking[[#This Row],[DeliveryDate]]=""),"",RawWorking[[#This Row],[DeliveryDate]]-RawWorking[[#This Row],[ShipDate]])</f>
        <v>5</v>
      </c>
      <c r="M1516" s="9">
        <f>IF(COUNTIF(INDEX(RawWorking[OrderID],1):RawWorking[[#This Row],[OrderID]],RawWorking[[#This Row],[OrderID]])=1,1,0)</f>
        <v>1</v>
      </c>
      <c r="N1516" s="4">
        <f>IFERROR(RawWorking[[#This Row],[LineAmount]]/RawWorking[[#This Row],[Quantity]],"")</f>
        <v>215.34</v>
      </c>
    </row>
    <row r="1517" spans="1:14">
      <c r="A1517">
        <v>51516</v>
      </c>
      <c r="B1517">
        <v>30884</v>
      </c>
      <c r="C1517" s="2">
        <v>45989</v>
      </c>
      <c r="D1517">
        <v>2468</v>
      </c>
      <c r="E1517">
        <v>1010</v>
      </c>
      <c r="F1517">
        <v>1</v>
      </c>
      <c r="G1517">
        <v>121.5</v>
      </c>
      <c r="H1517" s="2">
        <v>45990</v>
      </c>
      <c r="I1517" s="2">
        <v>45996</v>
      </c>
      <c r="J1517" t="s">
        <v>9</v>
      </c>
      <c r="K1517" s="2" t="str">
        <f>IFERROR(INDEX(Product_lookup[Category],MATCH(RawWorking[[#This Row],[ProductID]],Product_lookup[ProductID],0)),"")</f>
        <v>Office</v>
      </c>
      <c r="L1517" s="9">
        <f>IF(OR(RawWorking[[#This Row],[ShipDate]]="",RawWorking[[#This Row],[DeliveryDate]]=""),"",RawWorking[[#This Row],[DeliveryDate]]-RawWorking[[#This Row],[ShipDate]])</f>
        <v>6</v>
      </c>
      <c r="M1517" s="9">
        <f>IF(COUNTIF(INDEX(RawWorking[OrderID],1):RawWorking[[#This Row],[OrderID]],RawWorking[[#This Row],[OrderID]])=1,1,0)</f>
        <v>0</v>
      </c>
      <c r="N1517" s="4">
        <f>IFERROR(RawWorking[[#This Row],[LineAmount]]/RawWorking[[#This Row],[Quantity]],"")</f>
        <v>121.5</v>
      </c>
    </row>
    <row r="1518" spans="1:14">
      <c r="A1518">
        <v>51517</v>
      </c>
      <c r="B1518">
        <v>30885</v>
      </c>
      <c r="C1518" s="2">
        <v>45783</v>
      </c>
      <c r="D1518">
        <v>2356</v>
      </c>
      <c r="E1518">
        <v>1008</v>
      </c>
      <c r="F1518">
        <v>3</v>
      </c>
      <c r="G1518">
        <v>618.27</v>
      </c>
      <c r="H1518" s="2">
        <v>45784</v>
      </c>
      <c r="I1518" s="2">
        <v>45792</v>
      </c>
      <c r="J1518" t="s">
        <v>9</v>
      </c>
      <c r="K1518" s="2" t="str">
        <f>IFERROR(INDEX(Product_lookup[Category],MATCH(RawWorking[[#This Row],[ProductID]],Product_lookup[ProductID],0)),"")</f>
        <v>Home</v>
      </c>
      <c r="L1518" s="9">
        <f>IF(OR(RawWorking[[#This Row],[ShipDate]]="",RawWorking[[#This Row],[DeliveryDate]]=""),"",RawWorking[[#This Row],[DeliveryDate]]-RawWorking[[#This Row],[ShipDate]])</f>
        <v>8</v>
      </c>
      <c r="M1518" s="9">
        <f>IF(COUNTIF(INDEX(RawWorking[OrderID],1):RawWorking[[#This Row],[OrderID]],RawWorking[[#This Row],[OrderID]])=1,1,0)</f>
        <v>1</v>
      </c>
      <c r="N1518" s="4">
        <f>IFERROR(RawWorking[[#This Row],[LineAmount]]/RawWorking[[#This Row],[Quantity]],"")</f>
        <v>206.09</v>
      </c>
    </row>
    <row r="1519" spans="1:14">
      <c r="A1519">
        <v>51518</v>
      </c>
      <c r="B1519">
        <v>30886</v>
      </c>
      <c r="C1519" s="2">
        <v>45916</v>
      </c>
      <c r="D1519">
        <v>2092</v>
      </c>
      <c r="E1519">
        <v>1012</v>
      </c>
      <c r="F1519">
        <v>1</v>
      </c>
      <c r="G1519">
        <v>241.54</v>
      </c>
      <c r="H1519" s="2">
        <v>45917</v>
      </c>
      <c r="I1519" s="2">
        <v>45923</v>
      </c>
      <c r="J1519" t="s">
        <v>9</v>
      </c>
      <c r="K1519" s="2" t="str">
        <f>IFERROR(INDEX(Product_lookup[Category],MATCH(RawWorking[[#This Row],[ProductID]],Product_lookup[ProductID],0)),"")</f>
        <v>Office</v>
      </c>
      <c r="L1519" s="9">
        <f>IF(OR(RawWorking[[#This Row],[ShipDate]]="",RawWorking[[#This Row],[DeliveryDate]]=""),"",RawWorking[[#This Row],[DeliveryDate]]-RawWorking[[#This Row],[ShipDate]])</f>
        <v>6</v>
      </c>
      <c r="M1519" s="9">
        <f>IF(COUNTIF(INDEX(RawWorking[OrderID],1):RawWorking[[#This Row],[OrderID]],RawWorking[[#This Row],[OrderID]])=1,1,0)</f>
        <v>1</v>
      </c>
      <c r="N1519" s="4">
        <f>IFERROR(RawWorking[[#This Row],[LineAmount]]/RawWorking[[#This Row],[Quantity]],"")</f>
        <v>241.54</v>
      </c>
    </row>
    <row r="1520" spans="1:14">
      <c r="A1520">
        <v>51519</v>
      </c>
      <c r="B1520">
        <v>30886</v>
      </c>
      <c r="C1520" s="2">
        <v>45916</v>
      </c>
      <c r="D1520">
        <v>2092</v>
      </c>
      <c r="E1520">
        <v>1014</v>
      </c>
      <c r="F1520">
        <v>1</v>
      </c>
      <c r="G1520">
        <v>215.34</v>
      </c>
      <c r="H1520" s="2">
        <v>45917</v>
      </c>
      <c r="I1520" s="2">
        <v>45921</v>
      </c>
      <c r="J1520" t="s">
        <v>9</v>
      </c>
      <c r="K1520" s="2" t="str">
        <f>IFERROR(INDEX(Product_lookup[Category],MATCH(RawWorking[[#This Row],[ProductID]],Product_lookup[ProductID],0)),"")</f>
        <v>Sports</v>
      </c>
      <c r="L1520" s="9">
        <f>IF(OR(RawWorking[[#This Row],[ShipDate]]="",RawWorking[[#This Row],[DeliveryDate]]=""),"",RawWorking[[#This Row],[DeliveryDate]]-RawWorking[[#This Row],[ShipDate]])</f>
        <v>4</v>
      </c>
      <c r="M1520" s="9">
        <f>IF(COUNTIF(INDEX(RawWorking[OrderID],1):RawWorking[[#This Row],[OrderID]],RawWorking[[#This Row],[OrderID]])=1,1,0)</f>
        <v>0</v>
      </c>
      <c r="N1520" s="4">
        <f>IFERROR(RawWorking[[#This Row],[LineAmount]]/RawWorking[[#This Row],[Quantity]],"")</f>
        <v>215.34</v>
      </c>
    </row>
    <row r="1521" spans="1:14">
      <c r="A1521">
        <v>51520</v>
      </c>
      <c r="B1521">
        <v>30887</v>
      </c>
      <c r="C1521" s="2">
        <v>45815</v>
      </c>
      <c r="D1521">
        <v>2267</v>
      </c>
      <c r="E1521">
        <v>1001</v>
      </c>
      <c r="F1521">
        <v>1</v>
      </c>
      <c r="G1521">
        <v>203.04</v>
      </c>
      <c r="H1521" s="2">
        <v>45846</v>
      </c>
      <c r="I1521" s="2">
        <v>45907</v>
      </c>
      <c r="J1521" t="s">
        <v>9</v>
      </c>
      <c r="K1521" s="2" t="str">
        <f>IFERROR(INDEX(Product_lookup[Category],MATCH(RawWorking[[#This Row],[ProductID]],Product_lookup[ProductID],0)),"")</f>
        <v>Electronics</v>
      </c>
      <c r="L1521" s="9">
        <f>IF(OR(RawWorking[[#This Row],[ShipDate]]="",RawWorking[[#This Row],[DeliveryDate]]=""),"",RawWorking[[#This Row],[DeliveryDate]]-RawWorking[[#This Row],[ShipDate]])</f>
        <v>61</v>
      </c>
      <c r="M1521" s="9">
        <f>IF(COUNTIF(INDEX(RawWorking[OrderID],1):RawWorking[[#This Row],[OrderID]],RawWorking[[#This Row],[OrderID]])=1,1,0)</f>
        <v>1</v>
      </c>
      <c r="N1521" s="4">
        <f>IFERROR(RawWorking[[#This Row],[LineAmount]]/RawWorking[[#This Row],[Quantity]],"")</f>
        <v>203.04</v>
      </c>
    </row>
    <row r="1522" spans="1:14">
      <c r="A1522">
        <v>51521</v>
      </c>
      <c r="B1522">
        <v>30888</v>
      </c>
      <c r="C1522" s="2">
        <v>45909</v>
      </c>
      <c r="D1522">
        <v>2001</v>
      </c>
      <c r="E1522">
        <v>1005</v>
      </c>
      <c r="F1522">
        <v>1</v>
      </c>
      <c r="G1522">
        <v>31.73</v>
      </c>
      <c r="H1522" s="2">
        <v>45912</v>
      </c>
      <c r="I1522" s="2">
        <v>45915</v>
      </c>
      <c r="J1522" t="s">
        <v>9</v>
      </c>
      <c r="K1522" s="2" t="str">
        <f>IFERROR(INDEX(Product_lookup[Category],MATCH(RawWorking[[#This Row],[ProductID]],Product_lookup[ProductID],0)),"")</f>
        <v>Electronics</v>
      </c>
      <c r="L1522" s="9">
        <f>IF(OR(RawWorking[[#This Row],[ShipDate]]="",RawWorking[[#This Row],[DeliveryDate]]=""),"",RawWorking[[#This Row],[DeliveryDate]]-RawWorking[[#This Row],[ShipDate]])</f>
        <v>3</v>
      </c>
      <c r="M1522" s="9">
        <f>IF(COUNTIF(INDEX(RawWorking[OrderID],1):RawWorking[[#This Row],[OrderID]],RawWorking[[#This Row],[OrderID]])=1,1,0)</f>
        <v>1</v>
      </c>
      <c r="N1522" s="4">
        <f>IFERROR(RawWorking[[#This Row],[LineAmount]]/RawWorking[[#This Row],[Quantity]],"")</f>
        <v>31.73</v>
      </c>
    </row>
    <row r="1523" spans="1:14">
      <c r="A1523">
        <v>51522</v>
      </c>
      <c r="B1523">
        <v>30889</v>
      </c>
      <c r="C1523" s="2">
        <v>45837</v>
      </c>
      <c r="D1523">
        <v>2353</v>
      </c>
      <c r="E1523">
        <v>1001</v>
      </c>
      <c r="F1523">
        <v>1</v>
      </c>
      <c r="G1523">
        <v>203.04</v>
      </c>
      <c r="H1523" s="2">
        <v>45839</v>
      </c>
      <c r="I1523" s="2">
        <v>45907</v>
      </c>
      <c r="J1523" t="s">
        <v>9</v>
      </c>
      <c r="K1523" s="2" t="str">
        <f>IFERROR(INDEX(Product_lookup[Category],MATCH(RawWorking[[#This Row],[ProductID]],Product_lookup[ProductID],0)),"")</f>
        <v>Electronics</v>
      </c>
      <c r="L1523" s="9">
        <f>IF(OR(RawWorking[[#This Row],[ShipDate]]="",RawWorking[[#This Row],[DeliveryDate]]=""),"",RawWorking[[#This Row],[DeliveryDate]]-RawWorking[[#This Row],[ShipDate]])</f>
        <v>68</v>
      </c>
      <c r="M1523" s="9">
        <f>IF(COUNTIF(INDEX(RawWorking[OrderID],1):RawWorking[[#This Row],[OrderID]],RawWorking[[#This Row],[OrderID]])=1,1,0)</f>
        <v>1</v>
      </c>
      <c r="N1523" s="4">
        <f>IFERROR(RawWorking[[#This Row],[LineAmount]]/RawWorking[[#This Row],[Quantity]],"")</f>
        <v>203.04</v>
      </c>
    </row>
    <row r="1524" spans="1:14">
      <c r="A1524">
        <v>51523</v>
      </c>
      <c r="B1524">
        <v>30890</v>
      </c>
      <c r="C1524" s="2">
        <v>45870</v>
      </c>
      <c r="D1524">
        <v>2504</v>
      </c>
      <c r="E1524">
        <v>1016</v>
      </c>
      <c r="F1524">
        <v>3</v>
      </c>
      <c r="G1524">
        <v>195.78</v>
      </c>
      <c r="H1524" s="2">
        <v>45871</v>
      </c>
      <c r="I1524" s="2">
        <v>45872</v>
      </c>
      <c r="J1524" t="s">
        <v>11</v>
      </c>
      <c r="K1524" s="2" t="str">
        <f>IFERROR(INDEX(Product_lookup[Category],MATCH(RawWorking[[#This Row],[ProductID]],Product_lookup[ProductID],0)),"")</f>
        <v>Sports</v>
      </c>
      <c r="L1524" s="9">
        <f>IF(OR(RawWorking[[#This Row],[ShipDate]]="",RawWorking[[#This Row],[DeliveryDate]]=""),"",RawWorking[[#This Row],[DeliveryDate]]-RawWorking[[#This Row],[ShipDate]])</f>
        <v>1</v>
      </c>
      <c r="M1524" s="9">
        <f>IF(COUNTIF(INDEX(RawWorking[OrderID],1):RawWorking[[#This Row],[OrderID]],RawWorking[[#This Row],[OrderID]])=1,1,0)</f>
        <v>1</v>
      </c>
      <c r="N1524" s="4">
        <f>IFERROR(RawWorking[[#This Row],[LineAmount]]/RawWorking[[#This Row],[Quantity]],"")</f>
        <v>65.260000000000005</v>
      </c>
    </row>
    <row r="1525" spans="1:14">
      <c r="A1525">
        <v>51524</v>
      </c>
      <c r="B1525">
        <v>30891</v>
      </c>
      <c r="C1525" s="2">
        <v>45786</v>
      </c>
      <c r="D1525">
        <v>2307</v>
      </c>
      <c r="E1525">
        <v>1014</v>
      </c>
      <c r="F1525">
        <v>1</v>
      </c>
      <c r="G1525">
        <v>215.34</v>
      </c>
      <c r="H1525" s="2">
        <v>45847</v>
      </c>
      <c r="I1525" s="2">
        <v>45914</v>
      </c>
      <c r="J1525" t="s">
        <v>9</v>
      </c>
      <c r="K1525" s="2" t="str">
        <f>IFERROR(INDEX(Product_lookup[Category],MATCH(RawWorking[[#This Row],[ProductID]],Product_lookup[ProductID],0)),"")</f>
        <v>Sports</v>
      </c>
      <c r="L1525" s="9">
        <f>IF(OR(RawWorking[[#This Row],[ShipDate]]="",RawWorking[[#This Row],[DeliveryDate]]=""),"",RawWorking[[#This Row],[DeliveryDate]]-RawWorking[[#This Row],[ShipDate]])</f>
        <v>67</v>
      </c>
      <c r="M1525" s="9">
        <f>IF(COUNTIF(INDEX(RawWorking[OrderID],1):RawWorking[[#This Row],[OrderID]],RawWorking[[#This Row],[OrderID]])=1,1,0)</f>
        <v>1</v>
      </c>
      <c r="N1525" s="4">
        <f>IFERROR(RawWorking[[#This Row],[LineAmount]]/RawWorking[[#This Row],[Quantity]],"")</f>
        <v>215.34</v>
      </c>
    </row>
    <row r="1526" spans="1:14">
      <c r="A1526">
        <v>51525</v>
      </c>
      <c r="B1526">
        <v>30892</v>
      </c>
      <c r="C1526" s="2">
        <v>45760</v>
      </c>
      <c r="D1526">
        <v>2300</v>
      </c>
      <c r="E1526">
        <v>1001</v>
      </c>
      <c r="F1526">
        <v>1</v>
      </c>
      <c r="G1526">
        <v>203.04</v>
      </c>
      <c r="H1526" s="2">
        <v>45761</v>
      </c>
      <c r="I1526" s="2">
        <v>45768</v>
      </c>
      <c r="J1526" t="s">
        <v>9</v>
      </c>
      <c r="K1526" s="2" t="str">
        <f>IFERROR(INDEX(Product_lookup[Category],MATCH(RawWorking[[#This Row],[ProductID]],Product_lookup[ProductID],0)),"")</f>
        <v>Electronics</v>
      </c>
      <c r="L1526" s="9">
        <f>IF(OR(RawWorking[[#This Row],[ShipDate]]="",RawWorking[[#This Row],[DeliveryDate]]=""),"",RawWorking[[#This Row],[DeliveryDate]]-RawWorking[[#This Row],[ShipDate]])</f>
        <v>7</v>
      </c>
      <c r="M1526" s="9">
        <f>IF(COUNTIF(INDEX(RawWorking[OrderID],1):RawWorking[[#This Row],[OrderID]],RawWorking[[#This Row],[OrderID]])=1,1,0)</f>
        <v>1</v>
      </c>
      <c r="N1526" s="4">
        <f>IFERROR(RawWorking[[#This Row],[LineAmount]]/RawWorking[[#This Row],[Quantity]],"")</f>
        <v>203.04</v>
      </c>
    </row>
    <row r="1527" spans="1:14">
      <c r="A1527">
        <v>51526</v>
      </c>
      <c r="B1527">
        <v>30892</v>
      </c>
      <c r="C1527" s="2">
        <v>45760</v>
      </c>
      <c r="D1527">
        <v>2300</v>
      </c>
      <c r="E1527">
        <v>1012</v>
      </c>
      <c r="F1527">
        <v>1</v>
      </c>
      <c r="G1527">
        <v>241.54</v>
      </c>
      <c r="H1527" s="2">
        <v>45763</v>
      </c>
      <c r="I1527" s="2">
        <v>45764</v>
      </c>
      <c r="J1527" t="s">
        <v>9</v>
      </c>
      <c r="K1527" s="2" t="str">
        <f>IFERROR(INDEX(Product_lookup[Category],MATCH(RawWorking[[#This Row],[ProductID]],Product_lookup[ProductID],0)),"")</f>
        <v>Office</v>
      </c>
      <c r="L1527" s="9">
        <f>IF(OR(RawWorking[[#This Row],[ShipDate]]="",RawWorking[[#This Row],[DeliveryDate]]=""),"",RawWorking[[#This Row],[DeliveryDate]]-RawWorking[[#This Row],[ShipDate]])</f>
        <v>1</v>
      </c>
      <c r="M1527" s="9">
        <f>IF(COUNTIF(INDEX(RawWorking[OrderID],1):RawWorking[[#This Row],[OrderID]],RawWorking[[#This Row],[OrderID]])=1,1,0)</f>
        <v>0</v>
      </c>
      <c r="N1527" s="4">
        <f>IFERROR(RawWorking[[#This Row],[LineAmount]]/RawWorking[[#This Row],[Quantity]],"")</f>
        <v>241.54</v>
      </c>
    </row>
    <row r="1528" spans="1:14">
      <c r="A1528">
        <v>51527</v>
      </c>
      <c r="B1528">
        <v>30892</v>
      </c>
      <c r="C1528" s="2">
        <v>45760</v>
      </c>
      <c r="D1528">
        <v>2300</v>
      </c>
      <c r="E1528">
        <v>1007</v>
      </c>
      <c r="F1528">
        <v>1</v>
      </c>
      <c r="G1528">
        <v>199.81</v>
      </c>
      <c r="H1528" s="2">
        <v>45762</v>
      </c>
      <c r="I1528" s="2">
        <v>45768</v>
      </c>
      <c r="J1528" t="s">
        <v>9</v>
      </c>
      <c r="K1528" s="2" t="str">
        <f>IFERROR(INDEX(Product_lookup[Category],MATCH(RawWorking[[#This Row],[ProductID]],Product_lookup[ProductID],0)),"")</f>
        <v>Home</v>
      </c>
      <c r="L1528" s="9">
        <f>IF(OR(RawWorking[[#This Row],[ShipDate]]="",RawWorking[[#This Row],[DeliveryDate]]=""),"",RawWorking[[#This Row],[DeliveryDate]]-RawWorking[[#This Row],[ShipDate]])</f>
        <v>6</v>
      </c>
      <c r="M1528" s="9">
        <f>IF(COUNTIF(INDEX(RawWorking[OrderID],1):RawWorking[[#This Row],[OrderID]],RawWorking[[#This Row],[OrderID]])=1,1,0)</f>
        <v>0</v>
      </c>
      <c r="N1528" s="4">
        <f>IFERROR(RawWorking[[#This Row],[LineAmount]]/RawWorking[[#This Row],[Quantity]],"")</f>
        <v>199.81</v>
      </c>
    </row>
    <row r="1529" spans="1:14">
      <c r="A1529">
        <v>51528</v>
      </c>
      <c r="B1529">
        <v>30893</v>
      </c>
      <c r="C1529" s="2">
        <v>45891</v>
      </c>
      <c r="D1529">
        <v>2422</v>
      </c>
      <c r="E1529">
        <v>1014</v>
      </c>
      <c r="F1529">
        <v>2</v>
      </c>
      <c r="G1529">
        <v>430.68</v>
      </c>
      <c r="H1529" s="2" t="s">
        <v>1421</v>
      </c>
      <c r="I1529" s="2" t="s">
        <v>1421</v>
      </c>
      <c r="J1529" t="s">
        <v>12</v>
      </c>
      <c r="K1529" s="2" t="str">
        <f>IFERROR(INDEX(Product_lookup[Category],MATCH(RawWorking[[#This Row],[ProductID]],Product_lookup[ProductID],0)),"")</f>
        <v>Sports</v>
      </c>
      <c r="L1529" s="9" t="str">
        <f>IF(OR(RawWorking[[#This Row],[ShipDate]]="",RawWorking[[#This Row],[DeliveryDate]]=""),"",RawWorking[[#This Row],[DeliveryDate]]-RawWorking[[#This Row],[ShipDate]])</f>
        <v/>
      </c>
      <c r="M1529" s="9">
        <f>IF(COUNTIF(INDEX(RawWorking[OrderID],1):RawWorking[[#This Row],[OrderID]],RawWorking[[#This Row],[OrderID]])=1,1,0)</f>
        <v>1</v>
      </c>
      <c r="N1529" s="4">
        <f>IFERROR(RawWorking[[#This Row],[LineAmount]]/RawWorking[[#This Row],[Quantity]],"")</f>
        <v>215.34</v>
      </c>
    </row>
    <row r="1530" spans="1:14">
      <c r="A1530">
        <v>51529</v>
      </c>
      <c r="B1530">
        <v>30893</v>
      </c>
      <c r="C1530" s="2">
        <v>45891</v>
      </c>
      <c r="D1530">
        <v>2422</v>
      </c>
      <c r="E1530">
        <v>1013</v>
      </c>
      <c r="F1530">
        <v>5</v>
      </c>
      <c r="G1530">
        <v>851.25</v>
      </c>
      <c r="H1530" s="2" t="s">
        <v>1421</v>
      </c>
      <c r="I1530" s="2" t="s">
        <v>1421</v>
      </c>
      <c r="J1530" t="s">
        <v>12</v>
      </c>
      <c r="K1530" s="2" t="str">
        <f>IFERROR(INDEX(Product_lookup[Category],MATCH(RawWorking[[#This Row],[ProductID]],Product_lookup[ProductID],0)),"")</f>
        <v>Office</v>
      </c>
      <c r="L1530" s="9" t="str">
        <f>IF(OR(RawWorking[[#This Row],[ShipDate]]="",RawWorking[[#This Row],[DeliveryDate]]=""),"",RawWorking[[#This Row],[DeliveryDate]]-RawWorking[[#This Row],[ShipDate]])</f>
        <v/>
      </c>
      <c r="M1530" s="9">
        <f>IF(COUNTIF(INDEX(RawWorking[OrderID],1):RawWorking[[#This Row],[OrderID]],RawWorking[[#This Row],[OrderID]])=1,1,0)</f>
        <v>0</v>
      </c>
      <c r="N1530" s="4">
        <f>IFERROR(RawWorking[[#This Row],[LineAmount]]/RawWorking[[#This Row],[Quantity]],"")</f>
        <v>170.25</v>
      </c>
    </row>
    <row r="1531" spans="1:14">
      <c r="A1531">
        <v>51530</v>
      </c>
      <c r="B1531">
        <v>30893</v>
      </c>
      <c r="C1531" s="2">
        <v>45891</v>
      </c>
      <c r="D1531">
        <v>2422</v>
      </c>
      <c r="E1531">
        <v>1008</v>
      </c>
      <c r="F1531">
        <v>1</v>
      </c>
      <c r="G1531">
        <v>206.09</v>
      </c>
      <c r="H1531" s="2" t="s">
        <v>1421</v>
      </c>
      <c r="I1531" s="2" t="s">
        <v>1421</v>
      </c>
      <c r="J1531" t="s">
        <v>12</v>
      </c>
      <c r="K1531" s="2" t="str">
        <f>IFERROR(INDEX(Product_lookup[Category],MATCH(RawWorking[[#This Row],[ProductID]],Product_lookup[ProductID],0)),"")</f>
        <v>Home</v>
      </c>
      <c r="L1531" s="9" t="str">
        <f>IF(OR(RawWorking[[#This Row],[ShipDate]]="",RawWorking[[#This Row],[DeliveryDate]]=""),"",RawWorking[[#This Row],[DeliveryDate]]-RawWorking[[#This Row],[ShipDate]])</f>
        <v/>
      </c>
      <c r="M1531" s="9">
        <f>IF(COUNTIF(INDEX(RawWorking[OrderID],1):RawWorking[[#This Row],[OrderID]],RawWorking[[#This Row],[OrderID]])=1,1,0)</f>
        <v>0</v>
      </c>
      <c r="N1531" s="4">
        <f>IFERROR(RawWorking[[#This Row],[LineAmount]]/RawWorking[[#This Row],[Quantity]],"")</f>
        <v>206.09</v>
      </c>
    </row>
    <row r="1532" spans="1:14">
      <c r="A1532">
        <v>51531</v>
      </c>
      <c r="B1532">
        <v>30893</v>
      </c>
      <c r="C1532" s="2">
        <v>45891</v>
      </c>
      <c r="D1532">
        <v>2422</v>
      </c>
      <c r="E1532">
        <v>1006</v>
      </c>
      <c r="F1532">
        <v>2</v>
      </c>
      <c r="G1532">
        <v>507.72</v>
      </c>
      <c r="H1532" s="2" t="s">
        <v>1421</v>
      </c>
      <c r="I1532" s="2" t="s">
        <v>1421</v>
      </c>
      <c r="J1532" t="s">
        <v>12</v>
      </c>
      <c r="K1532" s="2" t="str">
        <f>IFERROR(INDEX(Product_lookup[Category],MATCH(RawWorking[[#This Row],[ProductID]],Product_lookup[ProductID],0)),"")</f>
        <v>Home</v>
      </c>
      <c r="L1532" s="9" t="str">
        <f>IF(OR(RawWorking[[#This Row],[ShipDate]]="",RawWorking[[#This Row],[DeliveryDate]]=""),"",RawWorking[[#This Row],[DeliveryDate]]-RawWorking[[#This Row],[ShipDate]])</f>
        <v/>
      </c>
      <c r="M1532" s="9">
        <f>IF(COUNTIF(INDEX(RawWorking[OrderID],1):RawWorking[[#This Row],[OrderID]],RawWorking[[#This Row],[OrderID]])=1,1,0)</f>
        <v>0</v>
      </c>
      <c r="N1532" s="4">
        <f>IFERROR(RawWorking[[#This Row],[LineAmount]]/RawWorking[[#This Row],[Quantity]],"")</f>
        <v>253.86</v>
      </c>
    </row>
    <row r="1533" spans="1:14">
      <c r="A1533">
        <v>51532</v>
      </c>
      <c r="B1533">
        <v>30894</v>
      </c>
      <c r="C1533" s="2">
        <v>45825</v>
      </c>
      <c r="D1533">
        <v>2400</v>
      </c>
      <c r="E1533">
        <v>1008</v>
      </c>
      <c r="F1533">
        <v>2</v>
      </c>
      <c r="G1533">
        <v>412.18</v>
      </c>
      <c r="H1533" s="2" t="s">
        <v>1421</v>
      </c>
      <c r="I1533" s="2" t="s">
        <v>1421</v>
      </c>
      <c r="J1533" t="s">
        <v>16</v>
      </c>
      <c r="K1533" s="2" t="str">
        <f>IFERROR(INDEX(Product_lookup[Category],MATCH(RawWorking[[#This Row],[ProductID]],Product_lookup[ProductID],0)),"")</f>
        <v>Home</v>
      </c>
      <c r="L1533" s="9" t="str">
        <f>IF(OR(RawWorking[[#This Row],[ShipDate]]="",RawWorking[[#This Row],[DeliveryDate]]=""),"",RawWorking[[#This Row],[DeliveryDate]]-RawWorking[[#This Row],[ShipDate]])</f>
        <v/>
      </c>
      <c r="M1533" s="9">
        <f>IF(COUNTIF(INDEX(RawWorking[OrderID],1):RawWorking[[#This Row],[OrderID]],RawWorking[[#This Row],[OrderID]])=1,1,0)</f>
        <v>1</v>
      </c>
      <c r="N1533" s="4">
        <f>IFERROR(RawWorking[[#This Row],[LineAmount]]/RawWorking[[#This Row],[Quantity]],"")</f>
        <v>206.09</v>
      </c>
    </row>
    <row r="1534" spans="1:14">
      <c r="A1534">
        <v>51533</v>
      </c>
      <c r="B1534">
        <v>30894</v>
      </c>
      <c r="C1534" s="2">
        <v>45825</v>
      </c>
      <c r="D1534">
        <v>2400</v>
      </c>
      <c r="E1534">
        <v>1014</v>
      </c>
      <c r="F1534">
        <v>5</v>
      </c>
      <c r="G1534">
        <v>1076.7</v>
      </c>
      <c r="H1534" s="2" t="s">
        <v>1421</v>
      </c>
      <c r="I1534" s="2" t="s">
        <v>1421</v>
      </c>
      <c r="J1534" t="s">
        <v>16</v>
      </c>
      <c r="K1534" s="2" t="str">
        <f>IFERROR(INDEX(Product_lookup[Category],MATCH(RawWorking[[#This Row],[ProductID]],Product_lookup[ProductID],0)),"")</f>
        <v>Sports</v>
      </c>
      <c r="L1534" s="9" t="str">
        <f>IF(OR(RawWorking[[#This Row],[ShipDate]]="",RawWorking[[#This Row],[DeliveryDate]]=""),"",RawWorking[[#This Row],[DeliveryDate]]-RawWorking[[#This Row],[ShipDate]])</f>
        <v/>
      </c>
      <c r="M1534" s="9">
        <f>IF(COUNTIF(INDEX(RawWorking[OrderID],1):RawWorking[[#This Row],[OrderID]],RawWorking[[#This Row],[OrderID]])=1,1,0)</f>
        <v>0</v>
      </c>
      <c r="N1534" s="4">
        <f>IFERROR(RawWorking[[#This Row],[LineAmount]]/RawWorking[[#This Row],[Quantity]],"")</f>
        <v>215.34</v>
      </c>
    </row>
    <row r="1535" spans="1:14">
      <c r="A1535">
        <v>51534</v>
      </c>
      <c r="B1535">
        <v>30895</v>
      </c>
      <c r="C1535" s="2">
        <v>45850</v>
      </c>
      <c r="D1535">
        <v>2530</v>
      </c>
      <c r="E1535">
        <v>1009</v>
      </c>
      <c r="F1535">
        <v>2</v>
      </c>
      <c r="G1535">
        <v>80.56</v>
      </c>
      <c r="H1535" s="2" t="s">
        <v>1421</v>
      </c>
      <c r="I1535" s="2" t="s">
        <v>1421</v>
      </c>
      <c r="J1535" t="s">
        <v>16</v>
      </c>
      <c r="K1535" s="2" t="str">
        <f>IFERROR(INDEX(Product_lookup[Category],MATCH(RawWorking[[#This Row],[ProductID]],Product_lookup[ProductID],0)),"")</f>
        <v>Home</v>
      </c>
      <c r="L1535" s="9" t="str">
        <f>IF(OR(RawWorking[[#This Row],[ShipDate]]="",RawWorking[[#This Row],[DeliveryDate]]=""),"",RawWorking[[#This Row],[DeliveryDate]]-RawWorking[[#This Row],[ShipDate]])</f>
        <v/>
      </c>
      <c r="M1535" s="9">
        <f>IF(COUNTIF(INDEX(RawWorking[OrderID],1):RawWorking[[#This Row],[OrderID]],RawWorking[[#This Row],[OrderID]])=1,1,0)</f>
        <v>1</v>
      </c>
      <c r="N1535" s="4">
        <f>IFERROR(RawWorking[[#This Row],[LineAmount]]/RawWorking[[#This Row],[Quantity]],"")</f>
        <v>40.28</v>
      </c>
    </row>
    <row r="1536" spans="1:14">
      <c r="A1536">
        <v>51535</v>
      </c>
      <c r="B1536">
        <v>30895</v>
      </c>
      <c r="C1536" s="2">
        <v>45998</v>
      </c>
      <c r="D1536">
        <v>2530</v>
      </c>
      <c r="E1536">
        <v>1009</v>
      </c>
      <c r="F1536">
        <v>1</v>
      </c>
      <c r="G1536">
        <v>40.28</v>
      </c>
      <c r="H1536" s="2" t="s">
        <v>1421</v>
      </c>
      <c r="I1536" s="2" t="s">
        <v>1421</v>
      </c>
      <c r="J1536" t="s">
        <v>16</v>
      </c>
      <c r="K1536" s="2" t="str">
        <f>IFERROR(INDEX(Product_lookup[Category],MATCH(RawWorking[[#This Row],[ProductID]],Product_lookup[ProductID],0)),"")</f>
        <v>Home</v>
      </c>
      <c r="L1536" s="9" t="str">
        <f>IF(OR(RawWorking[[#This Row],[ShipDate]]="",RawWorking[[#This Row],[DeliveryDate]]=""),"",RawWorking[[#This Row],[DeliveryDate]]-RawWorking[[#This Row],[ShipDate]])</f>
        <v/>
      </c>
      <c r="M1536" s="9">
        <f>IF(COUNTIF(INDEX(RawWorking[OrderID],1):RawWorking[[#This Row],[OrderID]],RawWorking[[#This Row],[OrderID]])=1,1,0)</f>
        <v>0</v>
      </c>
      <c r="N1536" s="4">
        <f>IFERROR(RawWorking[[#This Row],[LineAmount]]/RawWorking[[#This Row],[Quantity]],"")</f>
        <v>40.28</v>
      </c>
    </row>
    <row r="1537" spans="1:14">
      <c r="A1537">
        <v>51536</v>
      </c>
      <c r="B1537">
        <v>30895</v>
      </c>
      <c r="C1537" s="2">
        <v>45998</v>
      </c>
      <c r="D1537">
        <v>2530</v>
      </c>
      <c r="E1537">
        <v>1003</v>
      </c>
      <c r="F1537">
        <v>2</v>
      </c>
      <c r="G1537">
        <v>448.74</v>
      </c>
      <c r="H1537" s="2">
        <v>46001</v>
      </c>
      <c r="I1537" s="2" t="s">
        <v>1421</v>
      </c>
      <c r="J1537" t="s">
        <v>16</v>
      </c>
      <c r="K1537" s="2" t="str">
        <f>IFERROR(INDEX(Product_lookup[Category],MATCH(RawWorking[[#This Row],[ProductID]],Product_lookup[ProductID],0)),"")</f>
        <v>Electronics</v>
      </c>
      <c r="L1537" s="9" t="str">
        <f>IF(OR(RawWorking[[#This Row],[ShipDate]]="",RawWorking[[#This Row],[DeliveryDate]]=""),"",RawWorking[[#This Row],[DeliveryDate]]-RawWorking[[#This Row],[ShipDate]])</f>
        <v/>
      </c>
      <c r="M1537" s="9">
        <f>IF(COUNTIF(INDEX(RawWorking[OrderID],1):RawWorking[[#This Row],[OrderID]],RawWorking[[#This Row],[OrderID]])=1,1,0)</f>
        <v>0</v>
      </c>
      <c r="N1537" s="4">
        <f>IFERROR(RawWorking[[#This Row],[LineAmount]]/RawWorking[[#This Row],[Quantity]],"")</f>
        <v>224.37</v>
      </c>
    </row>
    <row r="1538" spans="1:14">
      <c r="A1538">
        <v>51537</v>
      </c>
      <c r="B1538">
        <v>30896</v>
      </c>
      <c r="C1538" s="2">
        <v>45784</v>
      </c>
      <c r="D1538">
        <v>2297</v>
      </c>
      <c r="E1538">
        <v>1015</v>
      </c>
      <c r="F1538">
        <v>2</v>
      </c>
      <c r="G1538">
        <v>239.48</v>
      </c>
      <c r="H1538" s="2">
        <v>45786</v>
      </c>
      <c r="I1538" s="2">
        <v>45793</v>
      </c>
      <c r="J1538" t="s">
        <v>9</v>
      </c>
      <c r="K1538" s="2" t="str">
        <f>IFERROR(INDEX(Product_lookup[Category],MATCH(RawWorking[[#This Row],[ProductID]],Product_lookup[ProductID],0)),"")</f>
        <v>Sports</v>
      </c>
      <c r="L1538" s="9">
        <f>IF(OR(RawWorking[[#This Row],[ShipDate]]="",RawWorking[[#This Row],[DeliveryDate]]=""),"",RawWorking[[#This Row],[DeliveryDate]]-RawWorking[[#This Row],[ShipDate]])</f>
        <v>7</v>
      </c>
      <c r="M1538" s="9">
        <f>IF(COUNTIF(INDEX(RawWorking[OrderID],1):RawWorking[[#This Row],[OrderID]],RawWorking[[#This Row],[OrderID]])=1,1,0)</f>
        <v>1</v>
      </c>
      <c r="N1538" s="4">
        <f>IFERROR(RawWorking[[#This Row],[LineAmount]]/RawWorking[[#This Row],[Quantity]],"")</f>
        <v>119.74</v>
      </c>
    </row>
    <row r="1539" spans="1:14">
      <c r="A1539">
        <v>51538</v>
      </c>
      <c r="B1539">
        <v>30896</v>
      </c>
      <c r="C1539" s="2">
        <v>45784</v>
      </c>
      <c r="D1539">
        <v>2297</v>
      </c>
      <c r="E1539">
        <v>1015</v>
      </c>
      <c r="F1539">
        <v>1</v>
      </c>
      <c r="G1539">
        <v>119.74</v>
      </c>
      <c r="H1539" s="2">
        <v>45785</v>
      </c>
      <c r="I1539" s="2">
        <v>45787</v>
      </c>
      <c r="J1539" t="s">
        <v>9</v>
      </c>
      <c r="K1539" s="2" t="str">
        <f>IFERROR(INDEX(Product_lookup[Category],MATCH(RawWorking[[#This Row],[ProductID]],Product_lookup[ProductID],0)),"")</f>
        <v>Sports</v>
      </c>
      <c r="L1539" s="9">
        <f>IF(OR(RawWorking[[#This Row],[ShipDate]]="",RawWorking[[#This Row],[DeliveryDate]]=""),"",RawWorking[[#This Row],[DeliveryDate]]-RawWorking[[#This Row],[ShipDate]])</f>
        <v>2</v>
      </c>
      <c r="M1539" s="9">
        <f>IF(COUNTIF(INDEX(RawWorking[OrderID],1):RawWorking[[#This Row],[OrderID]],RawWorking[[#This Row],[OrderID]])=1,1,0)</f>
        <v>0</v>
      </c>
      <c r="N1539" s="4">
        <f>IFERROR(RawWorking[[#This Row],[LineAmount]]/RawWorking[[#This Row],[Quantity]],"")</f>
        <v>119.74</v>
      </c>
    </row>
    <row r="1540" spans="1:14">
      <c r="A1540">
        <v>51539</v>
      </c>
      <c r="B1540">
        <v>30896</v>
      </c>
      <c r="C1540" s="2">
        <v>45784</v>
      </c>
      <c r="D1540">
        <v>2297</v>
      </c>
      <c r="E1540">
        <v>1009</v>
      </c>
      <c r="F1540">
        <v>1</v>
      </c>
      <c r="G1540">
        <v>40.28</v>
      </c>
      <c r="H1540" s="2">
        <v>45785</v>
      </c>
      <c r="I1540" s="2">
        <v>45788</v>
      </c>
      <c r="J1540" t="s">
        <v>9</v>
      </c>
      <c r="K1540" s="2" t="str">
        <f>IFERROR(INDEX(Product_lookup[Category],MATCH(RawWorking[[#This Row],[ProductID]],Product_lookup[ProductID],0)),"")</f>
        <v>Home</v>
      </c>
      <c r="L1540" s="9">
        <f>IF(OR(RawWorking[[#This Row],[ShipDate]]="",RawWorking[[#This Row],[DeliveryDate]]=""),"",RawWorking[[#This Row],[DeliveryDate]]-RawWorking[[#This Row],[ShipDate]])</f>
        <v>3</v>
      </c>
      <c r="M1540" s="9">
        <f>IF(COUNTIF(INDEX(RawWorking[OrderID],1):RawWorking[[#This Row],[OrderID]],RawWorking[[#This Row],[OrderID]])=1,1,0)</f>
        <v>0</v>
      </c>
      <c r="N1540" s="4">
        <f>IFERROR(RawWorking[[#This Row],[LineAmount]]/RawWorking[[#This Row],[Quantity]],"")</f>
        <v>40.28</v>
      </c>
    </row>
    <row r="1541" spans="1:14">
      <c r="A1541">
        <v>51540</v>
      </c>
      <c r="B1541">
        <v>30897</v>
      </c>
      <c r="C1541" s="2">
        <v>45687</v>
      </c>
      <c r="D1541">
        <v>2504</v>
      </c>
      <c r="E1541">
        <v>1001</v>
      </c>
      <c r="F1541">
        <v>1</v>
      </c>
      <c r="G1541">
        <v>203.04</v>
      </c>
      <c r="H1541" s="2">
        <v>45689</v>
      </c>
      <c r="I1541" s="2">
        <v>45698</v>
      </c>
      <c r="J1541" t="s">
        <v>9</v>
      </c>
      <c r="K1541" s="2" t="str">
        <f>IFERROR(INDEX(Product_lookup[Category],MATCH(RawWorking[[#This Row],[ProductID]],Product_lookup[ProductID],0)),"")</f>
        <v>Electronics</v>
      </c>
      <c r="L1541" s="9">
        <f>IF(OR(RawWorking[[#This Row],[ShipDate]]="",RawWorking[[#This Row],[DeliveryDate]]=""),"",RawWorking[[#This Row],[DeliveryDate]]-RawWorking[[#This Row],[ShipDate]])</f>
        <v>9</v>
      </c>
      <c r="M1541" s="9">
        <f>IF(COUNTIF(INDEX(RawWorking[OrderID],1):RawWorking[[#This Row],[OrderID]],RawWorking[[#This Row],[OrderID]])=1,1,0)</f>
        <v>1</v>
      </c>
      <c r="N1541" s="4">
        <f>IFERROR(RawWorking[[#This Row],[LineAmount]]/RawWorking[[#This Row],[Quantity]],"")</f>
        <v>203.04</v>
      </c>
    </row>
    <row r="1542" spans="1:14">
      <c r="A1542">
        <v>51541</v>
      </c>
      <c r="B1542">
        <v>30897</v>
      </c>
      <c r="C1542" s="2">
        <v>45687</v>
      </c>
      <c r="D1542">
        <v>2504</v>
      </c>
      <c r="E1542">
        <v>1005</v>
      </c>
      <c r="F1542">
        <v>1</v>
      </c>
      <c r="G1542">
        <v>31.73</v>
      </c>
      <c r="H1542" s="2">
        <v>45690</v>
      </c>
      <c r="I1542" s="2">
        <v>45696</v>
      </c>
      <c r="J1542" t="s">
        <v>9</v>
      </c>
      <c r="K1542" s="2" t="str">
        <f>IFERROR(INDEX(Product_lookup[Category],MATCH(RawWorking[[#This Row],[ProductID]],Product_lookup[ProductID],0)),"")</f>
        <v>Electronics</v>
      </c>
      <c r="L1542" s="9">
        <f>IF(OR(RawWorking[[#This Row],[ShipDate]]="",RawWorking[[#This Row],[DeliveryDate]]=""),"",RawWorking[[#This Row],[DeliveryDate]]-RawWorking[[#This Row],[ShipDate]])</f>
        <v>6</v>
      </c>
      <c r="M1542" s="9">
        <f>IF(COUNTIF(INDEX(RawWorking[OrderID],1):RawWorking[[#This Row],[OrderID]],RawWorking[[#This Row],[OrderID]])=1,1,0)</f>
        <v>0</v>
      </c>
      <c r="N1542" s="4">
        <f>IFERROR(RawWorking[[#This Row],[LineAmount]]/RawWorking[[#This Row],[Quantity]],"")</f>
        <v>31.73</v>
      </c>
    </row>
    <row r="1543" spans="1:14">
      <c r="A1543">
        <v>51542</v>
      </c>
      <c r="B1543">
        <v>30898</v>
      </c>
      <c r="C1543" s="2">
        <v>45997</v>
      </c>
      <c r="D1543">
        <v>2051</v>
      </c>
      <c r="E1543">
        <v>1001</v>
      </c>
      <c r="F1543">
        <v>1</v>
      </c>
      <c r="G1543">
        <v>203.04</v>
      </c>
      <c r="H1543" s="2">
        <v>45998</v>
      </c>
      <c r="I1543" s="2">
        <v>46007</v>
      </c>
      <c r="J1543" t="s">
        <v>11</v>
      </c>
      <c r="K1543" s="2" t="str">
        <f>IFERROR(INDEX(Product_lookup[Category],MATCH(RawWorking[[#This Row],[ProductID]],Product_lookup[ProductID],0)),"")</f>
        <v>Electronics</v>
      </c>
      <c r="L1543" s="9">
        <f>IF(OR(RawWorking[[#This Row],[ShipDate]]="",RawWorking[[#This Row],[DeliveryDate]]=""),"",RawWorking[[#This Row],[DeliveryDate]]-RawWorking[[#This Row],[ShipDate]])</f>
        <v>9</v>
      </c>
      <c r="M1543" s="9">
        <f>IF(COUNTIF(INDEX(RawWorking[OrderID],1):RawWorking[[#This Row],[OrderID]],RawWorking[[#This Row],[OrderID]])=1,1,0)</f>
        <v>1</v>
      </c>
      <c r="N1543" s="4">
        <f>IFERROR(RawWorking[[#This Row],[LineAmount]]/RawWorking[[#This Row],[Quantity]],"")</f>
        <v>203.04</v>
      </c>
    </row>
    <row r="1544" spans="1:14">
      <c r="A1544">
        <v>51543</v>
      </c>
      <c r="B1544">
        <v>30898</v>
      </c>
      <c r="C1544" s="2">
        <v>45820</v>
      </c>
      <c r="D1544">
        <v>2051</v>
      </c>
      <c r="E1544">
        <v>1006</v>
      </c>
      <c r="F1544">
        <v>1</v>
      </c>
      <c r="G1544">
        <v>253.86</v>
      </c>
      <c r="H1544" s="2">
        <v>45998</v>
      </c>
      <c r="I1544" s="2">
        <v>45999</v>
      </c>
      <c r="J1544" t="s">
        <v>11</v>
      </c>
      <c r="K1544" s="2" t="str">
        <f>IFERROR(INDEX(Product_lookup[Category],MATCH(RawWorking[[#This Row],[ProductID]],Product_lookup[ProductID],0)),"")</f>
        <v>Home</v>
      </c>
      <c r="L1544" s="9">
        <f>IF(OR(RawWorking[[#This Row],[ShipDate]]="",RawWorking[[#This Row],[DeliveryDate]]=""),"",RawWorking[[#This Row],[DeliveryDate]]-RawWorking[[#This Row],[ShipDate]])</f>
        <v>1</v>
      </c>
      <c r="M1544" s="9">
        <f>IF(COUNTIF(INDEX(RawWorking[OrderID],1):RawWorking[[#This Row],[OrderID]],RawWorking[[#This Row],[OrderID]])=1,1,0)</f>
        <v>0</v>
      </c>
      <c r="N1544" s="4">
        <f>IFERROR(RawWorking[[#This Row],[LineAmount]]/RawWorking[[#This Row],[Quantity]],"")</f>
        <v>253.86</v>
      </c>
    </row>
    <row r="1545" spans="1:14">
      <c r="A1545">
        <v>51544</v>
      </c>
      <c r="B1545">
        <v>30898</v>
      </c>
      <c r="C1545" s="2">
        <v>45997</v>
      </c>
      <c r="D1545">
        <v>2051</v>
      </c>
      <c r="E1545">
        <v>1004</v>
      </c>
      <c r="F1545">
        <v>1</v>
      </c>
      <c r="G1545">
        <v>183.74</v>
      </c>
      <c r="H1545" s="2">
        <v>46000</v>
      </c>
      <c r="I1545" s="2">
        <v>46001</v>
      </c>
      <c r="J1545" t="s">
        <v>11</v>
      </c>
      <c r="K1545" s="2" t="str">
        <f>IFERROR(INDEX(Product_lookup[Category],MATCH(RawWorking[[#This Row],[ProductID]],Product_lookup[ProductID],0)),"")</f>
        <v>Electronics</v>
      </c>
      <c r="L1545" s="9">
        <f>IF(OR(RawWorking[[#This Row],[ShipDate]]="",RawWorking[[#This Row],[DeliveryDate]]=""),"",RawWorking[[#This Row],[DeliveryDate]]-RawWorking[[#This Row],[ShipDate]])</f>
        <v>1</v>
      </c>
      <c r="M1545" s="9">
        <f>IF(COUNTIF(INDEX(RawWorking[OrderID],1):RawWorking[[#This Row],[OrderID]],RawWorking[[#This Row],[OrderID]])=1,1,0)</f>
        <v>0</v>
      </c>
      <c r="N1545" s="4">
        <f>IFERROR(RawWorking[[#This Row],[LineAmount]]/RawWorking[[#This Row],[Quantity]],"")</f>
        <v>183.74</v>
      </c>
    </row>
    <row r="1546" spans="1:14">
      <c r="A1546">
        <v>51545</v>
      </c>
      <c r="B1546">
        <v>30899</v>
      </c>
      <c r="C1546" s="2">
        <v>45882</v>
      </c>
      <c r="D1546">
        <v>2289</v>
      </c>
      <c r="E1546">
        <v>1015</v>
      </c>
      <c r="F1546">
        <v>2</v>
      </c>
      <c r="G1546">
        <v>239.48</v>
      </c>
      <c r="H1546" s="2">
        <v>45883</v>
      </c>
      <c r="I1546" s="2">
        <v>45885</v>
      </c>
      <c r="J1546" t="s">
        <v>9</v>
      </c>
      <c r="K1546" s="2" t="str">
        <f>IFERROR(INDEX(Product_lookup[Category],MATCH(RawWorking[[#This Row],[ProductID]],Product_lookup[ProductID],0)),"")</f>
        <v>Sports</v>
      </c>
      <c r="L1546" s="9">
        <f>IF(OR(RawWorking[[#This Row],[ShipDate]]="",RawWorking[[#This Row],[DeliveryDate]]=""),"",RawWorking[[#This Row],[DeliveryDate]]-RawWorking[[#This Row],[ShipDate]])</f>
        <v>2</v>
      </c>
      <c r="M1546" s="9">
        <f>IF(COUNTIF(INDEX(RawWorking[OrderID],1):RawWorking[[#This Row],[OrderID]],RawWorking[[#This Row],[OrderID]])=1,1,0)</f>
        <v>1</v>
      </c>
      <c r="N1546" s="4">
        <f>IFERROR(RawWorking[[#This Row],[LineAmount]]/RawWorking[[#This Row],[Quantity]],"")</f>
        <v>119.74</v>
      </c>
    </row>
    <row r="1547" spans="1:14">
      <c r="A1547">
        <v>51546</v>
      </c>
      <c r="B1547">
        <v>30899</v>
      </c>
      <c r="C1547" s="2">
        <v>45882</v>
      </c>
      <c r="D1547">
        <v>2289</v>
      </c>
      <c r="E1547">
        <v>1001</v>
      </c>
      <c r="F1547">
        <v>1</v>
      </c>
      <c r="G1547">
        <v>203.04</v>
      </c>
      <c r="H1547" s="2">
        <v>45884</v>
      </c>
      <c r="I1547" s="2">
        <v>45889</v>
      </c>
      <c r="J1547" t="s">
        <v>9</v>
      </c>
      <c r="K1547" s="2" t="str">
        <f>IFERROR(INDEX(Product_lookup[Category],MATCH(RawWorking[[#This Row],[ProductID]],Product_lookup[ProductID],0)),"")</f>
        <v>Electronics</v>
      </c>
      <c r="L1547" s="9">
        <f>IF(OR(RawWorking[[#This Row],[ShipDate]]="",RawWorking[[#This Row],[DeliveryDate]]=""),"",RawWorking[[#This Row],[DeliveryDate]]-RawWorking[[#This Row],[ShipDate]])</f>
        <v>5</v>
      </c>
      <c r="M1547" s="9">
        <f>IF(COUNTIF(INDEX(RawWorking[OrderID],1):RawWorking[[#This Row],[OrderID]],RawWorking[[#This Row],[OrderID]])=1,1,0)</f>
        <v>0</v>
      </c>
      <c r="N1547" s="4">
        <f>IFERROR(RawWorking[[#This Row],[LineAmount]]/RawWorking[[#This Row],[Quantity]],"")</f>
        <v>203.04</v>
      </c>
    </row>
    <row r="1548" spans="1:14">
      <c r="A1548">
        <v>51547</v>
      </c>
      <c r="B1548">
        <v>30900</v>
      </c>
      <c r="C1548" s="2">
        <v>45929</v>
      </c>
      <c r="D1548">
        <v>2239</v>
      </c>
      <c r="E1548">
        <v>1001</v>
      </c>
      <c r="F1548">
        <v>1</v>
      </c>
      <c r="G1548">
        <v>203.04</v>
      </c>
      <c r="H1548" s="2">
        <v>45930</v>
      </c>
      <c r="I1548" s="2">
        <v>45931</v>
      </c>
      <c r="J1548" t="s">
        <v>9</v>
      </c>
      <c r="K1548" s="2" t="str">
        <f>IFERROR(INDEX(Product_lookup[Category],MATCH(RawWorking[[#This Row],[ProductID]],Product_lookup[ProductID],0)),"")</f>
        <v>Electronics</v>
      </c>
      <c r="L1548" s="9">
        <f>IF(OR(RawWorking[[#This Row],[ShipDate]]="",RawWorking[[#This Row],[DeliveryDate]]=""),"",RawWorking[[#This Row],[DeliveryDate]]-RawWorking[[#This Row],[ShipDate]])</f>
        <v>1</v>
      </c>
      <c r="M1548" s="9">
        <f>IF(COUNTIF(INDEX(RawWorking[OrderID],1):RawWorking[[#This Row],[OrderID]],RawWorking[[#This Row],[OrderID]])=1,1,0)</f>
        <v>1</v>
      </c>
      <c r="N1548" s="4">
        <f>IFERROR(RawWorking[[#This Row],[LineAmount]]/RawWorking[[#This Row],[Quantity]],"")</f>
        <v>203.04</v>
      </c>
    </row>
    <row r="1549" spans="1:14">
      <c r="A1549">
        <v>51548</v>
      </c>
      <c r="B1549">
        <v>30900</v>
      </c>
      <c r="C1549" s="2">
        <v>45929</v>
      </c>
      <c r="D1549">
        <v>2239</v>
      </c>
      <c r="E1549">
        <v>1016</v>
      </c>
      <c r="F1549">
        <v>1</v>
      </c>
      <c r="G1549">
        <v>65.260000000000005</v>
      </c>
      <c r="H1549" s="2">
        <v>45931</v>
      </c>
      <c r="I1549" s="2">
        <v>45937</v>
      </c>
      <c r="J1549" t="s">
        <v>9</v>
      </c>
      <c r="K1549" s="2" t="str">
        <f>IFERROR(INDEX(Product_lookup[Category],MATCH(RawWorking[[#This Row],[ProductID]],Product_lookup[ProductID],0)),"")</f>
        <v>Sports</v>
      </c>
      <c r="L1549" s="9">
        <f>IF(OR(RawWorking[[#This Row],[ShipDate]]="",RawWorking[[#This Row],[DeliveryDate]]=""),"",RawWorking[[#This Row],[DeliveryDate]]-RawWorking[[#This Row],[ShipDate]])</f>
        <v>6</v>
      </c>
      <c r="M1549" s="9">
        <f>IF(COUNTIF(INDEX(RawWorking[OrderID],1):RawWorking[[#This Row],[OrderID]],RawWorking[[#This Row],[OrderID]])=1,1,0)</f>
        <v>0</v>
      </c>
      <c r="N1549" s="4">
        <f>IFERROR(RawWorking[[#This Row],[LineAmount]]/RawWorking[[#This Row],[Quantity]],"")</f>
        <v>65.260000000000005</v>
      </c>
    </row>
    <row r="1550" spans="1:14">
      <c r="A1550">
        <v>51549</v>
      </c>
      <c r="B1550">
        <v>30901</v>
      </c>
      <c r="C1550" s="2">
        <v>45865</v>
      </c>
      <c r="D1550">
        <v>2223</v>
      </c>
      <c r="E1550">
        <v>1010</v>
      </c>
      <c r="F1550">
        <v>2</v>
      </c>
      <c r="G1550">
        <v>243</v>
      </c>
      <c r="H1550" s="2">
        <v>45867</v>
      </c>
      <c r="I1550" s="2">
        <v>45868</v>
      </c>
      <c r="J1550" t="s">
        <v>9</v>
      </c>
      <c r="K1550" s="2" t="str">
        <f>IFERROR(INDEX(Product_lookup[Category],MATCH(RawWorking[[#This Row],[ProductID]],Product_lookup[ProductID],0)),"")</f>
        <v>Office</v>
      </c>
      <c r="L1550" s="9">
        <f>IF(OR(RawWorking[[#This Row],[ShipDate]]="",RawWorking[[#This Row],[DeliveryDate]]=""),"",RawWorking[[#This Row],[DeliveryDate]]-RawWorking[[#This Row],[ShipDate]])</f>
        <v>1</v>
      </c>
      <c r="M1550" s="9">
        <f>IF(COUNTIF(INDEX(RawWorking[OrderID],1):RawWorking[[#This Row],[OrderID]],RawWorking[[#This Row],[OrderID]])=1,1,0)</f>
        <v>1</v>
      </c>
      <c r="N1550" s="4">
        <f>IFERROR(RawWorking[[#This Row],[LineAmount]]/RawWorking[[#This Row],[Quantity]],"")</f>
        <v>121.5</v>
      </c>
    </row>
    <row r="1551" spans="1:14">
      <c r="A1551">
        <v>51550</v>
      </c>
      <c r="B1551">
        <v>30902</v>
      </c>
      <c r="C1551" s="2">
        <v>45727</v>
      </c>
      <c r="D1551">
        <v>2511</v>
      </c>
      <c r="E1551">
        <v>1015</v>
      </c>
      <c r="F1551">
        <v>1</v>
      </c>
      <c r="G1551">
        <v>119.74</v>
      </c>
      <c r="H1551" s="2">
        <v>45730</v>
      </c>
      <c r="I1551" s="2">
        <v>45734</v>
      </c>
      <c r="J1551" t="s">
        <v>11</v>
      </c>
      <c r="K1551" s="2" t="str">
        <f>IFERROR(INDEX(Product_lookup[Category],MATCH(RawWorking[[#This Row],[ProductID]],Product_lookup[ProductID],0)),"")</f>
        <v>Sports</v>
      </c>
      <c r="L1551" s="9">
        <f>IF(OR(RawWorking[[#This Row],[ShipDate]]="",RawWorking[[#This Row],[DeliveryDate]]=""),"",RawWorking[[#This Row],[DeliveryDate]]-RawWorking[[#This Row],[ShipDate]])</f>
        <v>4</v>
      </c>
      <c r="M1551" s="9">
        <f>IF(COUNTIF(INDEX(RawWorking[OrderID],1):RawWorking[[#This Row],[OrderID]],RawWorking[[#This Row],[OrderID]])=1,1,0)</f>
        <v>1</v>
      </c>
      <c r="N1551" s="4">
        <f>IFERROR(RawWorking[[#This Row],[LineAmount]]/RawWorking[[#This Row],[Quantity]],"")</f>
        <v>119.74</v>
      </c>
    </row>
    <row r="1552" spans="1:14">
      <c r="A1552">
        <v>51551</v>
      </c>
      <c r="B1552">
        <v>30902</v>
      </c>
      <c r="C1552" s="2">
        <v>45727</v>
      </c>
      <c r="D1552">
        <v>2511</v>
      </c>
      <c r="E1552">
        <v>1002</v>
      </c>
      <c r="F1552">
        <v>1</v>
      </c>
      <c r="G1552">
        <v>118.6</v>
      </c>
      <c r="H1552" s="2">
        <v>45728</v>
      </c>
      <c r="I1552" s="2">
        <v>45733</v>
      </c>
      <c r="J1552" t="s">
        <v>11</v>
      </c>
      <c r="K1552" s="2" t="str">
        <f>IFERROR(INDEX(Product_lookup[Category],MATCH(RawWorking[[#This Row],[ProductID]],Product_lookup[ProductID],0)),"")</f>
        <v>Electronics</v>
      </c>
      <c r="L1552" s="9">
        <f>IF(OR(RawWorking[[#This Row],[ShipDate]]="",RawWorking[[#This Row],[DeliveryDate]]=""),"",RawWorking[[#This Row],[DeliveryDate]]-RawWorking[[#This Row],[ShipDate]])</f>
        <v>5</v>
      </c>
      <c r="M1552" s="9">
        <f>IF(COUNTIF(INDEX(RawWorking[OrderID],1):RawWorking[[#This Row],[OrderID]],RawWorking[[#This Row],[OrderID]])=1,1,0)</f>
        <v>0</v>
      </c>
      <c r="N1552" s="4">
        <f>IFERROR(RawWorking[[#This Row],[LineAmount]]/RawWorking[[#This Row],[Quantity]],"")</f>
        <v>118.6</v>
      </c>
    </row>
    <row r="1553" spans="1:14">
      <c r="A1553">
        <v>51552</v>
      </c>
      <c r="B1553">
        <v>30903</v>
      </c>
      <c r="C1553" s="2">
        <v>45713</v>
      </c>
      <c r="D1553">
        <v>2339</v>
      </c>
      <c r="E1553">
        <v>1005</v>
      </c>
      <c r="F1553">
        <v>3</v>
      </c>
      <c r="G1553">
        <v>95.19</v>
      </c>
      <c r="H1553" s="2">
        <v>45716</v>
      </c>
      <c r="I1553" s="2">
        <v>45723</v>
      </c>
      <c r="J1553" t="s">
        <v>9</v>
      </c>
      <c r="K1553" s="2" t="str">
        <f>IFERROR(INDEX(Product_lookup[Category],MATCH(RawWorking[[#This Row],[ProductID]],Product_lookup[ProductID],0)),"")</f>
        <v>Electronics</v>
      </c>
      <c r="L1553" s="9">
        <f>IF(OR(RawWorking[[#This Row],[ShipDate]]="",RawWorking[[#This Row],[DeliveryDate]]=""),"",RawWorking[[#This Row],[DeliveryDate]]-RawWorking[[#This Row],[ShipDate]])</f>
        <v>7</v>
      </c>
      <c r="M1553" s="9">
        <f>IF(COUNTIF(INDEX(RawWorking[OrderID],1):RawWorking[[#This Row],[OrderID]],RawWorking[[#This Row],[OrderID]])=1,1,0)</f>
        <v>1</v>
      </c>
      <c r="N1553" s="4">
        <f>IFERROR(RawWorking[[#This Row],[LineAmount]]/RawWorking[[#This Row],[Quantity]],"")</f>
        <v>31.73</v>
      </c>
    </row>
    <row r="1554" spans="1:14">
      <c r="A1554">
        <v>51553</v>
      </c>
      <c r="B1554">
        <v>30904</v>
      </c>
      <c r="C1554" s="2">
        <v>45982</v>
      </c>
      <c r="D1554">
        <v>2058</v>
      </c>
      <c r="E1554">
        <v>1013</v>
      </c>
      <c r="F1554">
        <v>1</v>
      </c>
      <c r="G1554">
        <v>170.25</v>
      </c>
      <c r="H1554" s="2">
        <v>45983</v>
      </c>
      <c r="I1554" s="2">
        <v>45991</v>
      </c>
      <c r="J1554" t="s">
        <v>9</v>
      </c>
      <c r="K1554" s="2" t="str">
        <f>IFERROR(INDEX(Product_lookup[Category],MATCH(RawWorking[[#This Row],[ProductID]],Product_lookup[ProductID],0)),"")</f>
        <v>Office</v>
      </c>
      <c r="L1554" s="9">
        <f>IF(OR(RawWorking[[#This Row],[ShipDate]]="",RawWorking[[#This Row],[DeliveryDate]]=""),"",RawWorking[[#This Row],[DeliveryDate]]-RawWorking[[#This Row],[ShipDate]])</f>
        <v>8</v>
      </c>
      <c r="M1554" s="9">
        <f>IF(COUNTIF(INDEX(RawWorking[OrderID],1):RawWorking[[#This Row],[OrderID]],RawWorking[[#This Row],[OrderID]])=1,1,0)</f>
        <v>1</v>
      </c>
      <c r="N1554" s="4">
        <f>IFERROR(RawWorking[[#This Row],[LineAmount]]/RawWorking[[#This Row],[Quantity]],"")</f>
        <v>170.25</v>
      </c>
    </row>
    <row r="1555" spans="1:14">
      <c r="A1555">
        <v>51554</v>
      </c>
      <c r="B1555">
        <v>30904</v>
      </c>
      <c r="C1555" s="2">
        <v>45982</v>
      </c>
      <c r="D1555">
        <v>2058</v>
      </c>
      <c r="E1555">
        <v>1003</v>
      </c>
      <c r="F1555">
        <v>1</v>
      </c>
      <c r="G1555">
        <v>224.37</v>
      </c>
      <c r="H1555" s="2">
        <v>45985</v>
      </c>
      <c r="I1555" s="2">
        <v>45990</v>
      </c>
      <c r="J1555" t="s">
        <v>9</v>
      </c>
      <c r="K1555" s="2" t="str">
        <f>IFERROR(INDEX(Product_lookup[Category],MATCH(RawWorking[[#This Row],[ProductID]],Product_lookup[ProductID],0)),"")</f>
        <v>Electronics</v>
      </c>
      <c r="L1555" s="9">
        <f>IF(OR(RawWorking[[#This Row],[ShipDate]]="",RawWorking[[#This Row],[DeliveryDate]]=""),"",RawWorking[[#This Row],[DeliveryDate]]-RawWorking[[#This Row],[ShipDate]])</f>
        <v>5</v>
      </c>
      <c r="M1555" s="9">
        <f>IF(COUNTIF(INDEX(RawWorking[OrderID],1):RawWorking[[#This Row],[OrderID]],RawWorking[[#This Row],[OrderID]])=1,1,0)</f>
        <v>0</v>
      </c>
      <c r="N1555" s="4">
        <f>IFERROR(RawWorking[[#This Row],[LineAmount]]/RawWorking[[#This Row],[Quantity]],"")</f>
        <v>224.37</v>
      </c>
    </row>
    <row r="1556" spans="1:14">
      <c r="A1556">
        <v>51555</v>
      </c>
      <c r="B1556">
        <v>30905</v>
      </c>
      <c r="C1556" s="2">
        <v>45925</v>
      </c>
      <c r="D1556">
        <v>2557</v>
      </c>
      <c r="E1556">
        <v>1007</v>
      </c>
      <c r="F1556">
        <v>1</v>
      </c>
      <c r="G1556">
        <v>199.81</v>
      </c>
      <c r="H1556" s="2">
        <v>45927</v>
      </c>
      <c r="I1556" s="2">
        <v>45929</v>
      </c>
      <c r="J1556" t="s">
        <v>9</v>
      </c>
      <c r="K1556" s="2" t="str">
        <f>IFERROR(INDEX(Product_lookup[Category],MATCH(RawWorking[[#This Row],[ProductID]],Product_lookup[ProductID],0)),"")</f>
        <v>Home</v>
      </c>
      <c r="L1556" s="9">
        <f>IF(OR(RawWorking[[#This Row],[ShipDate]]="",RawWorking[[#This Row],[DeliveryDate]]=""),"",RawWorking[[#This Row],[DeliveryDate]]-RawWorking[[#This Row],[ShipDate]])</f>
        <v>2</v>
      </c>
      <c r="M1556" s="9">
        <f>IF(COUNTIF(INDEX(RawWorking[OrderID],1):RawWorking[[#This Row],[OrderID]],RawWorking[[#This Row],[OrderID]])=1,1,0)</f>
        <v>1</v>
      </c>
      <c r="N1556" s="4">
        <f>IFERROR(RawWorking[[#This Row],[LineAmount]]/RawWorking[[#This Row],[Quantity]],"")</f>
        <v>199.81</v>
      </c>
    </row>
    <row r="1557" spans="1:14">
      <c r="A1557">
        <v>51556</v>
      </c>
      <c r="B1557">
        <v>30905</v>
      </c>
      <c r="C1557" s="2">
        <v>45925</v>
      </c>
      <c r="D1557">
        <v>2557</v>
      </c>
      <c r="E1557">
        <v>1009</v>
      </c>
      <c r="F1557">
        <v>1</v>
      </c>
      <c r="G1557">
        <v>40.28</v>
      </c>
      <c r="H1557" s="2">
        <v>45928</v>
      </c>
      <c r="I1557" s="2">
        <v>45937</v>
      </c>
      <c r="J1557" t="s">
        <v>9</v>
      </c>
      <c r="K1557" s="2" t="str">
        <f>IFERROR(INDEX(Product_lookup[Category],MATCH(RawWorking[[#This Row],[ProductID]],Product_lookup[ProductID],0)),"")</f>
        <v>Home</v>
      </c>
      <c r="L1557" s="9">
        <f>IF(OR(RawWorking[[#This Row],[ShipDate]]="",RawWorking[[#This Row],[DeliveryDate]]=""),"",RawWorking[[#This Row],[DeliveryDate]]-RawWorking[[#This Row],[ShipDate]])</f>
        <v>9</v>
      </c>
      <c r="M1557" s="9">
        <f>IF(COUNTIF(INDEX(RawWorking[OrderID],1):RawWorking[[#This Row],[OrderID]],RawWorking[[#This Row],[OrderID]])=1,1,0)</f>
        <v>0</v>
      </c>
      <c r="N1557" s="4">
        <f>IFERROR(RawWorking[[#This Row],[LineAmount]]/RawWorking[[#This Row],[Quantity]],"")</f>
        <v>40.28</v>
      </c>
    </row>
    <row r="1558" spans="1:14">
      <c r="A1558">
        <v>51557</v>
      </c>
      <c r="B1558">
        <v>30906</v>
      </c>
      <c r="C1558" s="2">
        <v>45826</v>
      </c>
      <c r="D1558">
        <v>2391</v>
      </c>
      <c r="E1558">
        <v>1004</v>
      </c>
      <c r="F1558">
        <v>2</v>
      </c>
      <c r="G1558">
        <v>367.48</v>
      </c>
      <c r="H1558" s="2" t="s">
        <v>1421</v>
      </c>
      <c r="I1558" s="2" t="s">
        <v>1421</v>
      </c>
      <c r="J1558" t="s">
        <v>16</v>
      </c>
      <c r="K1558" s="2" t="str">
        <f>IFERROR(INDEX(Product_lookup[Category],MATCH(RawWorking[[#This Row],[ProductID]],Product_lookup[ProductID],0)),"")</f>
        <v>Electronics</v>
      </c>
      <c r="L1558" s="9" t="str">
        <f>IF(OR(RawWorking[[#This Row],[ShipDate]]="",RawWorking[[#This Row],[DeliveryDate]]=""),"",RawWorking[[#This Row],[DeliveryDate]]-RawWorking[[#This Row],[ShipDate]])</f>
        <v/>
      </c>
      <c r="M1558" s="9">
        <f>IF(COUNTIF(INDEX(RawWorking[OrderID],1):RawWorking[[#This Row],[OrderID]],RawWorking[[#This Row],[OrderID]])=1,1,0)</f>
        <v>1</v>
      </c>
      <c r="N1558" s="4">
        <f>IFERROR(RawWorking[[#This Row],[LineAmount]]/RawWorking[[#This Row],[Quantity]],"")</f>
        <v>183.74</v>
      </c>
    </row>
    <row r="1559" spans="1:14">
      <c r="A1559">
        <v>51558</v>
      </c>
      <c r="B1559">
        <v>30906</v>
      </c>
      <c r="C1559" s="2">
        <v>45826</v>
      </c>
      <c r="D1559">
        <v>2391</v>
      </c>
      <c r="E1559">
        <v>1008</v>
      </c>
      <c r="F1559">
        <v>3</v>
      </c>
      <c r="G1559">
        <v>618.27</v>
      </c>
      <c r="H1559" s="2" t="s">
        <v>1421</v>
      </c>
      <c r="I1559" s="2" t="s">
        <v>1421</v>
      </c>
      <c r="J1559" t="s">
        <v>16</v>
      </c>
      <c r="K1559" s="2" t="str">
        <f>IFERROR(INDEX(Product_lookup[Category],MATCH(RawWorking[[#This Row],[ProductID]],Product_lookup[ProductID],0)),"")</f>
        <v>Home</v>
      </c>
      <c r="L1559" s="9" t="str">
        <f>IF(OR(RawWorking[[#This Row],[ShipDate]]="",RawWorking[[#This Row],[DeliveryDate]]=""),"",RawWorking[[#This Row],[DeliveryDate]]-RawWorking[[#This Row],[ShipDate]])</f>
        <v/>
      </c>
      <c r="M1559" s="9">
        <f>IF(COUNTIF(INDEX(RawWorking[OrderID],1):RawWorking[[#This Row],[OrderID]],RawWorking[[#This Row],[OrderID]])=1,1,0)</f>
        <v>0</v>
      </c>
      <c r="N1559" s="4">
        <f>IFERROR(RawWorking[[#This Row],[LineAmount]]/RawWorking[[#This Row],[Quantity]],"")</f>
        <v>206.09</v>
      </c>
    </row>
    <row r="1560" spans="1:14">
      <c r="A1560">
        <v>51559</v>
      </c>
      <c r="B1560">
        <v>30907</v>
      </c>
      <c r="C1560" s="2">
        <v>45854</v>
      </c>
      <c r="D1560">
        <v>2454</v>
      </c>
      <c r="E1560">
        <v>1002</v>
      </c>
      <c r="F1560">
        <v>1</v>
      </c>
      <c r="G1560">
        <v>118.6</v>
      </c>
      <c r="H1560" s="2">
        <v>45856</v>
      </c>
      <c r="I1560" s="2">
        <v>45864</v>
      </c>
      <c r="J1560" t="s">
        <v>9</v>
      </c>
      <c r="K1560" s="2" t="str">
        <f>IFERROR(INDEX(Product_lookup[Category],MATCH(RawWorking[[#This Row],[ProductID]],Product_lookup[ProductID],0)),"")</f>
        <v>Electronics</v>
      </c>
      <c r="L1560" s="9">
        <f>IF(OR(RawWorking[[#This Row],[ShipDate]]="",RawWorking[[#This Row],[DeliveryDate]]=""),"",RawWorking[[#This Row],[DeliveryDate]]-RawWorking[[#This Row],[ShipDate]])</f>
        <v>8</v>
      </c>
      <c r="M1560" s="9">
        <f>IF(COUNTIF(INDEX(RawWorking[OrderID],1):RawWorking[[#This Row],[OrderID]],RawWorking[[#This Row],[OrderID]])=1,1,0)</f>
        <v>1</v>
      </c>
      <c r="N1560" s="4">
        <f>IFERROR(RawWorking[[#This Row],[LineAmount]]/RawWorking[[#This Row],[Quantity]],"")</f>
        <v>118.6</v>
      </c>
    </row>
    <row r="1561" spans="1:14">
      <c r="A1561">
        <v>51560</v>
      </c>
      <c r="B1561">
        <v>30908</v>
      </c>
      <c r="C1561" s="2">
        <v>45722</v>
      </c>
      <c r="D1561">
        <v>2204</v>
      </c>
      <c r="E1561">
        <v>1004</v>
      </c>
      <c r="F1561">
        <v>1</v>
      </c>
      <c r="G1561">
        <v>183.74</v>
      </c>
      <c r="H1561" s="2">
        <v>45812</v>
      </c>
      <c r="I1561" s="2">
        <v>45822</v>
      </c>
      <c r="J1561" t="s">
        <v>9</v>
      </c>
      <c r="K1561" s="2" t="str">
        <f>IFERROR(INDEX(Product_lookup[Category],MATCH(RawWorking[[#This Row],[ProductID]],Product_lookup[ProductID],0)),"")</f>
        <v>Electronics</v>
      </c>
      <c r="L1561" s="9">
        <f>IF(OR(RawWorking[[#This Row],[ShipDate]]="",RawWorking[[#This Row],[DeliveryDate]]=""),"",RawWorking[[#This Row],[DeliveryDate]]-RawWorking[[#This Row],[ShipDate]])</f>
        <v>10</v>
      </c>
      <c r="M1561" s="9">
        <f>IF(COUNTIF(INDEX(RawWorking[OrderID],1):RawWorking[[#This Row],[OrderID]],RawWorking[[#This Row],[OrderID]])=1,1,0)</f>
        <v>1</v>
      </c>
      <c r="N1561" s="4">
        <f>IFERROR(RawWorking[[#This Row],[LineAmount]]/RawWorking[[#This Row],[Quantity]],"")</f>
        <v>183.74</v>
      </c>
    </row>
    <row r="1562" spans="1:14">
      <c r="A1562">
        <v>51561</v>
      </c>
      <c r="B1562">
        <v>30908</v>
      </c>
      <c r="C1562" s="2">
        <v>45811</v>
      </c>
      <c r="D1562">
        <v>2204</v>
      </c>
      <c r="E1562">
        <v>1007</v>
      </c>
      <c r="F1562">
        <v>2</v>
      </c>
      <c r="G1562">
        <v>399.62</v>
      </c>
      <c r="H1562" s="2">
        <v>45812</v>
      </c>
      <c r="I1562" s="2">
        <v>45844</v>
      </c>
      <c r="J1562" t="s">
        <v>9</v>
      </c>
      <c r="K1562" s="2" t="str">
        <f>IFERROR(INDEX(Product_lookup[Category],MATCH(RawWorking[[#This Row],[ProductID]],Product_lookup[ProductID],0)),"")</f>
        <v>Home</v>
      </c>
      <c r="L1562" s="9">
        <f>IF(OR(RawWorking[[#This Row],[ShipDate]]="",RawWorking[[#This Row],[DeliveryDate]]=""),"",RawWorking[[#This Row],[DeliveryDate]]-RawWorking[[#This Row],[ShipDate]])</f>
        <v>32</v>
      </c>
      <c r="M1562" s="9">
        <f>IF(COUNTIF(INDEX(RawWorking[OrderID],1):RawWorking[[#This Row],[OrderID]],RawWorking[[#This Row],[OrderID]])=1,1,0)</f>
        <v>0</v>
      </c>
      <c r="N1562" s="4">
        <f>IFERROR(RawWorking[[#This Row],[LineAmount]]/RawWorking[[#This Row],[Quantity]],"")</f>
        <v>199.81</v>
      </c>
    </row>
    <row r="1563" spans="1:14">
      <c r="A1563">
        <v>51562</v>
      </c>
      <c r="B1563">
        <v>30908</v>
      </c>
      <c r="C1563" s="2">
        <v>45811</v>
      </c>
      <c r="D1563">
        <v>2204</v>
      </c>
      <c r="E1563">
        <v>1016</v>
      </c>
      <c r="F1563">
        <v>1</v>
      </c>
      <c r="G1563">
        <v>65.260000000000005</v>
      </c>
      <c r="H1563" s="2">
        <v>45813</v>
      </c>
      <c r="I1563" s="2">
        <v>45815</v>
      </c>
      <c r="J1563" t="s">
        <v>9</v>
      </c>
      <c r="K1563" s="2" t="str">
        <f>IFERROR(INDEX(Product_lookup[Category],MATCH(RawWorking[[#This Row],[ProductID]],Product_lookup[ProductID],0)),"")</f>
        <v>Sports</v>
      </c>
      <c r="L1563" s="9">
        <f>IF(OR(RawWorking[[#This Row],[ShipDate]]="",RawWorking[[#This Row],[DeliveryDate]]=""),"",RawWorking[[#This Row],[DeliveryDate]]-RawWorking[[#This Row],[ShipDate]])</f>
        <v>2</v>
      </c>
      <c r="M1563" s="9">
        <f>IF(COUNTIF(INDEX(RawWorking[OrderID],1):RawWorking[[#This Row],[OrderID]],RawWorking[[#This Row],[OrderID]])=1,1,0)</f>
        <v>0</v>
      </c>
      <c r="N1563" s="4">
        <f>IFERROR(RawWorking[[#This Row],[LineAmount]]/RawWorking[[#This Row],[Quantity]],"")</f>
        <v>65.260000000000005</v>
      </c>
    </row>
    <row r="1564" spans="1:14">
      <c r="A1564">
        <v>51563</v>
      </c>
      <c r="B1564">
        <v>30909</v>
      </c>
      <c r="C1564" s="2">
        <v>45726</v>
      </c>
      <c r="D1564">
        <v>2399</v>
      </c>
      <c r="E1564">
        <v>1010</v>
      </c>
      <c r="F1564">
        <v>3</v>
      </c>
      <c r="G1564">
        <v>364.5</v>
      </c>
      <c r="H1564" s="2">
        <v>45729</v>
      </c>
      <c r="I1564" s="2">
        <v>45730</v>
      </c>
      <c r="J1564" t="s">
        <v>9</v>
      </c>
      <c r="K1564" s="2" t="str">
        <f>IFERROR(INDEX(Product_lookup[Category],MATCH(RawWorking[[#This Row],[ProductID]],Product_lookup[ProductID],0)),"")</f>
        <v>Office</v>
      </c>
      <c r="L1564" s="9">
        <f>IF(OR(RawWorking[[#This Row],[ShipDate]]="",RawWorking[[#This Row],[DeliveryDate]]=""),"",RawWorking[[#This Row],[DeliveryDate]]-RawWorking[[#This Row],[ShipDate]])</f>
        <v>1</v>
      </c>
      <c r="M1564" s="9">
        <f>IF(COUNTIF(INDEX(RawWorking[OrderID],1):RawWorking[[#This Row],[OrderID]],RawWorking[[#This Row],[OrderID]])=1,1,0)</f>
        <v>1</v>
      </c>
      <c r="N1564" s="4">
        <f>IFERROR(RawWorking[[#This Row],[LineAmount]]/RawWorking[[#This Row],[Quantity]],"")</f>
        <v>121.5</v>
      </c>
    </row>
    <row r="1565" spans="1:14">
      <c r="A1565">
        <v>51564</v>
      </c>
      <c r="B1565">
        <v>30909</v>
      </c>
      <c r="C1565" s="2">
        <v>45726</v>
      </c>
      <c r="D1565">
        <v>2399</v>
      </c>
      <c r="E1565">
        <v>1011</v>
      </c>
      <c r="F1565">
        <v>1</v>
      </c>
      <c r="G1565">
        <v>101.44</v>
      </c>
      <c r="H1565" s="2">
        <v>45728</v>
      </c>
      <c r="I1565" s="2">
        <v>45733</v>
      </c>
      <c r="J1565" t="s">
        <v>9</v>
      </c>
      <c r="K1565" s="2" t="str">
        <f>IFERROR(INDEX(Product_lookup[Category],MATCH(RawWorking[[#This Row],[ProductID]],Product_lookup[ProductID],0)),"")</f>
        <v>Office</v>
      </c>
      <c r="L1565" s="9">
        <f>IF(OR(RawWorking[[#This Row],[ShipDate]]="",RawWorking[[#This Row],[DeliveryDate]]=""),"",RawWorking[[#This Row],[DeliveryDate]]-RawWorking[[#This Row],[ShipDate]])</f>
        <v>5</v>
      </c>
      <c r="M1565" s="9">
        <f>IF(COUNTIF(INDEX(RawWorking[OrderID],1):RawWorking[[#This Row],[OrderID]],RawWorking[[#This Row],[OrderID]])=1,1,0)</f>
        <v>0</v>
      </c>
      <c r="N1565" s="4">
        <f>IFERROR(RawWorking[[#This Row],[LineAmount]]/RawWorking[[#This Row],[Quantity]],"")</f>
        <v>101.44</v>
      </c>
    </row>
    <row r="1566" spans="1:14">
      <c r="A1566">
        <v>51565</v>
      </c>
      <c r="B1566">
        <v>30910</v>
      </c>
      <c r="C1566" s="2">
        <v>45841</v>
      </c>
      <c r="D1566">
        <v>2163</v>
      </c>
      <c r="E1566">
        <v>1002</v>
      </c>
      <c r="F1566">
        <v>4</v>
      </c>
      <c r="G1566">
        <v>474.4</v>
      </c>
      <c r="H1566" s="2">
        <v>45844</v>
      </c>
      <c r="I1566" s="2">
        <v>45852</v>
      </c>
      <c r="J1566" t="s">
        <v>9</v>
      </c>
      <c r="K1566" s="2" t="str">
        <f>IFERROR(INDEX(Product_lookup[Category],MATCH(RawWorking[[#This Row],[ProductID]],Product_lookup[ProductID],0)),"")</f>
        <v>Electronics</v>
      </c>
      <c r="L1566" s="9">
        <f>IF(OR(RawWorking[[#This Row],[ShipDate]]="",RawWorking[[#This Row],[DeliveryDate]]=""),"",RawWorking[[#This Row],[DeliveryDate]]-RawWorking[[#This Row],[ShipDate]])</f>
        <v>8</v>
      </c>
      <c r="M1566" s="9">
        <f>IF(COUNTIF(INDEX(RawWorking[OrderID],1):RawWorking[[#This Row],[OrderID]],RawWorking[[#This Row],[OrderID]])=1,1,0)</f>
        <v>1</v>
      </c>
      <c r="N1566" s="4">
        <f>IFERROR(RawWorking[[#This Row],[LineAmount]]/RawWorking[[#This Row],[Quantity]],"")</f>
        <v>118.6</v>
      </c>
    </row>
    <row r="1567" spans="1:14">
      <c r="A1567">
        <v>51566</v>
      </c>
      <c r="B1567">
        <v>30911</v>
      </c>
      <c r="C1567" s="2">
        <v>45982</v>
      </c>
      <c r="D1567">
        <v>2563</v>
      </c>
      <c r="E1567">
        <v>1009</v>
      </c>
      <c r="F1567">
        <v>3</v>
      </c>
      <c r="G1567">
        <v>120.84</v>
      </c>
      <c r="H1567" s="2">
        <v>45985</v>
      </c>
      <c r="I1567" s="2">
        <v>45992</v>
      </c>
      <c r="J1567" t="s">
        <v>9</v>
      </c>
      <c r="K1567" s="2" t="str">
        <f>IFERROR(INDEX(Product_lookup[Category],MATCH(RawWorking[[#This Row],[ProductID]],Product_lookup[ProductID],0)),"")</f>
        <v>Home</v>
      </c>
      <c r="L1567" s="9">
        <f>IF(OR(RawWorking[[#This Row],[ShipDate]]="",RawWorking[[#This Row],[DeliveryDate]]=""),"",RawWorking[[#This Row],[DeliveryDate]]-RawWorking[[#This Row],[ShipDate]])</f>
        <v>7</v>
      </c>
      <c r="M1567" s="9">
        <f>IF(COUNTIF(INDEX(RawWorking[OrderID],1):RawWorking[[#This Row],[OrderID]],RawWorking[[#This Row],[OrderID]])=1,1,0)</f>
        <v>1</v>
      </c>
      <c r="N1567" s="4">
        <f>IFERROR(RawWorking[[#This Row],[LineAmount]]/RawWorking[[#This Row],[Quantity]],"")</f>
        <v>40.28</v>
      </c>
    </row>
    <row r="1568" spans="1:14">
      <c r="A1568">
        <v>51567</v>
      </c>
      <c r="B1568">
        <v>30912</v>
      </c>
      <c r="C1568" s="2">
        <v>45915</v>
      </c>
      <c r="D1568">
        <v>2493</v>
      </c>
      <c r="E1568">
        <v>1007</v>
      </c>
      <c r="F1568">
        <v>3</v>
      </c>
      <c r="G1568">
        <v>599.42999999999995</v>
      </c>
      <c r="H1568" s="2">
        <v>45917</v>
      </c>
      <c r="I1568" s="2">
        <v>45923</v>
      </c>
      <c r="J1568" t="s">
        <v>9</v>
      </c>
      <c r="K1568" s="2" t="str">
        <f>IFERROR(INDEX(Product_lookup[Category],MATCH(RawWorking[[#This Row],[ProductID]],Product_lookup[ProductID],0)),"")</f>
        <v>Home</v>
      </c>
      <c r="L1568" s="9">
        <f>IF(OR(RawWorking[[#This Row],[ShipDate]]="",RawWorking[[#This Row],[DeliveryDate]]=""),"",RawWorking[[#This Row],[DeliveryDate]]-RawWorking[[#This Row],[ShipDate]])</f>
        <v>6</v>
      </c>
      <c r="M1568" s="9">
        <f>IF(COUNTIF(INDEX(RawWorking[OrderID],1):RawWorking[[#This Row],[OrderID]],RawWorking[[#This Row],[OrderID]])=1,1,0)</f>
        <v>1</v>
      </c>
      <c r="N1568" s="4">
        <f>IFERROR(RawWorking[[#This Row],[LineAmount]]/RawWorking[[#This Row],[Quantity]],"")</f>
        <v>199.80999999999997</v>
      </c>
    </row>
    <row r="1569" spans="1:14">
      <c r="A1569">
        <v>51568</v>
      </c>
      <c r="B1569">
        <v>30913</v>
      </c>
      <c r="C1569" s="2">
        <v>45947</v>
      </c>
      <c r="D1569">
        <v>2370</v>
      </c>
      <c r="E1569">
        <v>1007</v>
      </c>
      <c r="F1569">
        <v>5</v>
      </c>
      <c r="G1569">
        <v>999.05</v>
      </c>
      <c r="H1569" s="2" t="s">
        <v>1421</v>
      </c>
      <c r="I1569" s="2" t="s">
        <v>1421</v>
      </c>
      <c r="J1569" t="s">
        <v>12</v>
      </c>
      <c r="K1569" s="2" t="str">
        <f>IFERROR(INDEX(Product_lookup[Category],MATCH(RawWorking[[#This Row],[ProductID]],Product_lookup[ProductID],0)),"")</f>
        <v>Home</v>
      </c>
      <c r="L1569" s="9" t="str">
        <f>IF(OR(RawWorking[[#This Row],[ShipDate]]="",RawWorking[[#This Row],[DeliveryDate]]=""),"",RawWorking[[#This Row],[DeliveryDate]]-RawWorking[[#This Row],[ShipDate]])</f>
        <v/>
      </c>
      <c r="M1569" s="9">
        <f>IF(COUNTIF(INDEX(RawWorking[OrderID],1):RawWorking[[#This Row],[OrderID]],RawWorking[[#This Row],[OrderID]])=1,1,0)</f>
        <v>1</v>
      </c>
      <c r="N1569" s="4">
        <f>IFERROR(RawWorking[[#This Row],[LineAmount]]/RawWorking[[#This Row],[Quantity]],"")</f>
        <v>199.81</v>
      </c>
    </row>
    <row r="1570" spans="1:14">
      <c r="A1570">
        <v>51569</v>
      </c>
      <c r="B1570">
        <v>30913</v>
      </c>
      <c r="C1570" s="2">
        <v>45947</v>
      </c>
      <c r="D1570">
        <v>2370</v>
      </c>
      <c r="E1570">
        <v>1004</v>
      </c>
      <c r="F1570">
        <v>1</v>
      </c>
      <c r="G1570">
        <v>183.74</v>
      </c>
      <c r="H1570" s="2" t="s">
        <v>1421</v>
      </c>
      <c r="I1570" s="2" t="s">
        <v>1421</v>
      </c>
      <c r="J1570" t="s">
        <v>12</v>
      </c>
      <c r="K1570" s="2" t="str">
        <f>IFERROR(INDEX(Product_lookup[Category],MATCH(RawWorking[[#This Row],[ProductID]],Product_lookup[ProductID],0)),"")</f>
        <v>Electronics</v>
      </c>
      <c r="L1570" s="9" t="str">
        <f>IF(OR(RawWorking[[#This Row],[ShipDate]]="",RawWorking[[#This Row],[DeliveryDate]]=""),"",RawWorking[[#This Row],[DeliveryDate]]-RawWorking[[#This Row],[ShipDate]])</f>
        <v/>
      </c>
      <c r="M1570" s="9">
        <f>IF(COUNTIF(INDEX(RawWorking[OrderID],1):RawWorking[[#This Row],[OrderID]],RawWorking[[#This Row],[OrderID]])=1,1,0)</f>
        <v>0</v>
      </c>
      <c r="N1570" s="4">
        <f>IFERROR(RawWorking[[#This Row],[LineAmount]]/RawWorking[[#This Row],[Quantity]],"")</f>
        <v>183.74</v>
      </c>
    </row>
    <row r="1571" spans="1:14">
      <c r="A1571">
        <v>51570</v>
      </c>
      <c r="B1571">
        <v>30914</v>
      </c>
      <c r="C1571" s="2">
        <v>45704</v>
      </c>
      <c r="D1571">
        <v>2242</v>
      </c>
      <c r="E1571">
        <v>1011</v>
      </c>
      <c r="F1571">
        <v>1</v>
      </c>
      <c r="G1571">
        <v>101.44</v>
      </c>
      <c r="H1571" s="2">
        <v>45707</v>
      </c>
      <c r="I1571" s="2">
        <v>45716</v>
      </c>
      <c r="J1571" t="s">
        <v>9</v>
      </c>
      <c r="K1571" s="2" t="str">
        <f>IFERROR(INDEX(Product_lookup[Category],MATCH(RawWorking[[#This Row],[ProductID]],Product_lookup[ProductID],0)),"")</f>
        <v>Office</v>
      </c>
      <c r="L1571" s="9">
        <f>IF(OR(RawWorking[[#This Row],[ShipDate]]="",RawWorking[[#This Row],[DeliveryDate]]=""),"",RawWorking[[#This Row],[DeliveryDate]]-RawWorking[[#This Row],[ShipDate]])</f>
        <v>9</v>
      </c>
      <c r="M1571" s="9">
        <f>IF(COUNTIF(INDEX(RawWorking[OrderID],1):RawWorking[[#This Row],[OrderID]],RawWorking[[#This Row],[OrderID]])=1,1,0)</f>
        <v>1</v>
      </c>
      <c r="N1571" s="4">
        <f>IFERROR(RawWorking[[#This Row],[LineAmount]]/RawWorking[[#This Row],[Quantity]],"")</f>
        <v>101.44</v>
      </c>
    </row>
    <row r="1572" spans="1:14">
      <c r="A1572">
        <v>51571</v>
      </c>
      <c r="B1572">
        <v>30914</v>
      </c>
      <c r="C1572" s="2">
        <v>45704</v>
      </c>
      <c r="D1572">
        <v>2242</v>
      </c>
      <c r="E1572">
        <v>1001</v>
      </c>
      <c r="F1572">
        <v>1</v>
      </c>
      <c r="G1572">
        <v>203.04</v>
      </c>
      <c r="H1572" s="2">
        <v>45705</v>
      </c>
      <c r="I1572" s="2">
        <v>45715</v>
      </c>
      <c r="J1572" t="s">
        <v>9</v>
      </c>
      <c r="K1572" s="2" t="str">
        <f>IFERROR(INDEX(Product_lookup[Category],MATCH(RawWorking[[#This Row],[ProductID]],Product_lookup[ProductID],0)),"")</f>
        <v>Electronics</v>
      </c>
      <c r="L1572" s="9">
        <f>IF(OR(RawWorking[[#This Row],[ShipDate]]="",RawWorking[[#This Row],[DeliveryDate]]=""),"",RawWorking[[#This Row],[DeliveryDate]]-RawWorking[[#This Row],[ShipDate]])</f>
        <v>10</v>
      </c>
      <c r="M1572" s="9">
        <f>IF(COUNTIF(INDEX(RawWorking[OrderID],1):RawWorking[[#This Row],[OrderID]],RawWorking[[#This Row],[OrderID]])=1,1,0)</f>
        <v>0</v>
      </c>
      <c r="N1572" s="4">
        <f>IFERROR(RawWorking[[#This Row],[LineAmount]]/RawWorking[[#This Row],[Quantity]],"")</f>
        <v>203.04</v>
      </c>
    </row>
    <row r="1573" spans="1:14">
      <c r="A1573">
        <v>51572</v>
      </c>
      <c r="B1573">
        <v>30914</v>
      </c>
      <c r="C1573" s="2">
        <v>45704</v>
      </c>
      <c r="D1573">
        <v>2242</v>
      </c>
      <c r="E1573">
        <v>1006</v>
      </c>
      <c r="F1573">
        <v>1</v>
      </c>
      <c r="G1573">
        <v>253.86</v>
      </c>
      <c r="H1573" s="2">
        <v>45707</v>
      </c>
      <c r="I1573" s="2">
        <v>45713</v>
      </c>
      <c r="J1573" t="s">
        <v>9</v>
      </c>
      <c r="K1573" s="2" t="str">
        <f>IFERROR(INDEX(Product_lookup[Category],MATCH(RawWorking[[#This Row],[ProductID]],Product_lookup[ProductID],0)),"")</f>
        <v>Home</v>
      </c>
      <c r="L1573" s="9">
        <f>IF(OR(RawWorking[[#This Row],[ShipDate]]="",RawWorking[[#This Row],[DeliveryDate]]=""),"",RawWorking[[#This Row],[DeliveryDate]]-RawWorking[[#This Row],[ShipDate]])</f>
        <v>6</v>
      </c>
      <c r="M1573" s="9">
        <f>IF(COUNTIF(INDEX(RawWorking[OrderID],1):RawWorking[[#This Row],[OrderID]],RawWorking[[#This Row],[OrderID]])=1,1,0)</f>
        <v>0</v>
      </c>
      <c r="N1573" s="4">
        <f>IFERROR(RawWorking[[#This Row],[LineAmount]]/RawWorking[[#This Row],[Quantity]],"")</f>
        <v>253.86</v>
      </c>
    </row>
    <row r="1574" spans="1:14">
      <c r="A1574">
        <v>51573</v>
      </c>
      <c r="B1574">
        <v>30915</v>
      </c>
      <c r="C1574" s="2">
        <v>45913</v>
      </c>
      <c r="D1574">
        <v>2283</v>
      </c>
      <c r="E1574">
        <v>1013</v>
      </c>
      <c r="F1574">
        <v>1</v>
      </c>
      <c r="G1574">
        <v>170.25</v>
      </c>
      <c r="H1574" s="2">
        <v>45914</v>
      </c>
      <c r="I1574" s="2">
        <v>45921</v>
      </c>
      <c r="J1574" t="s">
        <v>9</v>
      </c>
      <c r="K1574" s="2" t="str">
        <f>IFERROR(INDEX(Product_lookup[Category],MATCH(RawWorking[[#This Row],[ProductID]],Product_lookup[ProductID],0)),"")</f>
        <v>Office</v>
      </c>
      <c r="L1574" s="9">
        <f>IF(OR(RawWorking[[#This Row],[ShipDate]]="",RawWorking[[#This Row],[DeliveryDate]]=""),"",RawWorking[[#This Row],[DeliveryDate]]-RawWorking[[#This Row],[ShipDate]])</f>
        <v>7</v>
      </c>
      <c r="M1574" s="9">
        <f>IF(COUNTIF(INDEX(RawWorking[OrderID],1):RawWorking[[#This Row],[OrderID]],RawWorking[[#This Row],[OrderID]])=1,1,0)</f>
        <v>1</v>
      </c>
      <c r="N1574" s="4">
        <f>IFERROR(RawWorking[[#This Row],[LineAmount]]/RawWorking[[#This Row],[Quantity]],"")</f>
        <v>170.25</v>
      </c>
    </row>
    <row r="1575" spans="1:14">
      <c r="A1575">
        <v>51574</v>
      </c>
      <c r="B1575">
        <v>30916</v>
      </c>
      <c r="C1575" s="2">
        <v>45943</v>
      </c>
      <c r="D1575">
        <v>2249</v>
      </c>
      <c r="E1575">
        <v>1002</v>
      </c>
      <c r="F1575">
        <v>1</v>
      </c>
      <c r="G1575">
        <v>118.6</v>
      </c>
      <c r="H1575" s="2">
        <v>45944</v>
      </c>
      <c r="I1575" s="2">
        <v>45954</v>
      </c>
      <c r="J1575" t="s">
        <v>9</v>
      </c>
      <c r="K1575" s="2" t="str">
        <f>IFERROR(INDEX(Product_lookup[Category],MATCH(RawWorking[[#This Row],[ProductID]],Product_lookup[ProductID],0)),"")</f>
        <v>Electronics</v>
      </c>
      <c r="L1575" s="9">
        <f>IF(OR(RawWorking[[#This Row],[ShipDate]]="",RawWorking[[#This Row],[DeliveryDate]]=""),"",RawWorking[[#This Row],[DeliveryDate]]-RawWorking[[#This Row],[ShipDate]])</f>
        <v>10</v>
      </c>
      <c r="M1575" s="9">
        <f>IF(COUNTIF(INDEX(RawWorking[OrderID],1):RawWorking[[#This Row],[OrderID]],RawWorking[[#This Row],[OrderID]])=1,1,0)</f>
        <v>1</v>
      </c>
      <c r="N1575" s="4">
        <f>IFERROR(RawWorking[[#This Row],[LineAmount]]/RawWorking[[#This Row],[Quantity]],"")</f>
        <v>118.6</v>
      </c>
    </row>
    <row r="1576" spans="1:14">
      <c r="A1576">
        <v>51575</v>
      </c>
      <c r="B1576">
        <v>30916</v>
      </c>
      <c r="C1576" s="2">
        <v>45943</v>
      </c>
      <c r="D1576">
        <v>2249</v>
      </c>
      <c r="E1576">
        <v>1016</v>
      </c>
      <c r="F1576">
        <v>1</v>
      </c>
      <c r="G1576">
        <v>65.260000000000005</v>
      </c>
      <c r="H1576" s="2">
        <v>45946</v>
      </c>
      <c r="I1576" s="2">
        <v>45952</v>
      </c>
      <c r="J1576" t="s">
        <v>9</v>
      </c>
      <c r="K1576" s="2" t="str">
        <f>IFERROR(INDEX(Product_lookup[Category],MATCH(RawWorking[[#This Row],[ProductID]],Product_lookup[ProductID],0)),"")</f>
        <v>Sports</v>
      </c>
      <c r="L1576" s="9">
        <f>IF(OR(RawWorking[[#This Row],[ShipDate]]="",RawWorking[[#This Row],[DeliveryDate]]=""),"",RawWorking[[#This Row],[DeliveryDate]]-RawWorking[[#This Row],[ShipDate]])</f>
        <v>6</v>
      </c>
      <c r="M1576" s="9">
        <f>IF(COUNTIF(INDEX(RawWorking[OrderID],1):RawWorking[[#This Row],[OrderID]],RawWorking[[#This Row],[OrderID]])=1,1,0)</f>
        <v>0</v>
      </c>
      <c r="N1576" s="4">
        <f>IFERROR(RawWorking[[#This Row],[LineAmount]]/RawWorking[[#This Row],[Quantity]],"")</f>
        <v>65.260000000000005</v>
      </c>
    </row>
    <row r="1577" spans="1:14">
      <c r="A1577">
        <v>51576</v>
      </c>
      <c r="B1577">
        <v>30916</v>
      </c>
      <c r="C1577" s="2">
        <v>45943</v>
      </c>
      <c r="D1577">
        <v>2249</v>
      </c>
      <c r="E1577">
        <v>1005</v>
      </c>
      <c r="F1577">
        <v>2</v>
      </c>
      <c r="G1577">
        <v>63.46</v>
      </c>
      <c r="H1577" s="2">
        <v>45946</v>
      </c>
      <c r="I1577" s="2">
        <v>45948</v>
      </c>
      <c r="J1577" t="s">
        <v>9</v>
      </c>
      <c r="K1577" s="2" t="str">
        <f>IFERROR(INDEX(Product_lookup[Category],MATCH(RawWorking[[#This Row],[ProductID]],Product_lookup[ProductID],0)),"")</f>
        <v>Electronics</v>
      </c>
      <c r="L1577" s="9">
        <f>IF(OR(RawWorking[[#This Row],[ShipDate]]="",RawWorking[[#This Row],[DeliveryDate]]=""),"",RawWorking[[#This Row],[DeliveryDate]]-RawWorking[[#This Row],[ShipDate]])</f>
        <v>2</v>
      </c>
      <c r="M1577" s="9">
        <f>IF(COUNTIF(INDEX(RawWorking[OrderID],1):RawWorking[[#This Row],[OrderID]],RawWorking[[#This Row],[OrderID]])=1,1,0)</f>
        <v>0</v>
      </c>
      <c r="N1577" s="4">
        <f>IFERROR(RawWorking[[#This Row],[LineAmount]]/RawWorking[[#This Row],[Quantity]],"")</f>
        <v>31.73</v>
      </c>
    </row>
    <row r="1578" spans="1:14">
      <c r="A1578">
        <v>51577</v>
      </c>
      <c r="B1578">
        <v>30917</v>
      </c>
      <c r="C1578" s="2">
        <v>45688</v>
      </c>
      <c r="D1578">
        <v>2381</v>
      </c>
      <c r="E1578">
        <v>1008</v>
      </c>
      <c r="F1578">
        <v>1</v>
      </c>
      <c r="G1578">
        <v>206.09</v>
      </c>
      <c r="H1578" s="2">
        <v>45749</v>
      </c>
      <c r="I1578" s="2" t="s">
        <v>1421</v>
      </c>
      <c r="J1578" t="s">
        <v>16</v>
      </c>
      <c r="K1578" s="2" t="str">
        <f>IFERROR(INDEX(Product_lookup[Category],MATCH(RawWorking[[#This Row],[ProductID]],Product_lookup[ProductID],0)),"")</f>
        <v>Home</v>
      </c>
      <c r="L1578" s="9" t="str">
        <f>IF(OR(RawWorking[[#This Row],[ShipDate]]="",RawWorking[[#This Row],[DeliveryDate]]=""),"",RawWorking[[#This Row],[DeliveryDate]]-RawWorking[[#This Row],[ShipDate]])</f>
        <v/>
      </c>
      <c r="M1578" s="9">
        <f>IF(COUNTIF(INDEX(RawWorking[OrderID],1):RawWorking[[#This Row],[OrderID]],RawWorking[[#This Row],[OrderID]])=1,1,0)</f>
        <v>1</v>
      </c>
      <c r="N1578" s="4">
        <f>IFERROR(RawWorking[[#This Row],[LineAmount]]/RawWorking[[#This Row],[Quantity]],"")</f>
        <v>206.09</v>
      </c>
    </row>
    <row r="1579" spans="1:14">
      <c r="A1579">
        <v>51578</v>
      </c>
      <c r="B1579">
        <v>30918</v>
      </c>
      <c r="C1579" s="2">
        <v>45755</v>
      </c>
      <c r="D1579">
        <v>2094</v>
      </c>
      <c r="E1579">
        <v>1011</v>
      </c>
      <c r="F1579">
        <v>1</v>
      </c>
      <c r="G1579">
        <v>101.44</v>
      </c>
      <c r="H1579" s="2">
        <v>45874</v>
      </c>
      <c r="I1579" s="2">
        <v>45938</v>
      </c>
      <c r="J1579" t="s">
        <v>9</v>
      </c>
      <c r="K1579" s="2" t="str">
        <f>IFERROR(INDEX(Product_lookup[Category],MATCH(RawWorking[[#This Row],[ProductID]],Product_lookup[ProductID],0)),"")</f>
        <v>Office</v>
      </c>
      <c r="L1579" s="9">
        <f>IF(OR(RawWorking[[#This Row],[ShipDate]]="",RawWorking[[#This Row],[DeliveryDate]]=""),"",RawWorking[[#This Row],[DeliveryDate]]-RawWorking[[#This Row],[ShipDate]])</f>
        <v>64</v>
      </c>
      <c r="M1579" s="9">
        <f>IF(COUNTIF(INDEX(RawWorking[OrderID],1):RawWorking[[#This Row],[OrderID]],RawWorking[[#This Row],[OrderID]])=1,1,0)</f>
        <v>1</v>
      </c>
      <c r="N1579" s="4">
        <f>IFERROR(RawWorking[[#This Row],[LineAmount]]/RawWorking[[#This Row],[Quantity]],"")</f>
        <v>101.44</v>
      </c>
    </row>
    <row r="1580" spans="1:14">
      <c r="A1580">
        <v>51579</v>
      </c>
      <c r="B1580">
        <v>30918</v>
      </c>
      <c r="C1580" s="2">
        <v>45873</v>
      </c>
      <c r="D1580">
        <v>2094</v>
      </c>
      <c r="E1580">
        <v>1002</v>
      </c>
      <c r="F1580">
        <v>2</v>
      </c>
      <c r="G1580">
        <v>237.2</v>
      </c>
      <c r="H1580" s="2">
        <v>45876</v>
      </c>
      <c r="I1580" s="2">
        <v>45882</v>
      </c>
      <c r="J1580" t="s">
        <v>9</v>
      </c>
      <c r="K1580" s="2" t="str">
        <f>IFERROR(INDEX(Product_lookup[Category],MATCH(RawWorking[[#This Row],[ProductID]],Product_lookup[ProductID],0)),"")</f>
        <v>Electronics</v>
      </c>
      <c r="L1580" s="9">
        <f>IF(OR(RawWorking[[#This Row],[ShipDate]]="",RawWorking[[#This Row],[DeliveryDate]]=""),"",RawWorking[[#This Row],[DeliveryDate]]-RawWorking[[#This Row],[ShipDate]])</f>
        <v>6</v>
      </c>
      <c r="M1580" s="9">
        <f>IF(COUNTIF(INDEX(RawWorking[OrderID],1):RawWorking[[#This Row],[OrderID]],RawWorking[[#This Row],[OrderID]])=1,1,0)</f>
        <v>0</v>
      </c>
      <c r="N1580" s="4">
        <f>IFERROR(RawWorking[[#This Row],[LineAmount]]/RawWorking[[#This Row],[Quantity]],"")</f>
        <v>118.6</v>
      </c>
    </row>
    <row r="1581" spans="1:14">
      <c r="A1581">
        <v>51580</v>
      </c>
      <c r="B1581">
        <v>30918</v>
      </c>
      <c r="C1581" s="2">
        <v>45755</v>
      </c>
      <c r="D1581">
        <v>2094</v>
      </c>
      <c r="E1581">
        <v>1002</v>
      </c>
      <c r="F1581">
        <v>2</v>
      </c>
      <c r="G1581">
        <v>237.2</v>
      </c>
      <c r="H1581" s="2">
        <v>45876</v>
      </c>
      <c r="I1581" s="2">
        <v>45881</v>
      </c>
      <c r="J1581" t="s">
        <v>9</v>
      </c>
      <c r="K1581" s="2" t="str">
        <f>IFERROR(INDEX(Product_lookup[Category],MATCH(RawWorking[[#This Row],[ProductID]],Product_lookup[ProductID],0)),"")</f>
        <v>Electronics</v>
      </c>
      <c r="L1581" s="9">
        <f>IF(OR(RawWorking[[#This Row],[ShipDate]]="",RawWorking[[#This Row],[DeliveryDate]]=""),"",RawWorking[[#This Row],[DeliveryDate]]-RawWorking[[#This Row],[ShipDate]])</f>
        <v>5</v>
      </c>
      <c r="M1581" s="9">
        <f>IF(COUNTIF(INDEX(RawWorking[OrderID],1):RawWorking[[#This Row],[OrderID]],RawWorking[[#This Row],[OrderID]])=1,1,0)</f>
        <v>0</v>
      </c>
      <c r="N1581" s="4">
        <f>IFERROR(RawWorking[[#This Row],[LineAmount]]/RawWorking[[#This Row],[Quantity]],"")</f>
        <v>118.6</v>
      </c>
    </row>
    <row r="1582" spans="1:14">
      <c r="A1582">
        <v>51581</v>
      </c>
      <c r="B1582">
        <v>30919</v>
      </c>
      <c r="C1582" s="2">
        <v>45692</v>
      </c>
      <c r="D1582">
        <v>2365</v>
      </c>
      <c r="E1582">
        <v>1004</v>
      </c>
      <c r="F1582">
        <v>1</v>
      </c>
      <c r="G1582">
        <v>183.74</v>
      </c>
      <c r="H1582" s="2">
        <v>45752</v>
      </c>
      <c r="I1582" s="2">
        <v>45760</v>
      </c>
      <c r="J1582" t="s">
        <v>9</v>
      </c>
      <c r="K1582" s="2" t="str">
        <f>IFERROR(INDEX(Product_lookup[Category],MATCH(RawWorking[[#This Row],[ProductID]],Product_lookup[ProductID],0)),"")</f>
        <v>Electronics</v>
      </c>
      <c r="L1582" s="9">
        <f>IF(OR(RawWorking[[#This Row],[ShipDate]]="",RawWorking[[#This Row],[DeliveryDate]]=""),"",RawWorking[[#This Row],[DeliveryDate]]-RawWorking[[#This Row],[ShipDate]])</f>
        <v>8</v>
      </c>
      <c r="M1582" s="9">
        <f>IF(COUNTIF(INDEX(RawWorking[OrderID],1):RawWorking[[#This Row],[OrderID]],RawWorking[[#This Row],[OrderID]])=1,1,0)</f>
        <v>1</v>
      </c>
      <c r="N1582" s="4">
        <f>IFERROR(RawWorking[[#This Row],[LineAmount]]/RawWorking[[#This Row],[Quantity]],"")</f>
        <v>183.74</v>
      </c>
    </row>
    <row r="1583" spans="1:14">
      <c r="A1583">
        <v>51582</v>
      </c>
      <c r="B1583">
        <v>30919</v>
      </c>
      <c r="C1583" s="2">
        <v>45749</v>
      </c>
      <c r="D1583">
        <v>2365</v>
      </c>
      <c r="E1583">
        <v>1005</v>
      </c>
      <c r="F1583">
        <v>1</v>
      </c>
      <c r="G1583">
        <v>31.73</v>
      </c>
      <c r="H1583" s="2">
        <v>45750</v>
      </c>
      <c r="I1583" s="2">
        <v>45754</v>
      </c>
      <c r="J1583" t="s">
        <v>9</v>
      </c>
      <c r="K1583" s="2" t="str">
        <f>IFERROR(INDEX(Product_lookup[Category],MATCH(RawWorking[[#This Row],[ProductID]],Product_lookup[ProductID],0)),"")</f>
        <v>Electronics</v>
      </c>
      <c r="L1583" s="9">
        <f>IF(OR(RawWorking[[#This Row],[ShipDate]]="",RawWorking[[#This Row],[DeliveryDate]]=""),"",RawWorking[[#This Row],[DeliveryDate]]-RawWorking[[#This Row],[ShipDate]])</f>
        <v>4</v>
      </c>
      <c r="M1583" s="9">
        <f>IF(COUNTIF(INDEX(RawWorking[OrderID],1):RawWorking[[#This Row],[OrderID]],RawWorking[[#This Row],[OrderID]])=1,1,0)</f>
        <v>0</v>
      </c>
      <c r="N1583" s="4">
        <f>IFERROR(RawWorking[[#This Row],[LineAmount]]/RawWorking[[#This Row],[Quantity]],"")</f>
        <v>31.73</v>
      </c>
    </row>
    <row r="1584" spans="1:14">
      <c r="A1584">
        <v>51583</v>
      </c>
      <c r="B1584">
        <v>30919</v>
      </c>
      <c r="C1584" s="2">
        <v>45749</v>
      </c>
      <c r="D1584">
        <v>2365</v>
      </c>
      <c r="E1584">
        <v>1016</v>
      </c>
      <c r="F1584">
        <v>1</v>
      </c>
      <c r="G1584">
        <v>65.260000000000005</v>
      </c>
      <c r="H1584" s="2">
        <v>45751</v>
      </c>
      <c r="I1584" s="2">
        <v>45759</v>
      </c>
      <c r="J1584" t="s">
        <v>9</v>
      </c>
      <c r="K1584" s="2" t="str">
        <f>IFERROR(INDEX(Product_lookup[Category],MATCH(RawWorking[[#This Row],[ProductID]],Product_lookup[ProductID],0)),"")</f>
        <v>Sports</v>
      </c>
      <c r="L1584" s="9">
        <f>IF(OR(RawWorking[[#This Row],[ShipDate]]="",RawWorking[[#This Row],[DeliveryDate]]=""),"",RawWorking[[#This Row],[DeliveryDate]]-RawWorking[[#This Row],[ShipDate]])</f>
        <v>8</v>
      </c>
      <c r="M1584" s="9">
        <f>IF(COUNTIF(INDEX(RawWorking[OrderID],1):RawWorking[[#This Row],[OrderID]],RawWorking[[#This Row],[OrderID]])=1,1,0)</f>
        <v>0</v>
      </c>
      <c r="N1584" s="4">
        <f>IFERROR(RawWorking[[#This Row],[LineAmount]]/RawWorking[[#This Row],[Quantity]],"")</f>
        <v>65.260000000000005</v>
      </c>
    </row>
    <row r="1585" spans="1:14">
      <c r="A1585">
        <v>51584</v>
      </c>
      <c r="B1585">
        <v>30919</v>
      </c>
      <c r="C1585" s="2">
        <v>45749</v>
      </c>
      <c r="D1585">
        <v>2365</v>
      </c>
      <c r="E1585">
        <v>1008</v>
      </c>
      <c r="F1585">
        <v>2</v>
      </c>
      <c r="G1585">
        <v>412.18</v>
      </c>
      <c r="H1585" s="2">
        <v>45752</v>
      </c>
      <c r="I1585" s="2">
        <v>45753</v>
      </c>
      <c r="J1585" t="s">
        <v>9</v>
      </c>
      <c r="K1585" s="2" t="str">
        <f>IFERROR(INDEX(Product_lookup[Category],MATCH(RawWorking[[#This Row],[ProductID]],Product_lookup[ProductID],0)),"")</f>
        <v>Home</v>
      </c>
      <c r="L1585" s="9">
        <f>IF(OR(RawWorking[[#This Row],[ShipDate]]="",RawWorking[[#This Row],[DeliveryDate]]=""),"",RawWorking[[#This Row],[DeliveryDate]]-RawWorking[[#This Row],[ShipDate]])</f>
        <v>1</v>
      </c>
      <c r="M1585" s="9">
        <f>IF(COUNTIF(INDEX(RawWorking[OrderID],1):RawWorking[[#This Row],[OrderID]],RawWorking[[#This Row],[OrderID]])=1,1,0)</f>
        <v>0</v>
      </c>
      <c r="N1585" s="4">
        <f>IFERROR(RawWorking[[#This Row],[LineAmount]]/RawWorking[[#This Row],[Quantity]],"")</f>
        <v>206.09</v>
      </c>
    </row>
    <row r="1586" spans="1:14">
      <c r="A1586">
        <v>51585</v>
      </c>
      <c r="B1586">
        <v>30920</v>
      </c>
      <c r="C1586" s="2">
        <v>45847</v>
      </c>
      <c r="D1586">
        <v>2325</v>
      </c>
      <c r="E1586">
        <v>1012</v>
      </c>
      <c r="F1586">
        <v>1</v>
      </c>
      <c r="G1586">
        <v>241.54</v>
      </c>
      <c r="H1586" s="2">
        <v>45850</v>
      </c>
      <c r="I1586" s="2">
        <v>45859</v>
      </c>
      <c r="J1586" t="s">
        <v>11</v>
      </c>
      <c r="K1586" s="2" t="str">
        <f>IFERROR(INDEX(Product_lookup[Category],MATCH(RawWorking[[#This Row],[ProductID]],Product_lookup[ProductID],0)),"")</f>
        <v>Office</v>
      </c>
      <c r="L1586" s="9">
        <f>IF(OR(RawWorking[[#This Row],[ShipDate]]="",RawWorking[[#This Row],[DeliveryDate]]=""),"",RawWorking[[#This Row],[DeliveryDate]]-RawWorking[[#This Row],[ShipDate]])</f>
        <v>9</v>
      </c>
      <c r="M1586" s="9">
        <f>IF(COUNTIF(INDEX(RawWorking[OrderID],1):RawWorking[[#This Row],[OrderID]],RawWorking[[#This Row],[OrderID]])=1,1,0)</f>
        <v>1</v>
      </c>
      <c r="N1586" s="4">
        <f>IFERROR(RawWorking[[#This Row],[LineAmount]]/RawWorking[[#This Row],[Quantity]],"")</f>
        <v>241.54</v>
      </c>
    </row>
    <row r="1587" spans="1:14">
      <c r="A1587">
        <v>51586</v>
      </c>
      <c r="B1587">
        <v>30920</v>
      </c>
      <c r="C1587" s="2">
        <v>45847</v>
      </c>
      <c r="D1587">
        <v>2325</v>
      </c>
      <c r="E1587">
        <v>1015</v>
      </c>
      <c r="F1587">
        <v>1</v>
      </c>
      <c r="G1587">
        <v>119.74</v>
      </c>
      <c r="H1587" s="2">
        <v>45849</v>
      </c>
      <c r="I1587" s="2">
        <v>45856</v>
      </c>
      <c r="J1587" t="s">
        <v>11</v>
      </c>
      <c r="K1587" s="2" t="str">
        <f>IFERROR(INDEX(Product_lookup[Category],MATCH(RawWorking[[#This Row],[ProductID]],Product_lookup[ProductID],0)),"")</f>
        <v>Sports</v>
      </c>
      <c r="L1587" s="9">
        <f>IF(OR(RawWorking[[#This Row],[ShipDate]]="",RawWorking[[#This Row],[DeliveryDate]]=""),"",RawWorking[[#This Row],[DeliveryDate]]-RawWorking[[#This Row],[ShipDate]])</f>
        <v>7</v>
      </c>
      <c r="M1587" s="9">
        <f>IF(COUNTIF(INDEX(RawWorking[OrderID],1):RawWorking[[#This Row],[OrderID]],RawWorking[[#This Row],[OrderID]])=1,1,0)</f>
        <v>0</v>
      </c>
      <c r="N1587" s="4">
        <f>IFERROR(RawWorking[[#This Row],[LineAmount]]/RawWorking[[#This Row],[Quantity]],"")</f>
        <v>119.74</v>
      </c>
    </row>
    <row r="1588" spans="1:14">
      <c r="A1588">
        <v>51587</v>
      </c>
      <c r="B1588">
        <v>30921</v>
      </c>
      <c r="C1588" s="2">
        <v>45819</v>
      </c>
      <c r="D1588">
        <v>2198</v>
      </c>
      <c r="E1588">
        <v>1013</v>
      </c>
      <c r="F1588">
        <v>3</v>
      </c>
      <c r="G1588">
        <v>510.75</v>
      </c>
      <c r="H1588" s="2">
        <v>45822</v>
      </c>
      <c r="I1588" s="2">
        <v>45830</v>
      </c>
      <c r="J1588" t="s">
        <v>9</v>
      </c>
      <c r="K1588" s="2" t="str">
        <f>IFERROR(INDEX(Product_lookup[Category],MATCH(RawWorking[[#This Row],[ProductID]],Product_lookup[ProductID],0)),"")</f>
        <v>Office</v>
      </c>
      <c r="L1588" s="9">
        <f>IF(OR(RawWorking[[#This Row],[ShipDate]]="",RawWorking[[#This Row],[DeliveryDate]]=""),"",RawWorking[[#This Row],[DeliveryDate]]-RawWorking[[#This Row],[ShipDate]])</f>
        <v>8</v>
      </c>
      <c r="M1588" s="9">
        <f>IF(COUNTIF(INDEX(RawWorking[OrderID],1):RawWorking[[#This Row],[OrderID]],RawWorking[[#This Row],[OrderID]])=1,1,0)</f>
        <v>1</v>
      </c>
      <c r="N1588" s="4">
        <f>IFERROR(RawWorking[[#This Row],[LineAmount]]/RawWorking[[#This Row],[Quantity]],"")</f>
        <v>170.25</v>
      </c>
    </row>
    <row r="1589" spans="1:14">
      <c r="A1589">
        <v>51588</v>
      </c>
      <c r="B1589">
        <v>30921</v>
      </c>
      <c r="C1589" s="2">
        <v>45819</v>
      </c>
      <c r="D1589">
        <v>2198</v>
      </c>
      <c r="E1589">
        <v>1012</v>
      </c>
      <c r="F1589">
        <v>3</v>
      </c>
      <c r="G1589">
        <v>724.62</v>
      </c>
      <c r="H1589" s="2">
        <v>45821</v>
      </c>
      <c r="I1589" s="2">
        <v>45831</v>
      </c>
      <c r="J1589" t="s">
        <v>9</v>
      </c>
      <c r="K1589" s="2" t="str">
        <f>IFERROR(INDEX(Product_lookup[Category],MATCH(RawWorking[[#This Row],[ProductID]],Product_lookup[ProductID],0)),"")</f>
        <v>Office</v>
      </c>
      <c r="L1589" s="9">
        <f>IF(OR(RawWorking[[#This Row],[ShipDate]]="",RawWorking[[#This Row],[DeliveryDate]]=""),"",RawWorking[[#This Row],[DeliveryDate]]-RawWorking[[#This Row],[ShipDate]])</f>
        <v>10</v>
      </c>
      <c r="M1589" s="9">
        <f>IF(COUNTIF(INDEX(RawWorking[OrderID],1):RawWorking[[#This Row],[OrderID]],RawWorking[[#This Row],[OrderID]])=1,1,0)</f>
        <v>0</v>
      </c>
      <c r="N1589" s="4">
        <f>IFERROR(RawWorking[[#This Row],[LineAmount]]/RawWorking[[#This Row],[Quantity]],"")</f>
        <v>241.54</v>
      </c>
    </row>
    <row r="1590" spans="1:14">
      <c r="A1590">
        <v>51589</v>
      </c>
      <c r="B1590">
        <v>30922</v>
      </c>
      <c r="C1590" s="2">
        <v>45859</v>
      </c>
      <c r="D1590">
        <v>2138</v>
      </c>
      <c r="E1590">
        <v>1002</v>
      </c>
      <c r="F1590">
        <v>1</v>
      </c>
      <c r="G1590">
        <v>118.6</v>
      </c>
      <c r="H1590" s="2">
        <v>45862</v>
      </c>
      <c r="I1590" s="2">
        <v>45865</v>
      </c>
      <c r="J1590" t="s">
        <v>9</v>
      </c>
      <c r="K1590" s="2" t="str">
        <f>IFERROR(INDEX(Product_lookup[Category],MATCH(RawWorking[[#This Row],[ProductID]],Product_lookup[ProductID],0)),"")</f>
        <v>Electronics</v>
      </c>
      <c r="L1590" s="9">
        <f>IF(OR(RawWorking[[#This Row],[ShipDate]]="",RawWorking[[#This Row],[DeliveryDate]]=""),"",RawWorking[[#This Row],[DeliveryDate]]-RawWorking[[#This Row],[ShipDate]])</f>
        <v>3</v>
      </c>
      <c r="M1590" s="9">
        <f>IF(COUNTIF(INDEX(RawWorking[OrderID],1):RawWorking[[#This Row],[OrderID]],RawWorking[[#This Row],[OrderID]])=1,1,0)</f>
        <v>1</v>
      </c>
      <c r="N1590" s="4">
        <f>IFERROR(RawWorking[[#This Row],[LineAmount]]/RawWorking[[#This Row],[Quantity]],"")</f>
        <v>118.6</v>
      </c>
    </row>
    <row r="1591" spans="1:14">
      <c r="A1591">
        <v>51590</v>
      </c>
      <c r="B1591">
        <v>30922</v>
      </c>
      <c r="C1591" s="2">
        <v>45859</v>
      </c>
      <c r="D1591">
        <v>2138</v>
      </c>
      <c r="E1591">
        <v>1016</v>
      </c>
      <c r="F1591">
        <v>1</v>
      </c>
      <c r="G1591">
        <v>65.260000000000005</v>
      </c>
      <c r="H1591" s="2">
        <v>45860</v>
      </c>
      <c r="I1591" s="2">
        <v>45861</v>
      </c>
      <c r="J1591" t="s">
        <v>9</v>
      </c>
      <c r="K1591" s="2" t="str">
        <f>IFERROR(INDEX(Product_lookup[Category],MATCH(RawWorking[[#This Row],[ProductID]],Product_lookup[ProductID],0)),"")</f>
        <v>Sports</v>
      </c>
      <c r="L1591" s="9">
        <f>IF(OR(RawWorking[[#This Row],[ShipDate]]="",RawWorking[[#This Row],[DeliveryDate]]=""),"",RawWorking[[#This Row],[DeliveryDate]]-RawWorking[[#This Row],[ShipDate]])</f>
        <v>1</v>
      </c>
      <c r="M1591" s="9">
        <f>IF(COUNTIF(INDEX(RawWorking[OrderID],1):RawWorking[[#This Row],[OrderID]],RawWorking[[#This Row],[OrderID]])=1,1,0)</f>
        <v>0</v>
      </c>
      <c r="N1591" s="4">
        <f>IFERROR(RawWorking[[#This Row],[LineAmount]]/RawWorking[[#This Row],[Quantity]],"")</f>
        <v>65.260000000000005</v>
      </c>
    </row>
    <row r="1592" spans="1:14">
      <c r="A1592">
        <v>51591</v>
      </c>
      <c r="B1592">
        <v>30923</v>
      </c>
      <c r="C1592" s="2">
        <v>45664</v>
      </c>
      <c r="D1592">
        <v>2449</v>
      </c>
      <c r="E1592">
        <v>1016</v>
      </c>
      <c r="F1592">
        <v>4</v>
      </c>
      <c r="G1592">
        <v>261.04000000000002</v>
      </c>
      <c r="H1592" s="2">
        <v>45667</v>
      </c>
      <c r="I1592" s="2">
        <v>45677</v>
      </c>
      <c r="J1592" t="s">
        <v>9</v>
      </c>
      <c r="K1592" s="2" t="str">
        <f>IFERROR(INDEX(Product_lookup[Category],MATCH(RawWorking[[#This Row],[ProductID]],Product_lookup[ProductID],0)),"")</f>
        <v>Sports</v>
      </c>
      <c r="L1592" s="9">
        <f>IF(OR(RawWorking[[#This Row],[ShipDate]]="",RawWorking[[#This Row],[DeliveryDate]]=""),"",RawWorking[[#This Row],[DeliveryDate]]-RawWorking[[#This Row],[ShipDate]])</f>
        <v>10</v>
      </c>
      <c r="M1592" s="9">
        <f>IF(COUNTIF(INDEX(RawWorking[OrderID],1):RawWorking[[#This Row],[OrderID]],RawWorking[[#This Row],[OrderID]])=1,1,0)</f>
        <v>1</v>
      </c>
      <c r="N1592" s="4">
        <f>IFERROR(RawWorking[[#This Row],[LineAmount]]/RawWorking[[#This Row],[Quantity]],"")</f>
        <v>65.260000000000005</v>
      </c>
    </row>
    <row r="1593" spans="1:14">
      <c r="A1593">
        <v>51592</v>
      </c>
      <c r="B1593">
        <v>30923</v>
      </c>
      <c r="C1593" s="2">
        <v>45664</v>
      </c>
      <c r="D1593">
        <v>2449</v>
      </c>
      <c r="E1593">
        <v>1007</v>
      </c>
      <c r="F1593">
        <v>4</v>
      </c>
      <c r="G1593">
        <v>799.24</v>
      </c>
      <c r="H1593" s="2">
        <v>45665</v>
      </c>
      <c r="I1593" s="2">
        <v>45669</v>
      </c>
      <c r="J1593" t="s">
        <v>9</v>
      </c>
      <c r="K1593" s="2" t="str">
        <f>IFERROR(INDEX(Product_lookup[Category],MATCH(RawWorking[[#This Row],[ProductID]],Product_lookup[ProductID],0)),"")</f>
        <v>Home</v>
      </c>
      <c r="L1593" s="9">
        <f>IF(OR(RawWorking[[#This Row],[ShipDate]]="",RawWorking[[#This Row],[DeliveryDate]]=""),"",RawWorking[[#This Row],[DeliveryDate]]-RawWorking[[#This Row],[ShipDate]])</f>
        <v>4</v>
      </c>
      <c r="M1593" s="9">
        <f>IF(COUNTIF(INDEX(RawWorking[OrderID],1):RawWorking[[#This Row],[OrderID]],RawWorking[[#This Row],[OrderID]])=1,1,0)</f>
        <v>0</v>
      </c>
      <c r="N1593" s="4">
        <f>IFERROR(RawWorking[[#This Row],[LineAmount]]/RawWorking[[#This Row],[Quantity]],"")</f>
        <v>199.81</v>
      </c>
    </row>
    <row r="1594" spans="1:14">
      <c r="A1594">
        <v>51593</v>
      </c>
      <c r="B1594">
        <v>30923</v>
      </c>
      <c r="C1594" s="2">
        <v>45664</v>
      </c>
      <c r="D1594">
        <v>2449</v>
      </c>
      <c r="E1594">
        <v>1006</v>
      </c>
      <c r="F1594">
        <v>1</v>
      </c>
      <c r="G1594">
        <v>253.86</v>
      </c>
      <c r="H1594" s="2">
        <v>45665</v>
      </c>
      <c r="I1594" s="2">
        <v>45901</v>
      </c>
      <c r="J1594" t="s">
        <v>9</v>
      </c>
      <c r="K1594" s="2" t="str">
        <f>IFERROR(INDEX(Product_lookup[Category],MATCH(RawWorking[[#This Row],[ProductID]],Product_lookup[ProductID],0)),"")</f>
        <v>Home</v>
      </c>
      <c r="L1594" s="9">
        <f>IF(OR(RawWorking[[#This Row],[ShipDate]]="",RawWorking[[#This Row],[DeliveryDate]]=""),"",RawWorking[[#This Row],[DeliveryDate]]-RawWorking[[#This Row],[ShipDate]])</f>
        <v>236</v>
      </c>
      <c r="M1594" s="9">
        <f>IF(COUNTIF(INDEX(RawWorking[OrderID],1):RawWorking[[#This Row],[OrderID]],RawWorking[[#This Row],[OrderID]])=1,1,0)</f>
        <v>0</v>
      </c>
      <c r="N1594" s="4">
        <f>IFERROR(RawWorking[[#This Row],[LineAmount]]/RawWorking[[#This Row],[Quantity]],"")</f>
        <v>253.86</v>
      </c>
    </row>
    <row r="1595" spans="1:14">
      <c r="A1595">
        <v>51594</v>
      </c>
      <c r="B1595">
        <v>30924</v>
      </c>
      <c r="C1595" s="2">
        <v>45964</v>
      </c>
      <c r="D1595">
        <v>2557</v>
      </c>
      <c r="E1595">
        <v>1015</v>
      </c>
      <c r="F1595">
        <v>1</v>
      </c>
      <c r="G1595">
        <v>119.74</v>
      </c>
      <c r="H1595" s="2">
        <v>45967</v>
      </c>
      <c r="I1595" s="2">
        <v>45968</v>
      </c>
      <c r="J1595" t="s">
        <v>9</v>
      </c>
      <c r="K1595" s="2" t="str">
        <f>IFERROR(INDEX(Product_lookup[Category],MATCH(RawWorking[[#This Row],[ProductID]],Product_lookup[ProductID],0)),"")</f>
        <v>Sports</v>
      </c>
      <c r="L1595" s="9">
        <f>IF(OR(RawWorking[[#This Row],[ShipDate]]="",RawWorking[[#This Row],[DeliveryDate]]=""),"",RawWorking[[#This Row],[DeliveryDate]]-RawWorking[[#This Row],[ShipDate]])</f>
        <v>1</v>
      </c>
      <c r="M1595" s="9">
        <f>IF(COUNTIF(INDEX(RawWorking[OrderID],1):RawWorking[[#This Row],[OrderID]],RawWorking[[#This Row],[OrderID]])=1,1,0)</f>
        <v>1</v>
      </c>
      <c r="N1595" s="4">
        <f>IFERROR(RawWorking[[#This Row],[LineAmount]]/RawWorking[[#This Row],[Quantity]],"")</f>
        <v>119.74</v>
      </c>
    </row>
    <row r="1596" spans="1:14">
      <c r="A1596">
        <v>51595</v>
      </c>
      <c r="B1596">
        <v>30925</v>
      </c>
      <c r="C1596" s="2">
        <v>45948</v>
      </c>
      <c r="D1596">
        <v>2282</v>
      </c>
      <c r="E1596">
        <v>1006</v>
      </c>
      <c r="F1596">
        <v>1</v>
      </c>
      <c r="G1596">
        <v>253.86</v>
      </c>
      <c r="H1596" s="2" t="s">
        <v>1421</v>
      </c>
      <c r="I1596" s="2" t="s">
        <v>1421</v>
      </c>
      <c r="J1596" t="s">
        <v>12</v>
      </c>
      <c r="K1596" s="2" t="str">
        <f>IFERROR(INDEX(Product_lookup[Category],MATCH(RawWorking[[#This Row],[ProductID]],Product_lookup[ProductID],0)),"")</f>
        <v>Home</v>
      </c>
      <c r="L1596" s="9" t="str">
        <f>IF(OR(RawWorking[[#This Row],[ShipDate]]="",RawWorking[[#This Row],[DeliveryDate]]=""),"",RawWorking[[#This Row],[DeliveryDate]]-RawWorking[[#This Row],[ShipDate]])</f>
        <v/>
      </c>
      <c r="M1596" s="9">
        <f>IF(COUNTIF(INDEX(RawWorking[OrderID],1):RawWorking[[#This Row],[OrderID]],RawWorking[[#This Row],[OrderID]])=1,1,0)</f>
        <v>1</v>
      </c>
      <c r="N1596" s="4">
        <f>IFERROR(RawWorking[[#This Row],[LineAmount]]/RawWorking[[#This Row],[Quantity]],"")</f>
        <v>253.86</v>
      </c>
    </row>
    <row r="1597" spans="1:14">
      <c r="A1597">
        <v>51596</v>
      </c>
      <c r="B1597">
        <v>30925</v>
      </c>
      <c r="C1597" s="2">
        <v>45948</v>
      </c>
      <c r="D1597">
        <v>2282</v>
      </c>
      <c r="E1597">
        <v>1003</v>
      </c>
      <c r="F1597">
        <v>1</v>
      </c>
      <c r="G1597">
        <v>224.37</v>
      </c>
      <c r="H1597" s="2" t="s">
        <v>1421</v>
      </c>
      <c r="I1597" s="2" t="s">
        <v>1421</v>
      </c>
      <c r="J1597" t="s">
        <v>12</v>
      </c>
      <c r="K1597" s="2" t="str">
        <f>IFERROR(INDEX(Product_lookup[Category],MATCH(RawWorking[[#This Row],[ProductID]],Product_lookup[ProductID],0)),"")</f>
        <v>Electronics</v>
      </c>
      <c r="L1597" s="9" t="str">
        <f>IF(OR(RawWorking[[#This Row],[ShipDate]]="",RawWorking[[#This Row],[DeliveryDate]]=""),"",RawWorking[[#This Row],[DeliveryDate]]-RawWorking[[#This Row],[ShipDate]])</f>
        <v/>
      </c>
      <c r="M1597" s="9">
        <f>IF(COUNTIF(INDEX(RawWorking[OrderID],1):RawWorking[[#This Row],[OrderID]],RawWorking[[#This Row],[OrderID]])=1,1,0)</f>
        <v>0</v>
      </c>
      <c r="N1597" s="4">
        <f>IFERROR(RawWorking[[#This Row],[LineAmount]]/RawWorking[[#This Row],[Quantity]],"")</f>
        <v>224.37</v>
      </c>
    </row>
    <row r="1598" spans="1:14">
      <c r="A1598">
        <v>51597</v>
      </c>
      <c r="B1598">
        <v>30925</v>
      </c>
      <c r="C1598" s="2">
        <v>45948</v>
      </c>
      <c r="D1598">
        <v>2282</v>
      </c>
      <c r="E1598">
        <v>1005</v>
      </c>
      <c r="F1598">
        <v>1</v>
      </c>
      <c r="G1598">
        <v>31.73</v>
      </c>
      <c r="H1598" s="2" t="s">
        <v>1421</v>
      </c>
      <c r="I1598" s="2" t="s">
        <v>1421</v>
      </c>
      <c r="J1598" t="s">
        <v>12</v>
      </c>
      <c r="K1598" s="2" t="str">
        <f>IFERROR(INDEX(Product_lookup[Category],MATCH(RawWorking[[#This Row],[ProductID]],Product_lookup[ProductID],0)),"")</f>
        <v>Electronics</v>
      </c>
      <c r="L1598" s="9" t="str">
        <f>IF(OR(RawWorking[[#This Row],[ShipDate]]="",RawWorking[[#This Row],[DeliveryDate]]=""),"",RawWorking[[#This Row],[DeliveryDate]]-RawWorking[[#This Row],[ShipDate]])</f>
        <v/>
      </c>
      <c r="M1598" s="9">
        <f>IF(COUNTIF(INDEX(RawWorking[OrderID],1):RawWorking[[#This Row],[OrderID]],RawWorking[[#This Row],[OrderID]])=1,1,0)</f>
        <v>0</v>
      </c>
      <c r="N1598" s="4">
        <f>IFERROR(RawWorking[[#This Row],[LineAmount]]/RawWorking[[#This Row],[Quantity]],"")</f>
        <v>31.73</v>
      </c>
    </row>
    <row r="1599" spans="1:14">
      <c r="A1599">
        <v>51598</v>
      </c>
      <c r="B1599">
        <v>30926</v>
      </c>
      <c r="C1599" s="2">
        <v>45844</v>
      </c>
      <c r="D1599">
        <v>2461</v>
      </c>
      <c r="E1599">
        <v>1009</v>
      </c>
      <c r="F1599">
        <v>2</v>
      </c>
      <c r="G1599">
        <v>80.56</v>
      </c>
      <c r="H1599" s="2">
        <v>45846</v>
      </c>
      <c r="I1599" s="2">
        <v>45856</v>
      </c>
      <c r="J1599" t="s">
        <v>9</v>
      </c>
      <c r="K1599" s="2" t="str">
        <f>IFERROR(INDEX(Product_lookup[Category],MATCH(RawWorking[[#This Row],[ProductID]],Product_lookup[ProductID],0)),"")</f>
        <v>Home</v>
      </c>
      <c r="L1599" s="9">
        <f>IF(OR(RawWorking[[#This Row],[ShipDate]]="",RawWorking[[#This Row],[DeliveryDate]]=""),"",RawWorking[[#This Row],[DeliveryDate]]-RawWorking[[#This Row],[ShipDate]])</f>
        <v>10</v>
      </c>
      <c r="M1599" s="9">
        <f>IF(COUNTIF(INDEX(RawWorking[OrderID],1):RawWorking[[#This Row],[OrderID]],RawWorking[[#This Row],[OrderID]])=1,1,0)</f>
        <v>1</v>
      </c>
      <c r="N1599" s="4">
        <f>IFERROR(RawWorking[[#This Row],[LineAmount]]/RawWorking[[#This Row],[Quantity]],"")</f>
        <v>40.28</v>
      </c>
    </row>
    <row r="1600" spans="1:14">
      <c r="A1600">
        <v>51599</v>
      </c>
      <c r="B1600">
        <v>30927</v>
      </c>
      <c r="C1600" s="2">
        <v>46020</v>
      </c>
      <c r="D1600">
        <v>2555</v>
      </c>
      <c r="E1600">
        <v>1001</v>
      </c>
      <c r="F1600">
        <v>1</v>
      </c>
      <c r="G1600">
        <v>203.04</v>
      </c>
      <c r="H1600" s="2">
        <v>46023</v>
      </c>
      <c r="I1600" s="2">
        <v>46174</v>
      </c>
      <c r="J1600" t="s">
        <v>9</v>
      </c>
      <c r="K1600" s="2" t="str">
        <f>IFERROR(INDEX(Product_lookup[Category],MATCH(RawWorking[[#This Row],[ProductID]],Product_lookup[ProductID],0)),"")</f>
        <v>Electronics</v>
      </c>
      <c r="L1600" s="9">
        <f>IF(OR(RawWorking[[#This Row],[ShipDate]]="",RawWorking[[#This Row],[DeliveryDate]]=""),"",RawWorking[[#This Row],[DeliveryDate]]-RawWorking[[#This Row],[ShipDate]])</f>
        <v>151</v>
      </c>
      <c r="M1600" s="9">
        <f>IF(COUNTIF(INDEX(RawWorking[OrderID],1):RawWorking[[#This Row],[OrderID]],RawWorking[[#This Row],[OrderID]])=1,1,0)</f>
        <v>1</v>
      </c>
      <c r="N1600" s="4">
        <f>IFERROR(RawWorking[[#This Row],[LineAmount]]/RawWorking[[#This Row],[Quantity]],"")</f>
        <v>203.04</v>
      </c>
    </row>
    <row r="1601" spans="1:14">
      <c r="A1601">
        <v>51600</v>
      </c>
      <c r="B1601">
        <v>30927</v>
      </c>
      <c r="C1601" s="2">
        <v>46020</v>
      </c>
      <c r="D1601">
        <v>2555</v>
      </c>
      <c r="E1601">
        <v>1013</v>
      </c>
      <c r="F1601">
        <v>1</v>
      </c>
      <c r="G1601">
        <v>170.25</v>
      </c>
      <c r="H1601" s="2">
        <v>46023</v>
      </c>
      <c r="I1601" s="2">
        <v>46327</v>
      </c>
      <c r="J1601" t="s">
        <v>9</v>
      </c>
      <c r="K1601" s="2" t="str">
        <f>IFERROR(INDEX(Product_lookup[Category],MATCH(RawWorking[[#This Row],[ProductID]],Product_lookup[ProductID],0)),"")</f>
        <v>Office</v>
      </c>
      <c r="L1601" s="9">
        <f>IF(OR(RawWorking[[#This Row],[ShipDate]]="",RawWorking[[#This Row],[DeliveryDate]]=""),"",RawWorking[[#This Row],[DeliveryDate]]-RawWorking[[#This Row],[ShipDate]])</f>
        <v>304</v>
      </c>
      <c r="M1601" s="9">
        <f>IF(COUNTIF(INDEX(RawWorking[OrderID],1):RawWorking[[#This Row],[OrderID]],RawWorking[[#This Row],[OrderID]])=1,1,0)</f>
        <v>0</v>
      </c>
      <c r="N1601" s="4">
        <f>IFERROR(RawWorking[[#This Row],[LineAmount]]/RawWorking[[#This Row],[Quantity]],"")</f>
        <v>170.25</v>
      </c>
    </row>
    <row r="1602" spans="1:14">
      <c r="A1602">
        <v>51601</v>
      </c>
      <c r="B1602">
        <v>30927</v>
      </c>
      <c r="C1602" s="2">
        <v>46020</v>
      </c>
      <c r="D1602">
        <v>2555</v>
      </c>
      <c r="E1602">
        <v>1006</v>
      </c>
      <c r="F1602">
        <v>2</v>
      </c>
      <c r="G1602">
        <v>507.72</v>
      </c>
      <c r="H1602" s="2">
        <v>46021</v>
      </c>
      <c r="I1602" s="2">
        <v>46143</v>
      </c>
      <c r="J1602" t="s">
        <v>9</v>
      </c>
      <c r="K1602" s="2" t="str">
        <f>IFERROR(INDEX(Product_lookup[Category],MATCH(RawWorking[[#This Row],[ProductID]],Product_lookup[ProductID],0)),"")</f>
        <v>Home</v>
      </c>
      <c r="L1602" s="9">
        <f>IF(OR(RawWorking[[#This Row],[ShipDate]]="",RawWorking[[#This Row],[DeliveryDate]]=""),"",RawWorking[[#This Row],[DeliveryDate]]-RawWorking[[#This Row],[ShipDate]])</f>
        <v>122</v>
      </c>
      <c r="M1602" s="9">
        <f>IF(COUNTIF(INDEX(RawWorking[OrderID],1):RawWorking[[#This Row],[OrderID]],RawWorking[[#This Row],[OrderID]])=1,1,0)</f>
        <v>0</v>
      </c>
      <c r="N1602" s="4">
        <f>IFERROR(RawWorking[[#This Row],[LineAmount]]/RawWorking[[#This Row],[Quantity]],"")</f>
        <v>253.86</v>
      </c>
    </row>
    <row r="1603" spans="1:14">
      <c r="A1603">
        <v>51602</v>
      </c>
      <c r="B1603">
        <v>30928</v>
      </c>
      <c r="C1603" s="2">
        <v>45676</v>
      </c>
      <c r="D1603">
        <v>2020</v>
      </c>
      <c r="E1603">
        <v>1012</v>
      </c>
      <c r="F1603">
        <v>2</v>
      </c>
      <c r="G1603">
        <v>483.08</v>
      </c>
      <c r="H1603" s="2">
        <v>45679</v>
      </c>
      <c r="I1603" s="2">
        <v>45689</v>
      </c>
      <c r="J1603" t="s">
        <v>9</v>
      </c>
      <c r="K1603" s="2" t="str">
        <f>IFERROR(INDEX(Product_lookup[Category],MATCH(RawWorking[[#This Row],[ProductID]],Product_lookup[ProductID],0)),"")</f>
        <v>Office</v>
      </c>
      <c r="L1603" s="9">
        <f>IF(OR(RawWorking[[#This Row],[ShipDate]]="",RawWorking[[#This Row],[DeliveryDate]]=""),"",RawWorking[[#This Row],[DeliveryDate]]-RawWorking[[#This Row],[ShipDate]])</f>
        <v>10</v>
      </c>
      <c r="M1603" s="9">
        <f>IF(COUNTIF(INDEX(RawWorking[OrderID],1):RawWorking[[#This Row],[OrderID]],RawWorking[[#This Row],[OrderID]])=1,1,0)</f>
        <v>1</v>
      </c>
      <c r="N1603" s="4">
        <f>IFERROR(RawWorking[[#This Row],[LineAmount]]/RawWorking[[#This Row],[Quantity]],"")</f>
        <v>241.54</v>
      </c>
    </row>
    <row r="1604" spans="1:14">
      <c r="A1604">
        <v>51603</v>
      </c>
      <c r="B1604">
        <v>30928</v>
      </c>
      <c r="C1604" s="2">
        <v>45676</v>
      </c>
      <c r="D1604">
        <v>2020</v>
      </c>
      <c r="E1604">
        <v>1008</v>
      </c>
      <c r="F1604">
        <v>1</v>
      </c>
      <c r="G1604">
        <v>206.09</v>
      </c>
      <c r="H1604" s="2">
        <v>45679</v>
      </c>
      <c r="I1604" s="2">
        <v>45684</v>
      </c>
      <c r="J1604" t="s">
        <v>9</v>
      </c>
      <c r="K1604" s="2" t="str">
        <f>IFERROR(INDEX(Product_lookup[Category],MATCH(RawWorking[[#This Row],[ProductID]],Product_lookup[ProductID],0)),"")</f>
        <v>Home</v>
      </c>
      <c r="L1604" s="9">
        <f>IF(OR(RawWorking[[#This Row],[ShipDate]]="",RawWorking[[#This Row],[DeliveryDate]]=""),"",RawWorking[[#This Row],[DeliveryDate]]-RawWorking[[#This Row],[ShipDate]])</f>
        <v>5</v>
      </c>
      <c r="M1604" s="9">
        <f>IF(COUNTIF(INDEX(RawWorking[OrderID],1):RawWorking[[#This Row],[OrderID]],RawWorking[[#This Row],[OrderID]])=1,1,0)</f>
        <v>0</v>
      </c>
      <c r="N1604" s="4">
        <f>IFERROR(RawWorking[[#This Row],[LineAmount]]/RawWorking[[#This Row],[Quantity]],"")</f>
        <v>206.09</v>
      </c>
    </row>
    <row r="1605" spans="1:14">
      <c r="A1605">
        <v>51604</v>
      </c>
      <c r="B1605">
        <v>30928</v>
      </c>
      <c r="C1605" s="2">
        <v>45676</v>
      </c>
      <c r="D1605">
        <v>2020</v>
      </c>
      <c r="E1605">
        <v>1011</v>
      </c>
      <c r="F1605">
        <v>2</v>
      </c>
      <c r="G1605">
        <v>202.88</v>
      </c>
      <c r="H1605" s="2">
        <v>45679</v>
      </c>
      <c r="I1605" s="2">
        <v>45682</v>
      </c>
      <c r="J1605" t="s">
        <v>9</v>
      </c>
      <c r="K1605" s="2" t="str">
        <f>IFERROR(INDEX(Product_lookup[Category],MATCH(RawWorking[[#This Row],[ProductID]],Product_lookup[ProductID],0)),"")</f>
        <v>Office</v>
      </c>
      <c r="L1605" s="9">
        <f>IF(OR(RawWorking[[#This Row],[ShipDate]]="",RawWorking[[#This Row],[DeliveryDate]]=""),"",RawWorking[[#This Row],[DeliveryDate]]-RawWorking[[#This Row],[ShipDate]])</f>
        <v>3</v>
      </c>
      <c r="M1605" s="9">
        <f>IF(COUNTIF(INDEX(RawWorking[OrderID],1):RawWorking[[#This Row],[OrderID]],RawWorking[[#This Row],[OrderID]])=1,1,0)</f>
        <v>0</v>
      </c>
      <c r="N1605" s="4">
        <f>IFERROR(RawWorking[[#This Row],[LineAmount]]/RawWorking[[#This Row],[Quantity]],"")</f>
        <v>101.44</v>
      </c>
    </row>
    <row r="1606" spans="1:14">
      <c r="A1606">
        <v>51605</v>
      </c>
      <c r="B1606">
        <v>30929</v>
      </c>
      <c r="C1606" s="2">
        <v>45933</v>
      </c>
      <c r="D1606">
        <v>2065</v>
      </c>
      <c r="E1606">
        <v>1013</v>
      </c>
      <c r="F1606">
        <v>4</v>
      </c>
      <c r="G1606">
        <v>681</v>
      </c>
      <c r="H1606" s="2">
        <v>45935</v>
      </c>
      <c r="I1606" s="2">
        <v>45945</v>
      </c>
      <c r="J1606" t="s">
        <v>9</v>
      </c>
      <c r="K1606" s="2" t="str">
        <f>IFERROR(INDEX(Product_lookup[Category],MATCH(RawWorking[[#This Row],[ProductID]],Product_lookup[ProductID],0)),"")</f>
        <v>Office</v>
      </c>
      <c r="L1606" s="9">
        <f>IF(OR(RawWorking[[#This Row],[ShipDate]]="",RawWorking[[#This Row],[DeliveryDate]]=""),"",RawWorking[[#This Row],[DeliveryDate]]-RawWorking[[#This Row],[ShipDate]])</f>
        <v>10</v>
      </c>
      <c r="M1606" s="9">
        <f>IF(COUNTIF(INDEX(RawWorking[OrderID],1):RawWorking[[#This Row],[OrderID]],RawWorking[[#This Row],[OrderID]])=1,1,0)</f>
        <v>1</v>
      </c>
      <c r="N1606" s="4">
        <f>IFERROR(RawWorking[[#This Row],[LineAmount]]/RawWorking[[#This Row],[Quantity]],"")</f>
        <v>170.25</v>
      </c>
    </row>
    <row r="1607" spans="1:14">
      <c r="A1607">
        <v>51606</v>
      </c>
      <c r="B1607">
        <v>30929</v>
      </c>
      <c r="C1607" s="2">
        <v>45933</v>
      </c>
      <c r="D1607">
        <v>2065</v>
      </c>
      <c r="E1607">
        <v>1007</v>
      </c>
      <c r="F1607">
        <v>1</v>
      </c>
      <c r="G1607">
        <v>199.81</v>
      </c>
      <c r="H1607" s="2">
        <v>45936</v>
      </c>
      <c r="I1607" s="2">
        <v>45940</v>
      </c>
      <c r="J1607" t="s">
        <v>9</v>
      </c>
      <c r="K1607" s="2" t="str">
        <f>IFERROR(INDEX(Product_lookup[Category],MATCH(RawWorking[[#This Row],[ProductID]],Product_lookup[ProductID],0)),"")</f>
        <v>Home</v>
      </c>
      <c r="L1607" s="9">
        <f>IF(OR(RawWorking[[#This Row],[ShipDate]]="",RawWorking[[#This Row],[DeliveryDate]]=""),"",RawWorking[[#This Row],[DeliveryDate]]-RawWorking[[#This Row],[ShipDate]])</f>
        <v>4</v>
      </c>
      <c r="M1607" s="9">
        <f>IF(COUNTIF(INDEX(RawWorking[OrderID],1):RawWorking[[#This Row],[OrderID]],RawWorking[[#This Row],[OrderID]])=1,1,0)</f>
        <v>0</v>
      </c>
      <c r="N1607" s="4">
        <f>IFERROR(RawWorking[[#This Row],[LineAmount]]/RawWorking[[#This Row],[Quantity]],"")</f>
        <v>199.81</v>
      </c>
    </row>
    <row r="1608" spans="1:14">
      <c r="A1608">
        <v>51607</v>
      </c>
      <c r="B1608">
        <v>30930</v>
      </c>
      <c r="C1608" s="2">
        <v>45831</v>
      </c>
      <c r="D1608">
        <v>2537</v>
      </c>
      <c r="E1608">
        <v>1005</v>
      </c>
      <c r="F1608">
        <v>1</v>
      </c>
      <c r="G1608">
        <v>31.73</v>
      </c>
      <c r="H1608" s="2">
        <v>45834</v>
      </c>
      <c r="I1608" s="2">
        <v>45839</v>
      </c>
      <c r="J1608" t="s">
        <v>9</v>
      </c>
      <c r="K1608" s="2" t="str">
        <f>IFERROR(INDEX(Product_lookup[Category],MATCH(RawWorking[[#This Row],[ProductID]],Product_lookup[ProductID],0)),"")</f>
        <v>Electronics</v>
      </c>
      <c r="L1608" s="9">
        <f>IF(OR(RawWorking[[#This Row],[ShipDate]]="",RawWorking[[#This Row],[DeliveryDate]]=""),"",RawWorking[[#This Row],[DeliveryDate]]-RawWorking[[#This Row],[ShipDate]])</f>
        <v>5</v>
      </c>
      <c r="M1608" s="9">
        <f>IF(COUNTIF(INDEX(RawWorking[OrderID],1):RawWorking[[#This Row],[OrderID]],RawWorking[[#This Row],[OrderID]])=1,1,0)</f>
        <v>1</v>
      </c>
      <c r="N1608" s="4">
        <f>IFERROR(RawWorking[[#This Row],[LineAmount]]/RawWorking[[#This Row],[Quantity]],"")</f>
        <v>31.73</v>
      </c>
    </row>
    <row r="1609" spans="1:14">
      <c r="A1609">
        <v>51608</v>
      </c>
      <c r="B1609">
        <v>30930</v>
      </c>
      <c r="C1609" s="2">
        <v>45831</v>
      </c>
      <c r="D1609">
        <v>2537</v>
      </c>
      <c r="E1609">
        <v>1010</v>
      </c>
      <c r="F1609">
        <v>1</v>
      </c>
      <c r="G1609">
        <v>121.5</v>
      </c>
      <c r="H1609" s="2">
        <v>45834</v>
      </c>
      <c r="I1609" s="2">
        <v>45836</v>
      </c>
      <c r="J1609" t="s">
        <v>9</v>
      </c>
      <c r="K1609" s="2" t="str">
        <f>IFERROR(INDEX(Product_lookup[Category],MATCH(RawWorking[[#This Row],[ProductID]],Product_lookup[ProductID],0)),"")</f>
        <v>Office</v>
      </c>
      <c r="L1609" s="9">
        <f>IF(OR(RawWorking[[#This Row],[ShipDate]]="",RawWorking[[#This Row],[DeliveryDate]]=""),"",RawWorking[[#This Row],[DeliveryDate]]-RawWorking[[#This Row],[ShipDate]])</f>
        <v>2</v>
      </c>
      <c r="M1609" s="9">
        <f>IF(COUNTIF(INDEX(RawWorking[OrderID],1):RawWorking[[#This Row],[OrderID]],RawWorking[[#This Row],[OrderID]])=1,1,0)</f>
        <v>0</v>
      </c>
      <c r="N1609" s="4">
        <f>IFERROR(RawWorking[[#This Row],[LineAmount]]/RawWorking[[#This Row],[Quantity]],"")</f>
        <v>121.5</v>
      </c>
    </row>
    <row r="1610" spans="1:14">
      <c r="A1610">
        <v>51609</v>
      </c>
      <c r="B1610">
        <v>30931</v>
      </c>
      <c r="C1610" s="2">
        <v>45806</v>
      </c>
      <c r="D1610">
        <v>2331</v>
      </c>
      <c r="E1610">
        <v>1011</v>
      </c>
      <c r="F1610">
        <v>2</v>
      </c>
      <c r="G1610">
        <v>202.88</v>
      </c>
      <c r="H1610" s="2">
        <v>45808</v>
      </c>
      <c r="I1610" s="2">
        <v>45811</v>
      </c>
      <c r="J1610" t="s">
        <v>9</v>
      </c>
      <c r="K1610" s="2" t="str">
        <f>IFERROR(INDEX(Product_lookup[Category],MATCH(RawWorking[[#This Row],[ProductID]],Product_lookup[ProductID],0)),"")</f>
        <v>Office</v>
      </c>
      <c r="L1610" s="9">
        <f>IF(OR(RawWorking[[#This Row],[ShipDate]]="",RawWorking[[#This Row],[DeliveryDate]]=""),"",RawWorking[[#This Row],[DeliveryDate]]-RawWorking[[#This Row],[ShipDate]])</f>
        <v>3</v>
      </c>
      <c r="M1610" s="9">
        <f>IF(COUNTIF(INDEX(RawWorking[OrderID],1):RawWorking[[#This Row],[OrderID]],RawWorking[[#This Row],[OrderID]])=1,1,0)</f>
        <v>1</v>
      </c>
      <c r="N1610" s="4">
        <f>IFERROR(RawWorking[[#This Row],[LineAmount]]/RawWorking[[#This Row],[Quantity]],"")</f>
        <v>101.44</v>
      </c>
    </row>
    <row r="1611" spans="1:14">
      <c r="A1611">
        <v>51610</v>
      </c>
      <c r="B1611">
        <v>30932</v>
      </c>
      <c r="C1611" s="2">
        <v>45719</v>
      </c>
      <c r="D1611">
        <v>2114</v>
      </c>
      <c r="E1611">
        <v>1003</v>
      </c>
      <c r="F1611">
        <v>1</v>
      </c>
      <c r="G1611">
        <v>224.37</v>
      </c>
      <c r="H1611" s="2">
        <v>45722</v>
      </c>
      <c r="I1611" s="2">
        <v>45731</v>
      </c>
      <c r="J1611" t="s">
        <v>9</v>
      </c>
      <c r="K1611" s="2" t="str">
        <f>IFERROR(INDEX(Product_lookup[Category],MATCH(RawWorking[[#This Row],[ProductID]],Product_lookup[ProductID],0)),"")</f>
        <v>Electronics</v>
      </c>
      <c r="L1611" s="9">
        <f>IF(OR(RawWorking[[#This Row],[ShipDate]]="",RawWorking[[#This Row],[DeliveryDate]]=""),"",RawWorking[[#This Row],[DeliveryDate]]-RawWorking[[#This Row],[ShipDate]])</f>
        <v>9</v>
      </c>
      <c r="M1611" s="9">
        <f>IF(COUNTIF(INDEX(RawWorking[OrderID],1):RawWorking[[#This Row],[OrderID]],RawWorking[[#This Row],[OrderID]])=1,1,0)</f>
        <v>1</v>
      </c>
      <c r="N1611" s="4">
        <f>IFERROR(RawWorking[[#This Row],[LineAmount]]/RawWorking[[#This Row],[Quantity]],"")</f>
        <v>224.37</v>
      </c>
    </row>
    <row r="1612" spans="1:14">
      <c r="A1612">
        <v>51611</v>
      </c>
      <c r="B1612">
        <v>30932</v>
      </c>
      <c r="C1612" s="2">
        <v>45719</v>
      </c>
      <c r="D1612">
        <v>2114</v>
      </c>
      <c r="E1612">
        <v>1002</v>
      </c>
      <c r="F1612">
        <v>1</v>
      </c>
      <c r="G1612">
        <v>118.6</v>
      </c>
      <c r="H1612" s="2">
        <v>45722</v>
      </c>
      <c r="I1612" s="2">
        <v>45728</v>
      </c>
      <c r="J1612" t="s">
        <v>9</v>
      </c>
      <c r="K1612" s="2" t="str">
        <f>IFERROR(INDEX(Product_lookup[Category],MATCH(RawWorking[[#This Row],[ProductID]],Product_lookup[ProductID],0)),"")</f>
        <v>Electronics</v>
      </c>
      <c r="L1612" s="9">
        <f>IF(OR(RawWorking[[#This Row],[ShipDate]]="",RawWorking[[#This Row],[DeliveryDate]]=""),"",RawWorking[[#This Row],[DeliveryDate]]-RawWorking[[#This Row],[ShipDate]])</f>
        <v>6</v>
      </c>
      <c r="M1612" s="9">
        <f>IF(COUNTIF(INDEX(RawWorking[OrderID],1):RawWorking[[#This Row],[OrderID]],RawWorking[[#This Row],[OrderID]])=1,1,0)</f>
        <v>0</v>
      </c>
      <c r="N1612" s="4">
        <f>IFERROR(RawWorking[[#This Row],[LineAmount]]/RawWorking[[#This Row],[Quantity]],"")</f>
        <v>118.6</v>
      </c>
    </row>
    <row r="1613" spans="1:14">
      <c r="A1613">
        <v>51612</v>
      </c>
      <c r="B1613">
        <v>30933</v>
      </c>
      <c r="C1613" s="2">
        <v>45941</v>
      </c>
      <c r="D1613">
        <v>2133</v>
      </c>
      <c r="E1613">
        <v>1002</v>
      </c>
      <c r="F1613">
        <v>1</v>
      </c>
      <c r="G1613">
        <v>118.6</v>
      </c>
      <c r="H1613" s="2">
        <v>45942</v>
      </c>
      <c r="I1613" s="2">
        <v>45944</v>
      </c>
      <c r="J1613" t="s">
        <v>9</v>
      </c>
      <c r="K1613" s="2" t="str">
        <f>IFERROR(INDEX(Product_lookup[Category],MATCH(RawWorking[[#This Row],[ProductID]],Product_lookup[ProductID],0)),"")</f>
        <v>Electronics</v>
      </c>
      <c r="L1613" s="9">
        <f>IF(OR(RawWorking[[#This Row],[ShipDate]]="",RawWorking[[#This Row],[DeliveryDate]]=""),"",RawWorking[[#This Row],[DeliveryDate]]-RawWorking[[#This Row],[ShipDate]])</f>
        <v>2</v>
      </c>
      <c r="M1613" s="9">
        <f>IF(COUNTIF(INDEX(RawWorking[OrderID],1):RawWorking[[#This Row],[OrderID]],RawWorking[[#This Row],[OrderID]])=1,1,0)</f>
        <v>1</v>
      </c>
      <c r="N1613" s="4">
        <f>IFERROR(RawWorking[[#This Row],[LineAmount]]/RawWorking[[#This Row],[Quantity]],"")</f>
        <v>118.6</v>
      </c>
    </row>
    <row r="1614" spans="1:14">
      <c r="A1614">
        <v>51613</v>
      </c>
      <c r="B1614">
        <v>30934</v>
      </c>
      <c r="C1614" s="2">
        <v>45965</v>
      </c>
      <c r="D1614">
        <v>2207</v>
      </c>
      <c r="E1614">
        <v>1007</v>
      </c>
      <c r="F1614">
        <v>1</v>
      </c>
      <c r="G1614">
        <v>199.81</v>
      </c>
      <c r="H1614" s="2">
        <v>45967</v>
      </c>
      <c r="I1614" s="2">
        <v>45969</v>
      </c>
      <c r="J1614" t="s">
        <v>9</v>
      </c>
      <c r="K1614" s="2" t="str">
        <f>IFERROR(INDEX(Product_lookup[Category],MATCH(RawWorking[[#This Row],[ProductID]],Product_lookup[ProductID],0)),"")</f>
        <v>Home</v>
      </c>
      <c r="L1614" s="9">
        <f>IF(OR(RawWorking[[#This Row],[ShipDate]]="",RawWorking[[#This Row],[DeliveryDate]]=""),"",RawWorking[[#This Row],[DeliveryDate]]-RawWorking[[#This Row],[ShipDate]])</f>
        <v>2</v>
      </c>
      <c r="M1614" s="9">
        <f>IF(COUNTIF(INDEX(RawWorking[OrderID],1):RawWorking[[#This Row],[OrderID]],RawWorking[[#This Row],[OrderID]])=1,1,0)</f>
        <v>1</v>
      </c>
      <c r="N1614" s="4">
        <f>IFERROR(RawWorking[[#This Row],[LineAmount]]/RawWorking[[#This Row],[Quantity]],"")</f>
        <v>199.81</v>
      </c>
    </row>
    <row r="1615" spans="1:14">
      <c r="A1615">
        <v>51614</v>
      </c>
      <c r="B1615">
        <v>30934</v>
      </c>
      <c r="C1615" s="2">
        <v>45758</v>
      </c>
      <c r="D1615">
        <v>2207</v>
      </c>
      <c r="E1615">
        <v>1004</v>
      </c>
      <c r="F1615">
        <v>2</v>
      </c>
      <c r="G1615">
        <v>367.48</v>
      </c>
      <c r="H1615" s="2">
        <v>45788</v>
      </c>
      <c r="I1615" s="2">
        <v>45972</v>
      </c>
      <c r="J1615" t="s">
        <v>9</v>
      </c>
      <c r="K1615" s="2" t="str">
        <f>IFERROR(INDEX(Product_lookup[Category],MATCH(RawWorking[[#This Row],[ProductID]],Product_lookup[ProductID],0)),"")</f>
        <v>Electronics</v>
      </c>
      <c r="L1615" s="9">
        <f>IF(OR(RawWorking[[#This Row],[ShipDate]]="",RawWorking[[#This Row],[DeliveryDate]]=""),"",RawWorking[[#This Row],[DeliveryDate]]-RawWorking[[#This Row],[ShipDate]])</f>
        <v>184</v>
      </c>
      <c r="M1615" s="9">
        <f>IF(COUNTIF(INDEX(RawWorking[OrderID],1):RawWorking[[#This Row],[OrderID]],RawWorking[[#This Row],[OrderID]])=1,1,0)</f>
        <v>0</v>
      </c>
      <c r="N1615" s="4">
        <f>IFERROR(RawWorking[[#This Row],[LineAmount]]/RawWorking[[#This Row],[Quantity]],"")</f>
        <v>183.74</v>
      </c>
    </row>
    <row r="1616" spans="1:14">
      <c r="A1616">
        <v>51615</v>
      </c>
      <c r="B1616">
        <v>30934</v>
      </c>
      <c r="C1616" s="2">
        <v>45965</v>
      </c>
      <c r="D1616">
        <v>2207</v>
      </c>
      <c r="E1616">
        <v>1002</v>
      </c>
      <c r="F1616">
        <v>1</v>
      </c>
      <c r="G1616">
        <v>118.6</v>
      </c>
      <c r="H1616" s="2">
        <v>45966</v>
      </c>
      <c r="I1616" s="2">
        <v>45974</v>
      </c>
      <c r="J1616" t="s">
        <v>9</v>
      </c>
      <c r="K1616" s="2" t="str">
        <f>IFERROR(INDEX(Product_lookup[Category],MATCH(RawWorking[[#This Row],[ProductID]],Product_lookup[ProductID],0)),"")</f>
        <v>Electronics</v>
      </c>
      <c r="L1616" s="9">
        <f>IF(OR(RawWorking[[#This Row],[ShipDate]]="",RawWorking[[#This Row],[DeliveryDate]]=""),"",RawWorking[[#This Row],[DeliveryDate]]-RawWorking[[#This Row],[ShipDate]])</f>
        <v>8</v>
      </c>
      <c r="M1616" s="9">
        <f>IF(COUNTIF(INDEX(RawWorking[OrderID],1):RawWorking[[#This Row],[OrderID]],RawWorking[[#This Row],[OrderID]])=1,1,0)</f>
        <v>0</v>
      </c>
      <c r="N1616" s="4">
        <f>IFERROR(RawWorking[[#This Row],[LineAmount]]/RawWorking[[#This Row],[Quantity]],"")</f>
        <v>118.6</v>
      </c>
    </row>
    <row r="1617" spans="1:14">
      <c r="A1617">
        <v>51616</v>
      </c>
      <c r="B1617">
        <v>30935</v>
      </c>
      <c r="C1617" s="2">
        <v>45754</v>
      </c>
      <c r="D1617">
        <v>2585</v>
      </c>
      <c r="E1617">
        <v>1013</v>
      </c>
      <c r="F1617">
        <v>1</v>
      </c>
      <c r="G1617">
        <v>170.25</v>
      </c>
      <c r="H1617" s="2">
        <v>45756</v>
      </c>
      <c r="I1617" s="2">
        <v>45762</v>
      </c>
      <c r="J1617" t="s">
        <v>9</v>
      </c>
      <c r="K1617" s="2" t="str">
        <f>IFERROR(INDEX(Product_lookup[Category],MATCH(RawWorking[[#This Row],[ProductID]],Product_lookup[ProductID],0)),"")</f>
        <v>Office</v>
      </c>
      <c r="L1617" s="9">
        <f>IF(OR(RawWorking[[#This Row],[ShipDate]]="",RawWorking[[#This Row],[DeliveryDate]]=""),"",RawWorking[[#This Row],[DeliveryDate]]-RawWorking[[#This Row],[ShipDate]])</f>
        <v>6</v>
      </c>
      <c r="M1617" s="9">
        <f>IF(COUNTIF(INDEX(RawWorking[OrderID],1):RawWorking[[#This Row],[OrderID]],RawWorking[[#This Row],[OrderID]])=1,1,0)</f>
        <v>1</v>
      </c>
      <c r="N1617" s="4">
        <f>IFERROR(RawWorking[[#This Row],[LineAmount]]/RawWorking[[#This Row],[Quantity]],"")</f>
        <v>170.25</v>
      </c>
    </row>
    <row r="1618" spans="1:14">
      <c r="A1618">
        <v>51617</v>
      </c>
      <c r="B1618">
        <v>30935</v>
      </c>
      <c r="C1618" s="2">
        <v>45754</v>
      </c>
      <c r="D1618">
        <v>2585</v>
      </c>
      <c r="E1618">
        <v>1016</v>
      </c>
      <c r="F1618">
        <v>1</v>
      </c>
      <c r="G1618">
        <v>65.260000000000005</v>
      </c>
      <c r="H1618" s="2">
        <v>45756</v>
      </c>
      <c r="I1618" s="2">
        <v>45761</v>
      </c>
      <c r="J1618" t="s">
        <v>9</v>
      </c>
      <c r="K1618" s="2" t="str">
        <f>IFERROR(INDEX(Product_lookup[Category],MATCH(RawWorking[[#This Row],[ProductID]],Product_lookup[ProductID],0)),"")</f>
        <v>Sports</v>
      </c>
      <c r="L1618" s="9">
        <f>IF(OR(RawWorking[[#This Row],[ShipDate]]="",RawWorking[[#This Row],[DeliveryDate]]=""),"",RawWorking[[#This Row],[DeliveryDate]]-RawWorking[[#This Row],[ShipDate]])</f>
        <v>5</v>
      </c>
      <c r="M1618" s="9">
        <f>IF(COUNTIF(INDEX(RawWorking[OrderID],1):RawWorking[[#This Row],[OrderID]],RawWorking[[#This Row],[OrderID]])=1,1,0)</f>
        <v>0</v>
      </c>
      <c r="N1618" s="4">
        <f>IFERROR(RawWorking[[#This Row],[LineAmount]]/RawWorking[[#This Row],[Quantity]],"")</f>
        <v>65.260000000000005</v>
      </c>
    </row>
    <row r="1619" spans="1:14">
      <c r="A1619">
        <v>51618</v>
      </c>
      <c r="B1619">
        <v>30936</v>
      </c>
      <c r="C1619" s="2">
        <v>45757</v>
      </c>
      <c r="D1619">
        <v>2539</v>
      </c>
      <c r="E1619">
        <v>1009</v>
      </c>
      <c r="F1619">
        <v>2</v>
      </c>
      <c r="G1619">
        <v>80.56</v>
      </c>
      <c r="H1619" s="2">
        <v>45937</v>
      </c>
      <c r="I1619" s="2">
        <v>45945</v>
      </c>
      <c r="J1619" t="s">
        <v>9</v>
      </c>
      <c r="K1619" s="2" t="str">
        <f>IFERROR(INDEX(Product_lookup[Category],MATCH(RawWorking[[#This Row],[ProductID]],Product_lookup[ProductID],0)),"")</f>
        <v>Home</v>
      </c>
      <c r="L1619" s="9">
        <f>IF(OR(RawWorking[[#This Row],[ShipDate]]="",RawWorking[[#This Row],[DeliveryDate]]=""),"",RawWorking[[#This Row],[DeliveryDate]]-RawWorking[[#This Row],[ShipDate]])</f>
        <v>8</v>
      </c>
      <c r="M1619" s="9">
        <f>IF(COUNTIF(INDEX(RawWorking[OrderID],1):RawWorking[[#This Row],[OrderID]],RawWorking[[#This Row],[OrderID]])=1,1,0)</f>
        <v>1</v>
      </c>
      <c r="N1619" s="4">
        <f>IFERROR(RawWorking[[#This Row],[LineAmount]]/RawWorking[[#This Row],[Quantity]],"")</f>
        <v>40.28</v>
      </c>
    </row>
    <row r="1620" spans="1:14">
      <c r="A1620">
        <v>51619</v>
      </c>
      <c r="B1620">
        <v>30937</v>
      </c>
      <c r="C1620" s="2">
        <v>45942</v>
      </c>
      <c r="D1620">
        <v>2051</v>
      </c>
      <c r="E1620">
        <v>1003</v>
      </c>
      <c r="F1620">
        <v>1</v>
      </c>
      <c r="G1620">
        <v>224.37</v>
      </c>
      <c r="H1620" s="2">
        <v>45945</v>
      </c>
      <c r="I1620" s="2">
        <v>45953</v>
      </c>
      <c r="J1620" t="s">
        <v>9</v>
      </c>
      <c r="K1620" s="2" t="str">
        <f>IFERROR(INDEX(Product_lookup[Category],MATCH(RawWorking[[#This Row],[ProductID]],Product_lookup[ProductID],0)),"")</f>
        <v>Electronics</v>
      </c>
      <c r="L1620" s="9">
        <f>IF(OR(RawWorking[[#This Row],[ShipDate]]="",RawWorking[[#This Row],[DeliveryDate]]=""),"",RawWorking[[#This Row],[DeliveryDate]]-RawWorking[[#This Row],[ShipDate]])</f>
        <v>8</v>
      </c>
      <c r="M1620" s="9">
        <f>IF(COUNTIF(INDEX(RawWorking[OrderID],1):RawWorking[[#This Row],[OrderID]],RawWorking[[#This Row],[OrderID]])=1,1,0)</f>
        <v>1</v>
      </c>
      <c r="N1620" s="4">
        <f>IFERROR(RawWorking[[#This Row],[LineAmount]]/RawWorking[[#This Row],[Quantity]],"")</f>
        <v>224.37</v>
      </c>
    </row>
    <row r="1621" spans="1:14">
      <c r="A1621">
        <v>51620</v>
      </c>
      <c r="B1621">
        <v>30938</v>
      </c>
      <c r="C1621" s="2">
        <v>45828</v>
      </c>
      <c r="D1621">
        <v>2014</v>
      </c>
      <c r="E1621">
        <v>1007</v>
      </c>
      <c r="F1621">
        <v>3</v>
      </c>
      <c r="G1621">
        <v>599.42999999999995</v>
      </c>
      <c r="H1621" s="2" t="s">
        <v>1421</v>
      </c>
      <c r="I1621" s="2" t="s">
        <v>1421</v>
      </c>
      <c r="J1621" t="s">
        <v>12</v>
      </c>
      <c r="K1621" s="2" t="str">
        <f>IFERROR(INDEX(Product_lookup[Category],MATCH(RawWorking[[#This Row],[ProductID]],Product_lookup[ProductID],0)),"")</f>
        <v>Home</v>
      </c>
      <c r="L1621" s="9" t="str">
        <f>IF(OR(RawWorking[[#This Row],[ShipDate]]="",RawWorking[[#This Row],[DeliveryDate]]=""),"",RawWorking[[#This Row],[DeliveryDate]]-RawWorking[[#This Row],[ShipDate]])</f>
        <v/>
      </c>
      <c r="M1621" s="9">
        <f>IF(COUNTIF(INDEX(RawWorking[OrderID],1):RawWorking[[#This Row],[OrderID]],RawWorking[[#This Row],[OrderID]])=1,1,0)</f>
        <v>1</v>
      </c>
      <c r="N1621" s="4">
        <f>IFERROR(RawWorking[[#This Row],[LineAmount]]/RawWorking[[#This Row],[Quantity]],"")</f>
        <v>199.80999999999997</v>
      </c>
    </row>
    <row r="1622" spans="1:14">
      <c r="A1622">
        <v>51621</v>
      </c>
      <c r="B1622">
        <v>30938</v>
      </c>
      <c r="C1622" s="2">
        <v>45828</v>
      </c>
      <c r="D1622">
        <v>2014</v>
      </c>
      <c r="E1622">
        <v>1016</v>
      </c>
      <c r="F1622">
        <v>1</v>
      </c>
      <c r="G1622">
        <v>65.260000000000005</v>
      </c>
      <c r="H1622" s="2" t="s">
        <v>1421</v>
      </c>
      <c r="I1622" s="2" t="s">
        <v>1421</v>
      </c>
      <c r="J1622" t="s">
        <v>12</v>
      </c>
      <c r="K1622" s="2" t="str">
        <f>IFERROR(INDEX(Product_lookup[Category],MATCH(RawWorking[[#This Row],[ProductID]],Product_lookup[ProductID],0)),"")</f>
        <v>Sports</v>
      </c>
      <c r="L1622" s="9" t="str">
        <f>IF(OR(RawWorking[[#This Row],[ShipDate]]="",RawWorking[[#This Row],[DeliveryDate]]=""),"",RawWorking[[#This Row],[DeliveryDate]]-RawWorking[[#This Row],[ShipDate]])</f>
        <v/>
      </c>
      <c r="M1622" s="9">
        <f>IF(COUNTIF(INDEX(RawWorking[OrderID],1):RawWorking[[#This Row],[OrderID]],RawWorking[[#This Row],[OrderID]])=1,1,0)</f>
        <v>0</v>
      </c>
      <c r="N1622" s="4">
        <f>IFERROR(RawWorking[[#This Row],[LineAmount]]/RawWorking[[#This Row],[Quantity]],"")</f>
        <v>65.260000000000005</v>
      </c>
    </row>
    <row r="1623" spans="1:14">
      <c r="A1623">
        <v>51622</v>
      </c>
      <c r="B1623">
        <v>30939</v>
      </c>
      <c r="C1623" s="2">
        <v>45793</v>
      </c>
      <c r="D1623">
        <v>2082</v>
      </c>
      <c r="E1623">
        <v>1002</v>
      </c>
      <c r="F1623">
        <v>1</v>
      </c>
      <c r="G1623">
        <v>118.6</v>
      </c>
      <c r="H1623" s="2">
        <v>45796</v>
      </c>
      <c r="I1623" s="2">
        <v>45803</v>
      </c>
      <c r="J1623" t="s">
        <v>9</v>
      </c>
      <c r="K1623" s="2" t="str">
        <f>IFERROR(INDEX(Product_lookup[Category],MATCH(RawWorking[[#This Row],[ProductID]],Product_lookup[ProductID],0)),"")</f>
        <v>Electronics</v>
      </c>
      <c r="L1623" s="9">
        <f>IF(OR(RawWorking[[#This Row],[ShipDate]]="",RawWorking[[#This Row],[DeliveryDate]]=""),"",RawWorking[[#This Row],[DeliveryDate]]-RawWorking[[#This Row],[ShipDate]])</f>
        <v>7</v>
      </c>
      <c r="M1623" s="9">
        <f>IF(COUNTIF(INDEX(RawWorking[OrderID],1):RawWorking[[#This Row],[OrderID]],RawWorking[[#This Row],[OrderID]])=1,1,0)</f>
        <v>1</v>
      </c>
      <c r="N1623" s="4">
        <f>IFERROR(RawWorking[[#This Row],[LineAmount]]/RawWorking[[#This Row],[Quantity]],"")</f>
        <v>118.6</v>
      </c>
    </row>
    <row r="1624" spans="1:14">
      <c r="A1624">
        <v>51623</v>
      </c>
      <c r="B1624">
        <v>30940</v>
      </c>
      <c r="C1624" s="2">
        <v>45677</v>
      </c>
      <c r="D1624">
        <v>2370</v>
      </c>
      <c r="E1624">
        <v>1014</v>
      </c>
      <c r="F1624">
        <v>1</v>
      </c>
      <c r="G1624">
        <v>215.34</v>
      </c>
      <c r="H1624" s="2">
        <v>45679</v>
      </c>
      <c r="I1624" s="2">
        <v>45682</v>
      </c>
      <c r="J1624" t="s">
        <v>9</v>
      </c>
      <c r="K1624" s="2" t="str">
        <f>IFERROR(INDEX(Product_lookup[Category],MATCH(RawWorking[[#This Row],[ProductID]],Product_lookup[ProductID],0)),"")</f>
        <v>Sports</v>
      </c>
      <c r="L1624" s="9">
        <f>IF(OR(RawWorking[[#This Row],[ShipDate]]="",RawWorking[[#This Row],[DeliveryDate]]=""),"",RawWorking[[#This Row],[DeliveryDate]]-RawWorking[[#This Row],[ShipDate]])</f>
        <v>3</v>
      </c>
      <c r="M1624" s="9">
        <f>IF(COUNTIF(INDEX(RawWorking[OrderID],1):RawWorking[[#This Row],[OrderID]],RawWorking[[#This Row],[OrderID]])=1,1,0)</f>
        <v>1</v>
      </c>
      <c r="N1624" s="4">
        <f>IFERROR(RawWorking[[#This Row],[LineAmount]]/RawWorking[[#This Row],[Quantity]],"")</f>
        <v>215.34</v>
      </c>
    </row>
    <row r="1625" spans="1:14">
      <c r="A1625">
        <v>51624</v>
      </c>
      <c r="B1625">
        <v>30940</v>
      </c>
      <c r="C1625" s="2">
        <v>45677</v>
      </c>
      <c r="D1625">
        <v>2370</v>
      </c>
      <c r="E1625">
        <v>1012</v>
      </c>
      <c r="F1625">
        <v>2</v>
      </c>
      <c r="G1625">
        <v>483.08</v>
      </c>
      <c r="H1625" s="2">
        <v>45680</v>
      </c>
      <c r="I1625" s="2">
        <v>45686</v>
      </c>
      <c r="J1625" t="s">
        <v>9</v>
      </c>
      <c r="K1625" s="2" t="str">
        <f>IFERROR(INDEX(Product_lookup[Category],MATCH(RawWorking[[#This Row],[ProductID]],Product_lookup[ProductID],0)),"")</f>
        <v>Office</v>
      </c>
      <c r="L1625" s="9">
        <f>IF(OR(RawWorking[[#This Row],[ShipDate]]="",RawWorking[[#This Row],[DeliveryDate]]=""),"",RawWorking[[#This Row],[DeliveryDate]]-RawWorking[[#This Row],[ShipDate]])</f>
        <v>6</v>
      </c>
      <c r="M1625" s="9">
        <f>IF(COUNTIF(INDEX(RawWorking[OrderID],1):RawWorking[[#This Row],[OrderID]],RawWorking[[#This Row],[OrderID]])=1,1,0)</f>
        <v>0</v>
      </c>
      <c r="N1625" s="4">
        <f>IFERROR(RawWorking[[#This Row],[LineAmount]]/RawWorking[[#This Row],[Quantity]],"")</f>
        <v>241.54</v>
      </c>
    </row>
    <row r="1626" spans="1:14">
      <c r="A1626">
        <v>51625</v>
      </c>
      <c r="B1626">
        <v>30941</v>
      </c>
      <c r="C1626" s="2">
        <v>46000</v>
      </c>
      <c r="D1626">
        <v>2060</v>
      </c>
      <c r="E1626">
        <v>1009</v>
      </c>
      <c r="F1626">
        <v>1</v>
      </c>
      <c r="G1626">
        <v>40.28</v>
      </c>
      <c r="H1626" s="2" t="s">
        <v>1421</v>
      </c>
      <c r="I1626" s="2" t="s">
        <v>1421</v>
      </c>
      <c r="J1626" t="s">
        <v>16</v>
      </c>
      <c r="K1626" s="2" t="str">
        <f>IFERROR(INDEX(Product_lookup[Category],MATCH(RawWorking[[#This Row],[ProductID]],Product_lookup[ProductID],0)),"")</f>
        <v>Home</v>
      </c>
      <c r="L1626" s="9" t="str">
        <f>IF(OR(RawWorking[[#This Row],[ShipDate]]="",RawWorking[[#This Row],[DeliveryDate]]=""),"",RawWorking[[#This Row],[DeliveryDate]]-RawWorking[[#This Row],[ShipDate]])</f>
        <v/>
      </c>
      <c r="M1626" s="9">
        <f>IF(COUNTIF(INDEX(RawWorking[OrderID],1):RawWorking[[#This Row],[OrderID]],RawWorking[[#This Row],[OrderID]])=1,1,0)</f>
        <v>1</v>
      </c>
      <c r="N1626" s="4">
        <f>IFERROR(RawWorking[[#This Row],[LineAmount]]/RawWorking[[#This Row],[Quantity]],"")</f>
        <v>40.28</v>
      </c>
    </row>
    <row r="1627" spans="1:14">
      <c r="A1627">
        <v>51626</v>
      </c>
      <c r="B1627">
        <v>30942</v>
      </c>
      <c r="C1627" s="2">
        <v>45663</v>
      </c>
      <c r="D1627">
        <v>2073</v>
      </c>
      <c r="E1627">
        <v>1003</v>
      </c>
      <c r="F1627">
        <v>1</v>
      </c>
      <c r="G1627">
        <v>224.37</v>
      </c>
      <c r="H1627" s="2" t="s">
        <v>1421</v>
      </c>
      <c r="I1627" s="2" t="s">
        <v>1421</v>
      </c>
      <c r="J1627" t="s">
        <v>16</v>
      </c>
      <c r="K1627" s="2" t="str">
        <f>IFERROR(INDEX(Product_lookup[Category],MATCH(RawWorking[[#This Row],[ProductID]],Product_lookup[ProductID],0)),"")</f>
        <v>Electronics</v>
      </c>
      <c r="L1627" s="9" t="str">
        <f>IF(OR(RawWorking[[#This Row],[ShipDate]]="",RawWorking[[#This Row],[DeliveryDate]]=""),"",RawWorking[[#This Row],[DeliveryDate]]-RawWorking[[#This Row],[ShipDate]])</f>
        <v/>
      </c>
      <c r="M1627" s="9">
        <f>IF(COUNTIF(INDEX(RawWorking[OrderID],1):RawWorking[[#This Row],[OrderID]],RawWorking[[#This Row],[OrderID]])=1,1,0)</f>
        <v>1</v>
      </c>
      <c r="N1627" s="4">
        <f>IFERROR(RawWorking[[#This Row],[LineAmount]]/RawWorking[[#This Row],[Quantity]],"")</f>
        <v>224.37</v>
      </c>
    </row>
    <row r="1628" spans="1:14">
      <c r="A1628">
        <v>51627</v>
      </c>
      <c r="B1628">
        <v>30943</v>
      </c>
      <c r="C1628" s="2">
        <v>45845</v>
      </c>
      <c r="D1628">
        <v>2532</v>
      </c>
      <c r="E1628">
        <v>1008</v>
      </c>
      <c r="F1628">
        <v>2</v>
      </c>
      <c r="G1628">
        <v>412.18</v>
      </c>
      <c r="H1628" s="2">
        <v>45847</v>
      </c>
      <c r="I1628" s="2">
        <v>45850</v>
      </c>
      <c r="J1628" t="s">
        <v>9</v>
      </c>
      <c r="K1628" s="2" t="str">
        <f>IFERROR(INDEX(Product_lookup[Category],MATCH(RawWorking[[#This Row],[ProductID]],Product_lookup[ProductID],0)),"")</f>
        <v>Home</v>
      </c>
      <c r="L1628" s="9">
        <f>IF(OR(RawWorking[[#This Row],[ShipDate]]="",RawWorking[[#This Row],[DeliveryDate]]=""),"",RawWorking[[#This Row],[DeliveryDate]]-RawWorking[[#This Row],[ShipDate]])</f>
        <v>3</v>
      </c>
      <c r="M1628" s="9">
        <f>IF(COUNTIF(INDEX(RawWorking[OrderID],1):RawWorking[[#This Row],[OrderID]],RawWorking[[#This Row],[OrderID]])=1,1,0)</f>
        <v>1</v>
      </c>
      <c r="N1628" s="4">
        <f>IFERROR(RawWorking[[#This Row],[LineAmount]]/RawWorking[[#This Row],[Quantity]],"")</f>
        <v>206.09</v>
      </c>
    </row>
    <row r="1629" spans="1:14">
      <c r="A1629">
        <v>51628</v>
      </c>
      <c r="B1629">
        <v>30944</v>
      </c>
      <c r="C1629" s="2">
        <v>45796</v>
      </c>
      <c r="D1629">
        <v>2545</v>
      </c>
      <c r="E1629">
        <v>1007</v>
      </c>
      <c r="F1629">
        <v>1</v>
      </c>
      <c r="G1629">
        <v>199.81</v>
      </c>
      <c r="H1629" s="2">
        <v>45797</v>
      </c>
      <c r="I1629" s="2">
        <v>45800</v>
      </c>
      <c r="J1629" t="s">
        <v>9</v>
      </c>
      <c r="K1629" s="2" t="str">
        <f>IFERROR(INDEX(Product_lookup[Category],MATCH(RawWorking[[#This Row],[ProductID]],Product_lookup[ProductID],0)),"")</f>
        <v>Home</v>
      </c>
      <c r="L1629" s="9">
        <f>IF(OR(RawWorking[[#This Row],[ShipDate]]="",RawWorking[[#This Row],[DeliveryDate]]=""),"",RawWorking[[#This Row],[DeliveryDate]]-RawWorking[[#This Row],[ShipDate]])</f>
        <v>3</v>
      </c>
      <c r="M1629" s="9">
        <f>IF(COUNTIF(INDEX(RawWorking[OrderID],1):RawWorking[[#This Row],[OrderID]],RawWorking[[#This Row],[OrderID]])=1,1,0)</f>
        <v>1</v>
      </c>
      <c r="N1629" s="4">
        <f>IFERROR(RawWorking[[#This Row],[LineAmount]]/RawWorking[[#This Row],[Quantity]],"")</f>
        <v>199.81</v>
      </c>
    </row>
    <row r="1630" spans="1:14">
      <c r="A1630">
        <v>51629</v>
      </c>
      <c r="B1630">
        <v>30945</v>
      </c>
      <c r="C1630" s="2">
        <v>45762</v>
      </c>
      <c r="D1630">
        <v>2539</v>
      </c>
      <c r="E1630">
        <v>1006</v>
      </c>
      <c r="F1630">
        <v>3</v>
      </c>
      <c r="G1630">
        <v>761.58</v>
      </c>
      <c r="H1630" s="2">
        <v>45763</v>
      </c>
      <c r="I1630" s="2">
        <v>45772</v>
      </c>
      <c r="J1630" t="s">
        <v>9</v>
      </c>
      <c r="K1630" s="2" t="str">
        <f>IFERROR(INDEX(Product_lookup[Category],MATCH(RawWorking[[#This Row],[ProductID]],Product_lookup[ProductID],0)),"")</f>
        <v>Home</v>
      </c>
      <c r="L1630" s="9">
        <f>IF(OR(RawWorking[[#This Row],[ShipDate]]="",RawWorking[[#This Row],[DeliveryDate]]=""),"",RawWorking[[#This Row],[DeliveryDate]]-RawWorking[[#This Row],[ShipDate]])</f>
        <v>9</v>
      </c>
      <c r="M1630" s="9">
        <f>IF(COUNTIF(INDEX(RawWorking[OrderID],1):RawWorking[[#This Row],[OrderID]],RawWorking[[#This Row],[OrderID]])=1,1,0)</f>
        <v>1</v>
      </c>
      <c r="N1630" s="4">
        <f>IFERROR(RawWorking[[#This Row],[LineAmount]]/RawWorking[[#This Row],[Quantity]],"")</f>
        <v>253.86</v>
      </c>
    </row>
    <row r="1631" spans="1:14">
      <c r="A1631">
        <v>51630</v>
      </c>
      <c r="B1631">
        <v>30946</v>
      </c>
      <c r="C1631" s="2">
        <v>45961</v>
      </c>
      <c r="D1631">
        <v>2572</v>
      </c>
      <c r="E1631">
        <v>1014</v>
      </c>
      <c r="F1631">
        <v>1</v>
      </c>
      <c r="G1631">
        <v>215.34</v>
      </c>
      <c r="H1631" s="2">
        <v>45962</v>
      </c>
      <c r="I1631" s="2">
        <v>45968</v>
      </c>
      <c r="J1631" t="s">
        <v>9</v>
      </c>
      <c r="K1631" s="2" t="str">
        <f>IFERROR(INDEX(Product_lookup[Category],MATCH(RawWorking[[#This Row],[ProductID]],Product_lookup[ProductID],0)),"")</f>
        <v>Sports</v>
      </c>
      <c r="L1631" s="9">
        <f>IF(OR(RawWorking[[#This Row],[ShipDate]]="",RawWorking[[#This Row],[DeliveryDate]]=""),"",RawWorking[[#This Row],[DeliveryDate]]-RawWorking[[#This Row],[ShipDate]])</f>
        <v>6</v>
      </c>
      <c r="M1631" s="9">
        <f>IF(COUNTIF(INDEX(RawWorking[OrderID],1):RawWorking[[#This Row],[OrderID]],RawWorking[[#This Row],[OrderID]])=1,1,0)</f>
        <v>1</v>
      </c>
      <c r="N1631" s="4">
        <f>IFERROR(RawWorking[[#This Row],[LineAmount]]/RawWorking[[#This Row],[Quantity]],"")</f>
        <v>215.34</v>
      </c>
    </row>
    <row r="1632" spans="1:14">
      <c r="A1632">
        <v>51631</v>
      </c>
      <c r="B1632">
        <v>30947</v>
      </c>
      <c r="C1632" s="2">
        <v>45951</v>
      </c>
      <c r="D1632">
        <v>2109</v>
      </c>
      <c r="E1632">
        <v>1012</v>
      </c>
      <c r="F1632">
        <v>1</v>
      </c>
      <c r="G1632">
        <v>241.54</v>
      </c>
      <c r="H1632" s="2" t="s">
        <v>1421</v>
      </c>
      <c r="I1632" s="2" t="s">
        <v>1421</v>
      </c>
      <c r="J1632" t="s">
        <v>16</v>
      </c>
      <c r="K1632" s="2" t="str">
        <f>IFERROR(INDEX(Product_lookup[Category],MATCH(RawWorking[[#This Row],[ProductID]],Product_lookup[ProductID],0)),"")</f>
        <v>Office</v>
      </c>
      <c r="L1632" s="9" t="str">
        <f>IF(OR(RawWorking[[#This Row],[ShipDate]]="",RawWorking[[#This Row],[DeliveryDate]]=""),"",RawWorking[[#This Row],[DeliveryDate]]-RawWorking[[#This Row],[ShipDate]])</f>
        <v/>
      </c>
      <c r="M1632" s="9">
        <f>IF(COUNTIF(INDEX(RawWorking[OrderID],1):RawWorking[[#This Row],[OrderID]],RawWorking[[#This Row],[OrderID]])=1,1,0)</f>
        <v>1</v>
      </c>
      <c r="N1632" s="4">
        <f>IFERROR(RawWorking[[#This Row],[LineAmount]]/RawWorking[[#This Row],[Quantity]],"")</f>
        <v>241.54</v>
      </c>
    </row>
    <row r="1633" spans="1:14">
      <c r="A1633">
        <v>51632</v>
      </c>
      <c r="B1633">
        <v>30948</v>
      </c>
      <c r="C1633" s="2">
        <v>45960</v>
      </c>
      <c r="D1633">
        <v>2438</v>
      </c>
      <c r="E1633">
        <v>1006</v>
      </c>
      <c r="F1633">
        <v>1</v>
      </c>
      <c r="G1633">
        <v>253.86</v>
      </c>
      <c r="H1633" s="2" t="s">
        <v>1421</v>
      </c>
      <c r="I1633" s="2" t="s">
        <v>1421</v>
      </c>
      <c r="J1633" t="s">
        <v>12</v>
      </c>
      <c r="K1633" s="2" t="str">
        <f>IFERROR(INDEX(Product_lookup[Category],MATCH(RawWorking[[#This Row],[ProductID]],Product_lookup[ProductID],0)),"")</f>
        <v>Home</v>
      </c>
      <c r="L1633" s="9" t="str">
        <f>IF(OR(RawWorking[[#This Row],[ShipDate]]="",RawWorking[[#This Row],[DeliveryDate]]=""),"",RawWorking[[#This Row],[DeliveryDate]]-RawWorking[[#This Row],[ShipDate]])</f>
        <v/>
      </c>
      <c r="M1633" s="9">
        <f>IF(COUNTIF(INDEX(RawWorking[OrderID],1):RawWorking[[#This Row],[OrderID]],RawWorking[[#This Row],[OrderID]])=1,1,0)</f>
        <v>1</v>
      </c>
      <c r="N1633" s="4">
        <f>IFERROR(RawWorking[[#This Row],[LineAmount]]/RawWorking[[#This Row],[Quantity]],"")</f>
        <v>253.86</v>
      </c>
    </row>
    <row r="1634" spans="1:14">
      <c r="A1634">
        <v>51633</v>
      </c>
      <c r="B1634">
        <v>30949</v>
      </c>
      <c r="C1634" s="2">
        <v>45758</v>
      </c>
      <c r="D1634">
        <v>2185</v>
      </c>
      <c r="E1634">
        <v>1011</v>
      </c>
      <c r="F1634">
        <v>3</v>
      </c>
      <c r="G1634">
        <v>304.32</v>
      </c>
      <c r="H1634" s="2">
        <v>45759</v>
      </c>
      <c r="I1634" s="2">
        <v>45765</v>
      </c>
      <c r="J1634" t="s">
        <v>9</v>
      </c>
      <c r="K1634" s="2" t="str">
        <f>IFERROR(INDEX(Product_lookup[Category],MATCH(RawWorking[[#This Row],[ProductID]],Product_lookup[ProductID],0)),"")</f>
        <v>Office</v>
      </c>
      <c r="L1634" s="9">
        <f>IF(OR(RawWorking[[#This Row],[ShipDate]]="",RawWorking[[#This Row],[DeliveryDate]]=""),"",RawWorking[[#This Row],[DeliveryDate]]-RawWorking[[#This Row],[ShipDate]])</f>
        <v>6</v>
      </c>
      <c r="M1634" s="9">
        <f>IF(COUNTIF(INDEX(RawWorking[OrderID],1):RawWorking[[#This Row],[OrderID]],RawWorking[[#This Row],[OrderID]])=1,1,0)</f>
        <v>1</v>
      </c>
      <c r="N1634" s="4">
        <f>IFERROR(RawWorking[[#This Row],[LineAmount]]/RawWorking[[#This Row],[Quantity]],"")</f>
        <v>101.44</v>
      </c>
    </row>
    <row r="1635" spans="1:14">
      <c r="A1635">
        <v>51634</v>
      </c>
      <c r="B1635">
        <v>30949</v>
      </c>
      <c r="C1635" s="2">
        <v>45758</v>
      </c>
      <c r="D1635">
        <v>2185</v>
      </c>
      <c r="E1635">
        <v>1006</v>
      </c>
      <c r="F1635">
        <v>1</v>
      </c>
      <c r="G1635">
        <v>253.86</v>
      </c>
      <c r="H1635" s="2">
        <v>45759</v>
      </c>
      <c r="I1635" s="2">
        <v>45766</v>
      </c>
      <c r="J1635" t="s">
        <v>9</v>
      </c>
      <c r="K1635" s="2" t="str">
        <f>IFERROR(INDEX(Product_lookup[Category],MATCH(RawWorking[[#This Row],[ProductID]],Product_lookup[ProductID],0)),"")</f>
        <v>Home</v>
      </c>
      <c r="L1635" s="9">
        <f>IF(OR(RawWorking[[#This Row],[ShipDate]]="",RawWorking[[#This Row],[DeliveryDate]]=""),"",RawWorking[[#This Row],[DeliveryDate]]-RawWorking[[#This Row],[ShipDate]])</f>
        <v>7</v>
      </c>
      <c r="M1635" s="9">
        <f>IF(COUNTIF(INDEX(RawWorking[OrderID],1):RawWorking[[#This Row],[OrderID]],RawWorking[[#This Row],[OrderID]])=1,1,0)</f>
        <v>0</v>
      </c>
      <c r="N1635" s="4">
        <f>IFERROR(RawWorking[[#This Row],[LineAmount]]/RawWorking[[#This Row],[Quantity]],"")</f>
        <v>253.86</v>
      </c>
    </row>
    <row r="1636" spans="1:14">
      <c r="A1636">
        <v>51635</v>
      </c>
      <c r="B1636">
        <v>30949</v>
      </c>
      <c r="C1636" s="2">
        <v>45758</v>
      </c>
      <c r="D1636">
        <v>2185</v>
      </c>
      <c r="E1636">
        <v>1015</v>
      </c>
      <c r="F1636">
        <v>1</v>
      </c>
      <c r="G1636">
        <v>119.74</v>
      </c>
      <c r="H1636" s="2">
        <v>45760</v>
      </c>
      <c r="I1636" s="2">
        <v>45763</v>
      </c>
      <c r="J1636" t="s">
        <v>9</v>
      </c>
      <c r="K1636" s="2" t="str">
        <f>IFERROR(INDEX(Product_lookup[Category],MATCH(RawWorking[[#This Row],[ProductID]],Product_lookup[ProductID],0)),"")</f>
        <v>Sports</v>
      </c>
      <c r="L1636" s="9">
        <f>IF(OR(RawWorking[[#This Row],[ShipDate]]="",RawWorking[[#This Row],[DeliveryDate]]=""),"",RawWorking[[#This Row],[DeliveryDate]]-RawWorking[[#This Row],[ShipDate]])</f>
        <v>3</v>
      </c>
      <c r="M1636" s="9">
        <f>IF(COUNTIF(INDEX(RawWorking[OrderID],1):RawWorking[[#This Row],[OrderID]],RawWorking[[#This Row],[OrderID]])=1,1,0)</f>
        <v>0</v>
      </c>
      <c r="N1636" s="4">
        <f>IFERROR(RawWorking[[#This Row],[LineAmount]]/RawWorking[[#This Row],[Quantity]],"")</f>
        <v>119.74</v>
      </c>
    </row>
    <row r="1637" spans="1:14">
      <c r="A1637">
        <v>51636</v>
      </c>
      <c r="B1637">
        <v>30950</v>
      </c>
      <c r="C1637" s="2">
        <v>45860</v>
      </c>
      <c r="D1637">
        <v>2361</v>
      </c>
      <c r="E1637">
        <v>1011</v>
      </c>
      <c r="F1637">
        <v>3</v>
      </c>
      <c r="G1637">
        <v>304.32</v>
      </c>
      <c r="H1637" s="2" t="s">
        <v>1421</v>
      </c>
      <c r="I1637" s="2" t="s">
        <v>1421</v>
      </c>
      <c r="J1637" t="s">
        <v>12</v>
      </c>
      <c r="K1637" s="2" t="str">
        <f>IFERROR(INDEX(Product_lookup[Category],MATCH(RawWorking[[#This Row],[ProductID]],Product_lookup[ProductID],0)),"")</f>
        <v>Office</v>
      </c>
      <c r="L1637" s="9" t="str">
        <f>IF(OR(RawWorking[[#This Row],[ShipDate]]="",RawWorking[[#This Row],[DeliveryDate]]=""),"",RawWorking[[#This Row],[DeliveryDate]]-RawWorking[[#This Row],[ShipDate]])</f>
        <v/>
      </c>
      <c r="M1637" s="9">
        <f>IF(COUNTIF(INDEX(RawWorking[OrderID],1):RawWorking[[#This Row],[OrderID]],RawWorking[[#This Row],[OrderID]])=1,1,0)</f>
        <v>1</v>
      </c>
      <c r="N1637" s="4">
        <f>IFERROR(RawWorking[[#This Row],[LineAmount]]/RawWorking[[#This Row],[Quantity]],"")</f>
        <v>101.44</v>
      </c>
    </row>
    <row r="1638" spans="1:14">
      <c r="A1638">
        <v>51637</v>
      </c>
      <c r="B1638">
        <v>30951</v>
      </c>
      <c r="C1638" s="2">
        <v>45865</v>
      </c>
      <c r="D1638">
        <v>2381</v>
      </c>
      <c r="E1638">
        <v>1014</v>
      </c>
      <c r="F1638">
        <v>2</v>
      </c>
      <c r="G1638">
        <v>430.68</v>
      </c>
      <c r="H1638" s="2">
        <v>45868</v>
      </c>
      <c r="I1638" s="2">
        <v>45872</v>
      </c>
      <c r="J1638" t="s">
        <v>9</v>
      </c>
      <c r="K1638" s="2" t="str">
        <f>IFERROR(INDEX(Product_lookup[Category],MATCH(RawWorking[[#This Row],[ProductID]],Product_lookup[ProductID],0)),"")</f>
        <v>Sports</v>
      </c>
      <c r="L1638" s="9">
        <f>IF(OR(RawWorking[[#This Row],[ShipDate]]="",RawWorking[[#This Row],[DeliveryDate]]=""),"",RawWorking[[#This Row],[DeliveryDate]]-RawWorking[[#This Row],[ShipDate]])</f>
        <v>4</v>
      </c>
      <c r="M1638" s="9">
        <f>IF(COUNTIF(INDEX(RawWorking[OrderID],1):RawWorking[[#This Row],[OrderID]],RawWorking[[#This Row],[OrderID]])=1,1,0)</f>
        <v>1</v>
      </c>
      <c r="N1638" s="4">
        <f>IFERROR(RawWorking[[#This Row],[LineAmount]]/RawWorking[[#This Row],[Quantity]],"")</f>
        <v>215.34</v>
      </c>
    </row>
    <row r="1639" spans="1:14">
      <c r="A1639">
        <v>51638</v>
      </c>
      <c r="B1639">
        <v>30951</v>
      </c>
      <c r="C1639" s="2">
        <v>45865</v>
      </c>
      <c r="D1639">
        <v>2381</v>
      </c>
      <c r="E1639">
        <v>1011</v>
      </c>
      <c r="F1639">
        <v>1</v>
      </c>
      <c r="G1639">
        <v>101.44</v>
      </c>
      <c r="H1639" s="2">
        <v>45867</v>
      </c>
      <c r="I1639" s="2">
        <v>45874</v>
      </c>
      <c r="J1639" t="s">
        <v>9</v>
      </c>
      <c r="K1639" s="2" t="str">
        <f>IFERROR(INDEX(Product_lookup[Category],MATCH(RawWorking[[#This Row],[ProductID]],Product_lookup[ProductID],0)),"")</f>
        <v>Office</v>
      </c>
      <c r="L1639" s="9">
        <f>IF(OR(RawWorking[[#This Row],[ShipDate]]="",RawWorking[[#This Row],[DeliveryDate]]=""),"",RawWorking[[#This Row],[DeliveryDate]]-RawWorking[[#This Row],[ShipDate]])</f>
        <v>7</v>
      </c>
      <c r="M1639" s="9">
        <f>IF(COUNTIF(INDEX(RawWorking[OrderID],1):RawWorking[[#This Row],[OrderID]],RawWorking[[#This Row],[OrderID]])=1,1,0)</f>
        <v>0</v>
      </c>
      <c r="N1639" s="4">
        <f>IFERROR(RawWorking[[#This Row],[LineAmount]]/RawWorking[[#This Row],[Quantity]],"")</f>
        <v>101.44</v>
      </c>
    </row>
    <row r="1640" spans="1:14">
      <c r="A1640">
        <v>51639</v>
      </c>
      <c r="B1640">
        <v>30952</v>
      </c>
      <c r="C1640" s="2">
        <v>45712</v>
      </c>
      <c r="D1640">
        <v>2247</v>
      </c>
      <c r="E1640">
        <v>1007</v>
      </c>
      <c r="F1640">
        <v>1</v>
      </c>
      <c r="G1640">
        <v>199.81</v>
      </c>
      <c r="H1640" s="2">
        <v>45715</v>
      </c>
      <c r="I1640" s="2">
        <v>45724</v>
      </c>
      <c r="J1640" t="s">
        <v>9</v>
      </c>
      <c r="K1640" s="2" t="str">
        <f>IFERROR(INDEX(Product_lookup[Category],MATCH(RawWorking[[#This Row],[ProductID]],Product_lookup[ProductID],0)),"")</f>
        <v>Home</v>
      </c>
      <c r="L1640" s="9">
        <f>IF(OR(RawWorking[[#This Row],[ShipDate]]="",RawWorking[[#This Row],[DeliveryDate]]=""),"",RawWorking[[#This Row],[DeliveryDate]]-RawWorking[[#This Row],[ShipDate]])</f>
        <v>9</v>
      </c>
      <c r="M1640" s="9">
        <f>IF(COUNTIF(INDEX(RawWorking[OrderID],1):RawWorking[[#This Row],[OrderID]],RawWorking[[#This Row],[OrderID]])=1,1,0)</f>
        <v>1</v>
      </c>
      <c r="N1640" s="4">
        <f>IFERROR(RawWorking[[#This Row],[LineAmount]]/RawWorking[[#This Row],[Quantity]],"")</f>
        <v>199.81</v>
      </c>
    </row>
    <row r="1641" spans="1:14">
      <c r="A1641">
        <v>51640</v>
      </c>
      <c r="B1641">
        <v>30952</v>
      </c>
      <c r="C1641" s="2">
        <v>45712</v>
      </c>
      <c r="D1641">
        <v>2247</v>
      </c>
      <c r="E1641">
        <v>1013</v>
      </c>
      <c r="F1641">
        <v>1</v>
      </c>
      <c r="G1641">
        <v>170.25</v>
      </c>
      <c r="H1641" s="2">
        <v>45714</v>
      </c>
      <c r="I1641" s="2">
        <v>45719</v>
      </c>
      <c r="J1641" t="s">
        <v>9</v>
      </c>
      <c r="K1641" s="2" t="str">
        <f>IFERROR(INDEX(Product_lookup[Category],MATCH(RawWorking[[#This Row],[ProductID]],Product_lookup[ProductID],0)),"")</f>
        <v>Office</v>
      </c>
      <c r="L1641" s="9">
        <f>IF(OR(RawWorking[[#This Row],[ShipDate]]="",RawWorking[[#This Row],[DeliveryDate]]=""),"",RawWorking[[#This Row],[DeliveryDate]]-RawWorking[[#This Row],[ShipDate]])</f>
        <v>5</v>
      </c>
      <c r="M1641" s="9">
        <f>IF(COUNTIF(INDEX(RawWorking[OrderID],1):RawWorking[[#This Row],[OrderID]],RawWorking[[#This Row],[OrderID]])=1,1,0)</f>
        <v>0</v>
      </c>
      <c r="N1641" s="4">
        <f>IFERROR(RawWorking[[#This Row],[LineAmount]]/RawWorking[[#This Row],[Quantity]],"")</f>
        <v>170.25</v>
      </c>
    </row>
    <row r="1642" spans="1:14">
      <c r="A1642">
        <v>51641</v>
      </c>
      <c r="B1642">
        <v>30953</v>
      </c>
      <c r="C1642" s="2">
        <v>45788</v>
      </c>
      <c r="D1642">
        <v>2564</v>
      </c>
      <c r="E1642">
        <v>1009</v>
      </c>
      <c r="F1642">
        <v>1</v>
      </c>
      <c r="G1642">
        <v>40.28</v>
      </c>
      <c r="H1642" s="2" t="s">
        <v>1421</v>
      </c>
      <c r="I1642" s="2" t="s">
        <v>1421</v>
      </c>
      <c r="J1642" t="s">
        <v>12</v>
      </c>
      <c r="K1642" s="2" t="str">
        <f>IFERROR(INDEX(Product_lookup[Category],MATCH(RawWorking[[#This Row],[ProductID]],Product_lookup[ProductID],0)),"")</f>
        <v>Home</v>
      </c>
      <c r="L1642" s="9" t="str">
        <f>IF(OR(RawWorking[[#This Row],[ShipDate]]="",RawWorking[[#This Row],[DeliveryDate]]=""),"",RawWorking[[#This Row],[DeliveryDate]]-RawWorking[[#This Row],[ShipDate]])</f>
        <v/>
      </c>
      <c r="M1642" s="9">
        <f>IF(COUNTIF(INDEX(RawWorking[OrderID],1):RawWorking[[#This Row],[OrderID]],RawWorking[[#This Row],[OrderID]])=1,1,0)</f>
        <v>1</v>
      </c>
      <c r="N1642" s="4">
        <f>IFERROR(RawWorking[[#This Row],[LineAmount]]/RawWorking[[#This Row],[Quantity]],"")</f>
        <v>40.28</v>
      </c>
    </row>
    <row r="1643" spans="1:14">
      <c r="A1643">
        <v>51642</v>
      </c>
      <c r="B1643">
        <v>30953</v>
      </c>
      <c r="C1643" s="2">
        <v>45788</v>
      </c>
      <c r="D1643">
        <v>2564</v>
      </c>
      <c r="E1643">
        <v>1012</v>
      </c>
      <c r="F1643">
        <v>1</v>
      </c>
      <c r="G1643">
        <v>241.54</v>
      </c>
      <c r="H1643" s="2" t="s">
        <v>1421</v>
      </c>
      <c r="I1643" s="2" t="s">
        <v>1421</v>
      </c>
      <c r="J1643" t="s">
        <v>12</v>
      </c>
      <c r="K1643" s="2" t="str">
        <f>IFERROR(INDEX(Product_lookup[Category],MATCH(RawWorking[[#This Row],[ProductID]],Product_lookup[ProductID],0)),"")</f>
        <v>Office</v>
      </c>
      <c r="L1643" s="9" t="str">
        <f>IF(OR(RawWorking[[#This Row],[ShipDate]]="",RawWorking[[#This Row],[DeliveryDate]]=""),"",RawWorking[[#This Row],[DeliveryDate]]-RawWorking[[#This Row],[ShipDate]])</f>
        <v/>
      </c>
      <c r="M1643" s="9">
        <f>IF(COUNTIF(INDEX(RawWorking[OrderID],1):RawWorking[[#This Row],[OrderID]],RawWorking[[#This Row],[OrderID]])=1,1,0)</f>
        <v>0</v>
      </c>
      <c r="N1643" s="4">
        <f>IFERROR(RawWorking[[#This Row],[LineAmount]]/RawWorking[[#This Row],[Quantity]],"")</f>
        <v>241.54</v>
      </c>
    </row>
    <row r="1644" spans="1:14">
      <c r="A1644">
        <v>51643</v>
      </c>
      <c r="B1644">
        <v>30953</v>
      </c>
      <c r="C1644" s="2">
        <v>45788</v>
      </c>
      <c r="D1644">
        <v>2564</v>
      </c>
      <c r="E1644">
        <v>1015</v>
      </c>
      <c r="F1644">
        <v>1</v>
      </c>
      <c r="G1644">
        <v>119.74</v>
      </c>
      <c r="H1644" s="2" t="s">
        <v>1421</v>
      </c>
      <c r="I1644" s="2" t="s">
        <v>1421</v>
      </c>
      <c r="J1644" t="s">
        <v>12</v>
      </c>
      <c r="K1644" s="2" t="str">
        <f>IFERROR(INDEX(Product_lookup[Category],MATCH(RawWorking[[#This Row],[ProductID]],Product_lookup[ProductID],0)),"")</f>
        <v>Sports</v>
      </c>
      <c r="L1644" s="9" t="str">
        <f>IF(OR(RawWorking[[#This Row],[ShipDate]]="",RawWorking[[#This Row],[DeliveryDate]]=""),"",RawWorking[[#This Row],[DeliveryDate]]-RawWorking[[#This Row],[ShipDate]])</f>
        <v/>
      </c>
      <c r="M1644" s="9">
        <f>IF(COUNTIF(INDEX(RawWorking[OrderID],1):RawWorking[[#This Row],[OrderID]],RawWorking[[#This Row],[OrderID]])=1,1,0)</f>
        <v>0</v>
      </c>
      <c r="N1644" s="4">
        <f>IFERROR(RawWorking[[#This Row],[LineAmount]]/RawWorking[[#This Row],[Quantity]],"")</f>
        <v>119.74</v>
      </c>
    </row>
    <row r="1645" spans="1:14">
      <c r="A1645">
        <v>51644</v>
      </c>
      <c r="B1645">
        <v>30953</v>
      </c>
      <c r="C1645" s="2">
        <v>45966</v>
      </c>
      <c r="D1645">
        <v>2564</v>
      </c>
      <c r="E1645">
        <v>1015</v>
      </c>
      <c r="F1645">
        <v>2</v>
      </c>
      <c r="G1645">
        <v>239.48</v>
      </c>
      <c r="H1645" s="2" t="s">
        <v>1421</v>
      </c>
      <c r="I1645" s="2" t="s">
        <v>1421</v>
      </c>
      <c r="J1645" t="s">
        <v>12</v>
      </c>
      <c r="K1645" s="2" t="str">
        <f>IFERROR(INDEX(Product_lookup[Category],MATCH(RawWorking[[#This Row],[ProductID]],Product_lookup[ProductID],0)),"")</f>
        <v>Sports</v>
      </c>
      <c r="L1645" s="9" t="str">
        <f>IF(OR(RawWorking[[#This Row],[ShipDate]]="",RawWorking[[#This Row],[DeliveryDate]]=""),"",RawWorking[[#This Row],[DeliveryDate]]-RawWorking[[#This Row],[ShipDate]])</f>
        <v/>
      </c>
      <c r="M1645" s="9">
        <f>IF(COUNTIF(INDEX(RawWorking[OrderID],1):RawWorking[[#This Row],[OrderID]],RawWorking[[#This Row],[OrderID]])=1,1,0)</f>
        <v>0</v>
      </c>
      <c r="N1645" s="4">
        <f>IFERROR(RawWorking[[#This Row],[LineAmount]]/RawWorking[[#This Row],[Quantity]],"")</f>
        <v>119.74</v>
      </c>
    </row>
    <row r="1646" spans="1:14">
      <c r="A1646">
        <v>51645</v>
      </c>
      <c r="B1646">
        <v>30954</v>
      </c>
      <c r="C1646" s="2">
        <v>45777</v>
      </c>
      <c r="D1646">
        <v>2407</v>
      </c>
      <c r="E1646">
        <v>1002</v>
      </c>
      <c r="F1646">
        <v>1</v>
      </c>
      <c r="G1646">
        <v>118.6</v>
      </c>
      <c r="H1646" s="2">
        <v>45778</v>
      </c>
      <c r="I1646" s="2">
        <v>45788</v>
      </c>
      <c r="J1646" t="s">
        <v>9</v>
      </c>
      <c r="K1646" s="2" t="str">
        <f>IFERROR(INDEX(Product_lookup[Category],MATCH(RawWorking[[#This Row],[ProductID]],Product_lookup[ProductID],0)),"")</f>
        <v>Electronics</v>
      </c>
      <c r="L1646" s="9">
        <f>IF(OR(RawWorking[[#This Row],[ShipDate]]="",RawWorking[[#This Row],[DeliveryDate]]=""),"",RawWorking[[#This Row],[DeliveryDate]]-RawWorking[[#This Row],[ShipDate]])</f>
        <v>10</v>
      </c>
      <c r="M1646" s="9">
        <f>IF(COUNTIF(INDEX(RawWorking[OrderID],1):RawWorking[[#This Row],[OrderID]],RawWorking[[#This Row],[OrderID]])=1,1,0)</f>
        <v>1</v>
      </c>
      <c r="N1646" s="4">
        <f>IFERROR(RawWorking[[#This Row],[LineAmount]]/RawWorking[[#This Row],[Quantity]],"")</f>
        <v>118.6</v>
      </c>
    </row>
    <row r="1647" spans="1:14">
      <c r="A1647">
        <v>51646</v>
      </c>
      <c r="B1647">
        <v>30954</v>
      </c>
      <c r="C1647" s="2">
        <v>45777</v>
      </c>
      <c r="D1647">
        <v>2407</v>
      </c>
      <c r="E1647">
        <v>1010</v>
      </c>
      <c r="F1647">
        <v>1</v>
      </c>
      <c r="G1647">
        <v>121.5</v>
      </c>
      <c r="H1647" s="2">
        <v>45778</v>
      </c>
      <c r="I1647" s="2">
        <v>45874</v>
      </c>
      <c r="J1647" t="s">
        <v>9</v>
      </c>
      <c r="K1647" s="2" t="str">
        <f>IFERROR(INDEX(Product_lookup[Category],MATCH(RawWorking[[#This Row],[ProductID]],Product_lookup[ProductID],0)),"")</f>
        <v>Office</v>
      </c>
      <c r="L1647" s="9">
        <f>IF(OR(RawWorking[[#This Row],[ShipDate]]="",RawWorking[[#This Row],[DeliveryDate]]=""),"",RawWorking[[#This Row],[DeliveryDate]]-RawWorking[[#This Row],[ShipDate]])</f>
        <v>96</v>
      </c>
      <c r="M1647" s="9">
        <f>IF(COUNTIF(INDEX(RawWorking[OrderID],1):RawWorking[[#This Row],[OrderID]],RawWorking[[#This Row],[OrderID]])=1,1,0)</f>
        <v>0</v>
      </c>
      <c r="N1647" s="4">
        <f>IFERROR(RawWorking[[#This Row],[LineAmount]]/RawWorking[[#This Row],[Quantity]],"")</f>
        <v>121.5</v>
      </c>
    </row>
    <row r="1648" spans="1:14">
      <c r="A1648">
        <v>51647</v>
      </c>
      <c r="B1648">
        <v>30954</v>
      </c>
      <c r="C1648" s="2">
        <v>45777</v>
      </c>
      <c r="D1648">
        <v>2407</v>
      </c>
      <c r="E1648">
        <v>1001</v>
      </c>
      <c r="F1648">
        <v>1</v>
      </c>
      <c r="G1648">
        <v>203.04</v>
      </c>
      <c r="H1648" s="2">
        <v>45780</v>
      </c>
      <c r="I1648" s="2">
        <v>45785</v>
      </c>
      <c r="J1648" t="s">
        <v>9</v>
      </c>
      <c r="K1648" s="2" t="str">
        <f>IFERROR(INDEX(Product_lookup[Category],MATCH(RawWorking[[#This Row],[ProductID]],Product_lookup[ProductID],0)),"")</f>
        <v>Electronics</v>
      </c>
      <c r="L1648" s="9">
        <f>IF(OR(RawWorking[[#This Row],[ShipDate]]="",RawWorking[[#This Row],[DeliveryDate]]=""),"",RawWorking[[#This Row],[DeliveryDate]]-RawWorking[[#This Row],[ShipDate]])</f>
        <v>5</v>
      </c>
      <c r="M1648" s="9">
        <f>IF(COUNTIF(INDEX(RawWorking[OrderID],1):RawWorking[[#This Row],[OrderID]],RawWorking[[#This Row],[OrderID]])=1,1,0)</f>
        <v>0</v>
      </c>
      <c r="N1648" s="4">
        <f>IFERROR(RawWorking[[#This Row],[LineAmount]]/RawWorking[[#This Row],[Quantity]],"")</f>
        <v>203.04</v>
      </c>
    </row>
    <row r="1649" spans="1:14">
      <c r="A1649">
        <v>51648</v>
      </c>
      <c r="B1649">
        <v>30954</v>
      </c>
      <c r="C1649" s="2">
        <v>45777</v>
      </c>
      <c r="D1649">
        <v>2407</v>
      </c>
      <c r="E1649">
        <v>1005</v>
      </c>
      <c r="F1649">
        <v>2</v>
      </c>
      <c r="G1649">
        <v>63.46</v>
      </c>
      <c r="H1649" s="2">
        <v>45779</v>
      </c>
      <c r="I1649" s="2">
        <v>45785</v>
      </c>
      <c r="J1649" t="s">
        <v>9</v>
      </c>
      <c r="K1649" s="2" t="str">
        <f>IFERROR(INDEX(Product_lookup[Category],MATCH(RawWorking[[#This Row],[ProductID]],Product_lookup[ProductID],0)),"")</f>
        <v>Electronics</v>
      </c>
      <c r="L1649" s="9">
        <f>IF(OR(RawWorking[[#This Row],[ShipDate]]="",RawWorking[[#This Row],[DeliveryDate]]=""),"",RawWorking[[#This Row],[DeliveryDate]]-RawWorking[[#This Row],[ShipDate]])</f>
        <v>6</v>
      </c>
      <c r="M1649" s="9">
        <f>IF(COUNTIF(INDEX(RawWorking[OrderID],1):RawWorking[[#This Row],[OrderID]],RawWorking[[#This Row],[OrderID]])=1,1,0)</f>
        <v>0</v>
      </c>
      <c r="N1649" s="4">
        <f>IFERROR(RawWorking[[#This Row],[LineAmount]]/RawWorking[[#This Row],[Quantity]],"")</f>
        <v>31.73</v>
      </c>
    </row>
    <row r="1650" spans="1:14">
      <c r="A1650">
        <v>51649</v>
      </c>
      <c r="B1650">
        <v>30955</v>
      </c>
      <c r="C1650" s="2">
        <v>45986</v>
      </c>
      <c r="D1650">
        <v>2310</v>
      </c>
      <c r="E1650">
        <v>1008</v>
      </c>
      <c r="F1650">
        <v>4</v>
      </c>
      <c r="G1650">
        <v>824.36</v>
      </c>
      <c r="H1650" s="2">
        <v>45987</v>
      </c>
      <c r="I1650" s="2">
        <v>45992</v>
      </c>
      <c r="J1650" t="s">
        <v>9</v>
      </c>
      <c r="K1650" s="2" t="str">
        <f>IFERROR(INDEX(Product_lookup[Category],MATCH(RawWorking[[#This Row],[ProductID]],Product_lookup[ProductID],0)),"")</f>
        <v>Home</v>
      </c>
      <c r="L1650" s="9">
        <f>IF(OR(RawWorking[[#This Row],[ShipDate]]="",RawWorking[[#This Row],[DeliveryDate]]=""),"",RawWorking[[#This Row],[DeliveryDate]]-RawWorking[[#This Row],[ShipDate]])</f>
        <v>5</v>
      </c>
      <c r="M1650" s="9">
        <f>IF(COUNTIF(INDEX(RawWorking[OrderID],1):RawWorking[[#This Row],[OrderID]],RawWorking[[#This Row],[OrderID]])=1,1,0)</f>
        <v>1</v>
      </c>
      <c r="N1650" s="4">
        <f>IFERROR(RawWorking[[#This Row],[LineAmount]]/RawWorking[[#This Row],[Quantity]],"")</f>
        <v>206.09</v>
      </c>
    </row>
    <row r="1651" spans="1:14">
      <c r="A1651">
        <v>51650</v>
      </c>
      <c r="B1651">
        <v>30955</v>
      </c>
      <c r="C1651" s="2">
        <v>45986</v>
      </c>
      <c r="D1651">
        <v>2310</v>
      </c>
      <c r="E1651">
        <v>1007</v>
      </c>
      <c r="F1651">
        <v>2</v>
      </c>
      <c r="G1651">
        <v>399.62</v>
      </c>
      <c r="H1651" s="2">
        <v>45988</v>
      </c>
      <c r="I1651" s="2">
        <v>45997</v>
      </c>
      <c r="J1651" t="s">
        <v>9</v>
      </c>
      <c r="K1651" s="2" t="str">
        <f>IFERROR(INDEX(Product_lookup[Category],MATCH(RawWorking[[#This Row],[ProductID]],Product_lookup[ProductID],0)),"")</f>
        <v>Home</v>
      </c>
      <c r="L1651" s="9">
        <f>IF(OR(RawWorking[[#This Row],[ShipDate]]="",RawWorking[[#This Row],[DeliveryDate]]=""),"",RawWorking[[#This Row],[DeliveryDate]]-RawWorking[[#This Row],[ShipDate]])</f>
        <v>9</v>
      </c>
      <c r="M1651" s="9">
        <f>IF(COUNTIF(INDEX(RawWorking[OrderID],1):RawWorking[[#This Row],[OrderID]],RawWorking[[#This Row],[OrderID]])=1,1,0)</f>
        <v>0</v>
      </c>
      <c r="N1651" s="4">
        <f>IFERROR(RawWorking[[#This Row],[LineAmount]]/RawWorking[[#This Row],[Quantity]],"")</f>
        <v>199.81</v>
      </c>
    </row>
    <row r="1652" spans="1:14">
      <c r="A1652">
        <v>51651</v>
      </c>
      <c r="B1652">
        <v>30955</v>
      </c>
      <c r="C1652" s="2">
        <v>45986</v>
      </c>
      <c r="D1652">
        <v>2310</v>
      </c>
      <c r="E1652">
        <v>1011</v>
      </c>
      <c r="F1652">
        <v>1</v>
      </c>
      <c r="G1652">
        <v>101.44</v>
      </c>
      <c r="H1652" s="2">
        <v>45989</v>
      </c>
      <c r="I1652" s="2">
        <v>45993</v>
      </c>
      <c r="J1652" t="s">
        <v>9</v>
      </c>
      <c r="K1652" s="2" t="str">
        <f>IFERROR(INDEX(Product_lookup[Category],MATCH(RawWorking[[#This Row],[ProductID]],Product_lookup[ProductID],0)),"")</f>
        <v>Office</v>
      </c>
      <c r="L1652" s="9">
        <f>IF(OR(RawWorking[[#This Row],[ShipDate]]="",RawWorking[[#This Row],[DeliveryDate]]=""),"",RawWorking[[#This Row],[DeliveryDate]]-RawWorking[[#This Row],[ShipDate]])</f>
        <v>4</v>
      </c>
      <c r="M1652" s="9">
        <f>IF(COUNTIF(INDEX(RawWorking[OrderID],1):RawWorking[[#This Row],[OrderID]],RawWorking[[#This Row],[OrderID]])=1,1,0)</f>
        <v>0</v>
      </c>
      <c r="N1652" s="4">
        <f>IFERROR(RawWorking[[#This Row],[LineAmount]]/RawWorking[[#This Row],[Quantity]],"")</f>
        <v>101.44</v>
      </c>
    </row>
    <row r="1653" spans="1:14">
      <c r="A1653">
        <v>51652</v>
      </c>
      <c r="B1653">
        <v>30956</v>
      </c>
      <c r="C1653" s="2">
        <v>45973</v>
      </c>
      <c r="D1653">
        <v>2023</v>
      </c>
      <c r="E1653">
        <v>1009</v>
      </c>
      <c r="F1653">
        <v>2</v>
      </c>
      <c r="G1653">
        <v>80.56</v>
      </c>
      <c r="H1653" s="2" t="s">
        <v>1421</v>
      </c>
      <c r="I1653" s="2" t="s">
        <v>1421</v>
      </c>
      <c r="J1653" t="s">
        <v>16</v>
      </c>
      <c r="K1653" s="2" t="str">
        <f>IFERROR(INDEX(Product_lookup[Category],MATCH(RawWorking[[#This Row],[ProductID]],Product_lookup[ProductID],0)),"")</f>
        <v>Home</v>
      </c>
      <c r="L1653" s="9" t="str">
        <f>IF(OR(RawWorking[[#This Row],[ShipDate]]="",RawWorking[[#This Row],[DeliveryDate]]=""),"",RawWorking[[#This Row],[DeliveryDate]]-RawWorking[[#This Row],[ShipDate]])</f>
        <v/>
      </c>
      <c r="M1653" s="9">
        <f>IF(COUNTIF(INDEX(RawWorking[OrderID],1):RawWorking[[#This Row],[OrderID]],RawWorking[[#This Row],[OrderID]])=1,1,0)</f>
        <v>1</v>
      </c>
      <c r="N1653" s="4">
        <f>IFERROR(RawWorking[[#This Row],[LineAmount]]/RawWorking[[#This Row],[Quantity]],"")</f>
        <v>40.28</v>
      </c>
    </row>
    <row r="1654" spans="1:14">
      <c r="A1654">
        <v>51653</v>
      </c>
      <c r="B1654">
        <v>30957</v>
      </c>
      <c r="C1654" s="2">
        <v>45723</v>
      </c>
      <c r="D1654">
        <v>2524</v>
      </c>
      <c r="E1654">
        <v>1005</v>
      </c>
      <c r="F1654">
        <v>1</v>
      </c>
      <c r="G1654">
        <v>31.73</v>
      </c>
      <c r="H1654" s="2">
        <v>45724</v>
      </c>
      <c r="I1654" s="2">
        <v>45734</v>
      </c>
      <c r="J1654" t="s">
        <v>9</v>
      </c>
      <c r="K1654" s="2" t="str">
        <f>IFERROR(INDEX(Product_lookup[Category],MATCH(RawWorking[[#This Row],[ProductID]],Product_lookup[ProductID],0)),"")</f>
        <v>Electronics</v>
      </c>
      <c r="L1654" s="9">
        <f>IF(OR(RawWorking[[#This Row],[ShipDate]]="",RawWorking[[#This Row],[DeliveryDate]]=""),"",RawWorking[[#This Row],[DeliveryDate]]-RawWorking[[#This Row],[ShipDate]])</f>
        <v>10</v>
      </c>
      <c r="M1654" s="9">
        <f>IF(COUNTIF(INDEX(RawWorking[OrderID],1):RawWorking[[#This Row],[OrderID]],RawWorking[[#This Row],[OrderID]])=1,1,0)</f>
        <v>1</v>
      </c>
      <c r="N1654" s="4">
        <f>IFERROR(RawWorking[[#This Row],[LineAmount]]/RawWorking[[#This Row],[Quantity]],"")</f>
        <v>31.73</v>
      </c>
    </row>
    <row r="1655" spans="1:14">
      <c r="A1655">
        <v>51654</v>
      </c>
      <c r="B1655">
        <v>30958</v>
      </c>
      <c r="C1655" s="2">
        <v>45849</v>
      </c>
      <c r="D1655">
        <v>2097</v>
      </c>
      <c r="E1655">
        <v>1012</v>
      </c>
      <c r="F1655">
        <v>5</v>
      </c>
      <c r="G1655">
        <v>1207.7</v>
      </c>
      <c r="H1655" s="2">
        <v>45852</v>
      </c>
      <c r="I1655" s="2">
        <v>45854</v>
      </c>
      <c r="J1655" t="s">
        <v>9</v>
      </c>
      <c r="K1655" s="2" t="str">
        <f>IFERROR(INDEX(Product_lookup[Category],MATCH(RawWorking[[#This Row],[ProductID]],Product_lookup[ProductID],0)),"")</f>
        <v>Office</v>
      </c>
      <c r="L1655" s="9">
        <f>IF(OR(RawWorking[[#This Row],[ShipDate]]="",RawWorking[[#This Row],[DeliveryDate]]=""),"",RawWorking[[#This Row],[DeliveryDate]]-RawWorking[[#This Row],[ShipDate]])</f>
        <v>2</v>
      </c>
      <c r="M1655" s="9">
        <f>IF(COUNTIF(INDEX(RawWorking[OrderID],1):RawWorking[[#This Row],[OrderID]],RawWorking[[#This Row],[OrderID]])=1,1,0)</f>
        <v>1</v>
      </c>
      <c r="N1655" s="4">
        <f>IFERROR(RawWorking[[#This Row],[LineAmount]]/RawWorking[[#This Row],[Quantity]],"")</f>
        <v>241.54000000000002</v>
      </c>
    </row>
    <row r="1656" spans="1:14">
      <c r="A1656">
        <v>51655</v>
      </c>
      <c r="B1656">
        <v>30958</v>
      </c>
      <c r="C1656" s="2">
        <v>45849</v>
      </c>
      <c r="D1656">
        <v>2097</v>
      </c>
      <c r="E1656">
        <v>1005</v>
      </c>
      <c r="F1656">
        <v>1</v>
      </c>
      <c r="G1656">
        <v>31.73</v>
      </c>
      <c r="H1656" s="2">
        <v>45850</v>
      </c>
      <c r="I1656" s="2">
        <v>45854</v>
      </c>
      <c r="J1656" t="s">
        <v>9</v>
      </c>
      <c r="K1656" s="2" t="str">
        <f>IFERROR(INDEX(Product_lookup[Category],MATCH(RawWorking[[#This Row],[ProductID]],Product_lookup[ProductID],0)),"")</f>
        <v>Electronics</v>
      </c>
      <c r="L1656" s="9">
        <f>IF(OR(RawWorking[[#This Row],[ShipDate]]="",RawWorking[[#This Row],[DeliveryDate]]=""),"",RawWorking[[#This Row],[DeliveryDate]]-RawWorking[[#This Row],[ShipDate]])</f>
        <v>4</v>
      </c>
      <c r="M1656" s="9">
        <f>IF(COUNTIF(INDEX(RawWorking[OrderID],1):RawWorking[[#This Row],[OrderID]],RawWorking[[#This Row],[OrderID]])=1,1,0)</f>
        <v>0</v>
      </c>
      <c r="N1656" s="4">
        <f>IFERROR(RawWorking[[#This Row],[LineAmount]]/RawWorking[[#This Row],[Quantity]],"")</f>
        <v>31.73</v>
      </c>
    </row>
    <row r="1657" spans="1:14">
      <c r="A1657">
        <v>51656</v>
      </c>
      <c r="B1657">
        <v>30958</v>
      </c>
      <c r="C1657" s="2">
        <v>45849</v>
      </c>
      <c r="D1657">
        <v>2097</v>
      </c>
      <c r="E1657">
        <v>1005</v>
      </c>
      <c r="F1657">
        <v>1</v>
      </c>
      <c r="G1657">
        <v>31.73</v>
      </c>
      <c r="H1657" s="2">
        <v>45850</v>
      </c>
      <c r="I1657" s="2">
        <v>45855</v>
      </c>
      <c r="J1657" t="s">
        <v>9</v>
      </c>
      <c r="K1657" s="2" t="str">
        <f>IFERROR(INDEX(Product_lookup[Category],MATCH(RawWorking[[#This Row],[ProductID]],Product_lookup[ProductID],0)),"")</f>
        <v>Electronics</v>
      </c>
      <c r="L1657" s="9">
        <f>IF(OR(RawWorking[[#This Row],[ShipDate]]="",RawWorking[[#This Row],[DeliveryDate]]=""),"",RawWorking[[#This Row],[DeliveryDate]]-RawWorking[[#This Row],[ShipDate]])</f>
        <v>5</v>
      </c>
      <c r="M1657" s="9">
        <f>IF(COUNTIF(INDEX(RawWorking[OrderID],1):RawWorking[[#This Row],[OrderID]],RawWorking[[#This Row],[OrderID]])=1,1,0)</f>
        <v>0</v>
      </c>
      <c r="N1657" s="4">
        <f>IFERROR(RawWorking[[#This Row],[LineAmount]]/RawWorking[[#This Row],[Quantity]],"")</f>
        <v>31.73</v>
      </c>
    </row>
    <row r="1658" spans="1:14">
      <c r="A1658">
        <v>51657</v>
      </c>
      <c r="B1658">
        <v>30959</v>
      </c>
      <c r="C1658" s="2">
        <v>45737</v>
      </c>
      <c r="D1658">
        <v>2272</v>
      </c>
      <c r="E1658">
        <v>1008</v>
      </c>
      <c r="F1658">
        <v>1</v>
      </c>
      <c r="G1658">
        <v>206.09</v>
      </c>
      <c r="H1658" s="2">
        <v>45740</v>
      </c>
      <c r="I1658" s="2">
        <v>45747</v>
      </c>
      <c r="J1658" t="s">
        <v>9</v>
      </c>
      <c r="K1658" s="2" t="str">
        <f>IFERROR(INDEX(Product_lookup[Category],MATCH(RawWorking[[#This Row],[ProductID]],Product_lookup[ProductID],0)),"")</f>
        <v>Home</v>
      </c>
      <c r="L1658" s="9">
        <f>IF(OR(RawWorking[[#This Row],[ShipDate]]="",RawWorking[[#This Row],[DeliveryDate]]=""),"",RawWorking[[#This Row],[DeliveryDate]]-RawWorking[[#This Row],[ShipDate]])</f>
        <v>7</v>
      </c>
      <c r="M1658" s="9">
        <f>IF(COUNTIF(INDEX(RawWorking[OrderID],1):RawWorking[[#This Row],[OrderID]],RawWorking[[#This Row],[OrderID]])=1,1,0)</f>
        <v>1</v>
      </c>
      <c r="N1658" s="4">
        <f>IFERROR(RawWorking[[#This Row],[LineAmount]]/RawWorking[[#This Row],[Quantity]],"")</f>
        <v>206.09</v>
      </c>
    </row>
    <row r="1659" spans="1:14">
      <c r="A1659">
        <v>51658</v>
      </c>
      <c r="B1659">
        <v>30959</v>
      </c>
      <c r="C1659" s="2">
        <v>45737</v>
      </c>
      <c r="D1659">
        <v>2272</v>
      </c>
      <c r="E1659">
        <v>1008</v>
      </c>
      <c r="F1659">
        <v>2</v>
      </c>
      <c r="G1659">
        <v>412.18</v>
      </c>
      <c r="H1659" s="2">
        <v>45739</v>
      </c>
      <c r="I1659" s="2">
        <v>45747</v>
      </c>
      <c r="J1659" t="s">
        <v>9</v>
      </c>
      <c r="K1659" s="2" t="str">
        <f>IFERROR(INDEX(Product_lookup[Category],MATCH(RawWorking[[#This Row],[ProductID]],Product_lookup[ProductID],0)),"")</f>
        <v>Home</v>
      </c>
      <c r="L1659" s="9">
        <f>IF(OR(RawWorking[[#This Row],[ShipDate]]="",RawWorking[[#This Row],[DeliveryDate]]=""),"",RawWorking[[#This Row],[DeliveryDate]]-RawWorking[[#This Row],[ShipDate]])</f>
        <v>8</v>
      </c>
      <c r="M1659" s="9">
        <f>IF(COUNTIF(INDEX(RawWorking[OrderID],1):RawWorking[[#This Row],[OrderID]],RawWorking[[#This Row],[OrderID]])=1,1,0)</f>
        <v>0</v>
      </c>
      <c r="N1659" s="4">
        <f>IFERROR(RawWorking[[#This Row],[LineAmount]]/RawWorking[[#This Row],[Quantity]],"")</f>
        <v>206.09</v>
      </c>
    </row>
    <row r="1660" spans="1:14">
      <c r="A1660">
        <v>51659</v>
      </c>
      <c r="B1660">
        <v>30960</v>
      </c>
      <c r="C1660" s="2">
        <v>45826</v>
      </c>
      <c r="D1660">
        <v>2263</v>
      </c>
      <c r="E1660">
        <v>1003</v>
      </c>
      <c r="F1660">
        <v>1</v>
      </c>
      <c r="G1660">
        <v>224.37</v>
      </c>
      <c r="H1660" s="2" t="s">
        <v>1421</v>
      </c>
      <c r="I1660" s="2" t="s">
        <v>1421</v>
      </c>
      <c r="J1660" t="s">
        <v>16</v>
      </c>
      <c r="K1660" s="2" t="str">
        <f>IFERROR(INDEX(Product_lookup[Category],MATCH(RawWorking[[#This Row],[ProductID]],Product_lookup[ProductID],0)),"")</f>
        <v>Electronics</v>
      </c>
      <c r="L1660" s="9" t="str">
        <f>IF(OR(RawWorking[[#This Row],[ShipDate]]="",RawWorking[[#This Row],[DeliveryDate]]=""),"",RawWorking[[#This Row],[DeliveryDate]]-RawWorking[[#This Row],[ShipDate]])</f>
        <v/>
      </c>
      <c r="M1660" s="9">
        <f>IF(COUNTIF(INDEX(RawWorking[OrderID],1):RawWorking[[#This Row],[OrderID]],RawWorking[[#This Row],[OrderID]])=1,1,0)</f>
        <v>1</v>
      </c>
      <c r="N1660" s="4">
        <f>IFERROR(RawWorking[[#This Row],[LineAmount]]/RawWorking[[#This Row],[Quantity]],"")</f>
        <v>224.37</v>
      </c>
    </row>
    <row r="1661" spans="1:14">
      <c r="A1661">
        <v>51660</v>
      </c>
      <c r="B1661">
        <v>30961</v>
      </c>
      <c r="C1661" s="2">
        <v>45947</v>
      </c>
      <c r="D1661">
        <v>2583</v>
      </c>
      <c r="E1661">
        <v>1003</v>
      </c>
      <c r="F1661">
        <v>2</v>
      </c>
      <c r="G1661">
        <v>448.74</v>
      </c>
      <c r="H1661" s="2" t="s">
        <v>1421</v>
      </c>
      <c r="I1661" s="2" t="s">
        <v>1421</v>
      </c>
      <c r="J1661" t="s">
        <v>12</v>
      </c>
      <c r="K1661" s="2" t="str">
        <f>IFERROR(INDEX(Product_lookup[Category],MATCH(RawWorking[[#This Row],[ProductID]],Product_lookup[ProductID],0)),"")</f>
        <v>Electronics</v>
      </c>
      <c r="L1661" s="9" t="str">
        <f>IF(OR(RawWorking[[#This Row],[ShipDate]]="",RawWorking[[#This Row],[DeliveryDate]]=""),"",RawWorking[[#This Row],[DeliveryDate]]-RawWorking[[#This Row],[ShipDate]])</f>
        <v/>
      </c>
      <c r="M1661" s="9">
        <f>IF(COUNTIF(INDEX(RawWorking[OrderID],1):RawWorking[[#This Row],[OrderID]],RawWorking[[#This Row],[OrderID]])=1,1,0)</f>
        <v>1</v>
      </c>
      <c r="N1661" s="4">
        <f>IFERROR(RawWorking[[#This Row],[LineAmount]]/RawWorking[[#This Row],[Quantity]],"")</f>
        <v>224.37</v>
      </c>
    </row>
    <row r="1662" spans="1:14">
      <c r="A1662">
        <v>51661</v>
      </c>
      <c r="B1662">
        <v>30962</v>
      </c>
      <c r="C1662" s="2">
        <v>45808</v>
      </c>
      <c r="D1662">
        <v>2333</v>
      </c>
      <c r="E1662">
        <v>1006</v>
      </c>
      <c r="F1662">
        <v>2</v>
      </c>
      <c r="G1662">
        <v>507.72</v>
      </c>
      <c r="H1662" s="2" t="s">
        <v>1421</v>
      </c>
      <c r="I1662" s="2" t="s">
        <v>1421</v>
      </c>
      <c r="J1662" t="s">
        <v>16</v>
      </c>
      <c r="K1662" s="2" t="str">
        <f>IFERROR(INDEX(Product_lookup[Category],MATCH(RawWorking[[#This Row],[ProductID]],Product_lookup[ProductID],0)),"")</f>
        <v>Home</v>
      </c>
      <c r="L1662" s="9" t="str">
        <f>IF(OR(RawWorking[[#This Row],[ShipDate]]="",RawWorking[[#This Row],[DeliveryDate]]=""),"",RawWorking[[#This Row],[DeliveryDate]]-RawWorking[[#This Row],[ShipDate]])</f>
        <v/>
      </c>
      <c r="M1662" s="9">
        <f>IF(COUNTIF(INDEX(RawWorking[OrderID],1):RawWorking[[#This Row],[OrderID]],RawWorking[[#This Row],[OrderID]])=1,1,0)</f>
        <v>1</v>
      </c>
      <c r="N1662" s="4">
        <f>IFERROR(RawWorking[[#This Row],[LineAmount]]/RawWorking[[#This Row],[Quantity]],"")</f>
        <v>253.86</v>
      </c>
    </row>
    <row r="1663" spans="1:14">
      <c r="A1663">
        <v>51662</v>
      </c>
      <c r="B1663">
        <v>30963</v>
      </c>
      <c r="C1663" s="2">
        <v>45941</v>
      </c>
      <c r="D1663">
        <v>2591</v>
      </c>
      <c r="E1663">
        <v>1004</v>
      </c>
      <c r="F1663">
        <v>1</v>
      </c>
      <c r="G1663">
        <v>183.74</v>
      </c>
      <c r="H1663" s="2" t="s">
        <v>1421</v>
      </c>
      <c r="I1663" s="2" t="s">
        <v>1421</v>
      </c>
      <c r="J1663" t="s">
        <v>16</v>
      </c>
      <c r="K1663" s="2" t="str">
        <f>IFERROR(INDEX(Product_lookup[Category],MATCH(RawWorking[[#This Row],[ProductID]],Product_lookup[ProductID],0)),"")</f>
        <v>Electronics</v>
      </c>
      <c r="L1663" s="9" t="str">
        <f>IF(OR(RawWorking[[#This Row],[ShipDate]]="",RawWorking[[#This Row],[DeliveryDate]]=""),"",RawWorking[[#This Row],[DeliveryDate]]-RawWorking[[#This Row],[ShipDate]])</f>
        <v/>
      </c>
      <c r="M1663" s="9">
        <f>IF(COUNTIF(INDEX(RawWorking[OrderID],1):RawWorking[[#This Row],[OrderID]],RawWorking[[#This Row],[OrderID]])=1,1,0)</f>
        <v>1</v>
      </c>
      <c r="N1663" s="4">
        <f>IFERROR(RawWorking[[#This Row],[LineAmount]]/RawWorking[[#This Row],[Quantity]],"")</f>
        <v>183.74</v>
      </c>
    </row>
    <row r="1664" spans="1:14">
      <c r="A1664">
        <v>51663</v>
      </c>
      <c r="B1664">
        <v>30963</v>
      </c>
      <c r="C1664" s="2">
        <v>45941</v>
      </c>
      <c r="D1664">
        <v>2591</v>
      </c>
      <c r="E1664">
        <v>1010</v>
      </c>
      <c r="F1664">
        <v>1</v>
      </c>
      <c r="G1664">
        <v>121.5</v>
      </c>
      <c r="H1664" s="2">
        <v>46063</v>
      </c>
      <c r="I1664" s="2" t="s">
        <v>1421</v>
      </c>
      <c r="J1664" t="s">
        <v>16</v>
      </c>
      <c r="K1664" s="2" t="str">
        <f>IFERROR(INDEX(Product_lookup[Category],MATCH(RawWorking[[#This Row],[ProductID]],Product_lookup[ProductID],0)),"")</f>
        <v>Office</v>
      </c>
      <c r="L1664" s="9" t="str">
        <f>IF(OR(RawWorking[[#This Row],[ShipDate]]="",RawWorking[[#This Row],[DeliveryDate]]=""),"",RawWorking[[#This Row],[DeliveryDate]]-RawWorking[[#This Row],[ShipDate]])</f>
        <v/>
      </c>
      <c r="M1664" s="9">
        <f>IF(COUNTIF(INDEX(RawWorking[OrderID],1):RawWorking[[#This Row],[OrderID]],RawWorking[[#This Row],[OrderID]])=1,1,0)</f>
        <v>0</v>
      </c>
      <c r="N1664" s="4">
        <f>IFERROR(RawWorking[[#This Row],[LineAmount]]/RawWorking[[#This Row],[Quantity]],"")</f>
        <v>121.5</v>
      </c>
    </row>
    <row r="1665" spans="1:14">
      <c r="A1665">
        <v>51664</v>
      </c>
      <c r="B1665">
        <v>30963</v>
      </c>
      <c r="C1665" s="2">
        <v>45941</v>
      </c>
      <c r="D1665">
        <v>2591</v>
      </c>
      <c r="E1665">
        <v>1013</v>
      </c>
      <c r="F1665">
        <v>1</v>
      </c>
      <c r="G1665">
        <v>170.25</v>
      </c>
      <c r="H1665" s="2">
        <v>45944</v>
      </c>
      <c r="I1665" s="2" t="s">
        <v>1421</v>
      </c>
      <c r="J1665" t="s">
        <v>16</v>
      </c>
      <c r="K1665" s="2" t="str">
        <f>IFERROR(INDEX(Product_lookup[Category],MATCH(RawWorking[[#This Row],[ProductID]],Product_lookup[ProductID],0)),"")</f>
        <v>Office</v>
      </c>
      <c r="L1665" s="9" t="str">
        <f>IF(OR(RawWorking[[#This Row],[ShipDate]]="",RawWorking[[#This Row],[DeliveryDate]]=""),"",RawWorking[[#This Row],[DeliveryDate]]-RawWorking[[#This Row],[ShipDate]])</f>
        <v/>
      </c>
      <c r="M1665" s="9">
        <f>IF(COUNTIF(INDEX(RawWorking[OrderID],1):RawWorking[[#This Row],[OrderID]],RawWorking[[#This Row],[OrderID]])=1,1,0)</f>
        <v>0</v>
      </c>
      <c r="N1665" s="4">
        <f>IFERROR(RawWorking[[#This Row],[LineAmount]]/RawWorking[[#This Row],[Quantity]],"")</f>
        <v>170.25</v>
      </c>
    </row>
    <row r="1666" spans="1:14">
      <c r="A1666">
        <v>51665</v>
      </c>
      <c r="B1666">
        <v>30964</v>
      </c>
      <c r="C1666" s="2">
        <v>45844</v>
      </c>
      <c r="D1666">
        <v>2058</v>
      </c>
      <c r="E1666">
        <v>1011</v>
      </c>
      <c r="F1666">
        <v>2</v>
      </c>
      <c r="G1666">
        <v>202.88</v>
      </c>
      <c r="H1666" s="2" t="s">
        <v>1421</v>
      </c>
      <c r="I1666" s="2" t="s">
        <v>1421</v>
      </c>
      <c r="J1666" t="s">
        <v>12</v>
      </c>
      <c r="K1666" s="2" t="str">
        <f>IFERROR(INDEX(Product_lookup[Category],MATCH(RawWorking[[#This Row],[ProductID]],Product_lookup[ProductID],0)),"")</f>
        <v>Office</v>
      </c>
      <c r="L1666" s="9" t="str">
        <f>IF(OR(RawWorking[[#This Row],[ShipDate]]="",RawWorking[[#This Row],[DeliveryDate]]=""),"",RawWorking[[#This Row],[DeliveryDate]]-RawWorking[[#This Row],[ShipDate]])</f>
        <v/>
      </c>
      <c r="M1666" s="9">
        <f>IF(COUNTIF(INDEX(RawWorking[OrderID],1):RawWorking[[#This Row],[OrderID]],RawWorking[[#This Row],[OrderID]])=1,1,0)</f>
        <v>1</v>
      </c>
      <c r="N1666" s="4">
        <f>IFERROR(RawWorking[[#This Row],[LineAmount]]/RawWorking[[#This Row],[Quantity]],"")</f>
        <v>101.44</v>
      </c>
    </row>
    <row r="1667" spans="1:14">
      <c r="A1667">
        <v>51666</v>
      </c>
      <c r="B1667">
        <v>30965</v>
      </c>
      <c r="C1667" s="2">
        <v>46015</v>
      </c>
      <c r="D1667">
        <v>2357</v>
      </c>
      <c r="E1667">
        <v>1014</v>
      </c>
      <c r="F1667">
        <v>1</v>
      </c>
      <c r="G1667">
        <v>215.34</v>
      </c>
      <c r="H1667" s="2" t="s">
        <v>1421</v>
      </c>
      <c r="I1667" s="2" t="s">
        <v>1421</v>
      </c>
      <c r="J1667" t="s">
        <v>12</v>
      </c>
      <c r="K1667" s="2" t="str">
        <f>IFERROR(INDEX(Product_lookup[Category],MATCH(RawWorking[[#This Row],[ProductID]],Product_lookup[ProductID],0)),"")</f>
        <v>Sports</v>
      </c>
      <c r="L1667" s="9" t="str">
        <f>IF(OR(RawWorking[[#This Row],[ShipDate]]="",RawWorking[[#This Row],[DeliveryDate]]=""),"",RawWorking[[#This Row],[DeliveryDate]]-RawWorking[[#This Row],[ShipDate]])</f>
        <v/>
      </c>
      <c r="M1667" s="9">
        <f>IF(COUNTIF(INDEX(RawWorking[OrderID],1):RawWorking[[#This Row],[OrderID]],RawWorking[[#This Row],[OrderID]])=1,1,0)</f>
        <v>1</v>
      </c>
      <c r="N1667" s="4">
        <f>IFERROR(RawWorking[[#This Row],[LineAmount]]/RawWorking[[#This Row],[Quantity]],"")</f>
        <v>215.34</v>
      </c>
    </row>
    <row r="1668" spans="1:14">
      <c r="A1668">
        <v>51667</v>
      </c>
      <c r="B1668">
        <v>30966</v>
      </c>
      <c r="C1668" s="2">
        <v>45747</v>
      </c>
      <c r="D1668">
        <v>2427</v>
      </c>
      <c r="E1668">
        <v>1004</v>
      </c>
      <c r="F1668">
        <v>3</v>
      </c>
      <c r="G1668">
        <v>551.22</v>
      </c>
      <c r="H1668" s="2" t="s">
        <v>1421</v>
      </c>
      <c r="I1668" s="2" t="s">
        <v>1421</v>
      </c>
      <c r="J1668" t="s">
        <v>12</v>
      </c>
      <c r="K1668" s="2" t="str">
        <f>IFERROR(INDEX(Product_lookup[Category],MATCH(RawWorking[[#This Row],[ProductID]],Product_lookup[ProductID],0)),"")</f>
        <v>Electronics</v>
      </c>
      <c r="L1668" s="9" t="str">
        <f>IF(OR(RawWorking[[#This Row],[ShipDate]]="",RawWorking[[#This Row],[DeliveryDate]]=""),"",RawWorking[[#This Row],[DeliveryDate]]-RawWorking[[#This Row],[ShipDate]])</f>
        <v/>
      </c>
      <c r="M1668" s="9">
        <f>IF(COUNTIF(INDEX(RawWorking[OrderID],1):RawWorking[[#This Row],[OrderID]],RawWorking[[#This Row],[OrderID]])=1,1,0)</f>
        <v>1</v>
      </c>
      <c r="N1668" s="4">
        <f>IFERROR(RawWorking[[#This Row],[LineAmount]]/RawWorking[[#This Row],[Quantity]],"")</f>
        <v>183.74</v>
      </c>
    </row>
    <row r="1669" spans="1:14">
      <c r="A1669">
        <v>51668</v>
      </c>
      <c r="B1669">
        <v>30966</v>
      </c>
      <c r="C1669" s="2">
        <v>45747</v>
      </c>
      <c r="D1669">
        <v>2427</v>
      </c>
      <c r="E1669">
        <v>1008</v>
      </c>
      <c r="F1669">
        <v>2</v>
      </c>
      <c r="G1669">
        <v>412.18</v>
      </c>
      <c r="H1669" s="2" t="s">
        <v>1421</v>
      </c>
      <c r="I1669" s="2" t="s">
        <v>1421</v>
      </c>
      <c r="J1669" t="s">
        <v>12</v>
      </c>
      <c r="K1669" s="2" t="str">
        <f>IFERROR(INDEX(Product_lookup[Category],MATCH(RawWorking[[#This Row],[ProductID]],Product_lookup[ProductID],0)),"")</f>
        <v>Home</v>
      </c>
      <c r="L1669" s="9" t="str">
        <f>IF(OR(RawWorking[[#This Row],[ShipDate]]="",RawWorking[[#This Row],[DeliveryDate]]=""),"",RawWorking[[#This Row],[DeliveryDate]]-RawWorking[[#This Row],[ShipDate]])</f>
        <v/>
      </c>
      <c r="M1669" s="9">
        <f>IF(COUNTIF(INDEX(RawWorking[OrderID],1):RawWorking[[#This Row],[OrderID]],RawWorking[[#This Row],[OrderID]])=1,1,0)</f>
        <v>0</v>
      </c>
      <c r="N1669" s="4">
        <f>IFERROR(RawWorking[[#This Row],[LineAmount]]/RawWorking[[#This Row],[Quantity]],"")</f>
        <v>206.09</v>
      </c>
    </row>
    <row r="1670" spans="1:14">
      <c r="A1670">
        <v>51669</v>
      </c>
      <c r="B1670">
        <v>30967</v>
      </c>
      <c r="C1670" s="2">
        <v>45669</v>
      </c>
      <c r="D1670">
        <v>2012</v>
      </c>
      <c r="E1670">
        <v>1013</v>
      </c>
      <c r="F1670">
        <v>2</v>
      </c>
      <c r="G1670">
        <v>340.5</v>
      </c>
      <c r="H1670" s="2">
        <v>45671</v>
      </c>
      <c r="I1670" s="2">
        <v>45680</v>
      </c>
      <c r="J1670" t="s">
        <v>9</v>
      </c>
      <c r="K1670" s="2" t="str">
        <f>IFERROR(INDEX(Product_lookup[Category],MATCH(RawWorking[[#This Row],[ProductID]],Product_lookup[ProductID],0)),"")</f>
        <v>Office</v>
      </c>
      <c r="L1670" s="9">
        <f>IF(OR(RawWorking[[#This Row],[ShipDate]]="",RawWorking[[#This Row],[DeliveryDate]]=""),"",RawWorking[[#This Row],[DeliveryDate]]-RawWorking[[#This Row],[ShipDate]])</f>
        <v>9</v>
      </c>
      <c r="M1670" s="9">
        <f>IF(COUNTIF(INDEX(RawWorking[OrderID],1):RawWorking[[#This Row],[OrderID]],RawWorking[[#This Row],[OrderID]])=1,1,0)</f>
        <v>1</v>
      </c>
      <c r="N1670" s="4">
        <f>IFERROR(RawWorking[[#This Row],[LineAmount]]/RawWorking[[#This Row],[Quantity]],"")</f>
        <v>170.25</v>
      </c>
    </row>
    <row r="1671" spans="1:14">
      <c r="A1671">
        <v>51670</v>
      </c>
      <c r="B1671">
        <v>30967</v>
      </c>
      <c r="C1671" s="2">
        <v>45669</v>
      </c>
      <c r="D1671">
        <v>2012</v>
      </c>
      <c r="E1671">
        <v>1002</v>
      </c>
      <c r="F1671">
        <v>1</v>
      </c>
      <c r="G1671">
        <v>118.6</v>
      </c>
      <c r="H1671" s="2">
        <v>45670</v>
      </c>
      <c r="I1671" s="2">
        <v>45677</v>
      </c>
      <c r="J1671" t="s">
        <v>9</v>
      </c>
      <c r="K1671" s="2" t="str">
        <f>IFERROR(INDEX(Product_lookup[Category],MATCH(RawWorking[[#This Row],[ProductID]],Product_lookup[ProductID],0)),"")</f>
        <v>Electronics</v>
      </c>
      <c r="L1671" s="9">
        <f>IF(OR(RawWorking[[#This Row],[ShipDate]]="",RawWorking[[#This Row],[DeliveryDate]]=""),"",RawWorking[[#This Row],[DeliveryDate]]-RawWorking[[#This Row],[ShipDate]])</f>
        <v>7</v>
      </c>
      <c r="M1671" s="9">
        <f>IF(COUNTIF(INDEX(RawWorking[OrderID],1):RawWorking[[#This Row],[OrderID]],RawWorking[[#This Row],[OrderID]])=1,1,0)</f>
        <v>0</v>
      </c>
      <c r="N1671" s="4">
        <f>IFERROR(RawWorking[[#This Row],[LineAmount]]/RawWorking[[#This Row],[Quantity]],"")</f>
        <v>118.6</v>
      </c>
    </row>
    <row r="1672" spans="1:14">
      <c r="A1672">
        <v>51671</v>
      </c>
      <c r="B1672">
        <v>30968</v>
      </c>
      <c r="C1672" s="2">
        <v>45939</v>
      </c>
      <c r="D1672">
        <v>2313</v>
      </c>
      <c r="E1672">
        <v>1011</v>
      </c>
      <c r="F1672">
        <v>2</v>
      </c>
      <c r="G1672">
        <v>202.88</v>
      </c>
      <c r="H1672" s="2">
        <v>45942</v>
      </c>
      <c r="I1672" s="2">
        <v>45947</v>
      </c>
      <c r="J1672" t="s">
        <v>9</v>
      </c>
      <c r="K1672" s="2" t="str">
        <f>IFERROR(INDEX(Product_lookup[Category],MATCH(RawWorking[[#This Row],[ProductID]],Product_lookup[ProductID],0)),"")</f>
        <v>Office</v>
      </c>
      <c r="L1672" s="9">
        <f>IF(OR(RawWorking[[#This Row],[ShipDate]]="",RawWorking[[#This Row],[DeliveryDate]]=""),"",RawWorking[[#This Row],[DeliveryDate]]-RawWorking[[#This Row],[ShipDate]])</f>
        <v>5</v>
      </c>
      <c r="M1672" s="9">
        <f>IF(COUNTIF(INDEX(RawWorking[OrderID],1):RawWorking[[#This Row],[OrderID]],RawWorking[[#This Row],[OrderID]])=1,1,0)</f>
        <v>1</v>
      </c>
      <c r="N1672" s="4">
        <f>IFERROR(RawWorking[[#This Row],[LineAmount]]/RawWorking[[#This Row],[Quantity]],"")</f>
        <v>101.44</v>
      </c>
    </row>
    <row r="1673" spans="1:14">
      <c r="A1673">
        <v>51672</v>
      </c>
      <c r="B1673">
        <v>30969</v>
      </c>
      <c r="C1673" s="2">
        <v>45841</v>
      </c>
      <c r="D1673">
        <v>2553</v>
      </c>
      <c r="E1673">
        <v>1011</v>
      </c>
      <c r="F1673">
        <v>2</v>
      </c>
      <c r="G1673">
        <v>202.88</v>
      </c>
      <c r="H1673" s="2">
        <v>45843</v>
      </c>
      <c r="I1673" s="2">
        <v>45848</v>
      </c>
      <c r="J1673" t="s">
        <v>9</v>
      </c>
      <c r="K1673" s="2" t="str">
        <f>IFERROR(INDEX(Product_lookup[Category],MATCH(RawWorking[[#This Row],[ProductID]],Product_lookup[ProductID],0)),"")</f>
        <v>Office</v>
      </c>
      <c r="L1673" s="9">
        <f>IF(OR(RawWorking[[#This Row],[ShipDate]]="",RawWorking[[#This Row],[DeliveryDate]]=""),"",RawWorking[[#This Row],[DeliveryDate]]-RawWorking[[#This Row],[ShipDate]])</f>
        <v>5</v>
      </c>
      <c r="M1673" s="9">
        <f>IF(COUNTIF(INDEX(RawWorking[OrderID],1):RawWorking[[#This Row],[OrderID]],RawWorking[[#This Row],[OrderID]])=1,1,0)</f>
        <v>1</v>
      </c>
      <c r="N1673" s="4">
        <f>IFERROR(RawWorking[[#This Row],[LineAmount]]/RawWorking[[#This Row],[Quantity]],"")</f>
        <v>101.44</v>
      </c>
    </row>
    <row r="1674" spans="1:14">
      <c r="A1674">
        <v>51673</v>
      </c>
      <c r="B1674">
        <v>30970</v>
      </c>
      <c r="C1674" s="2">
        <v>45973</v>
      </c>
      <c r="D1674">
        <v>2515</v>
      </c>
      <c r="E1674">
        <v>1005</v>
      </c>
      <c r="F1674">
        <v>1</v>
      </c>
      <c r="G1674">
        <v>31.73</v>
      </c>
      <c r="H1674" s="2">
        <v>45976</v>
      </c>
      <c r="I1674" s="2">
        <v>45977</v>
      </c>
      <c r="J1674" t="s">
        <v>9</v>
      </c>
      <c r="K1674" s="2" t="str">
        <f>IFERROR(INDEX(Product_lookup[Category],MATCH(RawWorking[[#This Row],[ProductID]],Product_lookup[ProductID],0)),"")</f>
        <v>Electronics</v>
      </c>
      <c r="L1674" s="9">
        <f>IF(OR(RawWorking[[#This Row],[ShipDate]]="",RawWorking[[#This Row],[DeliveryDate]]=""),"",RawWorking[[#This Row],[DeliveryDate]]-RawWorking[[#This Row],[ShipDate]])</f>
        <v>1</v>
      </c>
      <c r="M1674" s="9">
        <f>IF(COUNTIF(INDEX(RawWorking[OrderID],1):RawWorking[[#This Row],[OrderID]],RawWorking[[#This Row],[OrderID]])=1,1,0)</f>
        <v>1</v>
      </c>
      <c r="N1674" s="4">
        <f>IFERROR(RawWorking[[#This Row],[LineAmount]]/RawWorking[[#This Row],[Quantity]],"")</f>
        <v>31.73</v>
      </c>
    </row>
    <row r="1675" spans="1:14">
      <c r="A1675">
        <v>51674</v>
      </c>
      <c r="B1675">
        <v>30971</v>
      </c>
      <c r="C1675" s="2">
        <v>45726</v>
      </c>
      <c r="D1675">
        <v>2052</v>
      </c>
      <c r="E1675">
        <v>1013</v>
      </c>
      <c r="F1675">
        <v>1</v>
      </c>
      <c r="G1675">
        <v>170.25</v>
      </c>
      <c r="H1675" s="2">
        <v>45727</v>
      </c>
      <c r="I1675" s="2">
        <v>45729</v>
      </c>
      <c r="J1675" t="s">
        <v>9</v>
      </c>
      <c r="K1675" s="2" t="str">
        <f>IFERROR(INDEX(Product_lookup[Category],MATCH(RawWorking[[#This Row],[ProductID]],Product_lookup[ProductID],0)),"")</f>
        <v>Office</v>
      </c>
      <c r="L1675" s="9">
        <f>IF(OR(RawWorking[[#This Row],[ShipDate]]="",RawWorking[[#This Row],[DeliveryDate]]=""),"",RawWorking[[#This Row],[DeliveryDate]]-RawWorking[[#This Row],[ShipDate]])</f>
        <v>2</v>
      </c>
      <c r="M1675" s="9">
        <f>IF(COUNTIF(INDEX(RawWorking[OrderID],1):RawWorking[[#This Row],[OrderID]],RawWorking[[#This Row],[OrderID]])=1,1,0)</f>
        <v>1</v>
      </c>
      <c r="N1675" s="4">
        <f>IFERROR(RawWorking[[#This Row],[LineAmount]]/RawWorking[[#This Row],[Quantity]],"")</f>
        <v>170.25</v>
      </c>
    </row>
    <row r="1676" spans="1:14">
      <c r="A1676">
        <v>51675</v>
      </c>
      <c r="B1676">
        <v>30971</v>
      </c>
      <c r="C1676" s="2">
        <v>45726</v>
      </c>
      <c r="D1676">
        <v>2052</v>
      </c>
      <c r="E1676">
        <v>1015</v>
      </c>
      <c r="F1676">
        <v>1</v>
      </c>
      <c r="G1676">
        <v>119.74</v>
      </c>
      <c r="H1676" s="2">
        <v>45728</v>
      </c>
      <c r="I1676" s="2">
        <v>45736</v>
      </c>
      <c r="J1676" t="s">
        <v>9</v>
      </c>
      <c r="K1676" s="2" t="str">
        <f>IFERROR(INDEX(Product_lookup[Category],MATCH(RawWorking[[#This Row],[ProductID]],Product_lookup[ProductID],0)),"")</f>
        <v>Sports</v>
      </c>
      <c r="L1676" s="9">
        <f>IF(OR(RawWorking[[#This Row],[ShipDate]]="",RawWorking[[#This Row],[DeliveryDate]]=""),"",RawWorking[[#This Row],[DeliveryDate]]-RawWorking[[#This Row],[ShipDate]])</f>
        <v>8</v>
      </c>
      <c r="M1676" s="9">
        <f>IF(COUNTIF(INDEX(RawWorking[OrderID],1):RawWorking[[#This Row],[OrderID]],RawWorking[[#This Row],[OrderID]])=1,1,0)</f>
        <v>0</v>
      </c>
      <c r="N1676" s="4">
        <f>IFERROR(RawWorking[[#This Row],[LineAmount]]/RawWorking[[#This Row],[Quantity]],"")</f>
        <v>119.74</v>
      </c>
    </row>
    <row r="1677" spans="1:14">
      <c r="A1677">
        <v>51676</v>
      </c>
      <c r="B1677">
        <v>30971</v>
      </c>
      <c r="C1677" s="2">
        <v>45726</v>
      </c>
      <c r="D1677">
        <v>2052</v>
      </c>
      <c r="E1677">
        <v>1003</v>
      </c>
      <c r="F1677">
        <v>1</v>
      </c>
      <c r="G1677">
        <v>224.37</v>
      </c>
      <c r="H1677" s="2">
        <v>45729</v>
      </c>
      <c r="I1677" s="2">
        <v>45731</v>
      </c>
      <c r="J1677" t="s">
        <v>9</v>
      </c>
      <c r="K1677" s="2" t="str">
        <f>IFERROR(INDEX(Product_lookup[Category],MATCH(RawWorking[[#This Row],[ProductID]],Product_lookup[ProductID],0)),"")</f>
        <v>Electronics</v>
      </c>
      <c r="L1677" s="9">
        <f>IF(OR(RawWorking[[#This Row],[ShipDate]]="",RawWorking[[#This Row],[DeliveryDate]]=""),"",RawWorking[[#This Row],[DeliveryDate]]-RawWorking[[#This Row],[ShipDate]])</f>
        <v>2</v>
      </c>
      <c r="M1677" s="9">
        <f>IF(COUNTIF(INDEX(RawWorking[OrderID],1):RawWorking[[#This Row],[OrderID]],RawWorking[[#This Row],[OrderID]])=1,1,0)</f>
        <v>0</v>
      </c>
      <c r="N1677" s="4">
        <f>IFERROR(RawWorking[[#This Row],[LineAmount]]/RawWorking[[#This Row],[Quantity]],"")</f>
        <v>224.37</v>
      </c>
    </row>
    <row r="1678" spans="1:14">
      <c r="A1678">
        <v>51677</v>
      </c>
      <c r="B1678">
        <v>30971</v>
      </c>
      <c r="C1678" s="2">
        <v>45726</v>
      </c>
      <c r="D1678">
        <v>2052</v>
      </c>
      <c r="E1678">
        <v>1008</v>
      </c>
      <c r="F1678">
        <v>1</v>
      </c>
      <c r="G1678">
        <v>206.09</v>
      </c>
      <c r="H1678" s="2">
        <v>45729</v>
      </c>
      <c r="I1678" s="2">
        <v>45732</v>
      </c>
      <c r="J1678" t="s">
        <v>9</v>
      </c>
      <c r="K1678" s="2" t="str">
        <f>IFERROR(INDEX(Product_lookup[Category],MATCH(RawWorking[[#This Row],[ProductID]],Product_lookup[ProductID],0)),"")</f>
        <v>Home</v>
      </c>
      <c r="L1678" s="9">
        <f>IF(OR(RawWorking[[#This Row],[ShipDate]]="",RawWorking[[#This Row],[DeliveryDate]]=""),"",RawWorking[[#This Row],[DeliveryDate]]-RawWorking[[#This Row],[ShipDate]])</f>
        <v>3</v>
      </c>
      <c r="M1678" s="9">
        <f>IF(COUNTIF(INDEX(RawWorking[OrderID],1):RawWorking[[#This Row],[OrderID]],RawWorking[[#This Row],[OrderID]])=1,1,0)</f>
        <v>0</v>
      </c>
      <c r="N1678" s="4">
        <f>IFERROR(RawWorking[[#This Row],[LineAmount]]/RawWorking[[#This Row],[Quantity]],"")</f>
        <v>206.09</v>
      </c>
    </row>
    <row r="1679" spans="1:14">
      <c r="A1679">
        <v>51678</v>
      </c>
      <c r="B1679">
        <v>30972</v>
      </c>
      <c r="C1679" s="2">
        <v>45683</v>
      </c>
      <c r="D1679">
        <v>2443</v>
      </c>
      <c r="E1679">
        <v>1013</v>
      </c>
      <c r="F1679">
        <v>1</v>
      </c>
      <c r="G1679">
        <v>170.25</v>
      </c>
      <c r="H1679" s="2">
        <v>45685</v>
      </c>
      <c r="I1679" s="2">
        <v>45692</v>
      </c>
      <c r="J1679" t="s">
        <v>9</v>
      </c>
      <c r="K1679" s="2" t="str">
        <f>IFERROR(INDEX(Product_lookup[Category],MATCH(RawWorking[[#This Row],[ProductID]],Product_lookup[ProductID],0)),"")</f>
        <v>Office</v>
      </c>
      <c r="L1679" s="9">
        <f>IF(OR(RawWorking[[#This Row],[ShipDate]]="",RawWorking[[#This Row],[DeliveryDate]]=""),"",RawWorking[[#This Row],[DeliveryDate]]-RawWorking[[#This Row],[ShipDate]])</f>
        <v>7</v>
      </c>
      <c r="M1679" s="9">
        <f>IF(COUNTIF(INDEX(RawWorking[OrderID],1):RawWorking[[#This Row],[OrderID]],RawWorking[[#This Row],[OrderID]])=1,1,0)</f>
        <v>1</v>
      </c>
      <c r="N1679" s="4">
        <f>IFERROR(RawWorking[[#This Row],[LineAmount]]/RawWorking[[#This Row],[Quantity]],"")</f>
        <v>170.25</v>
      </c>
    </row>
    <row r="1680" spans="1:14">
      <c r="A1680">
        <v>51679</v>
      </c>
      <c r="B1680">
        <v>30972</v>
      </c>
      <c r="C1680" s="2">
        <v>45683</v>
      </c>
      <c r="D1680">
        <v>2443</v>
      </c>
      <c r="E1680">
        <v>1005</v>
      </c>
      <c r="F1680">
        <v>1</v>
      </c>
      <c r="G1680">
        <v>31.73</v>
      </c>
      <c r="H1680" s="2">
        <v>45684</v>
      </c>
      <c r="I1680" s="2">
        <v>45692</v>
      </c>
      <c r="J1680" t="s">
        <v>9</v>
      </c>
      <c r="K1680" s="2" t="str">
        <f>IFERROR(INDEX(Product_lookup[Category],MATCH(RawWorking[[#This Row],[ProductID]],Product_lookup[ProductID],0)),"")</f>
        <v>Electronics</v>
      </c>
      <c r="L1680" s="9">
        <f>IF(OR(RawWorking[[#This Row],[ShipDate]]="",RawWorking[[#This Row],[DeliveryDate]]=""),"",RawWorking[[#This Row],[DeliveryDate]]-RawWorking[[#This Row],[ShipDate]])</f>
        <v>8</v>
      </c>
      <c r="M1680" s="9">
        <f>IF(COUNTIF(INDEX(RawWorking[OrderID],1):RawWorking[[#This Row],[OrderID]],RawWorking[[#This Row],[OrderID]])=1,1,0)</f>
        <v>0</v>
      </c>
      <c r="N1680" s="4">
        <f>IFERROR(RawWorking[[#This Row],[LineAmount]]/RawWorking[[#This Row],[Quantity]],"")</f>
        <v>31.73</v>
      </c>
    </row>
    <row r="1681" spans="1:14">
      <c r="A1681">
        <v>51680</v>
      </c>
      <c r="B1681">
        <v>30973</v>
      </c>
      <c r="C1681" s="2">
        <v>45972</v>
      </c>
      <c r="D1681">
        <v>2136</v>
      </c>
      <c r="E1681">
        <v>1016</v>
      </c>
      <c r="F1681">
        <v>1</v>
      </c>
      <c r="G1681">
        <v>65.260000000000005</v>
      </c>
      <c r="H1681" s="2">
        <v>45975</v>
      </c>
      <c r="I1681" s="2">
        <v>45979</v>
      </c>
      <c r="J1681" t="s">
        <v>9</v>
      </c>
      <c r="K1681" s="2" t="str">
        <f>IFERROR(INDEX(Product_lookup[Category],MATCH(RawWorking[[#This Row],[ProductID]],Product_lookup[ProductID],0)),"")</f>
        <v>Sports</v>
      </c>
      <c r="L1681" s="9">
        <f>IF(OR(RawWorking[[#This Row],[ShipDate]]="",RawWorking[[#This Row],[DeliveryDate]]=""),"",RawWorking[[#This Row],[DeliveryDate]]-RawWorking[[#This Row],[ShipDate]])</f>
        <v>4</v>
      </c>
      <c r="M1681" s="9">
        <f>IF(COUNTIF(INDEX(RawWorking[OrderID],1):RawWorking[[#This Row],[OrderID]],RawWorking[[#This Row],[OrderID]])=1,1,0)</f>
        <v>1</v>
      </c>
      <c r="N1681" s="4">
        <f>IFERROR(RawWorking[[#This Row],[LineAmount]]/RawWorking[[#This Row],[Quantity]],"")</f>
        <v>65.260000000000005</v>
      </c>
    </row>
    <row r="1682" spans="1:14">
      <c r="A1682">
        <v>51681</v>
      </c>
      <c r="B1682">
        <v>30973</v>
      </c>
      <c r="C1682" s="2">
        <v>45972</v>
      </c>
      <c r="D1682">
        <v>2136</v>
      </c>
      <c r="E1682">
        <v>1002</v>
      </c>
      <c r="F1682">
        <v>5</v>
      </c>
      <c r="G1682">
        <v>593</v>
      </c>
      <c r="H1682" s="2">
        <v>45975</v>
      </c>
      <c r="I1682" s="2">
        <v>45985</v>
      </c>
      <c r="J1682" t="s">
        <v>9</v>
      </c>
      <c r="K1682" s="2" t="str">
        <f>IFERROR(INDEX(Product_lookup[Category],MATCH(RawWorking[[#This Row],[ProductID]],Product_lookup[ProductID],0)),"")</f>
        <v>Electronics</v>
      </c>
      <c r="L1682" s="9">
        <f>IF(OR(RawWorking[[#This Row],[ShipDate]]="",RawWorking[[#This Row],[DeliveryDate]]=""),"",RawWorking[[#This Row],[DeliveryDate]]-RawWorking[[#This Row],[ShipDate]])</f>
        <v>10</v>
      </c>
      <c r="M1682" s="9">
        <f>IF(COUNTIF(INDEX(RawWorking[OrderID],1):RawWorking[[#This Row],[OrderID]],RawWorking[[#This Row],[OrderID]])=1,1,0)</f>
        <v>0</v>
      </c>
      <c r="N1682" s="4">
        <f>IFERROR(RawWorking[[#This Row],[LineAmount]]/RawWorking[[#This Row],[Quantity]],"")</f>
        <v>118.6</v>
      </c>
    </row>
    <row r="1683" spans="1:14">
      <c r="A1683">
        <v>51682</v>
      </c>
      <c r="B1683">
        <v>30974</v>
      </c>
      <c r="C1683" s="2">
        <v>45746</v>
      </c>
      <c r="D1683">
        <v>2562</v>
      </c>
      <c r="E1683">
        <v>1003</v>
      </c>
      <c r="F1683">
        <v>3</v>
      </c>
      <c r="G1683">
        <v>673.11</v>
      </c>
      <c r="H1683" s="2">
        <v>45747</v>
      </c>
      <c r="I1683" s="2">
        <v>45749</v>
      </c>
      <c r="J1683" t="s">
        <v>9</v>
      </c>
      <c r="K1683" s="2" t="str">
        <f>IFERROR(INDEX(Product_lookup[Category],MATCH(RawWorking[[#This Row],[ProductID]],Product_lookup[ProductID],0)),"")</f>
        <v>Electronics</v>
      </c>
      <c r="L1683" s="9">
        <f>IF(OR(RawWorking[[#This Row],[ShipDate]]="",RawWorking[[#This Row],[DeliveryDate]]=""),"",RawWorking[[#This Row],[DeliveryDate]]-RawWorking[[#This Row],[ShipDate]])</f>
        <v>2</v>
      </c>
      <c r="M1683" s="9">
        <f>IF(COUNTIF(INDEX(RawWorking[OrderID],1):RawWorking[[#This Row],[OrderID]],RawWorking[[#This Row],[OrderID]])=1,1,0)</f>
        <v>1</v>
      </c>
      <c r="N1683" s="4">
        <f>IFERROR(RawWorking[[#This Row],[LineAmount]]/RawWorking[[#This Row],[Quantity]],"")</f>
        <v>224.37</v>
      </c>
    </row>
    <row r="1684" spans="1:14">
      <c r="A1684">
        <v>51683</v>
      </c>
      <c r="B1684">
        <v>30975</v>
      </c>
      <c r="C1684" s="2">
        <v>45863</v>
      </c>
      <c r="D1684">
        <v>2409</v>
      </c>
      <c r="E1684">
        <v>1005</v>
      </c>
      <c r="F1684">
        <v>1</v>
      </c>
      <c r="G1684">
        <v>31.73</v>
      </c>
      <c r="H1684" s="2">
        <v>45865</v>
      </c>
      <c r="I1684" s="2">
        <v>45872</v>
      </c>
      <c r="J1684" t="s">
        <v>9</v>
      </c>
      <c r="K1684" s="2" t="str">
        <f>IFERROR(INDEX(Product_lookup[Category],MATCH(RawWorking[[#This Row],[ProductID]],Product_lookup[ProductID],0)),"")</f>
        <v>Electronics</v>
      </c>
      <c r="L1684" s="9">
        <f>IF(OR(RawWorking[[#This Row],[ShipDate]]="",RawWorking[[#This Row],[DeliveryDate]]=""),"",RawWorking[[#This Row],[DeliveryDate]]-RawWorking[[#This Row],[ShipDate]])</f>
        <v>7</v>
      </c>
      <c r="M1684" s="9">
        <f>IF(COUNTIF(INDEX(RawWorking[OrderID],1):RawWorking[[#This Row],[OrderID]],RawWorking[[#This Row],[OrderID]])=1,1,0)</f>
        <v>1</v>
      </c>
      <c r="N1684" s="4">
        <f>IFERROR(RawWorking[[#This Row],[LineAmount]]/RawWorking[[#This Row],[Quantity]],"")</f>
        <v>31.73</v>
      </c>
    </row>
    <row r="1685" spans="1:14">
      <c r="A1685">
        <v>51684</v>
      </c>
      <c r="B1685">
        <v>30975</v>
      </c>
      <c r="C1685" s="2">
        <v>45863</v>
      </c>
      <c r="D1685">
        <v>2409</v>
      </c>
      <c r="E1685">
        <v>1005</v>
      </c>
      <c r="F1685">
        <v>1</v>
      </c>
      <c r="G1685">
        <v>31.73</v>
      </c>
      <c r="H1685" s="2">
        <v>45865</v>
      </c>
      <c r="I1685" s="2">
        <v>45871</v>
      </c>
      <c r="J1685" t="s">
        <v>9</v>
      </c>
      <c r="K1685" s="2" t="str">
        <f>IFERROR(INDEX(Product_lookup[Category],MATCH(RawWorking[[#This Row],[ProductID]],Product_lookup[ProductID],0)),"")</f>
        <v>Electronics</v>
      </c>
      <c r="L1685" s="9">
        <f>IF(OR(RawWorking[[#This Row],[ShipDate]]="",RawWorking[[#This Row],[DeliveryDate]]=""),"",RawWorking[[#This Row],[DeliveryDate]]-RawWorking[[#This Row],[ShipDate]])</f>
        <v>6</v>
      </c>
      <c r="M1685" s="9">
        <f>IF(COUNTIF(INDEX(RawWorking[OrderID],1):RawWorking[[#This Row],[OrderID]],RawWorking[[#This Row],[OrderID]])=1,1,0)</f>
        <v>0</v>
      </c>
      <c r="N1685" s="4">
        <f>IFERROR(RawWorking[[#This Row],[LineAmount]]/RawWorking[[#This Row],[Quantity]],"")</f>
        <v>31.73</v>
      </c>
    </row>
    <row r="1686" spans="1:14">
      <c r="A1686">
        <v>51685</v>
      </c>
      <c r="B1686">
        <v>30976</v>
      </c>
      <c r="C1686" s="2">
        <v>45768</v>
      </c>
      <c r="D1686">
        <v>2493</v>
      </c>
      <c r="E1686">
        <v>1016</v>
      </c>
      <c r="F1686">
        <v>1</v>
      </c>
      <c r="G1686">
        <v>65.260000000000005</v>
      </c>
      <c r="H1686" s="2">
        <v>45771</v>
      </c>
      <c r="I1686" s="2">
        <v>45775</v>
      </c>
      <c r="J1686" t="s">
        <v>9</v>
      </c>
      <c r="K1686" s="2" t="str">
        <f>IFERROR(INDEX(Product_lookup[Category],MATCH(RawWorking[[#This Row],[ProductID]],Product_lookup[ProductID],0)),"")</f>
        <v>Sports</v>
      </c>
      <c r="L1686" s="9">
        <f>IF(OR(RawWorking[[#This Row],[ShipDate]]="",RawWorking[[#This Row],[DeliveryDate]]=""),"",RawWorking[[#This Row],[DeliveryDate]]-RawWorking[[#This Row],[ShipDate]])</f>
        <v>4</v>
      </c>
      <c r="M1686" s="9">
        <f>IF(COUNTIF(INDEX(RawWorking[OrderID],1):RawWorking[[#This Row],[OrderID]],RawWorking[[#This Row],[OrderID]])=1,1,0)</f>
        <v>1</v>
      </c>
      <c r="N1686" s="4">
        <f>IFERROR(RawWorking[[#This Row],[LineAmount]]/RawWorking[[#This Row],[Quantity]],"")</f>
        <v>65.260000000000005</v>
      </c>
    </row>
    <row r="1687" spans="1:14">
      <c r="A1687">
        <v>51686</v>
      </c>
      <c r="B1687">
        <v>30976</v>
      </c>
      <c r="C1687" s="2">
        <v>45768</v>
      </c>
      <c r="D1687">
        <v>2493</v>
      </c>
      <c r="E1687">
        <v>1013</v>
      </c>
      <c r="F1687">
        <v>3</v>
      </c>
      <c r="G1687">
        <v>510.75</v>
      </c>
      <c r="H1687" s="2">
        <v>45771</v>
      </c>
      <c r="I1687" s="2">
        <v>45773</v>
      </c>
      <c r="J1687" t="s">
        <v>9</v>
      </c>
      <c r="K1687" s="2" t="str">
        <f>IFERROR(INDEX(Product_lookup[Category],MATCH(RawWorking[[#This Row],[ProductID]],Product_lookup[ProductID],0)),"")</f>
        <v>Office</v>
      </c>
      <c r="L1687" s="9">
        <f>IF(OR(RawWorking[[#This Row],[ShipDate]]="",RawWorking[[#This Row],[DeliveryDate]]=""),"",RawWorking[[#This Row],[DeliveryDate]]-RawWorking[[#This Row],[ShipDate]])</f>
        <v>2</v>
      </c>
      <c r="M1687" s="9">
        <f>IF(COUNTIF(INDEX(RawWorking[OrderID],1):RawWorking[[#This Row],[OrderID]],RawWorking[[#This Row],[OrderID]])=1,1,0)</f>
        <v>0</v>
      </c>
      <c r="N1687" s="4">
        <f>IFERROR(RawWorking[[#This Row],[LineAmount]]/RawWorking[[#This Row],[Quantity]],"")</f>
        <v>170.25</v>
      </c>
    </row>
    <row r="1688" spans="1:14">
      <c r="A1688">
        <v>51687</v>
      </c>
      <c r="B1688">
        <v>30976</v>
      </c>
      <c r="C1688" s="2">
        <v>45768</v>
      </c>
      <c r="D1688">
        <v>2493</v>
      </c>
      <c r="E1688">
        <v>1007</v>
      </c>
      <c r="F1688">
        <v>3</v>
      </c>
      <c r="G1688">
        <v>599.42999999999995</v>
      </c>
      <c r="H1688" s="2">
        <v>45771</v>
      </c>
      <c r="I1688" s="2">
        <v>45772</v>
      </c>
      <c r="J1688" t="s">
        <v>9</v>
      </c>
      <c r="K1688" s="2" t="str">
        <f>IFERROR(INDEX(Product_lookup[Category],MATCH(RawWorking[[#This Row],[ProductID]],Product_lookup[ProductID],0)),"")</f>
        <v>Home</v>
      </c>
      <c r="L1688" s="9">
        <f>IF(OR(RawWorking[[#This Row],[ShipDate]]="",RawWorking[[#This Row],[DeliveryDate]]=""),"",RawWorking[[#This Row],[DeliveryDate]]-RawWorking[[#This Row],[ShipDate]])</f>
        <v>1</v>
      </c>
      <c r="M1688" s="9">
        <f>IF(COUNTIF(INDEX(RawWorking[OrderID],1):RawWorking[[#This Row],[OrderID]],RawWorking[[#This Row],[OrderID]])=1,1,0)</f>
        <v>0</v>
      </c>
      <c r="N1688" s="4">
        <f>IFERROR(RawWorking[[#This Row],[LineAmount]]/RawWorking[[#This Row],[Quantity]],"")</f>
        <v>199.80999999999997</v>
      </c>
    </row>
    <row r="1689" spans="1:14">
      <c r="A1689">
        <v>51688</v>
      </c>
      <c r="B1689">
        <v>30977</v>
      </c>
      <c r="C1689" s="2">
        <v>45962</v>
      </c>
      <c r="D1689">
        <v>2575</v>
      </c>
      <c r="E1689">
        <v>1008</v>
      </c>
      <c r="F1689">
        <v>2</v>
      </c>
      <c r="G1689">
        <v>412.18</v>
      </c>
      <c r="H1689" s="2">
        <v>45964</v>
      </c>
      <c r="I1689" s="2">
        <v>45971</v>
      </c>
      <c r="J1689" t="s">
        <v>9</v>
      </c>
      <c r="K1689" s="2" t="str">
        <f>IFERROR(INDEX(Product_lookup[Category],MATCH(RawWorking[[#This Row],[ProductID]],Product_lookup[ProductID],0)),"")</f>
        <v>Home</v>
      </c>
      <c r="L1689" s="9">
        <f>IF(OR(RawWorking[[#This Row],[ShipDate]]="",RawWorking[[#This Row],[DeliveryDate]]=""),"",RawWorking[[#This Row],[DeliveryDate]]-RawWorking[[#This Row],[ShipDate]])</f>
        <v>7</v>
      </c>
      <c r="M1689" s="9">
        <f>IF(COUNTIF(INDEX(RawWorking[OrderID],1):RawWorking[[#This Row],[OrderID]],RawWorking[[#This Row],[OrderID]])=1,1,0)</f>
        <v>1</v>
      </c>
      <c r="N1689" s="4">
        <f>IFERROR(RawWorking[[#This Row],[LineAmount]]/RawWorking[[#This Row],[Quantity]],"")</f>
        <v>206.09</v>
      </c>
    </row>
    <row r="1690" spans="1:14">
      <c r="A1690">
        <v>51689</v>
      </c>
      <c r="B1690">
        <v>30978</v>
      </c>
      <c r="C1690" s="2">
        <v>45946</v>
      </c>
      <c r="D1690">
        <v>2249</v>
      </c>
      <c r="E1690">
        <v>1014</v>
      </c>
      <c r="F1690">
        <v>5</v>
      </c>
      <c r="G1690">
        <v>1076.7</v>
      </c>
      <c r="H1690" s="2">
        <v>45949</v>
      </c>
      <c r="I1690" s="2">
        <v>45956</v>
      </c>
      <c r="J1690" t="s">
        <v>9</v>
      </c>
      <c r="K1690" s="2" t="str">
        <f>IFERROR(INDEX(Product_lookup[Category],MATCH(RawWorking[[#This Row],[ProductID]],Product_lookup[ProductID],0)),"")</f>
        <v>Sports</v>
      </c>
      <c r="L1690" s="9">
        <f>IF(OR(RawWorking[[#This Row],[ShipDate]]="",RawWorking[[#This Row],[DeliveryDate]]=""),"",RawWorking[[#This Row],[DeliveryDate]]-RawWorking[[#This Row],[ShipDate]])</f>
        <v>7</v>
      </c>
      <c r="M1690" s="9">
        <f>IF(COUNTIF(INDEX(RawWorking[OrderID],1):RawWorking[[#This Row],[OrderID]],RawWorking[[#This Row],[OrderID]])=1,1,0)</f>
        <v>1</v>
      </c>
      <c r="N1690" s="4">
        <f>IFERROR(RawWorking[[#This Row],[LineAmount]]/RawWorking[[#This Row],[Quantity]],"")</f>
        <v>215.34</v>
      </c>
    </row>
    <row r="1691" spans="1:14">
      <c r="A1691">
        <v>51690</v>
      </c>
      <c r="B1691">
        <v>30978</v>
      </c>
      <c r="C1691" s="2">
        <v>45946</v>
      </c>
      <c r="D1691">
        <v>2249</v>
      </c>
      <c r="E1691">
        <v>1011</v>
      </c>
      <c r="F1691">
        <v>2</v>
      </c>
      <c r="G1691">
        <v>202.88</v>
      </c>
      <c r="H1691" s="2">
        <v>45947</v>
      </c>
      <c r="I1691" s="2">
        <v>45953</v>
      </c>
      <c r="J1691" t="s">
        <v>9</v>
      </c>
      <c r="K1691" s="2" t="str">
        <f>IFERROR(INDEX(Product_lookup[Category],MATCH(RawWorking[[#This Row],[ProductID]],Product_lookup[ProductID],0)),"")</f>
        <v>Office</v>
      </c>
      <c r="L1691" s="9">
        <f>IF(OR(RawWorking[[#This Row],[ShipDate]]="",RawWorking[[#This Row],[DeliveryDate]]=""),"",RawWorking[[#This Row],[DeliveryDate]]-RawWorking[[#This Row],[ShipDate]])</f>
        <v>6</v>
      </c>
      <c r="M1691" s="9">
        <f>IF(COUNTIF(INDEX(RawWorking[OrderID],1):RawWorking[[#This Row],[OrderID]],RawWorking[[#This Row],[OrderID]])=1,1,0)</f>
        <v>0</v>
      </c>
      <c r="N1691" s="4">
        <f>IFERROR(RawWorking[[#This Row],[LineAmount]]/RawWorking[[#This Row],[Quantity]],"")</f>
        <v>101.44</v>
      </c>
    </row>
    <row r="1692" spans="1:14">
      <c r="A1692">
        <v>51691</v>
      </c>
      <c r="B1692">
        <v>30978</v>
      </c>
      <c r="C1692" s="2">
        <v>45946</v>
      </c>
      <c r="D1692">
        <v>2249</v>
      </c>
      <c r="E1692">
        <v>1003</v>
      </c>
      <c r="F1692">
        <v>3</v>
      </c>
      <c r="G1692">
        <v>673.11</v>
      </c>
      <c r="H1692" s="2">
        <v>45947</v>
      </c>
      <c r="I1692" s="2">
        <v>45954</v>
      </c>
      <c r="J1692" t="s">
        <v>9</v>
      </c>
      <c r="K1692" s="2" t="str">
        <f>IFERROR(INDEX(Product_lookup[Category],MATCH(RawWorking[[#This Row],[ProductID]],Product_lookup[ProductID],0)),"")</f>
        <v>Electronics</v>
      </c>
      <c r="L1692" s="9">
        <f>IF(OR(RawWorking[[#This Row],[ShipDate]]="",RawWorking[[#This Row],[DeliveryDate]]=""),"",RawWorking[[#This Row],[DeliveryDate]]-RawWorking[[#This Row],[ShipDate]])</f>
        <v>7</v>
      </c>
      <c r="M1692" s="9">
        <f>IF(COUNTIF(INDEX(RawWorking[OrderID],1):RawWorking[[#This Row],[OrderID]],RawWorking[[#This Row],[OrderID]])=1,1,0)</f>
        <v>0</v>
      </c>
      <c r="N1692" s="4">
        <f>IFERROR(RawWorking[[#This Row],[LineAmount]]/RawWorking[[#This Row],[Quantity]],"")</f>
        <v>224.37</v>
      </c>
    </row>
    <row r="1693" spans="1:14">
      <c r="A1693">
        <v>51692</v>
      </c>
      <c r="B1693">
        <v>30979</v>
      </c>
      <c r="C1693" s="2">
        <v>45725</v>
      </c>
      <c r="D1693">
        <v>2116</v>
      </c>
      <c r="E1693">
        <v>1014</v>
      </c>
      <c r="F1693">
        <v>1</v>
      </c>
      <c r="G1693">
        <v>215.34</v>
      </c>
      <c r="H1693" s="2">
        <v>45728</v>
      </c>
      <c r="I1693" s="2">
        <v>45738</v>
      </c>
      <c r="J1693" t="s">
        <v>9</v>
      </c>
      <c r="K1693" s="2" t="str">
        <f>IFERROR(INDEX(Product_lookup[Category],MATCH(RawWorking[[#This Row],[ProductID]],Product_lookup[ProductID],0)),"")</f>
        <v>Sports</v>
      </c>
      <c r="L1693" s="9">
        <f>IF(OR(RawWorking[[#This Row],[ShipDate]]="",RawWorking[[#This Row],[DeliveryDate]]=""),"",RawWorking[[#This Row],[DeliveryDate]]-RawWorking[[#This Row],[ShipDate]])</f>
        <v>10</v>
      </c>
      <c r="M1693" s="9">
        <f>IF(COUNTIF(INDEX(RawWorking[OrderID],1):RawWorking[[#This Row],[OrderID]],RawWorking[[#This Row],[OrderID]])=1,1,0)</f>
        <v>1</v>
      </c>
      <c r="N1693" s="4">
        <f>IFERROR(RawWorking[[#This Row],[LineAmount]]/RawWorking[[#This Row],[Quantity]],"")</f>
        <v>215.34</v>
      </c>
    </row>
    <row r="1694" spans="1:14">
      <c r="A1694">
        <v>51693</v>
      </c>
      <c r="B1694">
        <v>30980</v>
      </c>
      <c r="C1694" s="2">
        <v>45924</v>
      </c>
      <c r="D1694">
        <v>2375</v>
      </c>
      <c r="E1694">
        <v>1011</v>
      </c>
      <c r="F1694">
        <v>1</v>
      </c>
      <c r="G1694">
        <v>101.44</v>
      </c>
      <c r="H1694" s="2">
        <v>45925</v>
      </c>
      <c r="I1694" s="2">
        <v>45935</v>
      </c>
      <c r="J1694" t="s">
        <v>9</v>
      </c>
      <c r="K1694" s="2" t="str">
        <f>IFERROR(INDEX(Product_lookup[Category],MATCH(RawWorking[[#This Row],[ProductID]],Product_lookup[ProductID],0)),"")</f>
        <v>Office</v>
      </c>
      <c r="L1694" s="9">
        <f>IF(OR(RawWorking[[#This Row],[ShipDate]]="",RawWorking[[#This Row],[DeliveryDate]]=""),"",RawWorking[[#This Row],[DeliveryDate]]-RawWorking[[#This Row],[ShipDate]])</f>
        <v>10</v>
      </c>
      <c r="M1694" s="9">
        <f>IF(COUNTIF(INDEX(RawWorking[OrderID],1):RawWorking[[#This Row],[OrderID]],RawWorking[[#This Row],[OrderID]])=1,1,0)</f>
        <v>1</v>
      </c>
      <c r="N1694" s="4">
        <f>IFERROR(RawWorking[[#This Row],[LineAmount]]/RawWorking[[#This Row],[Quantity]],"")</f>
        <v>101.44</v>
      </c>
    </row>
    <row r="1695" spans="1:14">
      <c r="A1695">
        <v>51694</v>
      </c>
      <c r="B1695">
        <v>30981</v>
      </c>
      <c r="C1695" s="2">
        <v>45975</v>
      </c>
      <c r="D1695">
        <v>2353</v>
      </c>
      <c r="E1695">
        <v>1001</v>
      </c>
      <c r="F1695">
        <v>1</v>
      </c>
      <c r="G1695">
        <v>203.04</v>
      </c>
      <c r="H1695" s="2">
        <v>45977</v>
      </c>
      <c r="I1695" s="2">
        <v>45978</v>
      </c>
      <c r="J1695" t="s">
        <v>9</v>
      </c>
      <c r="K1695" s="2" t="str">
        <f>IFERROR(INDEX(Product_lookup[Category],MATCH(RawWorking[[#This Row],[ProductID]],Product_lookup[ProductID],0)),"")</f>
        <v>Electronics</v>
      </c>
      <c r="L1695" s="9">
        <f>IF(OR(RawWorking[[#This Row],[ShipDate]]="",RawWorking[[#This Row],[DeliveryDate]]=""),"",RawWorking[[#This Row],[DeliveryDate]]-RawWorking[[#This Row],[ShipDate]])</f>
        <v>1</v>
      </c>
      <c r="M1695" s="9">
        <f>IF(COUNTIF(INDEX(RawWorking[OrderID],1):RawWorking[[#This Row],[OrderID]],RawWorking[[#This Row],[OrderID]])=1,1,0)</f>
        <v>1</v>
      </c>
      <c r="N1695" s="4">
        <f>IFERROR(RawWorking[[#This Row],[LineAmount]]/RawWorking[[#This Row],[Quantity]],"")</f>
        <v>203.04</v>
      </c>
    </row>
    <row r="1696" spans="1:14">
      <c r="A1696">
        <v>51695</v>
      </c>
      <c r="B1696">
        <v>30982</v>
      </c>
      <c r="C1696" s="2">
        <v>45803</v>
      </c>
      <c r="D1696">
        <v>2313</v>
      </c>
      <c r="E1696">
        <v>1012</v>
      </c>
      <c r="F1696">
        <v>4</v>
      </c>
      <c r="G1696">
        <v>966.16</v>
      </c>
      <c r="H1696" s="2">
        <v>45805</v>
      </c>
      <c r="I1696" s="2">
        <v>45815</v>
      </c>
      <c r="J1696" t="s">
        <v>9</v>
      </c>
      <c r="K1696" s="2" t="str">
        <f>IFERROR(INDEX(Product_lookup[Category],MATCH(RawWorking[[#This Row],[ProductID]],Product_lookup[ProductID],0)),"")</f>
        <v>Office</v>
      </c>
      <c r="L1696" s="9">
        <f>IF(OR(RawWorking[[#This Row],[ShipDate]]="",RawWorking[[#This Row],[DeliveryDate]]=""),"",RawWorking[[#This Row],[DeliveryDate]]-RawWorking[[#This Row],[ShipDate]])</f>
        <v>10</v>
      </c>
      <c r="M1696" s="9">
        <f>IF(COUNTIF(INDEX(RawWorking[OrderID],1):RawWorking[[#This Row],[OrderID]],RawWorking[[#This Row],[OrderID]])=1,1,0)</f>
        <v>1</v>
      </c>
      <c r="N1696" s="4">
        <f>IFERROR(RawWorking[[#This Row],[LineAmount]]/RawWorking[[#This Row],[Quantity]],"")</f>
        <v>241.54</v>
      </c>
    </row>
    <row r="1697" spans="1:14">
      <c r="A1697">
        <v>51696</v>
      </c>
      <c r="B1697">
        <v>30982</v>
      </c>
      <c r="C1697" s="2">
        <v>45803</v>
      </c>
      <c r="D1697">
        <v>2313</v>
      </c>
      <c r="E1697">
        <v>1015</v>
      </c>
      <c r="F1697">
        <v>2</v>
      </c>
      <c r="G1697">
        <v>239.48</v>
      </c>
      <c r="H1697" s="2">
        <v>45805</v>
      </c>
      <c r="I1697" s="2">
        <v>45812</v>
      </c>
      <c r="J1697" t="s">
        <v>9</v>
      </c>
      <c r="K1697" s="2" t="str">
        <f>IFERROR(INDEX(Product_lookup[Category],MATCH(RawWorking[[#This Row],[ProductID]],Product_lookup[ProductID],0)),"")</f>
        <v>Sports</v>
      </c>
      <c r="L1697" s="9">
        <f>IF(OR(RawWorking[[#This Row],[ShipDate]]="",RawWorking[[#This Row],[DeliveryDate]]=""),"",RawWorking[[#This Row],[DeliveryDate]]-RawWorking[[#This Row],[ShipDate]])</f>
        <v>7</v>
      </c>
      <c r="M1697" s="9">
        <f>IF(COUNTIF(INDEX(RawWorking[OrderID],1):RawWorking[[#This Row],[OrderID]],RawWorking[[#This Row],[OrderID]])=1,1,0)</f>
        <v>0</v>
      </c>
      <c r="N1697" s="4">
        <f>IFERROR(RawWorking[[#This Row],[LineAmount]]/RawWorking[[#This Row],[Quantity]],"")</f>
        <v>119.74</v>
      </c>
    </row>
    <row r="1698" spans="1:14">
      <c r="A1698">
        <v>51697</v>
      </c>
      <c r="B1698">
        <v>30983</v>
      </c>
      <c r="C1698" s="2">
        <v>45930</v>
      </c>
      <c r="D1698">
        <v>2150</v>
      </c>
      <c r="E1698">
        <v>1008</v>
      </c>
      <c r="F1698">
        <v>1</v>
      </c>
      <c r="G1698">
        <v>206.09</v>
      </c>
      <c r="H1698" s="2">
        <v>45931</v>
      </c>
      <c r="I1698" s="2">
        <v>45939</v>
      </c>
      <c r="J1698" t="s">
        <v>9</v>
      </c>
      <c r="K1698" s="2" t="str">
        <f>IFERROR(INDEX(Product_lookup[Category],MATCH(RawWorking[[#This Row],[ProductID]],Product_lookup[ProductID],0)),"")</f>
        <v>Home</v>
      </c>
      <c r="L1698" s="9">
        <f>IF(OR(RawWorking[[#This Row],[ShipDate]]="",RawWorking[[#This Row],[DeliveryDate]]=""),"",RawWorking[[#This Row],[DeliveryDate]]-RawWorking[[#This Row],[ShipDate]])</f>
        <v>8</v>
      </c>
      <c r="M1698" s="9">
        <f>IF(COUNTIF(INDEX(RawWorking[OrderID],1):RawWorking[[#This Row],[OrderID]],RawWorking[[#This Row],[OrderID]])=1,1,0)</f>
        <v>1</v>
      </c>
      <c r="N1698" s="4">
        <f>IFERROR(RawWorking[[#This Row],[LineAmount]]/RawWorking[[#This Row],[Quantity]],"")</f>
        <v>206.09</v>
      </c>
    </row>
    <row r="1699" spans="1:14">
      <c r="A1699">
        <v>51698</v>
      </c>
      <c r="B1699">
        <v>30983</v>
      </c>
      <c r="C1699" s="2">
        <v>45930</v>
      </c>
      <c r="D1699">
        <v>2150</v>
      </c>
      <c r="E1699">
        <v>1007</v>
      </c>
      <c r="F1699">
        <v>4</v>
      </c>
      <c r="G1699">
        <v>799.24</v>
      </c>
      <c r="H1699" s="2">
        <v>45931</v>
      </c>
      <c r="I1699" s="2">
        <v>45933</v>
      </c>
      <c r="J1699" t="s">
        <v>9</v>
      </c>
      <c r="K1699" s="2" t="str">
        <f>IFERROR(INDEX(Product_lookup[Category],MATCH(RawWorking[[#This Row],[ProductID]],Product_lookup[ProductID],0)),"")</f>
        <v>Home</v>
      </c>
      <c r="L1699" s="9">
        <f>IF(OR(RawWorking[[#This Row],[ShipDate]]="",RawWorking[[#This Row],[DeliveryDate]]=""),"",RawWorking[[#This Row],[DeliveryDate]]-RawWorking[[#This Row],[ShipDate]])</f>
        <v>2</v>
      </c>
      <c r="M1699" s="9">
        <f>IF(COUNTIF(INDEX(RawWorking[OrderID],1):RawWorking[[#This Row],[OrderID]],RawWorking[[#This Row],[OrderID]])=1,1,0)</f>
        <v>0</v>
      </c>
      <c r="N1699" s="4">
        <f>IFERROR(RawWorking[[#This Row],[LineAmount]]/RawWorking[[#This Row],[Quantity]],"")</f>
        <v>199.81</v>
      </c>
    </row>
    <row r="1700" spans="1:14">
      <c r="A1700">
        <v>51699</v>
      </c>
      <c r="B1700">
        <v>30983</v>
      </c>
      <c r="C1700" s="2">
        <v>45930</v>
      </c>
      <c r="D1700">
        <v>2150</v>
      </c>
      <c r="E1700">
        <v>1012</v>
      </c>
      <c r="F1700">
        <v>1</v>
      </c>
      <c r="G1700">
        <v>241.54</v>
      </c>
      <c r="H1700" s="2">
        <v>45933</v>
      </c>
      <c r="I1700" s="2">
        <v>45934</v>
      </c>
      <c r="J1700" t="s">
        <v>9</v>
      </c>
      <c r="K1700" s="2" t="str">
        <f>IFERROR(INDEX(Product_lookup[Category],MATCH(RawWorking[[#This Row],[ProductID]],Product_lookup[ProductID],0)),"")</f>
        <v>Office</v>
      </c>
      <c r="L1700" s="9">
        <f>IF(OR(RawWorking[[#This Row],[ShipDate]]="",RawWorking[[#This Row],[DeliveryDate]]=""),"",RawWorking[[#This Row],[DeliveryDate]]-RawWorking[[#This Row],[ShipDate]])</f>
        <v>1</v>
      </c>
      <c r="M1700" s="9">
        <f>IF(COUNTIF(INDEX(RawWorking[OrderID],1):RawWorking[[#This Row],[OrderID]],RawWorking[[#This Row],[OrderID]])=1,1,0)</f>
        <v>0</v>
      </c>
      <c r="N1700" s="4">
        <f>IFERROR(RawWorking[[#This Row],[LineAmount]]/RawWorking[[#This Row],[Quantity]],"")</f>
        <v>241.54</v>
      </c>
    </row>
    <row r="1701" spans="1:14">
      <c r="A1701">
        <v>51700</v>
      </c>
      <c r="B1701">
        <v>30984</v>
      </c>
      <c r="C1701" s="2">
        <v>45756</v>
      </c>
      <c r="D1701">
        <v>2160</v>
      </c>
      <c r="E1701">
        <v>1003</v>
      </c>
      <c r="F1701">
        <v>1</v>
      </c>
      <c r="G1701">
        <v>224.37</v>
      </c>
      <c r="H1701" s="2">
        <v>45817</v>
      </c>
      <c r="I1701" s="2">
        <v>45909</v>
      </c>
      <c r="J1701" t="s">
        <v>9</v>
      </c>
      <c r="K1701" s="2" t="str">
        <f>IFERROR(INDEX(Product_lookup[Category],MATCH(RawWorking[[#This Row],[ProductID]],Product_lookup[ProductID],0)),"")</f>
        <v>Electronics</v>
      </c>
      <c r="L1701" s="9">
        <f>IF(OR(RawWorking[[#This Row],[ShipDate]]="",RawWorking[[#This Row],[DeliveryDate]]=""),"",RawWorking[[#This Row],[DeliveryDate]]-RawWorking[[#This Row],[ShipDate]])</f>
        <v>92</v>
      </c>
      <c r="M1701" s="9">
        <f>IF(COUNTIF(INDEX(RawWorking[OrderID],1):RawWorking[[#This Row],[OrderID]],RawWorking[[#This Row],[OrderID]])=1,1,0)</f>
        <v>1</v>
      </c>
      <c r="N1701" s="4">
        <f>IFERROR(RawWorking[[#This Row],[LineAmount]]/RawWorking[[#This Row],[Quantity]],"")</f>
        <v>224.37</v>
      </c>
    </row>
    <row r="1702" spans="1:14">
      <c r="A1702">
        <v>51701</v>
      </c>
      <c r="B1702">
        <v>30985</v>
      </c>
      <c r="C1702" s="2">
        <v>45870</v>
      </c>
      <c r="D1702">
        <v>2116</v>
      </c>
      <c r="E1702">
        <v>1008</v>
      </c>
      <c r="F1702">
        <v>1</v>
      </c>
      <c r="G1702">
        <v>206.09</v>
      </c>
      <c r="H1702" s="2">
        <v>45871</v>
      </c>
      <c r="I1702" s="2">
        <v>45908</v>
      </c>
      <c r="J1702" t="s">
        <v>9</v>
      </c>
      <c r="K1702" s="2" t="str">
        <f>IFERROR(INDEX(Product_lookup[Category],MATCH(RawWorking[[#This Row],[ProductID]],Product_lookup[ProductID],0)),"")</f>
        <v>Home</v>
      </c>
      <c r="L1702" s="9">
        <f>IF(OR(RawWorking[[#This Row],[ShipDate]]="",RawWorking[[#This Row],[DeliveryDate]]=""),"",RawWorking[[#This Row],[DeliveryDate]]-RawWorking[[#This Row],[ShipDate]])</f>
        <v>37</v>
      </c>
      <c r="M1702" s="9">
        <f>IF(COUNTIF(INDEX(RawWorking[OrderID],1):RawWorking[[#This Row],[OrderID]],RawWorking[[#This Row],[OrderID]])=1,1,0)</f>
        <v>1</v>
      </c>
      <c r="N1702" s="4">
        <f>IFERROR(RawWorking[[#This Row],[LineAmount]]/RawWorking[[#This Row],[Quantity]],"")</f>
        <v>206.09</v>
      </c>
    </row>
    <row r="1703" spans="1:14">
      <c r="A1703">
        <v>51702</v>
      </c>
      <c r="B1703">
        <v>30985</v>
      </c>
      <c r="C1703" s="2">
        <v>45665</v>
      </c>
      <c r="D1703">
        <v>2116</v>
      </c>
      <c r="E1703">
        <v>1005</v>
      </c>
      <c r="F1703">
        <v>1</v>
      </c>
      <c r="G1703">
        <v>31.73</v>
      </c>
      <c r="H1703" s="2">
        <v>45872</v>
      </c>
      <c r="I1703" s="2">
        <v>45938</v>
      </c>
      <c r="J1703" t="s">
        <v>9</v>
      </c>
      <c r="K1703" s="2" t="str">
        <f>IFERROR(INDEX(Product_lookup[Category],MATCH(RawWorking[[#This Row],[ProductID]],Product_lookup[ProductID],0)),"")</f>
        <v>Electronics</v>
      </c>
      <c r="L1703" s="9">
        <f>IF(OR(RawWorking[[#This Row],[ShipDate]]="",RawWorking[[#This Row],[DeliveryDate]]=""),"",RawWorking[[#This Row],[DeliveryDate]]-RawWorking[[#This Row],[ShipDate]])</f>
        <v>66</v>
      </c>
      <c r="M1703" s="9">
        <f>IF(COUNTIF(INDEX(RawWorking[OrderID],1):RawWorking[[#This Row],[OrderID]],RawWorking[[#This Row],[OrderID]])=1,1,0)</f>
        <v>0</v>
      </c>
      <c r="N1703" s="4">
        <f>IFERROR(RawWorking[[#This Row],[LineAmount]]/RawWorking[[#This Row],[Quantity]],"")</f>
        <v>31.73</v>
      </c>
    </row>
    <row r="1704" spans="1:14">
      <c r="A1704">
        <v>51703</v>
      </c>
      <c r="B1704">
        <v>30986</v>
      </c>
      <c r="C1704" s="2">
        <v>46000</v>
      </c>
      <c r="D1704">
        <v>2295</v>
      </c>
      <c r="E1704">
        <v>1004</v>
      </c>
      <c r="F1704">
        <v>3</v>
      </c>
      <c r="G1704">
        <v>551.22</v>
      </c>
      <c r="H1704" s="2">
        <v>46002</v>
      </c>
      <c r="I1704" s="2">
        <v>46004</v>
      </c>
      <c r="J1704" t="s">
        <v>9</v>
      </c>
      <c r="K1704" s="2" t="str">
        <f>IFERROR(INDEX(Product_lookup[Category],MATCH(RawWorking[[#This Row],[ProductID]],Product_lookup[ProductID],0)),"")</f>
        <v>Electronics</v>
      </c>
      <c r="L1704" s="9">
        <f>IF(OR(RawWorking[[#This Row],[ShipDate]]="",RawWorking[[#This Row],[DeliveryDate]]=""),"",RawWorking[[#This Row],[DeliveryDate]]-RawWorking[[#This Row],[ShipDate]])</f>
        <v>2</v>
      </c>
      <c r="M1704" s="9">
        <f>IF(COUNTIF(INDEX(RawWorking[OrderID],1):RawWorking[[#This Row],[OrderID]],RawWorking[[#This Row],[OrderID]])=1,1,0)</f>
        <v>1</v>
      </c>
      <c r="N1704" s="4">
        <f>IFERROR(RawWorking[[#This Row],[LineAmount]]/RawWorking[[#This Row],[Quantity]],"")</f>
        <v>183.74</v>
      </c>
    </row>
    <row r="1705" spans="1:14">
      <c r="A1705">
        <v>51704</v>
      </c>
      <c r="B1705">
        <v>30986</v>
      </c>
      <c r="C1705" s="2">
        <v>46000</v>
      </c>
      <c r="D1705">
        <v>2295</v>
      </c>
      <c r="E1705">
        <v>1010</v>
      </c>
      <c r="F1705">
        <v>2</v>
      </c>
      <c r="G1705">
        <v>243</v>
      </c>
      <c r="H1705" s="2">
        <v>46001</v>
      </c>
      <c r="I1705" s="2">
        <v>46010</v>
      </c>
      <c r="J1705" t="s">
        <v>9</v>
      </c>
      <c r="K1705" s="2" t="str">
        <f>IFERROR(INDEX(Product_lookup[Category],MATCH(RawWorking[[#This Row],[ProductID]],Product_lookup[ProductID],0)),"")</f>
        <v>Office</v>
      </c>
      <c r="L1705" s="9">
        <f>IF(OR(RawWorking[[#This Row],[ShipDate]]="",RawWorking[[#This Row],[DeliveryDate]]=""),"",RawWorking[[#This Row],[DeliveryDate]]-RawWorking[[#This Row],[ShipDate]])</f>
        <v>9</v>
      </c>
      <c r="M1705" s="9">
        <f>IF(COUNTIF(INDEX(RawWorking[OrderID],1):RawWorking[[#This Row],[OrderID]],RawWorking[[#This Row],[OrderID]])=1,1,0)</f>
        <v>0</v>
      </c>
      <c r="N1705" s="4">
        <f>IFERROR(RawWorking[[#This Row],[LineAmount]]/RawWorking[[#This Row],[Quantity]],"")</f>
        <v>121.5</v>
      </c>
    </row>
    <row r="1706" spans="1:14">
      <c r="A1706">
        <v>51705</v>
      </c>
      <c r="B1706">
        <v>30987</v>
      </c>
      <c r="C1706" s="2">
        <v>45975</v>
      </c>
      <c r="D1706">
        <v>2461</v>
      </c>
      <c r="E1706">
        <v>1011</v>
      </c>
      <c r="F1706">
        <v>1</v>
      </c>
      <c r="G1706">
        <v>101.44</v>
      </c>
      <c r="H1706" s="2">
        <v>45976</v>
      </c>
      <c r="I1706" s="2">
        <v>45980</v>
      </c>
      <c r="J1706" t="s">
        <v>9</v>
      </c>
      <c r="K1706" s="2" t="str">
        <f>IFERROR(INDEX(Product_lookup[Category],MATCH(RawWorking[[#This Row],[ProductID]],Product_lookup[ProductID],0)),"")</f>
        <v>Office</v>
      </c>
      <c r="L1706" s="9">
        <f>IF(OR(RawWorking[[#This Row],[ShipDate]]="",RawWorking[[#This Row],[DeliveryDate]]=""),"",RawWorking[[#This Row],[DeliveryDate]]-RawWorking[[#This Row],[ShipDate]])</f>
        <v>4</v>
      </c>
      <c r="M1706" s="9">
        <f>IF(COUNTIF(INDEX(RawWorking[OrderID],1):RawWorking[[#This Row],[OrderID]],RawWorking[[#This Row],[OrderID]])=1,1,0)</f>
        <v>1</v>
      </c>
      <c r="N1706" s="4">
        <f>IFERROR(RawWorking[[#This Row],[LineAmount]]/RawWorking[[#This Row],[Quantity]],"")</f>
        <v>101.44</v>
      </c>
    </row>
    <row r="1707" spans="1:14">
      <c r="A1707">
        <v>51706</v>
      </c>
      <c r="B1707">
        <v>30988</v>
      </c>
      <c r="C1707" s="2">
        <v>45757</v>
      </c>
      <c r="D1707">
        <v>2215</v>
      </c>
      <c r="E1707">
        <v>1007</v>
      </c>
      <c r="F1707">
        <v>1</v>
      </c>
      <c r="G1707">
        <v>199.81</v>
      </c>
      <c r="H1707" s="2">
        <v>45759</v>
      </c>
      <c r="I1707" s="2">
        <v>45762</v>
      </c>
      <c r="J1707" t="s">
        <v>9</v>
      </c>
      <c r="K1707" s="2" t="str">
        <f>IFERROR(INDEX(Product_lookup[Category],MATCH(RawWorking[[#This Row],[ProductID]],Product_lookup[ProductID],0)),"")</f>
        <v>Home</v>
      </c>
      <c r="L1707" s="9">
        <f>IF(OR(RawWorking[[#This Row],[ShipDate]]="",RawWorking[[#This Row],[DeliveryDate]]=""),"",RawWorking[[#This Row],[DeliveryDate]]-RawWorking[[#This Row],[ShipDate]])</f>
        <v>3</v>
      </c>
      <c r="M1707" s="9">
        <f>IF(COUNTIF(INDEX(RawWorking[OrderID],1):RawWorking[[#This Row],[OrderID]],RawWorking[[#This Row],[OrderID]])=1,1,0)</f>
        <v>1</v>
      </c>
      <c r="N1707" s="4">
        <f>IFERROR(RawWorking[[#This Row],[LineAmount]]/RawWorking[[#This Row],[Quantity]],"")</f>
        <v>199.81</v>
      </c>
    </row>
    <row r="1708" spans="1:14">
      <c r="A1708">
        <v>51707</v>
      </c>
      <c r="B1708">
        <v>30989</v>
      </c>
      <c r="C1708" s="2">
        <v>45914</v>
      </c>
      <c r="D1708">
        <v>2209</v>
      </c>
      <c r="E1708">
        <v>1009</v>
      </c>
      <c r="F1708">
        <v>1</v>
      </c>
      <c r="G1708">
        <v>40.28</v>
      </c>
      <c r="H1708" s="2">
        <v>45916</v>
      </c>
      <c r="I1708" s="2">
        <v>45917</v>
      </c>
      <c r="J1708" t="s">
        <v>9</v>
      </c>
      <c r="K1708" s="2" t="str">
        <f>IFERROR(INDEX(Product_lookup[Category],MATCH(RawWorking[[#This Row],[ProductID]],Product_lookup[ProductID],0)),"")</f>
        <v>Home</v>
      </c>
      <c r="L1708" s="9">
        <f>IF(OR(RawWorking[[#This Row],[ShipDate]]="",RawWorking[[#This Row],[DeliveryDate]]=""),"",RawWorking[[#This Row],[DeliveryDate]]-RawWorking[[#This Row],[ShipDate]])</f>
        <v>1</v>
      </c>
      <c r="M1708" s="9">
        <f>IF(COUNTIF(INDEX(RawWorking[OrderID],1):RawWorking[[#This Row],[OrderID]],RawWorking[[#This Row],[OrderID]])=1,1,0)</f>
        <v>1</v>
      </c>
      <c r="N1708" s="4">
        <f>IFERROR(RawWorking[[#This Row],[LineAmount]]/RawWorking[[#This Row],[Quantity]],"")</f>
        <v>40.28</v>
      </c>
    </row>
    <row r="1709" spans="1:14">
      <c r="A1709">
        <v>51708</v>
      </c>
      <c r="B1709">
        <v>30990</v>
      </c>
      <c r="C1709" s="2">
        <v>45909</v>
      </c>
      <c r="D1709">
        <v>2562</v>
      </c>
      <c r="E1709">
        <v>1005</v>
      </c>
      <c r="F1709">
        <v>1</v>
      </c>
      <c r="G1709">
        <v>31.73</v>
      </c>
      <c r="H1709" s="2">
        <v>45911</v>
      </c>
      <c r="I1709" s="2">
        <v>45914</v>
      </c>
      <c r="J1709" t="s">
        <v>9</v>
      </c>
      <c r="K1709" s="2" t="str">
        <f>IFERROR(INDEX(Product_lookup[Category],MATCH(RawWorking[[#This Row],[ProductID]],Product_lookup[ProductID],0)),"")</f>
        <v>Electronics</v>
      </c>
      <c r="L1709" s="9">
        <f>IF(OR(RawWorking[[#This Row],[ShipDate]]="",RawWorking[[#This Row],[DeliveryDate]]=""),"",RawWorking[[#This Row],[DeliveryDate]]-RawWorking[[#This Row],[ShipDate]])</f>
        <v>3</v>
      </c>
      <c r="M1709" s="9">
        <f>IF(COUNTIF(INDEX(RawWorking[OrderID],1):RawWorking[[#This Row],[OrderID]],RawWorking[[#This Row],[OrderID]])=1,1,0)</f>
        <v>1</v>
      </c>
      <c r="N1709" s="4">
        <f>IFERROR(RawWorking[[#This Row],[LineAmount]]/RawWorking[[#This Row],[Quantity]],"")</f>
        <v>31.73</v>
      </c>
    </row>
    <row r="1710" spans="1:14">
      <c r="A1710">
        <v>51709</v>
      </c>
      <c r="B1710">
        <v>30991</v>
      </c>
      <c r="C1710" s="2">
        <v>45703</v>
      </c>
      <c r="D1710">
        <v>2019</v>
      </c>
      <c r="E1710">
        <v>1002</v>
      </c>
      <c r="F1710">
        <v>1</v>
      </c>
      <c r="G1710">
        <v>118.6</v>
      </c>
      <c r="H1710" s="2">
        <v>45704</v>
      </c>
      <c r="I1710" s="2">
        <v>45708</v>
      </c>
      <c r="J1710" t="s">
        <v>9</v>
      </c>
      <c r="K1710" s="2" t="str">
        <f>IFERROR(INDEX(Product_lookup[Category],MATCH(RawWorking[[#This Row],[ProductID]],Product_lookup[ProductID],0)),"")</f>
        <v>Electronics</v>
      </c>
      <c r="L1710" s="9">
        <f>IF(OR(RawWorking[[#This Row],[ShipDate]]="",RawWorking[[#This Row],[DeliveryDate]]=""),"",RawWorking[[#This Row],[DeliveryDate]]-RawWorking[[#This Row],[ShipDate]])</f>
        <v>4</v>
      </c>
      <c r="M1710" s="9">
        <f>IF(COUNTIF(INDEX(RawWorking[OrderID],1):RawWorking[[#This Row],[OrderID]],RawWorking[[#This Row],[OrderID]])=1,1,0)</f>
        <v>1</v>
      </c>
      <c r="N1710" s="4">
        <f>IFERROR(RawWorking[[#This Row],[LineAmount]]/RawWorking[[#This Row],[Quantity]],"")</f>
        <v>118.6</v>
      </c>
    </row>
    <row r="1711" spans="1:14">
      <c r="A1711">
        <v>51710</v>
      </c>
      <c r="B1711">
        <v>30992</v>
      </c>
      <c r="C1711" s="2">
        <v>45757</v>
      </c>
      <c r="D1711">
        <v>2262</v>
      </c>
      <c r="E1711">
        <v>1010</v>
      </c>
      <c r="F1711">
        <v>3</v>
      </c>
      <c r="G1711">
        <v>364.5</v>
      </c>
      <c r="H1711" s="2">
        <v>45758</v>
      </c>
      <c r="I1711" s="2">
        <v>45761</v>
      </c>
      <c r="J1711" t="s">
        <v>9</v>
      </c>
      <c r="K1711" s="2" t="str">
        <f>IFERROR(INDEX(Product_lookup[Category],MATCH(RawWorking[[#This Row],[ProductID]],Product_lookup[ProductID],0)),"")</f>
        <v>Office</v>
      </c>
      <c r="L1711" s="9">
        <f>IF(OR(RawWorking[[#This Row],[ShipDate]]="",RawWorking[[#This Row],[DeliveryDate]]=""),"",RawWorking[[#This Row],[DeliveryDate]]-RawWorking[[#This Row],[ShipDate]])</f>
        <v>3</v>
      </c>
      <c r="M1711" s="9">
        <f>IF(COUNTIF(INDEX(RawWorking[OrderID],1):RawWorking[[#This Row],[OrderID]],RawWorking[[#This Row],[OrderID]])=1,1,0)</f>
        <v>1</v>
      </c>
      <c r="N1711" s="4">
        <f>IFERROR(RawWorking[[#This Row],[LineAmount]]/RawWorking[[#This Row],[Quantity]],"")</f>
        <v>121.5</v>
      </c>
    </row>
    <row r="1712" spans="1:14">
      <c r="A1712">
        <v>51711</v>
      </c>
      <c r="B1712">
        <v>30992</v>
      </c>
      <c r="C1712" s="2">
        <v>45757</v>
      </c>
      <c r="D1712">
        <v>2262</v>
      </c>
      <c r="E1712">
        <v>1007</v>
      </c>
      <c r="F1712">
        <v>1</v>
      </c>
      <c r="G1712">
        <v>199.81</v>
      </c>
      <c r="H1712" s="2">
        <v>45760</v>
      </c>
      <c r="I1712" s="2">
        <v>45765</v>
      </c>
      <c r="J1712" t="s">
        <v>9</v>
      </c>
      <c r="K1712" s="2" t="str">
        <f>IFERROR(INDEX(Product_lookup[Category],MATCH(RawWorking[[#This Row],[ProductID]],Product_lookup[ProductID],0)),"")</f>
        <v>Home</v>
      </c>
      <c r="L1712" s="9">
        <f>IF(OR(RawWorking[[#This Row],[ShipDate]]="",RawWorking[[#This Row],[DeliveryDate]]=""),"",RawWorking[[#This Row],[DeliveryDate]]-RawWorking[[#This Row],[ShipDate]])</f>
        <v>5</v>
      </c>
      <c r="M1712" s="9">
        <f>IF(COUNTIF(INDEX(RawWorking[OrderID],1):RawWorking[[#This Row],[OrderID]],RawWorking[[#This Row],[OrderID]])=1,1,0)</f>
        <v>0</v>
      </c>
      <c r="N1712" s="4">
        <f>IFERROR(RawWorking[[#This Row],[LineAmount]]/RawWorking[[#This Row],[Quantity]],"")</f>
        <v>199.81</v>
      </c>
    </row>
    <row r="1713" spans="1:14">
      <c r="A1713">
        <v>51712</v>
      </c>
      <c r="B1713">
        <v>30992</v>
      </c>
      <c r="C1713" s="2">
        <v>45757</v>
      </c>
      <c r="D1713">
        <v>2262</v>
      </c>
      <c r="E1713">
        <v>1009</v>
      </c>
      <c r="F1713">
        <v>3</v>
      </c>
      <c r="G1713">
        <v>120.84</v>
      </c>
      <c r="H1713" s="2">
        <v>45759</v>
      </c>
      <c r="I1713" s="2">
        <v>45768</v>
      </c>
      <c r="J1713" t="s">
        <v>9</v>
      </c>
      <c r="K1713" s="2" t="str">
        <f>IFERROR(INDEX(Product_lookup[Category],MATCH(RawWorking[[#This Row],[ProductID]],Product_lookup[ProductID],0)),"")</f>
        <v>Home</v>
      </c>
      <c r="L1713" s="9">
        <f>IF(OR(RawWorking[[#This Row],[ShipDate]]="",RawWorking[[#This Row],[DeliveryDate]]=""),"",RawWorking[[#This Row],[DeliveryDate]]-RawWorking[[#This Row],[ShipDate]])</f>
        <v>9</v>
      </c>
      <c r="M1713" s="9">
        <f>IF(COUNTIF(INDEX(RawWorking[OrderID],1):RawWorking[[#This Row],[OrderID]],RawWorking[[#This Row],[OrderID]])=1,1,0)</f>
        <v>0</v>
      </c>
      <c r="N1713" s="4">
        <f>IFERROR(RawWorking[[#This Row],[LineAmount]]/RawWorking[[#This Row],[Quantity]],"")</f>
        <v>40.28</v>
      </c>
    </row>
    <row r="1714" spans="1:14">
      <c r="A1714">
        <v>51713</v>
      </c>
      <c r="B1714">
        <v>30992</v>
      </c>
      <c r="C1714" s="2">
        <v>45757</v>
      </c>
      <c r="D1714">
        <v>2262</v>
      </c>
      <c r="E1714">
        <v>1002</v>
      </c>
      <c r="F1714">
        <v>1</v>
      </c>
      <c r="G1714">
        <v>118.6</v>
      </c>
      <c r="H1714" s="2">
        <v>45760</v>
      </c>
      <c r="I1714" s="2">
        <v>45762</v>
      </c>
      <c r="J1714" t="s">
        <v>9</v>
      </c>
      <c r="K1714" s="2" t="str">
        <f>IFERROR(INDEX(Product_lookup[Category],MATCH(RawWorking[[#This Row],[ProductID]],Product_lookup[ProductID],0)),"")</f>
        <v>Electronics</v>
      </c>
      <c r="L1714" s="9">
        <f>IF(OR(RawWorking[[#This Row],[ShipDate]]="",RawWorking[[#This Row],[DeliveryDate]]=""),"",RawWorking[[#This Row],[DeliveryDate]]-RawWorking[[#This Row],[ShipDate]])</f>
        <v>2</v>
      </c>
      <c r="M1714" s="9">
        <f>IF(COUNTIF(INDEX(RawWorking[OrderID],1):RawWorking[[#This Row],[OrderID]],RawWorking[[#This Row],[OrderID]])=1,1,0)</f>
        <v>0</v>
      </c>
      <c r="N1714" s="4">
        <f>IFERROR(RawWorking[[#This Row],[LineAmount]]/RawWorking[[#This Row],[Quantity]],"")</f>
        <v>118.6</v>
      </c>
    </row>
    <row r="1715" spans="1:14">
      <c r="A1715">
        <v>51714</v>
      </c>
      <c r="B1715">
        <v>30993</v>
      </c>
      <c r="C1715" s="2">
        <v>45900</v>
      </c>
      <c r="D1715">
        <v>2477</v>
      </c>
      <c r="E1715">
        <v>1001</v>
      </c>
      <c r="F1715">
        <v>3</v>
      </c>
      <c r="G1715">
        <v>609.12</v>
      </c>
      <c r="H1715" s="2">
        <v>45902</v>
      </c>
      <c r="I1715" s="2">
        <v>45904</v>
      </c>
      <c r="J1715" t="s">
        <v>9</v>
      </c>
      <c r="K1715" s="2" t="str">
        <f>IFERROR(INDEX(Product_lookup[Category],MATCH(RawWorking[[#This Row],[ProductID]],Product_lookup[ProductID],0)),"")</f>
        <v>Electronics</v>
      </c>
      <c r="L1715" s="9">
        <f>IF(OR(RawWorking[[#This Row],[ShipDate]]="",RawWorking[[#This Row],[DeliveryDate]]=""),"",RawWorking[[#This Row],[DeliveryDate]]-RawWorking[[#This Row],[ShipDate]])</f>
        <v>2</v>
      </c>
      <c r="M1715" s="9">
        <f>IF(COUNTIF(INDEX(RawWorking[OrderID],1):RawWorking[[#This Row],[OrderID]],RawWorking[[#This Row],[OrderID]])=1,1,0)</f>
        <v>1</v>
      </c>
      <c r="N1715" s="4">
        <f>IFERROR(RawWorking[[#This Row],[LineAmount]]/RawWorking[[#This Row],[Quantity]],"")</f>
        <v>203.04</v>
      </c>
    </row>
    <row r="1716" spans="1:14">
      <c r="A1716">
        <v>51715</v>
      </c>
      <c r="B1716">
        <v>30993</v>
      </c>
      <c r="C1716" s="2">
        <v>45900</v>
      </c>
      <c r="D1716">
        <v>2477</v>
      </c>
      <c r="E1716">
        <v>1003</v>
      </c>
      <c r="F1716">
        <v>1</v>
      </c>
      <c r="G1716">
        <v>224.37</v>
      </c>
      <c r="H1716" s="2">
        <v>45901</v>
      </c>
      <c r="I1716" s="2">
        <v>45906</v>
      </c>
      <c r="J1716" t="s">
        <v>9</v>
      </c>
      <c r="K1716" s="2" t="str">
        <f>IFERROR(INDEX(Product_lookup[Category],MATCH(RawWorking[[#This Row],[ProductID]],Product_lookup[ProductID],0)),"")</f>
        <v>Electronics</v>
      </c>
      <c r="L1716" s="9">
        <f>IF(OR(RawWorking[[#This Row],[ShipDate]]="",RawWorking[[#This Row],[DeliveryDate]]=""),"",RawWorking[[#This Row],[DeliveryDate]]-RawWorking[[#This Row],[ShipDate]])</f>
        <v>5</v>
      </c>
      <c r="M1716" s="9">
        <f>IF(COUNTIF(INDEX(RawWorking[OrderID],1):RawWorking[[#This Row],[OrderID]],RawWorking[[#This Row],[OrderID]])=1,1,0)</f>
        <v>0</v>
      </c>
      <c r="N1716" s="4">
        <f>IFERROR(RawWorking[[#This Row],[LineAmount]]/RawWorking[[#This Row],[Quantity]],"")</f>
        <v>224.37</v>
      </c>
    </row>
    <row r="1717" spans="1:14">
      <c r="A1717">
        <v>51716</v>
      </c>
      <c r="B1717">
        <v>30993</v>
      </c>
      <c r="C1717" s="2">
        <v>45900</v>
      </c>
      <c r="D1717">
        <v>2477</v>
      </c>
      <c r="E1717">
        <v>1013</v>
      </c>
      <c r="F1717">
        <v>2</v>
      </c>
      <c r="G1717">
        <v>340.5</v>
      </c>
      <c r="H1717" s="2">
        <v>45901</v>
      </c>
      <c r="I1717" s="2">
        <v>45910</v>
      </c>
      <c r="J1717" t="s">
        <v>9</v>
      </c>
      <c r="K1717" s="2" t="str">
        <f>IFERROR(INDEX(Product_lookup[Category],MATCH(RawWorking[[#This Row],[ProductID]],Product_lookup[ProductID],0)),"")</f>
        <v>Office</v>
      </c>
      <c r="L1717" s="9">
        <f>IF(OR(RawWorking[[#This Row],[ShipDate]]="",RawWorking[[#This Row],[DeliveryDate]]=""),"",RawWorking[[#This Row],[DeliveryDate]]-RawWorking[[#This Row],[ShipDate]])</f>
        <v>9</v>
      </c>
      <c r="M1717" s="9">
        <f>IF(COUNTIF(INDEX(RawWorking[OrderID],1):RawWorking[[#This Row],[OrderID]],RawWorking[[#This Row],[OrderID]])=1,1,0)</f>
        <v>0</v>
      </c>
      <c r="N1717" s="4">
        <f>IFERROR(RawWorking[[#This Row],[LineAmount]]/RawWorking[[#This Row],[Quantity]],"")</f>
        <v>170.25</v>
      </c>
    </row>
    <row r="1718" spans="1:14">
      <c r="A1718">
        <v>51717</v>
      </c>
      <c r="B1718">
        <v>30994</v>
      </c>
      <c r="C1718" s="2">
        <v>45669</v>
      </c>
      <c r="D1718">
        <v>2278</v>
      </c>
      <c r="E1718">
        <v>1012</v>
      </c>
      <c r="F1718">
        <v>1</v>
      </c>
      <c r="G1718">
        <v>241.54</v>
      </c>
      <c r="H1718" s="2">
        <v>45994</v>
      </c>
      <c r="I1718" s="2">
        <v>46000</v>
      </c>
      <c r="J1718" t="s">
        <v>9</v>
      </c>
      <c r="K1718" s="2" t="str">
        <f>IFERROR(INDEX(Product_lookup[Category],MATCH(RawWorking[[#This Row],[ProductID]],Product_lookup[ProductID],0)),"")</f>
        <v>Office</v>
      </c>
      <c r="L1718" s="9">
        <f>IF(OR(RawWorking[[#This Row],[ShipDate]]="",RawWorking[[#This Row],[DeliveryDate]]=""),"",RawWorking[[#This Row],[DeliveryDate]]-RawWorking[[#This Row],[ShipDate]])</f>
        <v>6</v>
      </c>
      <c r="M1718" s="9">
        <f>IF(COUNTIF(INDEX(RawWorking[OrderID],1):RawWorking[[#This Row],[OrderID]],RawWorking[[#This Row],[OrderID]])=1,1,0)</f>
        <v>1</v>
      </c>
      <c r="N1718" s="4">
        <f>IFERROR(RawWorking[[#This Row],[LineAmount]]/RawWorking[[#This Row],[Quantity]],"")</f>
        <v>241.54</v>
      </c>
    </row>
    <row r="1719" spans="1:14">
      <c r="A1719">
        <v>51718</v>
      </c>
      <c r="B1719">
        <v>30995</v>
      </c>
      <c r="C1719" s="2">
        <v>45696</v>
      </c>
      <c r="D1719">
        <v>2111</v>
      </c>
      <c r="E1719">
        <v>1013</v>
      </c>
      <c r="F1719">
        <v>1</v>
      </c>
      <c r="G1719">
        <v>170.25</v>
      </c>
      <c r="H1719" s="2">
        <v>45698</v>
      </c>
      <c r="I1719" s="2">
        <v>45702</v>
      </c>
      <c r="J1719" t="s">
        <v>9</v>
      </c>
      <c r="K1719" s="2" t="str">
        <f>IFERROR(INDEX(Product_lookup[Category],MATCH(RawWorking[[#This Row],[ProductID]],Product_lookup[ProductID],0)),"")</f>
        <v>Office</v>
      </c>
      <c r="L1719" s="9">
        <f>IF(OR(RawWorking[[#This Row],[ShipDate]]="",RawWorking[[#This Row],[DeliveryDate]]=""),"",RawWorking[[#This Row],[DeliveryDate]]-RawWorking[[#This Row],[ShipDate]])</f>
        <v>4</v>
      </c>
      <c r="M1719" s="9">
        <f>IF(COUNTIF(INDEX(RawWorking[OrderID],1):RawWorking[[#This Row],[OrderID]],RawWorking[[#This Row],[OrderID]])=1,1,0)</f>
        <v>1</v>
      </c>
      <c r="N1719" s="4">
        <f>IFERROR(RawWorking[[#This Row],[LineAmount]]/RawWorking[[#This Row],[Quantity]],"")</f>
        <v>170.25</v>
      </c>
    </row>
    <row r="1720" spans="1:14">
      <c r="A1720">
        <v>51719</v>
      </c>
      <c r="B1720">
        <v>30995</v>
      </c>
      <c r="C1720" s="2">
        <v>45696</v>
      </c>
      <c r="D1720">
        <v>2111</v>
      </c>
      <c r="E1720">
        <v>1008</v>
      </c>
      <c r="F1720">
        <v>1</v>
      </c>
      <c r="G1720">
        <v>206.09</v>
      </c>
      <c r="H1720" s="2">
        <v>45699</v>
      </c>
      <c r="I1720" s="2">
        <v>45706</v>
      </c>
      <c r="J1720" t="s">
        <v>9</v>
      </c>
      <c r="K1720" s="2" t="str">
        <f>IFERROR(INDEX(Product_lookup[Category],MATCH(RawWorking[[#This Row],[ProductID]],Product_lookup[ProductID],0)),"")</f>
        <v>Home</v>
      </c>
      <c r="L1720" s="9">
        <f>IF(OR(RawWorking[[#This Row],[ShipDate]]="",RawWorking[[#This Row],[DeliveryDate]]=""),"",RawWorking[[#This Row],[DeliveryDate]]-RawWorking[[#This Row],[ShipDate]])</f>
        <v>7</v>
      </c>
      <c r="M1720" s="9">
        <f>IF(COUNTIF(INDEX(RawWorking[OrderID],1):RawWorking[[#This Row],[OrderID]],RawWorking[[#This Row],[OrderID]])=1,1,0)</f>
        <v>0</v>
      </c>
      <c r="N1720" s="4">
        <f>IFERROR(RawWorking[[#This Row],[LineAmount]]/RawWorking[[#This Row],[Quantity]],"")</f>
        <v>206.09</v>
      </c>
    </row>
    <row r="1721" spans="1:14">
      <c r="A1721">
        <v>51720</v>
      </c>
      <c r="B1721">
        <v>30995</v>
      </c>
      <c r="C1721" s="2">
        <v>45696</v>
      </c>
      <c r="D1721">
        <v>2111</v>
      </c>
      <c r="E1721">
        <v>1013</v>
      </c>
      <c r="F1721">
        <v>1</v>
      </c>
      <c r="G1721">
        <v>170.25</v>
      </c>
      <c r="H1721" s="2">
        <v>45697</v>
      </c>
      <c r="I1721" s="2">
        <v>45707</v>
      </c>
      <c r="J1721" t="s">
        <v>9</v>
      </c>
      <c r="K1721" s="2" t="str">
        <f>IFERROR(INDEX(Product_lookup[Category],MATCH(RawWorking[[#This Row],[ProductID]],Product_lookup[ProductID],0)),"")</f>
        <v>Office</v>
      </c>
      <c r="L1721" s="9">
        <f>IF(OR(RawWorking[[#This Row],[ShipDate]]="",RawWorking[[#This Row],[DeliveryDate]]=""),"",RawWorking[[#This Row],[DeliveryDate]]-RawWorking[[#This Row],[ShipDate]])</f>
        <v>10</v>
      </c>
      <c r="M1721" s="9">
        <f>IF(COUNTIF(INDEX(RawWorking[OrderID],1):RawWorking[[#This Row],[OrderID]],RawWorking[[#This Row],[OrderID]])=1,1,0)</f>
        <v>0</v>
      </c>
      <c r="N1721" s="4">
        <f>IFERROR(RawWorking[[#This Row],[LineAmount]]/RawWorking[[#This Row],[Quantity]],"")</f>
        <v>170.25</v>
      </c>
    </row>
    <row r="1722" spans="1:14">
      <c r="A1722">
        <v>51721</v>
      </c>
      <c r="B1722">
        <v>30996</v>
      </c>
      <c r="C1722" s="2">
        <v>45670</v>
      </c>
      <c r="D1722">
        <v>2521</v>
      </c>
      <c r="E1722">
        <v>1004</v>
      </c>
      <c r="F1722">
        <v>2</v>
      </c>
      <c r="G1722">
        <v>367.48</v>
      </c>
      <c r="H1722" s="2">
        <v>45673</v>
      </c>
      <c r="I1722" s="2">
        <v>45675</v>
      </c>
      <c r="J1722" t="s">
        <v>11</v>
      </c>
      <c r="K1722" s="2" t="str">
        <f>IFERROR(INDEX(Product_lookup[Category],MATCH(RawWorking[[#This Row],[ProductID]],Product_lookup[ProductID],0)),"")</f>
        <v>Electronics</v>
      </c>
      <c r="L1722" s="9">
        <f>IF(OR(RawWorking[[#This Row],[ShipDate]]="",RawWorking[[#This Row],[DeliveryDate]]=""),"",RawWorking[[#This Row],[DeliveryDate]]-RawWorking[[#This Row],[ShipDate]])</f>
        <v>2</v>
      </c>
      <c r="M1722" s="9">
        <f>IF(COUNTIF(INDEX(RawWorking[OrderID],1):RawWorking[[#This Row],[OrderID]],RawWorking[[#This Row],[OrderID]])=1,1,0)</f>
        <v>1</v>
      </c>
      <c r="N1722" s="4">
        <f>IFERROR(RawWorking[[#This Row],[LineAmount]]/RawWorking[[#This Row],[Quantity]],"")</f>
        <v>183.74</v>
      </c>
    </row>
    <row r="1723" spans="1:14">
      <c r="A1723">
        <v>51722</v>
      </c>
      <c r="B1723">
        <v>30997</v>
      </c>
      <c r="C1723" s="2">
        <v>45671</v>
      </c>
      <c r="D1723">
        <v>2324</v>
      </c>
      <c r="E1723">
        <v>1003</v>
      </c>
      <c r="F1723">
        <v>1</v>
      </c>
      <c r="G1723">
        <v>224.37</v>
      </c>
      <c r="H1723" s="2">
        <v>45672</v>
      </c>
      <c r="I1723" s="2">
        <v>45680</v>
      </c>
      <c r="J1723" t="s">
        <v>9</v>
      </c>
      <c r="K1723" s="2" t="str">
        <f>IFERROR(INDEX(Product_lookup[Category],MATCH(RawWorking[[#This Row],[ProductID]],Product_lookup[ProductID],0)),"")</f>
        <v>Electronics</v>
      </c>
      <c r="L1723" s="9">
        <f>IF(OR(RawWorking[[#This Row],[ShipDate]]="",RawWorking[[#This Row],[DeliveryDate]]=""),"",RawWorking[[#This Row],[DeliveryDate]]-RawWorking[[#This Row],[ShipDate]])</f>
        <v>8</v>
      </c>
      <c r="M1723" s="9">
        <f>IF(COUNTIF(INDEX(RawWorking[OrderID],1):RawWorking[[#This Row],[OrderID]],RawWorking[[#This Row],[OrderID]])=1,1,0)</f>
        <v>1</v>
      </c>
      <c r="N1723" s="4">
        <f>IFERROR(RawWorking[[#This Row],[LineAmount]]/RawWorking[[#This Row],[Quantity]],"")</f>
        <v>224.37</v>
      </c>
    </row>
    <row r="1724" spans="1:14">
      <c r="A1724">
        <v>51723</v>
      </c>
      <c r="B1724">
        <v>30998</v>
      </c>
      <c r="C1724" s="2">
        <v>45977</v>
      </c>
      <c r="D1724">
        <v>2191</v>
      </c>
      <c r="E1724">
        <v>1015</v>
      </c>
      <c r="F1724">
        <v>1</v>
      </c>
      <c r="G1724">
        <v>119.74</v>
      </c>
      <c r="H1724" s="2">
        <v>45979</v>
      </c>
      <c r="I1724" s="2">
        <v>45987</v>
      </c>
      <c r="J1724" t="s">
        <v>9</v>
      </c>
      <c r="K1724" s="2" t="str">
        <f>IFERROR(INDEX(Product_lookup[Category],MATCH(RawWorking[[#This Row],[ProductID]],Product_lookup[ProductID],0)),"")</f>
        <v>Sports</v>
      </c>
      <c r="L1724" s="9">
        <f>IF(OR(RawWorking[[#This Row],[ShipDate]]="",RawWorking[[#This Row],[DeliveryDate]]=""),"",RawWorking[[#This Row],[DeliveryDate]]-RawWorking[[#This Row],[ShipDate]])</f>
        <v>8</v>
      </c>
      <c r="M1724" s="9">
        <f>IF(COUNTIF(INDEX(RawWorking[OrderID],1):RawWorking[[#This Row],[OrderID]],RawWorking[[#This Row],[OrderID]])=1,1,0)</f>
        <v>1</v>
      </c>
      <c r="N1724" s="4">
        <f>IFERROR(RawWorking[[#This Row],[LineAmount]]/RawWorking[[#This Row],[Quantity]],"")</f>
        <v>119.74</v>
      </c>
    </row>
    <row r="1725" spans="1:14">
      <c r="A1725">
        <v>51724</v>
      </c>
      <c r="B1725">
        <v>30998</v>
      </c>
      <c r="C1725" s="2">
        <v>45977</v>
      </c>
      <c r="D1725">
        <v>2191</v>
      </c>
      <c r="E1725">
        <v>1001</v>
      </c>
      <c r="F1725">
        <v>2</v>
      </c>
      <c r="G1725">
        <v>406.08</v>
      </c>
      <c r="H1725" s="2">
        <v>45980</v>
      </c>
      <c r="I1725" s="2">
        <v>45990</v>
      </c>
      <c r="J1725" t="s">
        <v>9</v>
      </c>
      <c r="K1725" s="2" t="str">
        <f>IFERROR(INDEX(Product_lookup[Category],MATCH(RawWorking[[#This Row],[ProductID]],Product_lookup[ProductID],0)),"")</f>
        <v>Electronics</v>
      </c>
      <c r="L1725" s="9">
        <f>IF(OR(RawWorking[[#This Row],[ShipDate]]="",RawWorking[[#This Row],[DeliveryDate]]=""),"",RawWorking[[#This Row],[DeliveryDate]]-RawWorking[[#This Row],[ShipDate]])</f>
        <v>10</v>
      </c>
      <c r="M1725" s="9">
        <f>IF(COUNTIF(INDEX(RawWorking[OrderID],1):RawWorking[[#This Row],[OrderID]],RawWorking[[#This Row],[OrderID]])=1,1,0)</f>
        <v>0</v>
      </c>
      <c r="N1725" s="4">
        <f>IFERROR(RawWorking[[#This Row],[LineAmount]]/RawWorking[[#This Row],[Quantity]],"")</f>
        <v>203.04</v>
      </c>
    </row>
    <row r="1726" spans="1:14">
      <c r="A1726">
        <v>51725</v>
      </c>
      <c r="B1726">
        <v>30998</v>
      </c>
      <c r="C1726" s="2">
        <v>45977</v>
      </c>
      <c r="D1726">
        <v>2191</v>
      </c>
      <c r="E1726">
        <v>1002</v>
      </c>
      <c r="F1726">
        <v>1</v>
      </c>
      <c r="G1726">
        <v>118.6</v>
      </c>
      <c r="H1726" s="2">
        <v>45978</v>
      </c>
      <c r="I1726" s="2">
        <v>45981</v>
      </c>
      <c r="J1726" t="s">
        <v>9</v>
      </c>
      <c r="K1726" s="2" t="str">
        <f>IFERROR(INDEX(Product_lookup[Category],MATCH(RawWorking[[#This Row],[ProductID]],Product_lookup[ProductID],0)),"")</f>
        <v>Electronics</v>
      </c>
      <c r="L1726" s="9">
        <f>IF(OR(RawWorking[[#This Row],[ShipDate]]="",RawWorking[[#This Row],[DeliveryDate]]=""),"",RawWorking[[#This Row],[DeliveryDate]]-RawWorking[[#This Row],[ShipDate]])</f>
        <v>3</v>
      </c>
      <c r="M1726" s="9">
        <f>IF(COUNTIF(INDEX(RawWorking[OrderID],1):RawWorking[[#This Row],[OrderID]],RawWorking[[#This Row],[OrderID]])=1,1,0)</f>
        <v>0</v>
      </c>
      <c r="N1726" s="4">
        <f>IFERROR(RawWorking[[#This Row],[LineAmount]]/RawWorking[[#This Row],[Quantity]],"")</f>
        <v>118.6</v>
      </c>
    </row>
    <row r="1727" spans="1:14">
      <c r="A1727">
        <v>51726</v>
      </c>
      <c r="B1727">
        <v>30999</v>
      </c>
      <c r="C1727" s="2">
        <v>45760</v>
      </c>
      <c r="D1727">
        <v>2254</v>
      </c>
      <c r="E1727">
        <v>1010</v>
      </c>
      <c r="F1727">
        <v>2</v>
      </c>
      <c r="G1727">
        <v>243</v>
      </c>
      <c r="H1727" s="2" t="s">
        <v>1421</v>
      </c>
      <c r="I1727" s="2" t="s">
        <v>1421</v>
      </c>
      <c r="J1727" t="s">
        <v>12</v>
      </c>
      <c r="K1727" s="2" t="str">
        <f>IFERROR(INDEX(Product_lookup[Category],MATCH(RawWorking[[#This Row],[ProductID]],Product_lookup[ProductID],0)),"")</f>
        <v>Office</v>
      </c>
      <c r="L1727" s="9" t="str">
        <f>IF(OR(RawWorking[[#This Row],[ShipDate]]="",RawWorking[[#This Row],[DeliveryDate]]=""),"",RawWorking[[#This Row],[DeliveryDate]]-RawWorking[[#This Row],[ShipDate]])</f>
        <v/>
      </c>
      <c r="M1727" s="9">
        <f>IF(COUNTIF(INDEX(RawWorking[OrderID],1):RawWorking[[#This Row],[OrderID]],RawWorking[[#This Row],[OrderID]])=1,1,0)</f>
        <v>1</v>
      </c>
      <c r="N1727" s="4">
        <f>IFERROR(RawWorking[[#This Row],[LineAmount]]/RawWorking[[#This Row],[Quantity]],"")</f>
        <v>121.5</v>
      </c>
    </row>
    <row r="1728" spans="1:14">
      <c r="A1728">
        <v>51727</v>
      </c>
      <c r="B1728">
        <v>30999</v>
      </c>
      <c r="C1728" s="2">
        <v>45760</v>
      </c>
      <c r="D1728">
        <v>2254</v>
      </c>
      <c r="E1728">
        <v>1011</v>
      </c>
      <c r="F1728">
        <v>1</v>
      </c>
      <c r="G1728">
        <v>101.44</v>
      </c>
      <c r="H1728" s="2" t="s">
        <v>1421</v>
      </c>
      <c r="I1728" s="2" t="s">
        <v>1421</v>
      </c>
      <c r="J1728" t="s">
        <v>12</v>
      </c>
      <c r="K1728" s="2" t="str">
        <f>IFERROR(INDEX(Product_lookup[Category],MATCH(RawWorking[[#This Row],[ProductID]],Product_lookup[ProductID],0)),"")</f>
        <v>Office</v>
      </c>
      <c r="L1728" s="9" t="str">
        <f>IF(OR(RawWorking[[#This Row],[ShipDate]]="",RawWorking[[#This Row],[DeliveryDate]]=""),"",RawWorking[[#This Row],[DeliveryDate]]-RawWorking[[#This Row],[ShipDate]])</f>
        <v/>
      </c>
      <c r="M1728" s="9">
        <f>IF(COUNTIF(INDEX(RawWorking[OrderID],1):RawWorking[[#This Row],[OrderID]],RawWorking[[#This Row],[OrderID]])=1,1,0)</f>
        <v>0</v>
      </c>
      <c r="N1728" s="4">
        <f>IFERROR(RawWorking[[#This Row],[LineAmount]]/RawWorking[[#This Row],[Quantity]],"")</f>
        <v>101.44</v>
      </c>
    </row>
    <row r="1729" spans="1:14">
      <c r="A1729">
        <v>51728</v>
      </c>
      <c r="B1729">
        <v>30999</v>
      </c>
      <c r="C1729" s="2">
        <v>45760</v>
      </c>
      <c r="D1729">
        <v>2254</v>
      </c>
      <c r="E1729">
        <v>1016</v>
      </c>
      <c r="F1729">
        <v>1</v>
      </c>
      <c r="G1729">
        <v>65.260000000000005</v>
      </c>
      <c r="H1729" s="2" t="s">
        <v>1421</v>
      </c>
      <c r="I1729" s="2" t="s">
        <v>1421</v>
      </c>
      <c r="J1729" t="s">
        <v>12</v>
      </c>
      <c r="K1729" s="2" t="str">
        <f>IFERROR(INDEX(Product_lookup[Category],MATCH(RawWorking[[#This Row],[ProductID]],Product_lookup[ProductID],0)),"")</f>
        <v>Sports</v>
      </c>
      <c r="L1729" s="9" t="str">
        <f>IF(OR(RawWorking[[#This Row],[ShipDate]]="",RawWorking[[#This Row],[DeliveryDate]]=""),"",RawWorking[[#This Row],[DeliveryDate]]-RawWorking[[#This Row],[ShipDate]])</f>
        <v/>
      </c>
      <c r="M1729" s="9">
        <f>IF(COUNTIF(INDEX(RawWorking[OrderID],1):RawWorking[[#This Row],[OrderID]],RawWorking[[#This Row],[OrderID]])=1,1,0)</f>
        <v>0</v>
      </c>
      <c r="N1729" s="4">
        <f>IFERROR(RawWorking[[#This Row],[LineAmount]]/RawWorking[[#This Row],[Quantity]],"")</f>
        <v>65.260000000000005</v>
      </c>
    </row>
    <row r="1730" spans="1:14">
      <c r="A1730">
        <v>51729</v>
      </c>
      <c r="B1730">
        <v>31000</v>
      </c>
      <c r="C1730" s="2">
        <v>45823</v>
      </c>
      <c r="D1730">
        <v>2403</v>
      </c>
      <c r="E1730">
        <v>1001</v>
      </c>
      <c r="F1730">
        <v>3</v>
      </c>
      <c r="G1730">
        <v>609.12</v>
      </c>
      <c r="H1730" s="2">
        <v>45825</v>
      </c>
      <c r="I1730" s="2">
        <v>45829</v>
      </c>
      <c r="J1730" t="s">
        <v>9</v>
      </c>
      <c r="K1730" s="2" t="str">
        <f>IFERROR(INDEX(Product_lookup[Category],MATCH(RawWorking[[#This Row],[ProductID]],Product_lookup[ProductID],0)),"")</f>
        <v>Electronics</v>
      </c>
      <c r="L1730" s="9">
        <f>IF(OR(RawWorking[[#This Row],[ShipDate]]="",RawWorking[[#This Row],[DeliveryDate]]=""),"",RawWorking[[#This Row],[DeliveryDate]]-RawWorking[[#This Row],[ShipDate]])</f>
        <v>4</v>
      </c>
      <c r="M1730" s="9">
        <f>IF(COUNTIF(INDEX(RawWorking[OrderID],1):RawWorking[[#This Row],[OrderID]],RawWorking[[#This Row],[OrderID]])=1,1,0)</f>
        <v>1</v>
      </c>
      <c r="N1730" s="4">
        <f>IFERROR(RawWorking[[#This Row],[LineAmount]]/RawWorking[[#This Row],[Quantity]],"")</f>
        <v>203.04</v>
      </c>
    </row>
    <row r="1731" spans="1:14">
      <c r="A1731">
        <v>51730</v>
      </c>
      <c r="B1731">
        <v>31000</v>
      </c>
      <c r="C1731" s="2">
        <v>45823</v>
      </c>
      <c r="D1731">
        <v>2403</v>
      </c>
      <c r="E1731">
        <v>1012</v>
      </c>
      <c r="F1731">
        <v>2</v>
      </c>
      <c r="G1731">
        <v>483.08</v>
      </c>
      <c r="H1731" s="2">
        <v>45825</v>
      </c>
      <c r="I1731" s="2">
        <v>45830</v>
      </c>
      <c r="J1731" t="s">
        <v>9</v>
      </c>
      <c r="K1731" s="2" t="str">
        <f>IFERROR(INDEX(Product_lookup[Category],MATCH(RawWorking[[#This Row],[ProductID]],Product_lookup[ProductID],0)),"")</f>
        <v>Office</v>
      </c>
      <c r="L1731" s="9">
        <f>IF(OR(RawWorking[[#This Row],[ShipDate]]="",RawWorking[[#This Row],[DeliveryDate]]=""),"",RawWorking[[#This Row],[DeliveryDate]]-RawWorking[[#This Row],[ShipDate]])</f>
        <v>5</v>
      </c>
      <c r="M1731" s="9">
        <f>IF(COUNTIF(INDEX(RawWorking[OrderID],1):RawWorking[[#This Row],[OrderID]],RawWorking[[#This Row],[OrderID]])=1,1,0)</f>
        <v>0</v>
      </c>
      <c r="N1731" s="4">
        <f>IFERROR(RawWorking[[#This Row],[LineAmount]]/RawWorking[[#This Row],[Quantity]],"")</f>
        <v>241.54</v>
      </c>
    </row>
    <row r="1732" spans="1:14">
      <c r="A1732">
        <v>51731</v>
      </c>
      <c r="B1732">
        <v>31001</v>
      </c>
      <c r="C1732" s="2">
        <v>45719</v>
      </c>
      <c r="D1732">
        <v>2361</v>
      </c>
      <c r="E1732">
        <v>1010</v>
      </c>
      <c r="F1732">
        <v>2</v>
      </c>
      <c r="G1732">
        <v>243</v>
      </c>
      <c r="H1732" s="2">
        <v>45721</v>
      </c>
      <c r="I1732" s="2">
        <v>45726</v>
      </c>
      <c r="J1732" t="s">
        <v>9</v>
      </c>
      <c r="K1732" s="2" t="str">
        <f>IFERROR(INDEX(Product_lookup[Category],MATCH(RawWorking[[#This Row],[ProductID]],Product_lookup[ProductID],0)),"")</f>
        <v>Office</v>
      </c>
      <c r="L1732" s="9">
        <f>IF(OR(RawWorking[[#This Row],[ShipDate]]="",RawWorking[[#This Row],[DeliveryDate]]=""),"",RawWorking[[#This Row],[DeliveryDate]]-RawWorking[[#This Row],[ShipDate]])</f>
        <v>5</v>
      </c>
      <c r="M1732" s="9">
        <f>IF(COUNTIF(INDEX(RawWorking[OrderID],1):RawWorking[[#This Row],[OrderID]],RawWorking[[#This Row],[OrderID]])=1,1,0)</f>
        <v>1</v>
      </c>
      <c r="N1732" s="4">
        <f>IFERROR(RawWorking[[#This Row],[LineAmount]]/RawWorking[[#This Row],[Quantity]],"")</f>
        <v>121.5</v>
      </c>
    </row>
    <row r="1733" spans="1:14">
      <c r="A1733">
        <v>51732</v>
      </c>
      <c r="B1733">
        <v>31001</v>
      </c>
      <c r="C1733" s="2">
        <v>45719</v>
      </c>
      <c r="D1733">
        <v>2361</v>
      </c>
      <c r="E1733">
        <v>1008</v>
      </c>
      <c r="F1733">
        <v>1</v>
      </c>
      <c r="G1733">
        <v>206.09</v>
      </c>
      <c r="H1733" s="2">
        <v>45722</v>
      </c>
      <c r="I1733" s="2">
        <v>45730</v>
      </c>
      <c r="J1733" t="s">
        <v>9</v>
      </c>
      <c r="K1733" s="2" t="str">
        <f>IFERROR(INDEX(Product_lookup[Category],MATCH(RawWorking[[#This Row],[ProductID]],Product_lookup[ProductID],0)),"")</f>
        <v>Home</v>
      </c>
      <c r="L1733" s="9">
        <f>IF(OR(RawWorking[[#This Row],[ShipDate]]="",RawWorking[[#This Row],[DeliveryDate]]=""),"",RawWorking[[#This Row],[DeliveryDate]]-RawWorking[[#This Row],[ShipDate]])</f>
        <v>8</v>
      </c>
      <c r="M1733" s="9">
        <f>IF(COUNTIF(INDEX(RawWorking[OrderID],1):RawWorking[[#This Row],[OrderID]],RawWorking[[#This Row],[OrderID]])=1,1,0)</f>
        <v>0</v>
      </c>
      <c r="N1733" s="4">
        <f>IFERROR(RawWorking[[#This Row],[LineAmount]]/RawWorking[[#This Row],[Quantity]],"")</f>
        <v>206.09</v>
      </c>
    </row>
    <row r="1734" spans="1:14">
      <c r="A1734">
        <v>51733</v>
      </c>
      <c r="B1734">
        <v>31002</v>
      </c>
      <c r="C1734" s="2">
        <v>45782</v>
      </c>
      <c r="D1734">
        <v>2514</v>
      </c>
      <c r="E1734">
        <v>1002</v>
      </c>
      <c r="F1734">
        <v>1</v>
      </c>
      <c r="G1734">
        <v>118.6</v>
      </c>
      <c r="H1734" s="2">
        <v>45785</v>
      </c>
      <c r="I1734" s="2">
        <v>45966</v>
      </c>
      <c r="J1734" t="s">
        <v>9</v>
      </c>
      <c r="K1734" s="2" t="str">
        <f>IFERROR(INDEX(Product_lookup[Category],MATCH(RawWorking[[#This Row],[ProductID]],Product_lookup[ProductID],0)),"")</f>
        <v>Electronics</v>
      </c>
      <c r="L1734" s="9">
        <f>IF(OR(RawWorking[[#This Row],[ShipDate]]="",RawWorking[[#This Row],[DeliveryDate]]=""),"",RawWorking[[#This Row],[DeliveryDate]]-RawWorking[[#This Row],[ShipDate]])</f>
        <v>181</v>
      </c>
      <c r="M1734" s="9">
        <f>IF(COUNTIF(INDEX(RawWorking[OrderID],1):RawWorking[[#This Row],[OrderID]],RawWorking[[#This Row],[OrderID]])=1,1,0)</f>
        <v>1</v>
      </c>
      <c r="N1734" s="4">
        <f>IFERROR(RawWorking[[#This Row],[LineAmount]]/RawWorking[[#This Row],[Quantity]],"")</f>
        <v>118.6</v>
      </c>
    </row>
    <row r="1735" spans="1:14">
      <c r="A1735">
        <v>51734</v>
      </c>
      <c r="B1735">
        <v>31003</v>
      </c>
      <c r="C1735" s="2">
        <v>45954</v>
      </c>
      <c r="D1735">
        <v>2264</v>
      </c>
      <c r="E1735">
        <v>1001</v>
      </c>
      <c r="F1735">
        <v>1</v>
      </c>
      <c r="G1735">
        <v>203.04</v>
      </c>
      <c r="H1735" s="2" t="s">
        <v>1421</v>
      </c>
      <c r="I1735" s="2" t="s">
        <v>1421</v>
      </c>
      <c r="J1735" t="s">
        <v>12</v>
      </c>
      <c r="K1735" s="2" t="str">
        <f>IFERROR(INDEX(Product_lookup[Category],MATCH(RawWorking[[#This Row],[ProductID]],Product_lookup[ProductID],0)),"")</f>
        <v>Electronics</v>
      </c>
      <c r="L1735" s="9" t="str">
        <f>IF(OR(RawWorking[[#This Row],[ShipDate]]="",RawWorking[[#This Row],[DeliveryDate]]=""),"",RawWorking[[#This Row],[DeliveryDate]]-RawWorking[[#This Row],[ShipDate]])</f>
        <v/>
      </c>
      <c r="M1735" s="9">
        <f>IF(COUNTIF(INDEX(RawWorking[OrderID],1):RawWorking[[#This Row],[OrderID]],RawWorking[[#This Row],[OrderID]])=1,1,0)</f>
        <v>1</v>
      </c>
      <c r="N1735" s="4">
        <f>IFERROR(RawWorking[[#This Row],[LineAmount]]/RawWorking[[#This Row],[Quantity]],"")</f>
        <v>203.04</v>
      </c>
    </row>
    <row r="1736" spans="1:14">
      <c r="A1736">
        <v>51735</v>
      </c>
      <c r="B1736">
        <v>31004</v>
      </c>
      <c r="C1736" s="2">
        <v>45689</v>
      </c>
      <c r="D1736">
        <v>2569</v>
      </c>
      <c r="E1736">
        <v>1008</v>
      </c>
      <c r="F1736">
        <v>2</v>
      </c>
      <c r="G1736">
        <v>412.18</v>
      </c>
      <c r="H1736" s="2">
        <v>45691</v>
      </c>
      <c r="I1736" s="2">
        <v>45810</v>
      </c>
      <c r="J1736" t="s">
        <v>11</v>
      </c>
      <c r="K1736" s="2" t="str">
        <f>IFERROR(INDEX(Product_lookup[Category],MATCH(RawWorking[[#This Row],[ProductID]],Product_lookup[ProductID],0)),"")</f>
        <v>Home</v>
      </c>
      <c r="L1736" s="9">
        <f>IF(OR(RawWorking[[#This Row],[ShipDate]]="",RawWorking[[#This Row],[DeliveryDate]]=""),"",RawWorking[[#This Row],[DeliveryDate]]-RawWorking[[#This Row],[ShipDate]])</f>
        <v>119</v>
      </c>
      <c r="M1736" s="9">
        <f>IF(COUNTIF(INDEX(RawWorking[OrderID],1):RawWorking[[#This Row],[OrderID]],RawWorking[[#This Row],[OrderID]])=1,1,0)</f>
        <v>1</v>
      </c>
      <c r="N1736" s="4">
        <f>IFERROR(RawWorking[[#This Row],[LineAmount]]/RawWorking[[#This Row],[Quantity]],"")</f>
        <v>206.09</v>
      </c>
    </row>
    <row r="1737" spans="1:14">
      <c r="A1737">
        <v>51736</v>
      </c>
      <c r="B1737">
        <v>31005</v>
      </c>
      <c r="C1737" s="2">
        <v>45753</v>
      </c>
      <c r="D1737">
        <v>2156</v>
      </c>
      <c r="E1737">
        <v>1013</v>
      </c>
      <c r="F1737">
        <v>1</v>
      </c>
      <c r="G1737">
        <v>170.25</v>
      </c>
      <c r="H1737" s="2">
        <v>45755</v>
      </c>
      <c r="I1737" s="2">
        <v>45756</v>
      </c>
      <c r="J1737" t="s">
        <v>9</v>
      </c>
      <c r="K1737" s="2" t="str">
        <f>IFERROR(INDEX(Product_lookup[Category],MATCH(RawWorking[[#This Row],[ProductID]],Product_lookup[ProductID],0)),"")</f>
        <v>Office</v>
      </c>
      <c r="L1737" s="9">
        <f>IF(OR(RawWorking[[#This Row],[ShipDate]]="",RawWorking[[#This Row],[DeliveryDate]]=""),"",RawWorking[[#This Row],[DeliveryDate]]-RawWorking[[#This Row],[ShipDate]])</f>
        <v>1</v>
      </c>
      <c r="M1737" s="9">
        <f>IF(COUNTIF(INDEX(RawWorking[OrderID],1):RawWorking[[#This Row],[OrderID]],RawWorking[[#This Row],[OrderID]])=1,1,0)</f>
        <v>1</v>
      </c>
      <c r="N1737" s="4">
        <f>IFERROR(RawWorking[[#This Row],[LineAmount]]/RawWorking[[#This Row],[Quantity]],"")</f>
        <v>170.25</v>
      </c>
    </row>
    <row r="1738" spans="1:14">
      <c r="A1738">
        <v>51737</v>
      </c>
      <c r="B1738">
        <v>31005</v>
      </c>
      <c r="C1738" s="2">
        <v>45753</v>
      </c>
      <c r="D1738">
        <v>2156</v>
      </c>
      <c r="E1738">
        <v>1005</v>
      </c>
      <c r="F1738">
        <v>1</v>
      </c>
      <c r="G1738">
        <v>31.73</v>
      </c>
      <c r="H1738" s="2">
        <v>45754</v>
      </c>
      <c r="I1738" s="2">
        <v>45759</v>
      </c>
      <c r="J1738" t="s">
        <v>9</v>
      </c>
      <c r="K1738" s="2" t="str">
        <f>IFERROR(INDEX(Product_lookup[Category],MATCH(RawWorking[[#This Row],[ProductID]],Product_lookup[ProductID],0)),"")</f>
        <v>Electronics</v>
      </c>
      <c r="L1738" s="9">
        <f>IF(OR(RawWorking[[#This Row],[ShipDate]]="",RawWorking[[#This Row],[DeliveryDate]]=""),"",RawWorking[[#This Row],[DeliveryDate]]-RawWorking[[#This Row],[ShipDate]])</f>
        <v>5</v>
      </c>
      <c r="M1738" s="9">
        <f>IF(COUNTIF(INDEX(RawWorking[OrderID],1):RawWorking[[#This Row],[OrderID]],RawWorking[[#This Row],[OrderID]])=1,1,0)</f>
        <v>0</v>
      </c>
      <c r="N1738" s="4">
        <f>IFERROR(RawWorking[[#This Row],[LineAmount]]/RawWorking[[#This Row],[Quantity]],"")</f>
        <v>31.73</v>
      </c>
    </row>
    <row r="1739" spans="1:14">
      <c r="A1739">
        <v>51738</v>
      </c>
      <c r="B1739">
        <v>31005</v>
      </c>
      <c r="C1739" s="2">
        <v>45753</v>
      </c>
      <c r="D1739">
        <v>2156</v>
      </c>
      <c r="E1739">
        <v>1003</v>
      </c>
      <c r="F1739">
        <v>1</v>
      </c>
      <c r="G1739">
        <v>224.37</v>
      </c>
      <c r="H1739" s="2">
        <v>45755</v>
      </c>
      <c r="I1739" s="2">
        <v>45759</v>
      </c>
      <c r="J1739" t="s">
        <v>9</v>
      </c>
      <c r="K1739" s="2" t="str">
        <f>IFERROR(INDEX(Product_lookup[Category],MATCH(RawWorking[[#This Row],[ProductID]],Product_lookup[ProductID],0)),"")</f>
        <v>Electronics</v>
      </c>
      <c r="L1739" s="9">
        <f>IF(OR(RawWorking[[#This Row],[ShipDate]]="",RawWorking[[#This Row],[DeliveryDate]]=""),"",RawWorking[[#This Row],[DeliveryDate]]-RawWorking[[#This Row],[ShipDate]])</f>
        <v>4</v>
      </c>
      <c r="M1739" s="9">
        <f>IF(COUNTIF(INDEX(RawWorking[OrderID],1):RawWorking[[#This Row],[OrderID]],RawWorking[[#This Row],[OrderID]])=1,1,0)</f>
        <v>0</v>
      </c>
      <c r="N1739" s="4">
        <f>IFERROR(RawWorking[[#This Row],[LineAmount]]/RawWorking[[#This Row],[Quantity]],"")</f>
        <v>224.37</v>
      </c>
    </row>
    <row r="1740" spans="1:14">
      <c r="A1740">
        <v>51739</v>
      </c>
      <c r="B1740">
        <v>31006</v>
      </c>
      <c r="C1740" s="2">
        <v>45712</v>
      </c>
      <c r="D1740">
        <v>2392</v>
      </c>
      <c r="E1740">
        <v>1008</v>
      </c>
      <c r="F1740">
        <v>1</v>
      </c>
      <c r="G1740">
        <v>206.09</v>
      </c>
      <c r="H1740" s="2">
        <v>45715</v>
      </c>
      <c r="I1740" s="2">
        <v>45718</v>
      </c>
      <c r="J1740" t="s">
        <v>9</v>
      </c>
      <c r="K1740" s="2" t="str">
        <f>IFERROR(INDEX(Product_lookup[Category],MATCH(RawWorking[[#This Row],[ProductID]],Product_lookup[ProductID],0)),"")</f>
        <v>Home</v>
      </c>
      <c r="L1740" s="9">
        <f>IF(OR(RawWorking[[#This Row],[ShipDate]]="",RawWorking[[#This Row],[DeliveryDate]]=""),"",RawWorking[[#This Row],[DeliveryDate]]-RawWorking[[#This Row],[ShipDate]])</f>
        <v>3</v>
      </c>
      <c r="M1740" s="9">
        <f>IF(COUNTIF(INDEX(RawWorking[OrderID],1):RawWorking[[#This Row],[OrderID]],RawWorking[[#This Row],[OrderID]])=1,1,0)</f>
        <v>1</v>
      </c>
      <c r="N1740" s="4">
        <f>IFERROR(RawWorking[[#This Row],[LineAmount]]/RawWorking[[#This Row],[Quantity]],"")</f>
        <v>206.09</v>
      </c>
    </row>
    <row r="1741" spans="1:14">
      <c r="A1741">
        <v>51740</v>
      </c>
      <c r="B1741">
        <v>31007</v>
      </c>
      <c r="C1741" s="2">
        <v>46010</v>
      </c>
      <c r="D1741">
        <v>2428</v>
      </c>
      <c r="E1741">
        <v>1005</v>
      </c>
      <c r="F1741">
        <v>1</v>
      </c>
      <c r="G1741">
        <v>31.73</v>
      </c>
      <c r="H1741" s="2">
        <v>46012</v>
      </c>
      <c r="I1741" s="2">
        <v>46020</v>
      </c>
      <c r="J1741" t="s">
        <v>9</v>
      </c>
      <c r="K1741" s="2" t="str">
        <f>IFERROR(INDEX(Product_lookup[Category],MATCH(RawWorking[[#This Row],[ProductID]],Product_lookup[ProductID],0)),"")</f>
        <v>Electronics</v>
      </c>
      <c r="L1741" s="9">
        <f>IF(OR(RawWorking[[#This Row],[ShipDate]]="",RawWorking[[#This Row],[DeliveryDate]]=""),"",RawWorking[[#This Row],[DeliveryDate]]-RawWorking[[#This Row],[ShipDate]])</f>
        <v>8</v>
      </c>
      <c r="M1741" s="9">
        <f>IF(COUNTIF(INDEX(RawWorking[OrderID],1):RawWorking[[#This Row],[OrderID]],RawWorking[[#This Row],[OrderID]])=1,1,0)</f>
        <v>1</v>
      </c>
      <c r="N1741" s="4">
        <f>IFERROR(RawWorking[[#This Row],[LineAmount]]/RawWorking[[#This Row],[Quantity]],"")</f>
        <v>31.73</v>
      </c>
    </row>
    <row r="1742" spans="1:14">
      <c r="A1742">
        <v>51741</v>
      </c>
      <c r="B1742">
        <v>31008</v>
      </c>
      <c r="C1742" s="2">
        <v>45951</v>
      </c>
      <c r="D1742">
        <v>2437</v>
      </c>
      <c r="E1742">
        <v>1011</v>
      </c>
      <c r="F1742">
        <v>2</v>
      </c>
      <c r="G1742">
        <v>202.88</v>
      </c>
      <c r="H1742" s="2">
        <v>45954</v>
      </c>
      <c r="I1742" s="2">
        <v>45959</v>
      </c>
      <c r="J1742" t="s">
        <v>11</v>
      </c>
      <c r="K1742" s="2" t="str">
        <f>IFERROR(INDEX(Product_lookup[Category],MATCH(RawWorking[[#This Row],[ProductID]],Product_lookup[ProductID],0)),"")</f>
        <v>Office</v>
      </c>
      <c r="L1742" s="9">
        <f>IF(OR(RawWorking[[#This Row],[ShipDate]]="",RawWorking[[#This Row],[DeliveryDate]]=""),"",RawWorking[[#This Row],[DeliveryDate]]-RawWorking[[#This Row],[ShipDate]])</f>
        <v>5</v>
      </c>
      <c r="M1742" s="9">
        <f>IF(COUNTIF(INDEX(RawWorking[OrderID],1):RawWorking[[#This Row],[OrderID]],RawWorking[[#This Row],[OrderID]])=1,1,0)</f>
        <v>1</v>
      </c>
      <c r="N1742" s="4">
        <f>IFERROR(RawWorking[[#This Row],[LineAmount]]/RawWorking[[#This Row],[Quantity]],"")</f>
        <v>101.44</v>
      </c>
    </row>
    <row r="1743" spans="1:14">
      <c r="A1743">
        <v>51742</v>
      </c>
      <c r="B1743">
        <v>31009</v>
      </c>
      <c r="C1743" s="2">
        <v>45716</v>
      </c>
      <c r="D1743">
        <v>2460</v>
      </c>
      <c r="E1743">
        <v>1007</v>
      </c>
      <c r="F1743">
        <v>1</v>
      </c>
      <c r="G1743">
        <v>199.81</v>
      </c>
      <c r="H1743" s="2">
        <v>45717</v>
      </c>
      <c r="I1743" s="2">
        <v>45872</v>
      </c>
      <c r="J1743" t="s">
        <v>9</v>
      </c>
      <c r="K1743" s="2" t="str">
        <f>IFERROR(INDEX(Product_lookup[Category],MATCH(RawWorking[[#This Row],[ProductID]],Product_lookup[ProductID],0)),"")</f>
        <v>Home</v>
      </c>
      <c r="L1743" s="9">
        <f>IF(OR(RawWorking[[#This Row],[ShipDate]]="",RawWorking[[#This Row],[DeliveryDate]]=""),"",RawWorking[[#This Row],[DeliveryDate]]-RawWorking[[#This Row],[ShipDate]])</f>
        <v>155</v>
      </c>
      <c r="M1743" s="9">
        <f>IF(COUNTIF(INDEX(RawWorking[OrderID],1):RawWorking[[#This Row],[OrderID]],RawWorking[[#This Row],[OrderID]])=1,1,0)</f>
        <v>1</v>
      </c>
      <c r="N1743" s="4">
        <f>IFERROR(RawWorking[[#This Row],[LineAmount]]/RawWorking[[#This Row],[Quantity]],"")</f>
        <v>199.81</v>
      </c>
    </row>
    <row r="1744" spans="1:14">
      <c r="A1744">
        <v>51743</v>
      </c>
      <c r="B1744">
        <v>31009</v>
      </c>
      <c r="C1744" s="2">
        <v>45716</v>
      </c>
      <c r="D1744">
        <v>2460</v>
      </c>
      <c r="E1744">
        <v>1005</v>
      </c>
      <c r="F1744">
        <v>3</v>
      </c>
      <c r="G1744">
        <v>95.19</v>
      </c>
      <c r="H1744" s="2">
        <v>45717</v>
      </c>
      <c r="I1744" s="2">
        <v>45780</v>
      </c>
      <c r="J1744" t="s">
        <v>9</v>
      </c>
      <c r="K1744" s="2" t="str">
        <f>IFERROR(INDEX(Product_lookup[Category],MATCH(RawWorking[[#This Row],[ProductID]],Product_lookup[ProductID],0)),"")</f>
        <v>Electronics</v>
      </c>
      <c r="L1744" s="9">
        <f>IF(OR(RawWorking[[#This Row],[ShipDate]]="",RawWorking[[#This Row],[DeliveryDate]]=""),"",RawWorking[[#This Row],[DeliveryDate]]-RawWorking[[#This Row],[ShipDate]])</f>
        <v>63</v>
      </c>
      <c r="M1744" s="9">
        <f>IF(COUNTIF(INDEX(RawWorking[OrderID],1):RawWorking[[#This Row],[OrderID]],RawWorking[[#This Row],[OrderID]])=1,1,0)</f>
        <v>0</v>
      </c>
      <c r="N1744" s="4">
        <f>IFERROR(RawWorking[[#This Row],[LineAmount]]/RawWorking[[#This Row],[Quantity]],"")</f>
        <v>31.73</v>
      </c>
    </row>
    <row r="1745" spans="1:14">
      <c r="A1745">
        <v>51744</v>
      </c>
      <c r="B1745">
        <v>31009</v>
      </c>
      <c r="C1745" s="2">
        <v>45716</v>
      </c>
      <c r="D1745">
        <v>2460</v>
      </c>
      <c r="E1745">
        <v>1007</v>
      </c>
      <c r="F1745">
        <v>2</v>
      </c>
      <c r="G1745">
        <v>399.62</v>
      </c>
      <c r="H1745" s="2">
        <v>45719</v>
      </c>
      <c r="I1745" s="2">
        <v>45721</v>
      </c>
      <c r="J1745" t="s">
        <v>9</v>
      </c>
      <c r="K1745" s="2" t="str">
        <f>IFERROR(INDEX(Product_lookup[Category],MATCH(RawWorking[[#This Row],[ProductID]],Product_lookup[ProductID],0)),"")</f>
        <v>Home</v>
      </c>
      <c r="L1745" s="9">
        <f>IF(OR(RawWorking[[#This Row],[ShipDate]]="",RawWorking[[#This Row],[DeliveryDate]]=""),"",RawWorking[[#This Row],[DeliveryDate]]-RawWorking[[#This Row],[ShipDate]])</f>
        <v>2</v>
      </c>
      <c r="M1745" s="9">
        <f>IF(COUNTIF(INDEX(RawWorking[OrderID],1):RawWorking[[#This Row],[OrderID]],RawWorking[[#This Row],[OrderID]])=1,1,0)</f>
        <v>0</v>
      </c>
      <c r="N1745" s="4">
        <f>IFERROR(RawWorking[[#This Row],[LineAmount]]/RawWorking[[#This Row],[Quantity]],"")</f>
        <v>199.81</v>
      </c>
    </row>
    <row r="1746" spans="1:14">
      <c r="A1746">
        <v>51745</v>
      </c>
      <c r="B1746">
        <v>31010</v>
      </c>
      <c r="C1746" s="2">
        <v>45676</v>
      </c>
      <c r="D1746">
        <v>2142</v>
      </c>
      <c r="E1746">
        <v>1005</v>
      </c>
      <c r="F1746">
        <v>2</v>
      </c>
      <c r="G1746">
        <v>63.46</v>
      </c>
      <c r="H1746" s="2">
        <v>45678</v>
      </c>
      <c r="I1746" s="2">
        <v>45681</v>
      </c>
      <c r="J1746" t="s">
        <v>9</v>
      </c>
      <c r="K1746" s="2" t="str">
        <f>IFERROR(INDEX(Product_lookup[Category],MATCH(RawWorking[[#This Row],[ProductID]],Product_lookup[ProductID],0)),"")</f>
        <v>Electronics</v>
      </c>
      <c r="L1746" s="9">
        <f>IF(OR(RawWorking[[#This Row],[ShipDate]]="",RawWorking[[#This Row],[DeliveryDate]]=""),"",RawWorking[[#This Row],[DeliveryDate]]-RawWorking[[#This Row],[ShipDate]])</f>
        <v>3</v>
      </c>
      <c r="M1746" s="9">
        <f>IF(COUNTIF(INDEX(RawWorking[OrderID],1):RawWorking[[#This Row],[OrderID]],RawWorking[[#This Row],[OrderID]])=1,1,0)</f>
        <v>1</v>
      </c>
      <c r="N1746" s="4">
        <f>IFERROR(RawWorking[[#This Row],[LineAmount]]/RawWorking[[#This Row],[Quantity]],"")</f>
        <v>31.73</v>
      </c>
    </row>
    <row r="1747" spans="1:14">
      <c r="A1747">
        <v>51746</v>
      </c>
      <c r="B1747">
        <v>31011</v>
      </c>
      <c r="C1747" s="2">
        <v>45664</v>
      </c>
      <c r="D1747">
        <v>2441</v>
      </c>
      <c r="E1747">
        <v>1005</v>
      </c>
      <c r="F1747">
        <v>1</v>
      </c>
      <c r="G1747">
        <v>31.73</v>
      </c>
      <c r="H1747" s="2">
        <v>45665</v>
      </c>
      <c r="I1747" s="2">
        <v>45671</v>
      </c>
      <c r="J1747" t="s">
        <v>11</v>
      </c>
      <c r="K1747" s="2" t="str">
        <f>IFERROR(INDEX(Product_lookup[Category],MATCH(RawWorking[[#This Row],[ProductID]],Product_lookup[ProductID],0)),"")</f>
        <v>Electronics</v>
      </c>
      <c r="L1747" s="9">
        <f>IF(OR(RawWorking[[#This Row],[ShipDate]]="",RawWorking[[#This Row],[DeliveryDate]]=""),"",RawWorking[[#This Row],[DeliveryDate]]-RawWorking[[#This Row],[ShipDate]])</f>
        <v>6</v>
      </c>
      <c r="M1747" s="9">
        <f>IF(COUNTIF(INDEX(RawWorking[OrderID],1):RawWorking[[#This Row],[OrderID]],RawWorking[[#This Row],[OrderID]])=1,1,0)</f>
        <v>1</v>
      </c>
      <c r="N1747" s="4">
        <f>IFERROR(RawWorking[[#This Row],[LineAmount]]/RawWorking[[#This Row],[Quantity]],"")</f>
        <v>31.73</v>
      </c>
    </row>
    <row r="1748" spans="1:14">
      <c r="A1748">
        <v>51747</v>
      </c>
      <c r="B1748">
        <v>31011</v>
      </c>
      <c r="C1748" s="2">
        <v>45664</v>
      </c>
      <c r="D1748">
        <v>2441</v>
      </c>
      <c r="E1748">
        <v>1006</v>
      </c>
      <c r="F1748">
        <v>1</v>
      </c>
      <c r="G1748">
        <v>253.86</v>
      </c>
      <c r="H1748" s="2">
        <v>45665</v>
      </c>
      <c r="I1748" s="2">
        <v>45671</v>
      </c>
      <c r="J1748" t="s">
        <v>11</v>
      </c>
      <c r="K1748" s="2" t="str">
        <f>IFERROR(INDEX(Product_lookup[Category],MATCH(RawWorking[[#This Row],[ProductID]],Product_lookup[ProductID],0)),"")</f>
        <v>Home</v>
      </c>
      <c r="L1748" s="9">
        <f>IF(OR(RawWorking[[#This Row],[ShipDate]]="",RawWorking[[#This Row],[DeliveryDate]]=""),"",RawWorking[[#This Row],[DeliveryDate]]-RawWorking[[#This Row],[ShipDate]])</f>
        <v>6</v>
      </c>
      <c r="M1748" s="9">
        <f>IF(COUNTIF(INDEX(RawWorking[OrderID],1):RawWorking[[#This Row],[OrderID]],RawWorking[[#This Row],[OrderID]])=1,1,0)</f>
        <v>0</v>
      </c>
      <c r="N1748" s="4">
        <f>IFERROR(RawWorking[[#This Row],[LineAmount]]/RawWorking[[#This Row],[Quantity]],"")</f>
        <v>253.86</v>
      </c>
    </row>
    <row r="1749" spans="1:14">
      <c r="A1749">
        <v>51748</v>
      </c>
      <c r="B1749">
        <v>31012</v>
      </c>
      <c r="C1749" s="2">
        <v>45819</v>
      </c>
      <c r="D1749">
        <v>2326</v>
      </c>
      <c r="E1749">
        <v>1004</v>
      </c>
      <c r="F1749">
        <v>3</v>
      </c>
      <c r="G1749">
        <v>551.22</v>
      </c>
      <c r="H1749" s="2">
        <v>45822</v>
      </c>
      <c r="I1749" s="2">
        <v>45824</v>
      </c>
      <c r="J1749" t="s">
        <v>9</v>
      </c>
      <c r="K1749" s="2" t="str">
        <f>IFERROR(INDEX(Product_lookup[Category],MATCH(RawWorking[[#This Row],[ProductID]],Product_lookup[ProductID],0)),"")</f>
        <v>Electronics</v>
      </c>
      <c r="L1749" s="9">
        <f>IF(OR(RawWorking[[#This Row],[ShipDate]]="",RawWorking[[#This Row],[DeliveryDate]]=""),"",RawWorking[[#This Row],[DeliveryDate]]-RawWorking[[#This Row],[ShipDate]])</f>
        <v>2</v>
      </c>
      <c r="M1749" s="9">
        <f>IF(COUNTIF(INDEX(RawWorking[OrderID],1):RawWorking[[#This Row],[OrderID]],RawWorking[[#This Row],[OrderID]])=1,1,0)</f>
        <v>1</v>
      </c>
      <c r="N1749" s="4">
        <f>IFERROR(RawWorking[[#This Row],[LineAmount]]/RawWorking[[#This Row],[Quantity]],"")</f>
        <v>183.74</v>
      </c>
    </row>
    <row r="1750" spans="1:14">
      <c r="A1750">
        <v>51749</v>
      </c>
      <c r="B1750">
        <v>31012</v>
      </c>
      <c r="C1750" s="2">
        <v>45819</v>
      </c>
      <c r="D1750">
        <v>2326</v>
      </c>
      <c r="E1750">
        <v>1006</v>
      </c>
      <c r="F1750">
        <v>1</v>
      </c>
      <c r="G1750">
        <v>253.86</v>
      </c>
      <c r="H1750" s="2">
        <v>45820</v>
      </c>
      <c r="I1750" s="2">
        <v>45826</v>
      </c>
      <c r="J1750" t="s">
        <v>9</v>
      </c>
      <c r="K1750" s="2" t="str">
        <f>IFERROR(INDEX(Product_lookup[Category],MATCH(RawWorking[[#This Row],[ProductID]],Product_lookup[ProductID],0)),"")</f>
        <v>Home</v>
      </c>
      <c r="L1750" s="9">
        <f>IF(OR(RawWorking[[#This Row],[ShipDate]]="",RawWorking[[#This Row],[DeliveryDate]]=""),"",RawWorking[[#This Row],[DeliveryDate]]-RawWorking[[#This Row],[ShipDate]])</f>
        <v>6</v>
      </c>
      <c r="M1750" s="9">
        <f>IF(COUNTIF(INDEX(RawWorking[OrderID],1):RawWorking[[#This Row],[OrderID]],RawWorking[[#This Row],[OrderID]])=1,1,0)</f>
        <v>0</v>
      </c>
      <c r="N1750" s="4">
        <f>IFERROR(RawWorking[[#This Row],[LineAmount]]/RawWorking[[#This Row],[Quantity]],"")</f>
        <v>253.86</v>
      </c>
    </row>
    <row r="1751" spans="1:14">
      <c r="A1751">
        <v>51750</v>
      </c>
      <c r="B1751">
        <v>31013</v>
      </c>
      <c r="C1751" s="2">
        <v>45668</v>
      </c>
      <c r="D1751">
        <v>2326</v>
      </c>
      <c r="E1751">
        <v>1005</v>
      </c>
      <c r="F1751">
        <v>4</v>
      </c>
      <c r="G1751">
        <v>126.92</v>
      </c>
      <c r="H1751" s="2" t="s">
        <v>1421</v>
      </c>
      <c r="I1751" s="2" t="s">
        <v>1421</v>
      </c>
      <c r="J1751" t="s">
        <v>16</v>
      </c>
      <c r="K1751" s="2" t="str">
        <f>IFERROR(INDEX(Product_lookup[Category],MATCH(RawWorking[[#This Row],[ProductID]],Product_lookup[ProductID],0)),"")</f>
        <v>Electronics</v>
      </c>
      <c r="L1751" s="9" t="str">
        <f>IF(OR(RawWorking[[#This Row],[ShipDate]]="",RawWorking[[#This Row],[DeliveryDate]]=""),"",RawWorking[[#This Row],[DeliveryDate]]-RawWorking[[#This Row],[ShipDate]])</f>
        <v/>
      </c>
      <c r="M1751" s="9">
        <f>IF(COUNTIF(INDEX(RawWorking[OrderID],1):RawWorking[[#This Row],[OrderID]],RawWorking[[#This Row],[OrderID]])=1,1,0)</f>
        <v>1</v>
      </c>
      <c r="N1751" s="4">
        <f>IFERROR(RawWorking[[#This Row],[LineAmount]]/RawWorking[[#This Row],[Quantity]],"")</f>
        <v>31.73</v>
      </c>
    </row>
    <row r="1752" spans="1:14">
      <c r="A1752">
        <v>51751</v>
      </c>
      <c r="B1752">
        <v>31014</v>
      </c>
      <c r="C1752" s="2">
        <v>45790</v>
      </c>
      <c r="D1752">
        <v>2327</v>
      </c>
      <c r="E1752">
        <v>1014</v>
      </c>
      <c r="F1752">
        <v>1</v>
      </c>
      <c r="G1752">
        <v>215.34</v>
      </c>
      <c r="H1752" s="2" t="s">
        <v>1421</v>
      </c>
      <c r="I1752" s="2" t="s">
        <v>1421</v>
      </c>
      <c r="J1752" t="s">
        <v>199</v>
      </c>
      <c r="K1752" s="2" t="str">
        <f>IFERROR(INDEX(Product_lookup[Category],MATCH(RawWorking[[#This Row],[ProductID]],Product_lookup[ProductID],0)),"")</f>
        <v>Sports</v>
      </c>
      <c r="L1752" s="9" t="str">
        <f>IF(OR(RawWorking[[#This Row],[ShipDate]]="",RawWorking[[#This Row],[DeliveryDate]]=""),"",RawWorking[[#This Row],[DeliveryDate]]-RawWorking[[#This Row],[ShipDate]])</f>
        <v/>
      </c>
      <c r="M1752" s="9">
        <f>IF(COUNTIF(INDEX(RawWorking[OrderID],1):RawWorking[[#This Row],[OrderID]],RawWorking[[#This Row],[OrderID]])=1,1,0)</f>
        <v>1</v>
      </c>
      <c r="N1752" s="4">
        <f>IFERROR(RawWorking[[#This Row],[LineAmount]]/RawWorking[[#This Row],[Quantity]],"")</f>
        <v>215.34</v>
      </c>
    </row>
    <row r="1753" spans="1:14">
      <c r="A1753">
        <v>51752</v>
      </c>
      <c r="B1753">
        <v>31014</v>
      </c>
      <c r="C1753" s="2">
        <v>45790</v>
      </c>
      <c r="D1753">
        <v>2327</v>
      </c>
      <c r="E1753">
        <v>1014</v>
      </c>
      <c r="F1753">
        <v>5</v>
      </c>
      <c r="G1753">
        <v>1076.7</v>
      </c>
      <c r="H1753" s="2" t="s">
        <v>1421</v>
      </c>
      <c r="I1753" s="2" t="s">
        <v>1421</v>
      </c>
      <c r="J1753" t="s">
        <v>12</v>
      </c>
      <c r="K1753" s="2" t="str">
        <f>IFERROR(INDEX(Product_lookup[Category],MATCH(RawWorking[[#This Row],[ProductID]],Product_lookup[ProductID],0)),"")</f>
        <v>Sports</v>
      </c>
      <c r="L1753" s="9" t="str">
        <f>IF(OR(RawWorking[[#This Row],[ShipDate]]="",RawWorking[[#This Row],[DeliveryDate]]=""),"",RawWorking[[#This Row],[DeliveryDate]]-RawWorking[[#This Row],[ShipDate]])</f>
        <v/>
      </c>
      <c r="M1753" s="9">
        <f>IF(COUNTIF(INDEX(RawWorking[OrderID],1):RawWorking[[#This Row],[OrderID]],RawWorking[[#This Row],[OrderID]])=1,1,0)</f>
        <v>0</v>
      </c>
      <c r="N1753" s="4">
        <f>IFERROR(RawWorking[[#This Row],[LineAmount]]/RawWorking[[#This Row],[Quantity]],"")</f>
        <v>215.34</v>
      </c>
    </row>
    <row r="1754" spans="1:14">
      <c r="A1754">
        <v>51753</v>
      </c>
      <c r="B1754">
        <v>31015</v>
      </c>
      <c r="C1754" s="2">
        <v>45805</v>
      </c>
      <c r="D1754">
        <v>2311</v>
      </c>
      <c r="E1754">
        <v>1009</v>
      </c>
      <c r="F1754">
        <v>1</v>
      </c>
      <c r="G1754">
        <v>40.28</v>
      </c>
      <c r="H1754" s="2">
        <v>45806</v>
      </c>
      <c r="I1754" s="2">
        <v>45815</v>
      </c>
      <c r="J1754" t="s">
        <v>9</v>
      </c>
      <c r="K1754" s="2" t="str">
        <f>IFERROR(INDEX(Product_lookup[Category],MATCH(RawWorking[[#This Row],[ProductID]],Product_lookup[ProductID],0)),"")</f>
        <v>Home</v>
      </c>
      <c r="L1754" s="9">
        <f>IF(OR(RawWorking[[#This Row],[ShipDate]]="",RawWorking[[#This Row],[DeliveryDate]]=""),"",RawWorking[[#This Row],[DeliveryDate]]-RawWorking[[#This Row],[ShipDate]])</f>
        <v>9</v>
      </c>
      <c r="M1754" s="9">
        <f>IF(COUNTIF(INDEX(RawWorking[OrderID],1):RawWorking[[#This Row],[OrderID]],RawWorking[[#This Row],[OrderID]])=1,1,0)</f>
        <v>1</v>
      </c>
      <c r="N1754" s="4">
        <f>IFERROR(RawWorking[[#This Row],[LineAmount]]/RawWorking[[#This Row],[Quantity]],"")</f>
        <v>40.28</v>
      </c>
    </row>
    <row r="1755" spans="1:14">
      <c r="A1755">
        <v>51754</v>
      </c>
      <c r="B1755">
        <v>31015</v>
      </c>
      <c r="C1755" s="2">
        <v>45805</v>
      </c>
      <c r="D1755">
        <v>2311</v>
      </c>
      <c r="E1755">
        <v>1005</v>
      </c>
      <c r="F1755">
        <v>4</v>
      </c>
      <c r="G1755">
        <v>126.92</v>
      </c>
      <c r="H1755" s="2">
        <v>45807</v>
      </c>
      <c r="I1755" s="2">
        <v>45816</v>
      </c>
      <c r="J1755" t="s">
        <v>9</v>
      </c>
      <c r="K1755" s="2" t="str">
        <f>IFERROR(INDEX(Product_lookup[Category],MATCH(RawWorking[[#This Row],[ProductID]],Product_lookup[ProductID],0)),"")</f>
        <v>Electronics</v>
      </c>
      <c r="L1755" s="9">
        <f>IF(OR(RawWorking[[#This Row],[ShipDate]]="",RawWorking[[#This Row],[DeliveryDate]]=""),"",RawWorking[[#This Row],[DeliveryDate]]-RawWorking[[#This Row],[ShipDate]])</f>
        <v>9</v>
      </c>
      <c r="M1755" s="9">
        <f>IF(COUNTIF(INDEX(RawWorking[OrderID],1):RawWorking[[#This Row],[OrderID]],RawWorking[[#This Row],[OrderID]])=1,1,0)</f>
        <v>0</v>
      </c>
      <c r="N1755" s="4">
        <f>IFERROR(RawWorking[[#This Row],[LineAmount]]/RawWorking[[#This Row],[Quantity]],"")</f>
        <v>31.73</v>
      </c>
    </row>
    <row r="1756" spans="1:14">
      <c r="A1756">
        <v>51755</v>
      </c>
      <c r="B1756">
        <v>31015</v>
      </c>
      <c r="C1756" s="2">
        <v>45805</v>
      </c>
      <c r="D1756">
        <v>2311</v>
      </c>
      <c r="E1756">
        <v>1007</v>
      </c>
      <c r="F1756">
        <v>1</v>
      </c>
      <c r="G1756">
        <v>199.81</v>
      </c>
      <c r="H1756" s="2">
        <v>45807</v>
      </c>
      <c r="I1756" s="2">
        <v>45814</v>
      </c>
      <c r="J1756" t="s">
        <v>9</v>
      </c>
      <c r="K1756" s="2" t="str">
        <f>IFERROR(INDEX(Product_lookup[Category],MATCH(RawWorking[[#This Row],[ProductID]],Product_lookup[ProductID],0)),"")</f>
        <v>Home</v>
      </c>
      <c r="L1756" s="9">
        <f>IF(OR(RawWorking[[#This Row],[ShipDate]]="",RawWorking[[#This Row],[DeliveryDate]]=""),"",RawWorking[[#This Row],[DeliveryDate]]-RawWorking[[#This Row],[ShipDate]])</f>
        <v>7</v>
      </c>
      <c r="M1756" s="9">
        <f>IF(COUNTIF(INDEX(RawWorking[OrderID],1):RawWorking[[#This Row],[OrderID]],RawWorking[[#This Row],[OrderID]])=1,1,0)</f>
        <v>0</v>
      </c>
      <c r="N1756" s="4">
        <f>IFERROR(RawWorking[[#This Row],[LineAmount]]/RawWorking[[#This Row],[Quantity]],"")</f>
        <v>199.81</v>
      </c>
    </row>
    <row r="1757" spans="1:14">
      <c r="A1757">
        <v>51756</v>
      </c>
      <c r="B1757">
        <v>31016</v>
      </c>
      <c r="C1757" s="2">
        <v>45757</v>
      </c>
      <c r="D1757">
        <v>2110</v>
      </c>
      <c r="E1757">
        <v>1001</v>
      </c>
      <c r="F1757">
        <v>1</v>
      </c>
      <c r="G1757">
        <v>203.04</v>
      </c>
      <c r="H1757" s="2">
        <v>45760</v>
      </c>
      <c r="I1757" s="2">
        <v>45763</v>
      </c>
      <c r="J1757" t="s">
        <v>9</v>
      </c>
      <c r="K1757" s="2" t="str">
        <f>IFERROR(INDEX(Product_lookup[Category],MATCH(RawWorking[[#This Row],[ProductID]],Product_lookup[ProductID],0)),"")</f>
        <v>Electronics</v>
      </c>
      <c r="L1757" s="9">
        <f>IF(OR(RawWorking[[#This Row],[ShipDate]]="",RawWorking[[#This Row],[DeliveryDate]]=""),"",RawWorking[[#This Row],[DeliveryDate]]-RawWorking[[#This Row],[ShipDate]])</f>
        <v>3</v>
      </c>
      <c r="M1757" s="9">
        <f>IF(COUNTIF(INDEX(RawWorking[OrderID],1):RawWorking[[#This Row],[OrderID]],RawWorking[[#This Row],[OrderID]])=1,1,0)</f>
        <v>1</v>
      </c>
      <c r="N1757" s="4">
        <f>IFERROR(RawWorking[[#This Row],[LineAmount]]/RawWorking[[#This Row],[Quantity]],"")</f>
        <v>203.04</v>
      </c>
    </row>
    <row r="1758" spans="1:14">
      <c r="A1758">
        <v>51757</v>
      </c>
      <c r="B1758">
        <v>31016</v>
      </c>
      <c r="C1758" s="2">
        <v>45757</v>
      </c>
      <c r="D1758">
        <v>2110</v>
      </c>
      <c r="E1758">
        <v>1009</v>
      </c>
      <c r="F1758">
        <v>2</v>
      </c>
      <c r="G1758">
        <v>80.56</v>
      </c>
      <c r="H1758" s="2">
        <v>45758</v>
      </c>
      <c r="I1758" s="2">
        <v>45765</v>
      </c>
      <c r="J1758" t="s">
        <v>9</v>
      </c>
      <c r="K1758" s="2" t="str">
        <f>IFERROR(INDEX(Product_lookup[Category],MATCH(RawWorking[[#This Row],[ProductID]],Product_lookup[ProductID],0)),"")</f>
        <v>Home</v>
      </c>
      <c r="L1758" s="9">
        <f>IF(OR(RawWorking[[#This Row],[ShipDate]]="",RawWorking[[#This Row],[DeliveryDate]]=""),"",RawWorking[[#This Row],[DeliveryDate]]-RawWorking[[#This Row],[ShipDate]])</f>
        <v>7</v>
      </c>
      <c r="M1758" s="9">
        <f>IF(COUNTIF(INDEX(RawWorking[OrderID],1):RawWorking[[#This Row],[OrderID]],RawWorking[[#This Row],[OrderID]])=1,1,0)</f>
        <v>0</v>
      </c>
      <c r="N1758" s="4">
        <f>IFERROR(RawWorking[[#This Row],[LineAmount]]/RawWorking[[#This Row],[Quantity]],"")</f>
        <v>40.28</v>
      </c>
    </row>
    <row r="1759" spans="1:14">
      <c r="A1759">
        <v>51758</v>
      </c>
      <c r="B1759">
        <v>31017</v>
      </c>
      <c r="C1759" s="2">
        <v>45752</v>
      </c>
      <c r="D1759">
        <v>2581</v>
      </c>
      <c r="E1759">
        <v>1008</v>
      </c>
      <c r="F1759">
        <v>1</v>
      </c>
      <c r="G1759">
        <v>206.09</v>
      </c>
      <c r="H1759" s="2">
        <v>45754</v>
      </c>
      <c r="I1759" s="2">
        <v>45764</v>
      </c>
      <c r="J1759" t="s">
        <v>9</v>
      </c>
      <c r="K1759" s="2" t="str">
        <f>IFERROR(INDEX(Product_lookup[Category],MATCH(RawWorking[[#This Row],[ProductID]],Product_lookup[ProductID],0)),"")</f>
        <v>Home</v>
      </c>
      <c r="L1759" s="9">
        <f>IF(OR(RawWorking[[#This Row],[ShipDate]]="",RawWorking[[#This Row],[DeliveryDate]]=""),"",RawWorking[[#This Row],[DeliveryDate]]-RawWorking[[#This Row],[ShipDate]])</f>
        <v>10</v>
      </c>
      <c r="M1759" s="9">
        <f>IF(COUNTIF(INDEX(RawWorking[OrderID],1):RawWorking[[#This Row],[OrderID]],RawWorking[[#This Row],[OrderID]])=1,1,0)</f>
        <v>1</v>
      </c>
      <c r="N1759" s="4">
        <f>IFERROR(RawWorking[[#This Row],[LineAmount]]/RawWorking[[#This Row],[Quantity]],"")</f>
        <v>206.09</v>
      </c>
    </row>
    <row r="1760" spans="1:14">
      <c r="A1760">
        <v>51759</v>
      </c>
      <c r="B1760">
        <v>31018</v>
      </c>
      <c r="C1760" s="2">
        <v>45660</v>
      </c>
      <c r="D1760">
        <v>2237</v>
      </c>
      <c r="E1760">
        <v>1012</v>
      </c>
      <c r="F1760">
        <v>1</v>
      </c>
      <c r="G1760">
        <v>241.54</v>
      </c>
      <c r="H1760" s="2">
        <v>45662</v>
      </c>
      <c r="I1760" s="2">
        <v>45663</v>
      </c>
      <c r="J1760" t="s">
        <v>9</v>
      </c>
      <c r="K1760" s="2" t="str">
        <f>IFERROR(INDEX(Product_lookup[Category],MATCH(RawWorking[[#This Row],[ProductID]],Product_lookup[ProductID],0)),"")</f>
        <v>Office</v>
      </c>
      <c r="L1760" s="9">
        <f>IF(OR(RawWorking[[#This Row],[ShipDate]]="",RawWorking[[#This Row],[DeliveryDate]]=""),"",RawWorking[[#This Row],[DeliveryDate]]-RawWorking[[#This Row],[ShipDate]])</f>
        <v>1</v>
      </c>
      <c r="M1760" s="9">
        <f>IF(COUNTIF(INDEX(RawWorking[OrderID],1):RawWorking[[#This Row],[OrderID]],RawWorking[[#This Row],[OrderID]])=1,1,0)</f>
        <v>1</v>
      </c>
      <c r="N1760" s="4">
        <f>IFERROR(RawWorking[[#This Row],[LineAmount]]/RawWorking[[#This Row],[Quantity]],"")</f>
        <v>241.54</v>
      </c>
    </row>
    <row r="1761" spans="1:14">
      <c r="A1761">
        <v>51760</v>
      </c>
      <c r="B1761">
        <v>31019</v>
      </c>
      <c r="C1761" s="2">
        <v>45726</v>
      </c>
      <c r="D1761">
        <v>2082</v>
      </c>
      <c r="E1761">
        <v>1016</v>
      </c>
      <c r="F1761">
        <v>1</v>
      </c>
      <c r="G1761">
        <v>65.260000000000005</v>
      </c>
      <c r="H1761" s="2">
        <v>45934</v>
      </c>
      <c r="I1761" s="2">
        <v>45941</v>
      </c>
      <c r="J1761" t="s">
        <v>9</v>
      </c>
      <c r="K1761" s="2" t="str">
        <f>IFERROR(INDEX(Product_lookup[Category],MATCH(RawWorking[[#This Row],[ProductID]],Product_lookup[ProductID],0)),"")</f>
        <v>Sports</v>
      </c>
      <c r="L1761" s="9">
        <f>IF(OR(RawWorking[[#This Row],[ShipDate]]="",RawWorking[[#This Row],[DeliveryDate]]=""),"",RawWorking[[#This Row],[DeliveryDate]]-RawWorking[[#This Row],[ShipDate]])</f>
        <v>7</v>
      </c>
      <c r="M1761" s="9">
        <f>IF(COUNTIF(INDEX(RawWorking[OrderID],1):RawWorking[[#This Row],[OrderID]],RawWorking[[#This Row],[OrderID]])=1,1,0)</f>
        <v>1</v>
      </c>
      <c r="N1761" s="4">
        <f>IFERROR(RawWorking[[#This Row],[LineAmount]]/RawWorking[[#This Row],[Quantity]],"")</f>
        <v>65.260000000000005</v>
      </c>
    </row>
    <row r="1762" spans="1:14">
      <c r="A1762">
        <v>51761</v>
      </c>
      <c r="B1762">
        <v>31019</v>
      </c>
      <c r="C1762" s="2">
        <v>45933</v>
      </c>
      <c r="D1762">
        <v>2082</v>
      </c>
      <c r="E1762">
        <v>1005</v>
      </c>
      <c r="F1762">
        <v>3</v>
      </c>
      <c r="G1762">
        <v>95.19</v>
      </c>
      <c r="H1762" s="2">
        <v>45936</v>
      </c>
      <c r="I1762" s="2">
        <v>45939</v>
      </c>
      <c r="J1762" t="s">
        <v>9</v>
      </c>
      <c r="K1762" s="2" t="str">
        <f>IFERROR(INDEX(Product_lookup[Category],MATCH(RawWorking[[#This Row],[ProductID]],Product_lookup[ProductID],0)),"")</f>
        <v>Electronics</v>
      </c>
      <c r="L1762" s="9">
        <f>IF(OR(RawWorking[[#This Row],[ShipDate]]="",RawWorking[[#This Row],[DeliveryDate]]=""),"",RawWorking[[#This Row],[DeliveryDate]]-RawWorking[[#This Row],[ShipDate]])</f>
        <v>3</v>
      </c>
      <c r="M1762" s="9">
        <f>IF(COUNTIF(INDEX(RawWorking[OrderID],1):RawWorking[[#This Row],[OrderID]],RawWorking[[#This Row],[OrderID]])=1,1,0)</f>
        <v>0</v>
      </c>
      <c r="N1762" s="4">
        <f>IFERROR(RawWorking[[#This Row],[LineAmount]]/RawWorking[[#This Row],[Quantity]],"")</f>
        <v>31.73</v>
      </c>
    </row>
    <row r="1763" spans="1:14">
      <c r="A1763">
        <v>51762</v>
      </c>
      <c r="B1763">
        <v>31020</v>
      </c>
      <c r="C1763" s="2">
        <v>45871</v>
      </c>
      <c r="D1763">
        <v>2515</v>
      </c>
      <c r="E1763">
        <v>1016</v>
      </c>
      <c r="F1763">
        <v>3</v>
      </c>
      <c r="G1763">
        <v>195.78</v>
      </c>
      <c r="H1763" s="2" t="s">
        <v>1421</v>
      </c>
      <c r="I1763" s="2" t="s">
        <v>1421</v>
      </c>
      <c r="J1763" t="s">
        <v>16</v>
      </c>
      <c r="K1763" s="2" t="str">
        <f>IFERROR(INDEX(Product_lookup[Category],MATCH(RawWorking[[#This Row],[ProductID]],Product_lookup[ProductID],0)),"")</f>
        <v>Sports</v>
      </c>
      <c r="L1763" s="9" t="str">
        <f>IF(OR(RawWorking[[#This Row],[ShipDate]]="",RawWorking[[#This Row],[DeliveryDate]]=""),"",RawWorking[[#This Row],[DeliveryDate]]-RawWorking[[#This Row],[ShipDate]])</f>
        <v/>
      </c>
      <c r="M1763" s="9">
        <f>IF(COUNTIF(INDEX(RawWorking[OrderID],1):RawWorking[[#This Row],[OrderID]],RawWorking[[#This Row],[OrderID]])=1,1,0)</f>
        <v>1</v>
      </c>
      <c r="N1763" s="4">
        <f>IFERROR(RawWorking[[#This Row],[LineAmount]]/RawWorking[[#This Row],[Quantity]],"")</f>
        <v>65.260000000000005</v>
      </c>
    </row>
    <row r="1764" spans="1:14">
      <c r="A1764">
        <v>51763</v>
      </c>
      <c r="B1764">
        <v>31020</v>
      </c>
      <c r="C1764" s="2">
        <v>45871</v>
      </c>
      <c r="D1764">
        <v>2515</v>
      </c>
      <c r="E1764">
        <v>1012</v>
      </c>
      <c r="F1764">
        <v>1</v>
      </c>
      <c r="G1764">
        <v>241.54</v>
      </c>
      <c r="H1764" s="2">
        <v>45874</v>
      </c>
      <c r="I1764" s="2" t="s">
        <v>1421</v>
      </c>
      <c r="J1764" t="s">
        <v>16</v>
      </c>
      <c r="K1764" s="2" t="str">
        <f>IFERROR(INDEX(Product_lookup[Category],MATCH(RawWorking[[#This Row],[ProductID]],Product_lookup[ProductID],0)),"")</f>
        <v>Office</v>
      </c>
      <c r="L1764" s="9" t="str">
        <f>IF(OR(RawWorking[[#This Row],[ShipDate]]="",RawWorking[[#This Row],[DeliveryDate]]=""),"",RawWorking[[#This Row],[DeliveryDate]]-RawWorking[[#This Row],[ShipDate]])</f>
        <v/>
      </c>
      <c r="M1764" s="9">
        <f>IF(COUNTIF(INDEX(RawWorking[OrderID],1):RawWorking[[#This Row],[OrderID]],RawWorking[[#This Row],[OrderID]])=1,1,0)</f>
        <v>0</v>
      </c>
      <c r="N1764" s="4">
        <f>IFERROR(RawWorking[[#This Row],[LineAmount]]/RawWorking[[#This Row],[Quantity]],"")</f>
        <v>241.54</v>
      </c>
    </row>
    <row r="1765" spans="1:14">
      <c r="A1765">
        <v>51764</v>
      </c>
      <c r="B1765">
        <v>31020</v>
      </c>
      <c r="C1765" s="2">
        <v>45696</v>
      </c>
      <c r="D1765">
        <v>2515</v>
      </c>
      <c r="E1765">
        <v>1013</v>
      </c>
      <c r="F1765">
        <v>1</v>
      </c>
      <c r="G1765">
        <v>170.25</v>
      </c>
      <c r="H1765" s="2" t="s">
        <v>1421</v>
      </c>
      <c r="I1765" s="2" t="s">
        <v>1421</v>
      </c>
      <c r="J1765" t="s">
        <v>16</v>
      </c>
      <c r="K1765" s="2" t="str">
        <f>IFERROR(INDEX(Product_lookup[Category],MATCH(RawWorking[[#This Row],[ProductID]],Product_lookup[ProductID],0)),"")</f>
        <v>Office</v>
      </c>
      <c r="L1765" s="9" t="str">
        <f>IF(OR(RawWorking[[#This Row],[ShipDate]]="",RawWorking[[#This Row],[DeliveryDate]]=""),"",RawWorking[[#This Row],[DeliveryDate]]-RawWorking[[#This Row],[ShipDate]])</f>
        <v/>
      </c>
      <c r="M1765" s="9">
        <f>IF(COUNTIF(INDEX(RawWorking[OrderID],1):RawWorking[[#This Row],[OrderID]],RawWorking[[#This Row],[OrderID]])=1,1,0)</f>
        <v>0</v>
      </c>
      <c r="N1765" s="4">
        <f>IFERROR(RawWorking[[#This Row],[LineAmount]]/RawWorking[[#This Row],[Quantity]],"")</f>
        <v>170.25</v>
      </c>
    </row>
    <row r="1766" spans="1:14">
      <c r="A1766">
        <v>51765</v>
      </c>
      <c r="B1766">
        <v>31020</v>
      </c>
      <c r="C1766" s="2">
        <v>45871</v>
      </c>
      <c r="D1766">
        <v>2515</v>
      </c>
      <c r="E1766">
        <v>1005</v>
      </c>
      <c r="F1766">
        <v>2</v>
      </c>
      <c r="G1766">
        <v>63.46</v>
      </c>
      <c r="H1766" s="2">
        <v>45874</v>
      </c>
      <c r="I1766" s="2" t="s">
        <v>1421</v>
      </c>
      <c r="J1766" t="s">
        <v>16</v>
      </c>
      <c r="K1766" s="2" t="str">
        <f>IFERROR(INDEX(Product_lookup[Category],MATCH(RawWorking[[#This Row],[ProductID]],Product_lookup[ProductID],0)),"")</f>
        <v>Electronics</v>
      </c>
      <c r="L1766" s="9" t="str">
        <f>IF(OR(RawWorking[[#This Row],[ShipDate]]="",RawWorking[[#This Row],[DeliveryDate]]=""),"",RawWorking[[#This Row],[DeliveryDate]]-RawWorking[[#This Row],[ShipDate]])</f>
        <v/>
      </c>
      <c r="M1766" s="9">
        <f>IF(COUNTIF(INDEX(RawWorking[OrderID],1):RawWorking[[#This Row],[OrderID]],RawWorking[[#This Row],[OrderID]])=1,1,0)</f>
        <v>0</v>
      </c>
      <c r="N1766" s="4">
        <f>IFERROR(RawWorking[[#This Row],[LineAmount]]/RawWorking[[#This Row],[Quantity]],"")</f>
        <v>31.73</v>
      </c>
    </row>
    <row r="1767" spans="1:14">
      <c r="A1767">
        <v>51766</v>
      </c>
      <c r="B1767">
        <v>31021</v>
      </c>
      <c r="C1767" s="2">
        <v>45823</v>
      </c>
      <c r="D1767">
        <v>2232</v>
      </c>
      <c r="E1767">
        <v>1001</v>
      </c>
      <c r="F1767">
        <v>1</v>
      </c>
      <c r="G1767">
        <v>203.04</v>
      </c>
      <c r="H1767" s="2">
        <v>45825</v>
      </c>
      <c r="I1767" s="2">
        <v>45835</v>
      </c>
      <c r="J1767" t="s">
        <v>9</v>
      </c>
      <c r="K1767" s="2" t="str">
        <f>IFERROR(INDEX(Product_lookup[Category],MATCH(RawWorking[[#This Row],[ProductID]],Product_lookup[ProductID],0)),"")</f>
        <v>Electronics</v>
      </c>
      <c r="L1767" s="9">
        <f>IF(OR(RawWorking[[#This Row],[ShipDate]]="",RawWorking[[#This Row],[DeliveryDate]]=""),"",RawWorking[[#This Row],[DeliveryDate]]-RawWorking[[#This Row],[ShipDate]])</f>
        <v>10</v>
      </c>
      <c r="M1767" s="9">
        <f>IF(COUNTIF(INDEX(RawWorking[OrderID],1):RawWorking[[#This Row],[OrderID]],RawWorking[[#This Row],[OrderID]])=1,1,0)</f>
        <v>1</v>
      </c>
      <c r="N1767" s="4">
        <f>IFERROR(RawWorking[[#This Row],[LineAmount]]/RawWorking[[#This Row],[Quantity]],"")</f>
        <v>203.04</v>
      </c>
    </row>
    <row r="1768" spans="1:14">
      <c r="A1768">
        <v>51767</v>
      </c>
      <c r="B1768">
        <v>31022</v>
      </c>
      <c r="C1768" s="2">
        <v>46006</v>
      </c>
      <c r="D1768">
        <v>2277</v>
      </c>
      <c r="E1768">
        <v>1008</v>
      </c>
      <c r="F1768">
        <v>1</v>
      </c>
      <c r="G1768">
        <v>206.09</v>
      </c>
      <c r="H1768" s="2">
        <v>46009</v>
      </c>
      <c r="I1768" s="2">
        <v>46011</v>
      </c>
      <c r="J1768" t="s">
        <v>11</v>
      </c>
      <c r="K1768" s="2" t="str">
        <f>IFERROR(INDEX(Product_lookup[Category],MATCH(RawWorking[[#This Row],[ProductID]],Product_lookup[ProductID],0)),"")</f>
        <v>Home</v>
      </c>
      <c r="L1768" s="9">
        <f>IF(OR(RawWorking[[#This Row],[ShipDate]]="",RawWorking[[#This Row],[DeliveryDate]]=""),"",RawWorking[[#This Row],[DeliveryDate]]-RawWorking[[#This Row],[ShipDate]])</f>
        <v>2</v>
      </c>
      <c r="M1768" s="9">
        <f>IF(COUNTIF(INDEX(RawWorking[OrderID],1):RawWorking[[#This Row],[OrderID]],RawWorking[[#This Row],[OrderID]])=1,1,0)</f>
        <v>1</v>
      </c>
      <c r="N1768" s="4">
        <f>IFERROR(RawWorking[[#This Row],[LineAmount]]/RawWorking[[#This Row],[Quantity]],"")</f>
        <v>206.09</v>
      </c>
    </row>
    <row r="1769" spans="1:14">
      <c r="A1769">
        <v>51768</v>
      </c>
      <c r="B1769">
        <v>31023</v>
      </c>
      <c r="C1769" s="2">
        <v>45820</v>
      </c>
      <c r="D1769">
        <v>2208</v>
      </c>
      <c r="E1769">
        <v>1003</v>
      </c>
      <c r="F1769">
        <v>2</v>
      </c>
      <c r="G1769">
        <v>448.74</v>
      </c>
      <c r="H1769" s="2">
        <v>45822</v>
      </c>
      <c r="I1769" s="2">
        <v>45828</v>
      </c>
      <c r="J1769" t="s">
        <v>9</v>
      </c>
      <c r="K1769" s="2" t="str">
        <f>IFERROR(INDEX(Product_lookup[Category],MATCH(RawWorking[[#This Row],[ProductID]],Product_lookup[ProductID],0)),"")</f>
        <v>Electronics</v>
      </c>
      <c r="L1769" s="9">
        <f>IF(OR(RawWorking[[#This Row],[ShipDate]]="",RawWorking[[#This Row],[DeliveryDate]]=""),"",RawWorking[[#This Row],[DeliveryDate]]-RawWorking[[#This Row],[ShipDate]])</f>
        <v>6</v>
      </c>
      <c r="M1769" s="9">
        <f>IF(COUNTIF(INDEX(RawWorking[OrderID],1):RawWorking[[#This Row],[OrderID]],RawWorking[[#This Row],[OrderID]])=1,1,0)</f>
        <v>1</v>
      </c>
      <c r="N1769" s="4">
        <f>IFERROR(RawWorking[[#This Row],[LineAmount]]/RawWorking[[#This Row],[Quantity]],"")</f>
        <v>224.37</v>
      </c>
    </row>
    <row r="1770" spans="1:14">
      <c r="A1770">
        <v>51769</v>
      </c>
      <c r="B1770">
        <v>31023</v>
      </c>
      <c r="C1770" s="2">
        <v>45820</v>
      </c>
      <c r="D1770">
        <v>2208</v>
      </c>
      <c r="E1770">
        <v>1006</v>
      </c>
      <c r="F1770">
        <v>1</v>
      </c>
      <c r="G1770">
        <v>253.86</v>
      </c>
      <c r="H1770" s="2">
        <v>45822</v>
      </c>
      <c r="I1770" s="2">
        <v>45827</v>
      </c>
      <c r="J1770" t="s">
        <v>9</v>
      </c>
      <c r="K1770" s="2" t="str">
        <f>IFERROR(INDEX(Product_lookup[Category],MATCH(RawWorking[[#This Row],[ProductID]],Product_lookup[ProductID],0)),"")</f>
        <v>Home</v>
      </c>
      <c r="L1770" s="9">
        <f>IF(OR(RawWorking[[#This Row],[ShipDate]]="",RawWorking[[#This Row],[DeliveryDate]]=""),"",RawWorking[[#This Row],[DeliveryDate]]-RawWorking[[#This Row],[ShipDate]])</f>
        <v>5</v>
      </c>
      <c r="M1770" s="9">
        <f>IF(COUNTIF(INDEX(RawWorking[OrderID],1):RawWorking[[#This Row],[OrderID]],RawWorking[[#This Row],[OrderID]])=1,1,0)</f>
        <v>0</v>
      </c>
      <c r="N1770" s="4">
        <f>IFERROR(RawWorking[[#This Row],[LineAmount]]/RawWorking[[#This Row],[Quantity]],"")</f>
        <v>253.86</v>
      </c>
    </row>
    <row r="1771" spans="1:14">
      <c r="A1771">
        <v>51770</v>
      </c>
      <c r="B1771">
        <v>31023</v>
      </c>
      <c r="C1771" s="2">
        <v>45820</v>
      </c>
      <c r="D1771">
        <v>2208</v>
      </c>
      <c r="E1771">
        <v>1015</v>
      </c>
      <c r="F1771">
        <v>1</v>
      </c>
      <c r="G1771">
        <v>119.74</v>
      </c>
      <c r="H1771" s="2">
        <v>45821</v>
      </c>
      <c r="I1771" s="2">
        <v>45826</v>
      </c>
      <c r="J1771" t="s">
        <v>9</v>
      </c>
      <c r="K1771" s="2" t="str">
        <f>IFERROR(INDEX(Product_lookup[Category],MATCH(RawWorking[[#This Row],[ProductID]],Product_lookup[ProductID],0)),"")</f>
        <v>Sports</v>
      </c>
      <c r="L1771" s="9">
        <f>IF(OR(RawWorking[[#This Row],[ShipDate]]="",RawWorking[[#This Row],[DeliveryDate]]=""),"",RawWorking[[#This Row],[DeliveryDate]]-RawWorking[[#This Row],[ShipDate]])</f>
        <v>5</v>
      </c>
      <c r="M1771" s="9">
        <f>IF(COUNTIF(INDEX(RawWorking[OrderID],1):RawWorking[[#This Row],[OrderID]],RawWorking[[#This Row],[OrderID]])=1,1,0)</f>
        <v>0</v>
      </c>
      <c r="N1771" s="4">
        <f>IFERROR(RawWorking[[#This Row],[LineAmount]]/RawWorking[[#This Row],[Quantity]],"")</f>
        <v>119.74</v>
      </c>
    </row>
    <row r="1772" spans="1:14">
      <c r="A1772">
        <v>51771</v>
      </c>
      <c r="B1772">
        <v>31024</v>
      </c>
      <c r="C1772" s="2">
        <v>45955</v>
      </c>
      <c r="D1772">
        <v>2502</v>
      </c>
      <c r="E1772">
        <v>1015</v>
      </c>
      <c r="F1772">
        <v>1</v>
      </c>
      <c r="G1772">
        <v>119.74</v>
      </c>
      <c r="H1772" s="2">
        <v>45958</v>
      </c>
      <c r="I1772" s="2">
        <v>45964</v>
      </c>
      <c r="J1772" t="s">
        <v>9</v>
      </c>
      <c r="K1772" s="2" t="str">
        <f>IFERROR(INDEX(Product_lookup[Category],MATCH(RawWorking[[#This Row],[ProductID]],Product_lookup[ProductID],0)),"")</f>
        <v>Sports</v>
      </c>
      <c r="L1772" s="9">
        <f>IF(OR(RawWorking[[#This Row],[ShipDate]]="",RawWorking[[#This Row],[DeliveryDate]]=""),"",RawWorking[[#This Row],[DeliveryDate]]-RawWorking[[#This Row],[ShipDate]])</f>
        <v>6</v>
      </c>
      <c r="M1772" s="9">
        <f>IF(COUNTIF(INDEX(RawWorking[OrderID],1):RawWorking[[#This Row],[OrderID]],RawWorking[[#This Row],[OrderID]])=1,1,0)</f>
        <v>1</v>
      </c>
      <c r="N1772" s="4">
        <f>IFERROR(RawWorking[[#This Row],[LineAmount]]/RawWorking[[#This Row],[Quantity]],"")</f>
        <v>119.74</v>
      </c>
    </row>
    <row r="1773" spans="1:14">
      <c r="A1773">
        <v>51772</v>
      </c>
      <c r="B1773">
        <v>31024</v>
      </c>
      <c r="C1773" s="2">
        <v>45955</v>
      </c>
      <c r="D1773">
        <v>2502</v>
      </c>
      <c r="E1773">
        <v>1008</v>
      </c>
      <c r="F1773">
        <v>1</v>
      </c>
      <c r="G1773">
        <v>206.09</v>
      </c>
      <c r="H1773" s="2">
        <v>45957</v>
      </c>
      <c r="I1773" s="2">
        <v>45963</v>
      </c>
      <c r="J1773" t="s">
        <v>9</v>
      </c>
      <c r="K1773" s="2" t="str">
        <f>IFERROR(INDEX(Product_lookup[Category],MATCH(RawWorking[[#This Row],[ProductID]],Product_lookup[ProductID],0)),"")</f>
        <v>Home</v>
      </c>
      <c r="L1773" s="9">
        <f>IF(OR(RawWorking[[#This Row],[ShipDate]]="",RawWorking[[#This Row],[DeliveryDate]]=""),"",RawWorking[[#This Row],[DeliveryDate]]-RawWorking[[#This Row],[ShipDate]])</f>
        <v>6</v>
      </c>
      <c r="M1773" s="9">
        <f>IF(COUNTIF(INDEX(RawWorking[OrderID],1):RawWorking[[#This Row],[OrderID]],RawWorking[[#This Row],[OrderID]])=1,1,0)</f>
        <v>0</v>
      </c>
      <c r="N1773" s="4">
        <f>IFERROR(RawWorking[[#This Row],[LineAmount]]/RawWorking[[#This Row],[Quantity]],"")</f>
        <v>206.09</v>
      </c>
    </row>
    <row r="1774" spans="1:14">
      <c r="A1774">
        <v>51773</v>
      </c>
      <c r="B1774">
        <v>31025</v>
      </c>
      <c r="C1774" s="2">
        <v>45723</v>
      </c>
      <c r="D1774">
        <v>2438</v>
      </c>
      <c r="E1774">
        <v>1002</v>
      </c>
      <c r="F1774">
        <v>1</v>
      </c>
      <c r="G1774">
        <v>118.6</v>
      </c>
      <c r="H1774" s="2">
        <v>45725</v>
      </c>
      <c r="I1774" s="2">
        <v>45729</v>
      </c>
      <c r="J1774" t="s">
        <v>9</v>
      </c>
      <c r="K1774" s="2" t="str">
        <f>IFERROR(INDEX(Product_lookup[Category],MATCH(RawWorking[[#This Row],[ProductID]],Product_lookup[ProductID],0)),"")</f>
        <v>Electronics</v>
      </c>
      <c r="L1774" s="9">
        <f>IF(OR(RawWorking[[#This Row],[ShipDate]]="",RawWorking[[#This Row],[DeliveryDate]]=""),"",RawWorking[[#This Row],[DeliveryDate]]-RawWorking[[#This Row],[ShipDate]])</f>
        <v>4</v>
      </c>
      <c r="M1774" s="9">
        <f>IF(COUNTIF(INDEX(RawWorking[OrderID],1):RawWorking[[#This Row],[OrderID]],RawWorking[[#This Row],[OrderID]])=1,1,0)</f>
        <v>1</v>
      </c>
      <c r="N1774" s="4">
        <f>IFERROR(RawWorking[[#This Row],[LineAmount]]/RawWorking[[#This Row],[Quantity]],"")</f>
        <v>118.6</v>
      </c>
    </row>
    <row r="1775" spans="1:14">
      <c r="A1775">
        <v>51774</v>
      </c>
      <c r="B1775">
        <v>31025</v>
      </c>
      <c r="C1775" s="2">
        <v>45723</v>
      </c>
      <c r="D1775">
        <v>2438</v>
      </c>
      <c r="E1775">
        <v>1013</v>
      </c>
      <c r="F1775">
        <v>1</v>
      </c>
      <c r="G1775">
        <v>170.25</v>
      </c>
      <c r="H1775" s="2">
        <v>45726</v>
      </c>
      <c r="I1775" s="2">
        <v>45727</v>
      </c>
      <c r="J1775" t="s">
        <v>9</v>
      </c>
      <c r="K1775" s="2" t="str">
        <f>IFERROR(INDEX(Product_lookup[Category],MATCH(RawWorking[[#This Row],[ProductID]],Product_lookup[ProductID],0)),"")</f>
        <v>Office</v>
      </c>
      <c r="L1775" s="9">
        <f>IF(OR(RawWorking[[#This Row],[ShipDate]]="",RawWorking[[#This Row],[DeliveryDate]]=""),"",RawWorking[[#This Row],[DeliveryDate]]-RawWorking[[#This Row],[ShipDate]])</f>
        <v>1</v>
      </c>
      <c r="M1775" s="9">
        <f>IF(COUNTIF(INDEX(RawWorking[OrderID],1):RawWorking[[#This Row],[OrderID]],RawWorking[[#This Row],[OrderID]])=1,1,0)</f>
        <v>0</v>
      </c>
      <c r="N1775" s="4">
        <f>IFERROR(RawWorking[[#This Row],[LineAmount]]/RawWorking[[#This Row],[Quantity]],"")</f>
        <v>170.25</v>
      </c>
    </row>
    <row r="1776" spans="1:14">
      <c r="A1776">
        <v>51775</v>
      </c>
      <c r="B1776">
        <v>31026</v>
      </c>
      <c r="C1776" s="2">
        <v>45663</v>
      </c>
      <c r="D1776">
        <v>2321</v>
      </c>
      <c r="E1776">
        <v>1002</v>
      </c>
      <c r="F1776">
        <v>1</v>
      </c>
      <c r="G1776">
        <v>118.6</v>
      </c>
      <c r="H1776" s="2">
        <v>45666</v>
      </c>
      <c r="I1776" s="2">
        <v>45672</v>
      </c>
      <c r="J1776" t="s">
        <v>9</v>
      </c>
      <c r="K1776" s="2" t="str">
        <f>IFERROR(INDEX(Product_lookup[Category],MATCH(RawWorking[[#This Row],[ProductID]],Product_lookup[ProductID],0)),"")</f>
        <v>Electronics</v>
      </c>
      <c r="L1776" s="9">
        <f>IF(OR(RawWorking[[#This Row],[ShipDate]]="",RawWorking[[#This Row],[DeliveryDate]]=""),"",RawWorking[[#This Row],[DeliveryDate]]-RawWorking[[#This Row],[ShipDate]])</f>
        <v>6</v>
      </c>
      <c r="M1776" s="9">
        <f>IF(COUNTIF(INDEX(RawWorking[OrderID],1):RawWorking[[#This Row],[OrderID]],RawWorking[[#This Row],[OrderID]])=1,1,0)</f>
        <v>1</v>
      </c>
      <c r="N1776" s="4">
        <f>IFERROR(RawWorking[[#This Row],[LineAmount]]/RawWorking[[#This Row],[Quantity]],"")</f>
        <v>118.6</v>
      </c>
    </row>
    <row r="1777" spans="1:14">
      <c r="A1777">
        <v>51776</v>
      </c>
      <c r="B1777">
        <v>31027</v>
      </c>
      <c r="C1777" s="2">
        <v>45987</v>
      </c>
      <c r="D1777">
        <v>2534</v>
      </c>
      <c r="E1777">
        <v>1015</v>
      </c>
      <c r="F1777">
        <v>1</v>
      </c>
      <c r="G1777">
        <v>119.74</v>
      </c>
      <c r="H1777" s="2">
        <v>45989</v>
      </c>
      <c r="I1777" s="2">
        <v>45994</v>
      </c>
      <c r="J1777" t="s">
        <v>9</v>
      </c>
      <c r="K1777" s="2" t="str">
        <f>IFERROR(INDEX(Product_lookup[Category],MATCH(RawWorking[[#This Row],[ProductID]],Product_lookup[ProductID],0)),"")</f>
        <v>Sports</v>
      </c>
      <c r="L1777" s="9">
        <f>IF(OR(RawWorking[[#This Row],[ShipDate]]="",RawWorking[[#This Row],[DeliveryDate]]=""),"",RawWorking[[#This Row],[DeliveryDate]]-RawWorking[[#This Row],[ShipDate]])</f>
        <v>5</v>
      </c>
      <c r="M1777" s="9">
        <f>IF(COUNTIF(INDEX(RawWorking[OrderID],1):RawWorking[[#This Row],[OrderID]],RawWorking[[#This Row],[OrderID]])=1,1,0)</f>
        <v>1</v>
      </c>
      <c r="N1777" s="4">
        <f>IFERROR(RawWorking[[#This Row],[LineAmount]]/RawWorking[[#This Row],[Quantity]],"")</f>
        <v>119.74</v>
      </c>
    </row>
    <row r="1778" spans="1:14">
      <c r="A1778">
        <v>51777</v>
      </c>
      <c r="B1778">
        <v>31027</v>
      </c>
      <c r="C1778" s="2">
        <v>45987</v>
      </c>
      <c r="D1778">
        <v>2534</v>
      </c>
      <c r="E1778">
        <v>1002</v>
      </c>
      <c r="F1778">
        <v>2</v>
      </c>
      <c r="G1778">
        <v>237.2</v>
      </c>
      <c r="H1778" s="2">
        <v>45989</v>
      </c>
      <c r="I1778" s="2">
        <v>45999</v>
      </c>
      <c r="J1778" t="s">
        <v>9</v>
      </c>
      <c r="K1778" s="2" t="str">
        <f>IFERROR(INDEX(Product_lookup[Category],MATCH(RawWorking[[#This Row],[ProductID]],Product_lookup[ProductID],0)),"")</f>
        <v>Electronics</v>
      </c>
      <c r="L1778" s="9">
        <f>IF(OR(RawWorking[[#This Row],[ShipDate]]="",RawWorking[[#This Row],[DeliveryDate]]=""),"",RawWorking[[#This Row],[DeliveryDate]]-RawWorking[[#This Row],[ShipDate]])</f>
        <v>10</v>
      </c>
      <c r="M1778" s="9">
        <f>IF(COUNTIF(INDEX(RawWorking[OrderID],1):RawWorking[[#This Row],[OrderID]],RawWorking[[#This Row],[OrderID]])=1,1,0)</f>
        <v>0</v>
      </c>
      <c r="N1778" s="4">
        <f>IFERROR(RawWorking[[#This Row],[LineAmount]]/RawWorking[[#This Row],[Quantity]],"")</f>
        <v>118.6</v>
      </c>
    </row>
    <row r="1779" spans="1:14">
      <c r="A1779">
        <v>51778</v>
      </c>
      <c r="B1779">
        <v>31028</v>
      </c>
      <c r="C1779" s="2">
        <v>45808</v>
      </c>
      <c r="D1779">
        <v>2252</v>
      </c>
      <c r="E1779">
        <v>1013</v>
      </c>
      <c r="F1779">
        <v>1</v>
      </c>
      <c r="G1779">
        <v>170.25</v>
      </c>
      <c r="H1779" s="2">
        <v>45811</v>
      </c>
      <c r="I1779" s="2">
        <v>45816</v>
      </c>
      <c r="J1779" t="s">
        <v>9</v>
      </c>
      <c r="K1779" s="2" t="str">
        <f>IFERROR(INDEX(Product_lookup[Category],MATCH(RawWorking[[#This Row],[ProductID]],Product_lookup[ProductID],0)),"")</f>
        <v>Office</v>
      </c>
      <c r="L1779" s="9">
        <f>IF(OR(RawWorking[[#This Row],[ShipDate]]="",RawWorking[[#This Row],[DeliveryDate]]=""),"",RawWorking[[#This Row],[DeliveryDate]]-RawWorking[[#This Row],[ShipDate]])</f>
        <v>5</v>
      </c>
      <c r="M1779" s="9">
        <f>IF(COUNTIF(INDEX(RawWorking[OrderID],1):RawWorking[[#This Row],[OrderID]],RawWorking[[#This Row],[OrderID]])=1,1,0)</f>
        <v>1</v>
      </c>
      <c r="N1779" s="4">
        <f>IFERROR(RawWorking[[#This Row],[LineAmount]]/RawWorking[[#This Row],[Quantity]],"")</f>
        <v>170.25</v>
      </c>
    </row>
    <row r="1780" spans="1:14">
      <c r="A1780">
        <v>51779</v>
      </c>
      <c r="B1780">
        <v>31029</v>
      </c>
      <c r="C1780" s="2">
        <v>45965</v>
      </c>
      <c r="D1780">
        <v>2041</v>
      </c>
      <c r="E1780">
        <v>1002</v>
      </c>
      <c r="F1780">
        <v>2</v>
      </c>
      <c r="G1780">
        <v>237.2</v>
      </c>
      <c r="H1780" s="2">
        <v>45968</v>
      </c>
      <c r="I1780" s="2">
        <v>45969</v>
      </c>
      <c r="J1780" t="s">
        <v>9</v>
      </c>
      <c r="K1780" s="2" t="str">
        <f>IFERROR(INDEX(Product_lookup[Category],MATCH(RawWorking[[#This Row],[ProductID]],Product_lookup[ProductID],0)),"")</f>
        <v>Electronics</v>
      </c>
      <c r="L1780" s="9">
        <f>IF(OR(RawWorking[[#This Row],[ShipDate]]="",RawWorking[[#This Row],[DeliveryDate]]=""),"",RawWorking[[#This Row],[DeliveryDate]]-RawWorking[[#This Row],[ShipDate]])</f>
        <v>1</v>
      </c>
      <c r="M1780" s="9">
        <f>IF(COUNTIF(INDEX(RawWorking[OrderID],1):RawWorking[[#This Row],[OrderID]],RawWorking[[#This Row],[OrderID]])=1,1,0)</f>
        <v>1</v>
      </c>
      <c r="N1780" s="4">
        <f>IFERROR(RawWorking[[#This Row],[LineAmount]]/RawWorking[[#This Row],[Quantity]],"")</f>
        <v>118.6</v>
      </c>
    </row>
    <row r="1781" spans="1:14">
      <c r="A1781">
        <v>51780</v>
      </c>
      <c r="B1781">
        <v>31029</v>
      </c>
      <c r="C1781" s="2">
        <v>45758</v>
      </c>
      <c r="D1781">
        <v>2041</v>
      </c>
      <c r="E1781">
        <v>1007</v>
      </c>
      <c r="F1781">
        <v>2</v>
      </c>
      <c r="G1781">
        <v>399.62</v>
      </c>
      <c r="H1781" s="2">
        <v>45966</v>
      </c>
      <c r="I1781" s="2">
        <v>45973</v>
      </c>
      <c r="J1781" t="s">
        <v>9</v>
      </c>
      <c r="K1781" s="2" t="str">
        <f>IFERROR(INDEX(Product_lookup[Category],MATCH(RawWorking[[#This Row],[ProductID]],Product_lookup[ProductID],0)),"")</f>
        <v>Home</v>
      </c>
      <c r="L1781" s="9">
        <f>IF(OR(RawWorking[[#This Row],[ShipDate]]="",RawWorking[[#This Row],[DeliveryDate]]=""),"",RawWorking[[#This Row],[DeliveryDate]]-RawWorking[[#This Row],[ShipDate]])</f>
        <v>7</v>
      </c>
      <c r="M1781" s="9">
        <f>IF(COUNTIF(INDEX(RawWorking[OrderID],1):RawWorking[[#This Row],[OrderID]],RawWorking[[#This Row],[OrderID]])=1,1,0)</f>
        <v>0</v>
      </c>
      <c r="N1781" s="4">
        <f>IFERROR(RawWorking[[#This Row],[LineAmount]]/RawWorking[[#This Row],[Quantity]],"")</f>
        <v>199.81</v>
      </c>
    </row>
    <row r="1782" spans="1:14">
      <c r="A1782">
        <v>51781</v>
      </c>
      <c r="B1782">
        <v>31029</v>
      </c>
      <c r="C1782" s="2">
        <v>45965</v>
      </c>
      <c r="D1782">
        <v>2041</v>
      </c>
      <c r="E1782">
        <v>1010</v>
      </c>
      <c r="F1782">
        <v>1</v>
      </c>
      <c r="G1782">
        <v>121.5</v>
      </c>
      <c r="H1782" s="2">
        <v>45968</v>
      </c>
      <c r="I1782" s="2">
        <v>45975</v>
      </c>
      <c r="J1782" t="s">
        <v>9</v>
      </c>
      <c r="K1782" s="2" t="str">
        <f>IFERROR(INDEX(Product_lookup[Category],MATCH(RawWorking[[#This Row],[ProductID]],Product_lookup[ProductID],0)),"")</f>
        <v>Office</v>
      </c>
      <c r="L1782" s="9">
        <f>IF(OR(RawWorking[[#This Row],[ShipDate]]="",RawWorking[[#This Row],[DeliveryDate]]=""),"",RawWorking[[#This Row],[DeliveryDate]]-RawWorking[[#This Row],[ShipDate]])</f>
        <v>7</v>
      </c>
      <c r="M1782" s="9">
        <f>IF(COUNTIF(INDEX(RawWorking[OrderID],1):RawWorking[[#This Row],[OrderID]],RawWorking[[#This Row],[OrderID]])=1,1,0)</f>
        <v>0</v>
      </c>
      <c r="N1782" s="4">
        <f>IFERROR(RawWorking[[#This Row],[LineAmount]]/RawWorking[[#This Row],[Quantity]],"")</f>
        <v>121.5</v>
      </c>
    </row>
    <row r="1783" spans="1:14">
      <c r="A1783">
        <v>51782</v>
      </c>
      <c r="B1783">
        <v>31030</v>
      </c>
      <c r="C1783" s="2">
        <v>45959</v>
      </c>
      <c r="D1783">
        <v>2451</v>
      </c>
      <c r="E1783">
        <v>1010</v>
      </c>
      <c r="F1783">
        <v>1</v>
      </c>
      <c r="G1783">
        <v>121.5</v>
      </c>
      <c r="H1783" s="2">
        <v>45962</v>
      </c>
      <c r="I1783" s="2">
        <v>45964</v>
      </c>
      <c r="J1783" t="s">
        <v>9</v>
      </c>
      <c r="K1783" s="2" t="str">
        <f>IFERROR(INDEX(Product_lookup[Category],MATCH(RawWorking[[#This Row],[ProductID]],Product_lookup[ProductID],0)),"")</f>
        <v>Office</v>
      </c>
      <c r="L1783" s="9">
        <f>IF(OR(RawWorking[[#This Row],[ShipDate]]="",RawWorking[[#This Row],[DeliveryDate]]=""),"",RawWorking[[#This Row],[DeliveryDate]]-RawWorking[[#This Row],[ShipDate]])</f>
        <v>2</v>
      </c>
      <c r="M1783" s="9">
        <f>IF(COUNTIF(INDEX(RawWorking[OrderID],1):RawWorking[[#This Row],[OrderID]],RawWorking[[#This Row],[OrderID]])=1,1,0)</f>
        <v>1</v>
      </c>
      <c r="N1783" s="4">
        <f>IFERROR(RawWorking[[#This Row],[LineAmount]]/RawWorking[[#This Row],[Quantity]],"")</f>
        <v>121.5</v>
      </c>
    </row>
    <row r="1784" spans="1:14">
      <c r="A1784">
        <v>51783</v>
      </c>
      <c r="B1784">
        <v>31031</v>
      </c>
      <c r="C1784" s="2">
        <v>45958</v>
      </c>
      <c r="D1784">
        <v>2293</v>
      </c>
      <c r="E1784">
        <v>1014</v>
      </c>
      <c r="F1784">
        <v>1</v>
      </c>
      <c r="G1784">
        <v>215.34</v>
      </c>
      <c r="H1784" s="2">
        <v>45959</v>
      </c>
      <c r="I1784" s="2">
        <v>45966</v>
      </c>
      <c r="J1784" t="s">
        <v>9</v>
      </c>
      <c r="K1784" s="2" t="str">
        <f>IFERROR(INDEX(Product_lookup[Category],MATCH(RawWorking[[#This Row],[ProductID]],Product_lookup[ProductID],0)),"")</f>
        <v>Sports</v>
      </c>
      <c r="L1784" s="9">
        <f>IF(OR(RawWorking[[#This Row],[ShipDate]]="",RawWorking[[#This Row],[DeliveryDate]]=""),"",RawWorking[[#This Row],[DeliveryDate]]-RawWorking[[#This Row],[ShipDate]])</f>
        <v>7</v>
      </c>
      <c r="M1784" s="9">
        <f>IF(COUNTIF(INDEX(RawWorking[OrderID],1):RawWorking[[#This Row],[OrderID]],RawWorking[[#This Row],[OrderID]])=1,1,0)</f>
        <v>1</v>
      </c>
      <c r="N1784" s="4">
        <f>IFERROR(RawWorking[[#This Row],[LineAmount]]/RawWorking[[#This Row],[Quantity]],"")</f>
        <v>215.34</v>
      </c>
    </row>
    <row r="1785" spans="1:14">
      <c r="A1785">
        <v>51784</v>
      </c>
      <c r="B1785">
        <v>31031</v>
      </c>
      <c r="C1785" s="2">
        <v>45958</v>
      </c>
      <c r="D1785">
        <v>2293</v>
      </c>
      <c r="E1785">
        <v>1010</v>
      </c>
      <c r="F1785">
        <v>1</v>
      </c>
      <c r="G1785">
        <v>121.5</v>
      </c>
      <c r="H1785" s="2">
        <v>45959</v>
      </c>
      <c r="I1785" s="2">
        <v>45962</v>
      </c>
      <c r="J1785" t="s">
        <v>9</v>
      </c>
      <c r="K1785" s="2" t="str">
        <f>IFERROR(INDEX(Product_lookup[Category],MATCH(RawWorking[[#This Row],[ProductID]],Product_lookup[ProductID],0)),"")</f>
        <v>Office</v>
      </c>
      <c r="L1785" s="9">
        <f>IF(OR(RawWorking[[#This Row],[ShipDate]]="",RawWorking[[#This Row],[DeliveryDate]]=""),"",RawWorking[[#This Row],[DeliveryDate]]-RawWorking[[#This Row],[ShipDate]])</f>
        <v>3</v>
      </c>
      <c r="M1785" s="9">
        <f>IF(COUNTIF(INDEX(RawWorking[OrderID],1):RawWorking[[#This Row],[OrderID]],RawWorking[[#This Row],[OrderID]])=1,1,0)</f>
        <v>0</v>
      </c>
      <c r="N1785" s="4">
        <f>IFERROR(RawWorking[[#This Row],[LineAmount]]/RawWorking[[#This Row],[Quantity]],"")</f>
        <v>121.5</v>
      </c>
    </row>
    <row r="1786" spans="1:14">
      <c r="A1786">
        <v>51785</v>
      </c>
      <c r="B1786">
        <v>31031</v>
      </c>
      <c r="C1786" s="2">
        <v>45958</v>
      </c>
      <c r="D1786">
        <v>2293</v>
      </c>
      <c r="E1786">
        <v>1002</v>
      </c>
      <c r="F1786">
        <v>1</v>
      </c>
      <c r="G1786">
        <v>118.6</v>
      </c>
      <c r="H1786" s="2">
        <v>45960</v>
      </c>
      <c r="I1786" s="2">
        <v>45966</v>
      </c>
      <c r="J1786" t="s">
        <v>9</v>
      </c>
      <c r="K1786" s="2" t="str">
        <f>IFERROR(INDEX(Product_lookup[Category],MATCH(RawWorking[[#This Row],[ProductID]],Product_lookup[ProductID],0)),"")</f>
        <v>Electronics</v>
      </c>
      <c r="L1786" s="9">
        <f>IF(OR(RawWorking[[#This Row],[ShipDate]]="",RawWorking[[#This Row],[DeliveryDate]]=""),"",RawWorking[[#This Row],[DeliveryDate]]-RawWorking[[#This Row],[ShipDate]])</f>
        <v>6</v>
      </c>
      <c r="M1786" s="9">
        <f>IF(COUNTIF(INDEX(RawWorking[OrderID],1):RawWorking[[#This Row],[OrderID]],RawWorking[[#This Row],[OrderID]])=1,1,0)</f>
        <v>0</v>
      </c>
      <c r="N1786" s="4">
        <f>IFERROR(RawWorking[[#This Row],[LineAmount]]/RawWorking[[#This Row],[Quantity]],"")</f>
        <v>118.6</v>
      </c>
    </row>
    <row r="1787" spans="1:14">
      <c r="A1787">
        <v>51786</v>
      </c>
      <c r="B1787">
        <v>31032</v>
      </c>
      <c r="C1787" s="2">
        <v>45708</v>
      </c>
      <c r="D1787">
        <v>2530</v>
      </c>
      <c r="E1787">
        <v>1015</v>
      </c>
      <c r="F1787">
        <v>1</v>
      </c>
      <c r="G1787">
        <v>119.74</v>
      </c>
      <c r="H1787" s="2" t="s">
        <v>1421</v>
      </c>
      <c r="I1787" s="2" t="s">
        <v>1421</v>
      </c>
      <c r="J1787" t="s">
        <v>12</v>
      </c>
      <c r="K1787" s="2" t="str">
        <f>IFERROR(INDEX(Product_lookup[Category],MATCH(RawWorking[[#This Row],[ProductID]],Product_lookup[ProductID],0)),"")</f>
        <v>Sports</v>
      </c>
      <c r="L1787" s="9" t="str">
        <f>IF(OR(RawWorking[[#This Row],[ShipDate]]="",RawWorking[[#This Row],[DeliveryDate]]=""),"",RawWorking[[#This Row],[DeliveryDate]]-RawWorking[[#This Row],[ShipDate]])</f>
        <v/>
      </c>
      <c r="M1787" s="9">
        <f>IF(COUNTIF(INDEX(RawWorking[OrderID],1):RawWorking[[#This Row],[OrderID]],RawWorking[[#This Row],[OrderID]])=1,1,0)</f>
        <v>1</v>
      </c>
      <c r="N1787" s="4">
        <f>IFERROR(RawWorking[[#This Row],[LineAmount]]/RawWorking[[#This Row],[Quantity]],"")</f>
        <v>119.74</v>
      </c>
    </row>
    <row r="1788" spans="1:14">
      <c r="A1788">
        <v>51787</v>
      </c>
      <c r="B1788">
        <v>31032</v>
      </c>
      <c r="C1788" s="2">
        <v>45708</v>
      </c>
      <c r="D1788">
        <v>2530</v>
      </c>
      <c r="E1788">
        <v>1015</v>
      </c>
      <c r="F1788">
        <v>2</v>
      </c>
      <c r="G1788">
        <v>239.48</v>
      </c>
      <c r="H1788" s="2" t="s">
        <v>1421</v>
      </c>
      <c r="I1788" s="2" t="s">
        <v>1421</v>
      </c>
      <c r="J1788" t="s">
        <v>12</v>
      </c>
      <c r="K1788" s="2" t="str">
        <f>IFERROR(INDEX(Product_lookup[Category],MATCH(RawWorking[[#This Row],[ProductID]],Product_lookup[ProductID],0)),"")</f>
        <v>Sports</v>
      </c>
      <c r="L1788" s="9" t="str">
        <f>IF(OR(RawWorking[[#This Row],[ShipDate]]="",RawWorking[[#This Row],[DeliveryDate]]=""),"",RawWorking[[#This Row],[DeliveryDate]]-RawWorking[[#This Row],[ShipDate]])</f>
        <v/>
      </c>
      <c r="M1788" s="9">
        <f>IF(COUNTIF(INDEX(RawWorking[OrderID],1):RawWorking[[#This Row],[OrderID]],RawWorking[[#This Row],[OrderID]])=1,1,0)</f>
        <v>0</v>
      </c>
      <c r="N1788" s="4">
        <f>IFERROR(RawWorking[[#This Row],[LineAmount]]/RawWorking[[#This Row],[Quantity]],"")</f>
        <v>119.74</v>
      </c>
    </row>
    <row r="1789" spans="1:14">
      <c r="A1789">
        <v>51788</v>
      </c>
      <c r="B1789">
        <v>31033</v>
      </c>
      <c r="C1789" s="2">
        <v>45670</v>
      </c>
      <c r="D1789">
        <v>2093</v>
      </c>
      <c r="E1789">
        <v>1004</v>
      </c>
      <c r="F1789">
        <v>2</v>
      </c>
      <c r="G1789">
        <v>367.48</v>
      </c>
      <c r="H1789" s="2">
        <v>45671</v>
      </c>
      <c r="I1789" s="2">
        <v>45675</v>
      </c>
      <c r="J1789" t="s">
        <v>9</v>
      </c>
      <c r="K1789" s="2" t="str">
        <f>IFERROR(INDEX(Product_lookup[Category],MATCH(RawWorking[[#This Row],[ProductID]],Product_lookup[ProductID],0)),"")</f>
        <v>Electronics</v>
      </c>
      <c r="L1789" s="9">
        <f>IF(OR(RawWorking[[#This Row],[ShipDate]]="",RawWorking[[#This Row],[DeliveryDate]]=""),"",RawWorking[[#This Row],[DeliveryDate]]-RawWorking[[#This Row],[ShipDate]])</f>
        <v>4</v>
      </c>
      <c r="M1789" s="9">
        <f>IF(COUNTIF(INDEX(RawWorking[OrderID],1):RawWorking[[#This Row],[OrderID]],RawWorking[[#This Row],[OrderID]])=1,1,0)</f>
        <v>1</v>
      </c>
      <c r="N1789" s="4">
        <f>IFERROR(RawWorking[[#This Row],[LineAmount]]/RawWorking[[#This Row],[Quantity]],"")</f>
        <v>183.74</v>
      </c>
    </row>
    <row r="1790" spans="1:14">
      <c r="A1790">
        <v>51789</v>
      </c>
      <c r="B1790">
        <v>31033</v>
      </c>
      <c r="C1790" s="2">
        <v>45670</v>
      </c>
      <c r="D1790">
        <v>2093</v>
      </c>
      <c r="E1790">
        <v>1006</v>
      </c>
      <c r="F1790">
        <v>1</v>
      </c>
      <c r="G1790">
        <v>253.86</v>
      </c>
      <c r="H1790" s="2">
        <v>45671</v>
      </c>
      <c r="I1790" s="2">
        <v>45673</v>
      </c>
      <c r="J1790" t="s">
        <v>9</v>
      </c>
      <c r="K1790" s="2" t="str">
        <f>IFERROR(INDEX(Product_lookup[Category],MATCH(RawWorking[[#This Row],[ProductID]],Product_lookup[ProductID],0)),"")</f>
        <v>Home</v>
      </c>
      <c r="L1790" s="9">
        <f>IF(OR(RawWorking[[#This Row],[ShipDate]]="",RawWorking[[#This Row],[DeliveryDate]]=""),"",RawWorking[[#This Row],[DeliveryDate]]-RawWorking[[#This Row],[ShipDate]])</f>
        <v>2</v>
      </c>
      <c r="M1790" s="9">
        <f>IF(COUNTIF(INDEX(RawWorking[OrderID],1):RawWorking[[#This Row],[OrderID]],RawWorking[[#This Row],[OrderID]])=1,1,0)</f>
        <v>0</v>
      </c>
      <c r="N1790" s="4">
        <f>IFERROR(RawWorking[[#This Row],[LineAmount]]/RawWorking[[#This Row],[Quantity]],"")</f>
        <v>253.86</v>
      </c>
    </row>
    <row r="1791" spans="1:14">
      <c r="A1791">
        <v>51790</v>
      </c>
      <c r="B1791">
        <v>31034</v>
      </c>
      <c r="C1791" s="2">
        <v>46004</v>
      </c>
      <c r="D1791">
        <v>2600</v>
      </c>
      <c r="E1791">
        <v>1005</v>
      </c>
      <c r="F1791">
        <v>2</v>
      </c>
      <c r="G1791">
        <v>63.46</v>
      </c>
      <c r="H1791" s="2" t="s">
        <v>1421</v>
      </c>
      <c r="I1791" s="2" t="s">
        <v>1421</v>
      </c>
      <c r="J1791" t="s">
        <v>12</v>
      </c>
      <c r="K1791" s="2" t="str">
        <f>IFERROR(INDEX(Product_lookup[Category],MATCH(RawWorking[[#This Row],[ProductID]],Product_lookup[ProductID],0)),"")</f>
        <v>Electronics</v>
      </c>
      <c r="L1791" s="9" t="str">
        <f>IF(OR(RawWorking[[#This Row],[ShipDate]]="",RawWorking[[#This Row],[DeliveryDate]]=""),"",RawWorking[[#This Row],[DeliveryDate]]-RawWorking[[#This Row],[ShipDate]])</f>
        <v/>
      </c>
      <c r="M1791" s="9">
        <f>IF(COUNTIF(INDEX(RawWorking[OrderID],1):RawWorking[[#This Row],[OrderID]],RawWorking[[#This Row],[OrderID]])=1,1,0)</f>
        <v>1</v>
      </c>
      <c r="N1791" s="4">
        <f>IFERROR(RawWorking[[#This Row],[LineAmount]]/RawWorking[[#This Row],[Quantity]],"")</f>
        <v>31.73</v>
      </c>
    </row>
    <row r="1792" spans="1:14">
      <c r="A1792">
        <v>51791</v>
      </c>
      <c r="B1792">
        <v>31035</v>
      </c>
      <c r="C1792" s="2">
        <v>45881</v>
      </c>
      <c r="D1792">
        <v>2403</v>
      </c>
      <c r="E1792">
        <v>1015</v>
      </c>
      <c r="F1792">
        <v>1</v>
      </c>
      <c r="G1792">
        <v>119.74</v>
      </c>
      <c r="H1792" s="2">
        <v>45882</v>
      </c>
      <c r="I1792" s="2">
        <v>45884</v>
      </c>
      <c r="J1792" t="s">
        <v>9</v>
      </c>
      <c r="K1792" s="2" t="str">
        <f>IFERROR(INDEX(Product_lookup[Category],MATCH(RawWorking[[#This Row],[ProductID]],Product_lookup[ProductID],0)),"")</f>
        <v>Sports</v>
      </c>
      <c r="L1792" s="9">
        <f>IF(OR(RawWorking[[#This Row],[ShipDate]]="",RawWorking[[#This Row],[DeliveryDate]]=""),"",RawWorking[[#This Row],[DeliveryDate]]-RawWorking[[#This Row],[ShipDate]])</f>
        <v>2</v>
      </c>
      <c r="M1792" s="9">
        <f>IF(COUNTIF(INDEX(RawWorking[OrderID],1):RawWorking[[#This Row],[OrderID]],RawWorking[[#This Row],[OrderID]])=1,1,0)</f>
        <v>1</v>
      </c>
      <c r="N1792" s="4">
        <f>IFERROR(RawWorking[[#This Row],[LineAmount]]/RawWorking[[#This Row],[Quantity]],"")</f>
        <v>119.74</v>
      </c>
    </row>
    <row r="1793" spans="1:14">
      <c r="A1793">
        <v>51792</v>
      </c>
      <c r="B1793">
        <v>31036</v>
      </c>
      <c r="C1793" s="2">
        <v>45981</v>
      </c>
      <c r="D1793">
        <v>2026</v>
      </c>
      <c r="E1793">
        <v>1007</v>
      </c>
      <c r="F1793">
        <v>2</v>
      </c>
      <c r="G1793">
        <v>399.62</v>
      </c>
      <c r="H1793" s="2">
        <v>45984</v>
      </c>
      <c r="I1793" s="2">
        <v>45991</v>
      </c>
      <c r="J1793" t="s">
        <v>9</v>
      </c>
      <c r="K1793" s="2" t="str">
        <f>IFERROR(INDEX(Product_lookup[Category],MATCH(RawWorking[[#This Row],[ProductID]],Product_lookup[ProductID],0)),"")</f>
        <v>Home</v>
      </c>
      <c r="L1793" s="9">
        <f>IF(OR(RawWorking[[#This Row],[ShipDate]]="",RawWorking[[#This Row],[DeliveryDate]]=""),"",RawWorking[[#This Row],[DeliveryDate]]-RawWorking[[#This Row],[ShipDate]])</f>
        <v>7</v>
      </c>
      <c r="M1793" s="9">
        <f>IF(COUNTIF(INDEX(RawWorking[OrderID],1):RawWorking[[#This Row],[OrderID]],RawWorking[[#This Row],[OrderID]])=1,1,0)</f>
        <v>1</v>
      </c>
      <c r="N1793" s="4">
        <f>IFERROR(RawWorking[[#This Row],[LineAmount]]/RawWorking[[#This Row],[Quantity]],"")</f>
        <v>199.81</v>
      </c>
    </row>
    <row r="1794" spans="1:14">
      <c r="A1794">
        <v>51793</v>
      </c>
      <c r="B1794">
        <v>31037</v>
      </c>
      <c r="C1794" s="2">
        <v>45990</v>
      </c>
      <c r="D1794">
        <v>2466</v>
      </c>
      <c r="E1794">
        <v>1011</v>
      </c>
      <c r="F1794">
        <v>1</v>
      </c>
      <c r="G1794">
        <v>101.44</v>
      </c>
      <c r="H1794" s="2">
        <v>45991</v>
      </c>
      <c r="I1794" s="2">
        <v>45994</v>
      </c>
      <c r="J1794" t="s">
        <v>9</v>
      </c>
      <c r="K1794" s="2" t="str">
        <f>IFERROR(INDEX(Product_lookup[Category],MATCH(RawWorking[[#This Row],[ProductID]],Product_lookup[ProductID],0)),"")</f>
        <v>Office</v>
      </c>
      <c r="L1794" s="9">
        <f>IF(OR(RawWorking[[#This Row],[ShipDate]]="",RawWorking[[#This Row],[DeliveryDate]]=""),"",RawWorking[[#This Row],[DeliveryDate]]-RawWorking[[#This Row],[ShipDate]])</f>
        <v>3</v>
      </c>
      <c r="M1794" s="9">
        <f>IF(COUNTIF(INDEX(RawWorking[OrderID],1):RawWorking[[#This Row],[OrderID]],RawWorking[[#This Row],[OrderID]])=1,1,0)</f>
        <v>1</v>
      </c>
      <c r="N1794" s="4">
        <f>IFERROR(RawWorking[[#This Row],[LineAmount]]/RawWorking[[#This Row],[Quantity]],"")</f>
        <v>101.44</v>
      </c>
    </row>
    <row r="1795" spans="1:14">
      <c r="A1795">
        <v>51794</v>
      </c>
      <c r="B1795">
        <v>31038</v>
      </c>
      <c r="C1795" s="2">
        <v>45819</v>
      </c>
      <c r="D1795">
        <v>2168</v>
      </c>
      <c r="E1795">
        <v>1004</v>
      </c>
      <c r="F1795">
        <v>1</v>
      </c>
      <c r="G1795">
        <v>183.74</v>
      </c>
      <c r="H1795" s="2">
        <v>45821</v>
      </c>
      <c r="I1795" s="2">
        <v>45824</v>
      </c>
      <c r="J1795" t="s">
        <v>9</v>
      </c>
      <c r="K1795" s="2" t="str">
        <f>IFERROR(INDEX(Product_lookup[Category],MATCH(RawWorking[[#This Row],[ProductID]],Product_lookup[ProductID],0)),"")</f>
        <v>Electronics</v>
      </c>
      <c r="L1795" s="9">
        <f>IF(OR(RawWorking[[#This Row],[ShipDate]]="",RawWorking[[#This Row],[DeliveryDate]]=""),"",RawWorking[[#This Row],[DeliveryDate]]-RawWorking[[#This Row],[ShipDate]])</f>
        <v>3</v>
      </c>
      <c r="M1795" s="9">
        <f>IF(COUNTIF(INDEX(RawWorking[OrderID],1):RawWorking[[#This Row],[OrderID]],RawWorking[[#This Row],[OrderID]])=1,1,0)</f>
        <v>1</v>
      </c>
      <c r="N1795" s="4">
        <f>IFERROR(RawWorking[[#This Row],[LineAmount]]/RawWorking[[#This Row],[Quantity]],"")</f>
        <v>183.74</v>
      </c>
    </row>
    <row r="1796" spans="1:14">
      <c r="A1796">
        <v>51795</v>
      </c>
      <c r="B1796">
        <v>31038</v>
      </c>
      <c r="C1796" s="2">
        <v>45819</v>
      </c>
      <c r="D1796">
        <v>2168</v>
      </c>
      <c r="E1796">
        <v>1003</v>
      </c>
      <c r="F1796">
        <v>2</v>
      </c>
      <c r="G1796">
        <v>448.74</v>
      </c>
      <c r="H1796" s="2">
        <v>45820</v>
      </c>
      <c r="I1796" s="2">
        <v>45826</v>
      </c>
      <c r="J1796" t="s">
        <v>9</v>
      </c>
      <c r="K1796" s="2" t="str">
        <f>IFERROR(INDEX(Product_lookup[Category],MATCH(RawWorking[[#This Row],[ProductID]],Product_lookup[ProductID],0)),"")</f>
        <v>Electronics</v>
      </c>
      <c r="L1796" s="9">
        <f>IF(OR(RawWorking[[#This Row],[ShipDate]]="",RawWorking[[#This Row],[DeliveryDate]]=""),"",RawWorking[[#This Row],[DeliveryDate]]-RawWorking[[#This Row],[ShipDate]])</f>
        <v>6</v>
      </c>
      <c r="M1796" s="9">
        <f>IF(COUNTIF(INDEX(RawWorking[OrderID],1):RawWorking[[#This Row],[OrderID]],RawWorking[[#This Row],[OrderID]])=1,1,0)</f>
        <v>0</v>
      </c>
      <c r="N1796" s="4">
        <f>IFERROR(RawWorking[[#This Row],[LineAmount]]/RawWorking[[#This Row],[Quantity]],"")</f>
        <v>224.37</v>
      </c>
    </row>
    <row r="1797" spans="1:14">
      <c r="A1797">
        <v>51796</v>
      </c>
      <c r="B1797">
        <v>31039</v>
      </c>
      <c r="C1797" s="2">
        <v>45916</v>
      </c>
      <c r="D1797">
        <v>2117</v>
      </c>
      <c r="E1797">
        <v>1012</v>
      </c>
      <c r="F1797">
        <v>1</v>
      </c>
      <c r="G1797">
        <v>241.54</v>
      </c>
      <c r="H1797" s="2">
        <v>45918</v>
      </c>
      <c r="I1797" s="2">
        <v>45924</v>
      </c>
      <c r="J1797" t="s">
        <v>9</v>
      </c>
      <c r="K1797" s="2" t="str">
        <f>IFERROR(INDEX(Product_lookup[Category],MATCH(RawWorking[[#This Row],[ProductID]],Product_lookup[ProductID],0)),"")</f>
        <v>Office</v>
      </c>
      <c r="L1797" s="9">
        <f>IF(OR(RawWorking[[#This Row],[ShipDate]]="",RawWorking[[#This Row],[DeliveryDate]]=""),"",RawWorking[[#This Row],[DeliveryDate]]-RawWorking[[#This Row],[ShipDate]])</f>
        <v>6</v>
      </c>
      <c r="M1797" s="9">
        <f>IF(COUNTIF(INDEX(RawWorking[OrderID],1):RawWorking[[#This Row],[OrderID]],RawWorking[[#This Row],[OrderID]])=1,1,0)</f>
        <v>1</v>
      </c>
      <c r="N1797" s="4">
        <f>IFERROR(RawWorking[[#This Row],[LineAmount]]/RawWorking[[#This Row],[Quantity]],"")</f>
        <v>241.54</v>
      </c>
    </row>
    <row r="1798" spans="1:14">
      <c r="A1798">
        <v>51797</v>
      </c>
      <c r="B1798">
        <v>31039</v>
      </c>
      <c r="C1798" s="2">
        <v>45916</v>
      </c>
      <c r="D1798">
        <v>2117</v>
      </c>
      <c r="E1798">
        <v>1003</v>
      </c>
      <c r="F1798">
        <v>1</v>
      </c>
      <c r="G1798">
        <v>224.37</v>
      </c>
      <c r="H1798" s="2">
        <v>45919</v>
      </c>
      <c r="I1798" s="2">
        <v>45928</v>
      </c>
      <c r="J1798" t="s">
        <v>9</v>
      </c>
      <c r="K1798" s="2" t="str">
        <f>IFERROR(INDEX(Product_lookup[Category],MATCH(RawWorking[[#This Row],[ProductID]],Product_lookup[ProductID],0)),"")</f>
        <v>Electronics</v>
      </c>
      <c r="L1798" s="9">
        <f>IF(OR(RawWorking[[#This Row],[ShipDate]]="",RawWorking[[#This Row],[DeliveryDate]]=""),"",RawWorking[[#This Row],[DeliveryDate]]-RawWorking[[#This Row],[ShipDate]])</f>
        <v>9</v>
      </c>
      <c r="M1798" s="9">
        <f>IF(COUNTIF(INDEX(RawWorking[OrderID],1):RawWorking[[#This Row],[OrderID]],RawWorking[[#This Row],[OrderID]])=1,1,0)</f>
        <v>0</v>
      </c>
      <c r="N1798" s="4">
        <f>IFERROR(RawWorking[[#This Row],[LineAmount]]/RawWorking[[#This Row],[Quantity]],"")</f>
        <v>224.37</v>
      </c>
    </row>
    <row r="1799" spans="1:14">
      <c r="A1799">
        <v>51798</v>
      </c>
      <c r="B1799">
        <v>31040</v>
      </c>
      <c r="C1799" s="2">
        <v>45790</v>
      </c>
      <c r="D1799">
        <v>2537</v>
      </c>
      <c r="E1799">
        <v>1006</v>
      </c>
      <c r="F1799">
        <v>2</v>
      </c>
      <c r="G1799">
        <v>507.72</v>
      </c>
      <c r="H1799" s="2">
        <v>45793</v>
      </c>
      <c r="I1799" s="2">
        <v>45800</v>
      </c>
      <c r="J1799" t="s">
        <v>9</v>
      </c>
      <c r="K1799" s="2" t="str">
        <f>IFERROR(INDEX(Product_lookup[Category],MATCH(RawWorking[[#This Row],[ProductID]],Product_lookup[ProductID],0)),"")</f>
        <v>Home</v>
      </c>
      <c r="L1799" s="9">
        <f>IF(OR(RawWorking[[#This Row],[ShipDate]]="",RawWorking[[#This Row],[DeliveryDate]]=""),"",RawWorking[[#This Row],[DeliveryDate]]-RawWorking[[#This Row],[ShipDate]])</f>
        <v>7</v>
      </c>
      <c r="M1799" s="9">
        <f>IF(COUNTIF(INDEX(RawWorking[OrderID],1):RawWorking[[#This Row],[OrderID]],RawWorking[[#This Row],[OrderID]])=1,1,0)</f>
        <v>1</v>
      </c>
      <c r="N1799" s="4">
        <f>IFERROR(RawWorking[[#This Row],[LineAmount]]/RawWorking[[#This Row],[Quantity]],"")</f>
        <v>253.86</v>
      </c>
    </row>
    <row r="1800" spans="1:14">
      <c r="A1800">
        <v>51799</v>
      </c>
      <c r="B1800">
        <v>31041</v>
      </c>
      <c r="C1800" s="2">
        <v>45787</v>
      </c>
      <c r="D1800">
        <v>2388</v>
      </c>
      <c r="E1800">
        <v>1002</v>
      </c>
      <c r="F1800">
        <v>3</v>
      </c>
      <c r="G1800">
        <v>355.8</v>
      </c>
      <c r="H1800" s="2">
        <v>45789</v>
      </c>
      <c r="I1800" s="2">
        <v>45798</v>
      </c>
      <c r="J1800" t="s">
        <v>9</v>
      </c>
      <c r="K1800" s="2" t="str">
        <f>IFERROR(INDEX(Product_lookup[Category],MATCH(RawWorking[[#This Row],[ProductID]],Product_lookup[ProductID],0)),"")</f>
        <v>Electronics</v>
      </c>
      <c r="L1800" s="9">
        <f>IF(OR(RawWorking[[#This Row],[ShipDate]]="",RawWorking[[#This Row],[DeliveryDate]]=""),"",RawWorking[[#This Row],[DeliveryDate]]-RawWorking[[#This Row],[ShipDate]])</f>
        <v>9</v>
      </c>
      <c r="M1800" s="9">
        <f>IF(COUNTIF(INDEX(RawWorking[OrderID],1):RawWorking[[#This Row],[OrderID]],RawWorking[[#This Row],[OrderID]])=1,1,0)</f>
        <v>1</v>
      </c>
      <c r="N1800" s="4">
        <f>IFERROR(RawWorking[[#This Row],[LineAmount]]/RawWorking[[#This Row],[Quantity]],"")</f>
        <v>118.60000000000001</v>
      </c>
    </row>
    <row r="1801" spans="1:14">
      <c r="A1801">
        <v>51800</v>
      </c>
      <c r="B1801">
        <v>31041</v>
      </c>
      <c r="C1801" s="2">
        <v>45787</v>
      </c>
      <c r="D1801">
        <v>2388</v>
      </c>
      <c r="E1801">
        <v>1006</v>
      </c>
      <c r="F1801">
        <v>2</v>
      </c>
      <c r="G1801">
        <v>507.72</v>
      </c>
      <c r="H1801" s="2">
        <v>45788</v>
      </c>
      <c r="I1801" s="2">
        <v>45797</v>
      </c>
      <c r="J1801" t="s">
        <v>9</v>
      </c>
      <c r="K1801" s="2" t="str">
        <f>IFERROR(INDEX(Product_lookup[Category],MATCH(RawWorking[[#This Row],[ProductID]],Product_lookup[ProductID],0)),"")</f>
        <v>Home</v>
      </c>
      <c r="L1801" s="9">
        <f>IF(OR(RawWorking[[#This Row],[ShipDate]]="",RawWorking[[#This Row],[DeliveryDate]]=""),"",RawWorking[[#This Row],[DeliveryDate]]-RawWorking[[#This Row],[ShipDate]])</f>
        <v>9</v>
      </c>
      <c r="M1801" s="9">
        <f>IF(COUNTIF(INDEX(RawWorking[OrderID],1):RawWorking[[#This Row],[OrderID]],RawWorking[[#This Row],[OrderID]])=1,1,0)</f>
        <v>0</v>
      </c>
      <c r="N1801" s="4">
        <f>IFERROR(RawWorking[[#This Row],[LineAmount]]/RawWorking[[#This Row],[Quantity]],"")</f>
        <v>253.86</v>
      </c>
    </row>
    <row r="1802" spans="1:14">
      <c r="A1802">
        <v>51801</v>
      </c>
      <c r="B1802">
        <v>31041</v>
      </c>
      <c r="C1802" s="2">
        <v>45787</v>
      </c>
      <c r="D1802">
        <v>2388</v>
      </c>
      <c r="E1802">
        <v>1011</v>
      </c>
      <c r="F1802">
        <v>5</v>
      </c>
      <c r="G1802">
        <v>507.2</v>
      </c>
      <c r="H1802" s="2">
        <v>45789</v>
      </c>
      <c r="I1802" s="2">
        <v>45793</v>
      </c>
      <c r="J1802" t="s">
        <v>9</v>
      </c>
      <c r="K1802" s="2" t="str">
        <f>IFERROR(INDEX(Product_lookup[Category],MATCH(RawWorking[[#This Row],[ProductID]],Product_lookup[ProductID],0)),"")</f>
        <v>Office</v>
      </c>
      <c r="L1802" s="9">
        <f>IF(OR(RawWorking[[#This Row],[ShipDate]]="",RawWorking[[#This Row],[DeliveryDate]]=""),"",RawWorking[[#This Row],[DeliveryDate]]-RawWorking[[#This Row],[ShipDate]])</f>
        <v>4</v>
      </c>
      <c r="M1802" s="9">
        <f>IF(COUNTIF(INDEX(RawWorking[OrderID],1):RawWorking[[#This Row],[OrderID]],RawWorking[[#This Row],[OrderID]])=1,1,0)</f>
        <v>0</v>
      </c>
      <c r="N1802" s="4">
        <f>IFERROR(RawWorking[[#This Row],[LineAmount]]/RawWorking[[#This Row],[Quantity]],"")</f>
        <v>101.44</v>
      </c>
    </row>
    <row r="1803" spans="1:14">
      <c r="A1803">
        <v>51802</v>
      </c>
      <c r="B1803">
        <v>31042</v>
      </c>
      <c r="C1803" s="2">
        <v>45740</v>
      </c>
      <c r="D1803">
        <v>2580</v>
      </c>
      <c r="E1803">
        <v>1005</v>
      </c>
      <c r="F1803">
        <v>1</v>
      </c>
      <c r="G1803">
        <v>31.73</v>
      </c>
      <c r="H1803" s="2" t="s">
        <v>1421</v>
      </c>
      <c r="I1803" s="2" t="s">
        <v>1421</v>
      </c>
      <c r="J1803" t="s">
        <v>12</v>
      </c>
      <c r="K1803" s="2" t="str">
        <f>IFERROR(INDEX(Product_lookup[Category],MATCH(RawWorking[[#This Row],[ProductID]],Product_lookup[ProductID],0)),"")</f>
        <v>Electronics</v>
      </c>
      <c r="L1803" s="9" t="str">
        <f>IF(OR(RawWorking[[#This Row],[ShipDate]]="",RawWorking[[#This Row],[DeliveryDate]]=""),"",RawWorking[[#This Row],[DeliveryDate]]-RawWorking[[#This Row],[ShipDate]])</f>
        <v/>
      </c>
      <c r="M1803" s="9">
        <f>IF(COUNTIF(INDEX(RawWorking[OrderID],1):RawWorking[[#This Row],[OrderID]],RawWorking[[#This Row],[OrderID]])=1,1,0)</f>
        <v>1</v>
      </c>
      <c r="N1803" s="4">
        <f>IFERROR(RawWorking[[#This Row],[LineAmount]]/RawWorking[[#This Row],[Quantity]],"")</f>
        <v>31.73</v>
      </c>
    </row>
    <row r="1804" spans="1:14">
      <c r="A1804">
        <v>51803</v>
      </c>
      <c r="B1804">
        <v>31043</v>
      </c>
      <c r="C1804" s="2">
        <v>45848</v>
      </c>
      <c r="D1804">
        <v>2167</v>
      </c>
      <c r="E1804">
        <v>1006</v>
      </c>
      <c r="F1804">
        <v>1</v>
      </c>
      <c r="G1804">
        <v>253.86</v>
      </c>
      <c r="H1804" s="2" t="s">
        <v>1421</v>
      </c>
      <c r="I1804" s="2" t="s">
        <v>1421</v>
      </c>
      <c r="J1804" t="s">
        <v>12</v>
      </c>
      <c r="K1804" s="2" t="str">
        <f>IFERROR(INDEX(Product_lookup[Category],MATCH(RawWorking[[#This Row],[ProductID]],Product_lookup[ProductID],0)),"")</f>
        <v>Home</v>
      </c>
      <c r="L1804" s="9" t="str">
        <f>IF(OR(RawWorking[[#This Row],[ShipDate]]="",RawWorking[[#This Row],[DeliveryDate]]=""),"",RawWorking[[#This Row],[DeliveryDate]]-RawWorking[[#This Row],[ShipDate]])</f>
        <v/>
      </c>
      <c r="M1804" s="9">
        <f>IF(COUNTIF(INDEX(RawWorking[OrderID],1):RawWorking[[#This Row],[OrderID]],RawWorking[[#This Row],[OrderID]])=1,1,0)</f>
        <v>1</v>
      </c>
      <c r="N1804" s="4">
        <f>IFERROR(RawWorking[[#This Row],[LineAmount]]/RawWorking[[#This Row],[Quantity]],"")</f>
        <v>253.86</v>
      </c>
    </row>
    <row r="1805" spans="1:14">
      <c r="A1805">
        <v>51804</v>
      </c>
      <c r="B1805">
        <v>31043</v>
      </c>
      <c r="C1805" s="2">
        <v>45937</v>
      </c>
      <c r="D1805">
        <v>2167</v>
      </c>
      <c r="E1805">
        <v>1002</v>
      </c>
      <c r="F1805">
        <v>1</v>
      </c>
      <c r="G1805">
        <v>118.6</v>
      </c>
      <c r="H1805" s="2" t="s">
        <v>1421</v>
      </c>
      <c r="I1805" s="2" t="s">
        <v>1421</v>
      </c>
      <c r="J1805" t="s">
        <v>12</v>
      </c>
      <c r="K1805" s="2" t="str">
        <f>IFERROR(INDEX(Product_lookup[Category],MATCH(RawWorking[[#This Row],[ProductID]],Product_lookup[ProductID],0)),"")</f>
        <v>Electronics</v>
      </c>
      <c r="L1805" s="9" t="str">
        <f>IF(OR(RawWorking[[#This Row],[ShipDate]]="",RawWorking[[#This Row],[DeliveryDate]]=""),"",RawWorking[[#This Row],[DeliveryDate]]-RawWorking[[#This Row],[ShipDate]])</f>
        <v/>
      </c>
      <c r="M1805" s="9">
        <f>IF(COUNTIF(INDEX(RawWorking[OrderID],1):RawWorking[[#This Row],[OrderID]],RawWorking[[#This Row],[OrderID]])=1,1,0)</f>
        <v>0</v>
      </c>
      <c r="N1805" s="4">
        <f>IFERROR(RawWorking[[#This Row],[LineAmount]]/RawWorking[[#This Row],[Quantity]],"")</f>
        <v>118.6</v>
      </c>
    </row>
    <row r="1806" spans="1:14">
      <c r="A1806">
        <v>51805</v>
      </c>
      <c r="B1806">
        <v>31044</v>
      </c>
      <c r="C1806" s="2">
        <v>45756</v>
      </c>
      <c r="D1806">
        <v>2430</v>
      </c>
      <c r="E1806">
        <v>1015</v>
      </c>
      <c r="F1806">
        <v>3</v>
      </c>
      <c r="G1806">
        <v>359.22</v>
      </c>
      <c r="H1806" s="2">
        <v>45759</v>
      </c>
      <c r="I1806" s="2">
        <v>45767</v>
      </c>
      <c r="J1806" t="s">
        <v>9</v>
      </c>
      <c r="K1806" s="2" t="str">
        <f>IFERROR(INDEX(Product_lookup[Category],MATCH(RawWorking[[#This Row],[ProductID]],Product_lookup[ProductID],0)),"")</f>
        <v>Sports</v>
      </c>
      <c r="L1806" s="9">
        <f>IF(OR(RawWorking[[#This Row],[ShipDate]]="",RawWorking[[#This Row],[DeliveryDate]]=""),"",RawWorking[[#This Row],[DeliveryDate]]-RawWorking[[#This Row],[ShipDate]])</f>
        <v>8</v>
      </c>
      <c r="M1806" s="9">
        <f>IF(COUNTIF(INDEX(RawWorking[OrderID],1):RawWorking[[#This Row],[OrderID]],RawWorking[[#This Row],[OrderID]])=1,1,0)</f>
        <v>1</v>
      </c>
      <c r="N1806" s="4">
        <f>IFERROR(RawWorking[[#This Row],[LineAmount]]/RawWorking[[#This Row],[Quantity]],"")</f>
        <v>119.74000000000001</v>
      </c>
    </row>
    <row r="1807" spans="1:14">
      <c r="A1807">
        <v>51806</v>
      </c>
      <c r="B1807">
        <v>31045</v>
      </c>
      <c r="C1807" s="2">
        <v>45917</v>
      </c>
      <c r="D1807">
        <v>2296</v>
      </c>
      <c r="E1807">
        <v>1004</v>
      </c>
      <c r="F1807">
        <v>1</v>
      </c>
      <c r="G1807">
        <v>183.74</v>
      </c>
      <c r="H1807" s="2">
        <v>45919</v>
      </c>
      <c r="I1807" s="2">
        <v>45928</v>
      </c>
      <c r="J1807" t="s">
        <v>9</v>
      </c>
      <c r="K1807" s="2" t="str">
        <f>IFERROR(INDEX(Product_lookup[Category],MATCH(RawWorking[[#This Row],[ProductID]],Product_lookup[ProductID],0)),"")</f>
        <v>Electronics</v>
      </c>
      <c r="L1807" s="9">
        <f>IF(OR(RawWorking[[#This Row],[ShipDate]]="",RawWorking[[#This Row],[DeliveryDate]]=""),"",RawWorking[[#This Row],[DeliveryDate]]-RawWorking[[#This Row],[ShipDate]])</f>
        <v>9</v>
      </c>
      <c r="M1807" s="9">
        <f>IF(COUNTIF(INDEX(RawWorking[OrderID],1):RawWorking[[#This Row],[OrderID]],RawWorking[[#This Row],[OrderID]])=1,1,0)</f>
        <v>1</v>
      </c>
      <c r="N1807" s="4">
        <f>IFERROR(RawWorking[[#This Row],[LineAmount]]/RawWorking[[#This Row],[Quantity]],"")</f>
        <v>183.74</v>
      </c>
    </row>
    <row r="1808" spans="1:14">
      <c r="A1808">
        <v>51807</v>
      </c>
      <c r="B1808">
        <v>31046</v>
      </c>
      <c r="C1808" s="2">
        <v>45978</v>
      </c>
      <c r="D1808">
        <v>2135</v>
      </c>
      <c r="E1808">
        <v>1001</v>
      </c>
      <c r="F1808">
        <v>1</v>
      </c>
      <c r="G1808">
        <v>203.04</v>
      </c>
      <c r="H1808" s="2">
        <v>45980</v>
      </c>
      <c r="I1808" s="2">
        <v>45989</v>
      </c>
      <c r="J1808" t="s">
        <v>11</v>
      </c>
      <c r="K1808" s="2" t="str">
        <f>IFERROR(INDEX(Product_lookup[Category],MATCH(RawWorking[[#This Row],[ProductID]],Product_lookup[ProductID],0)),"")</f>
        <v>Electronics</v>
      </c>
      <c r="L1808" s="9">
        <f>IF(OR(RawWorking[[#This Row],[ShipDate]]="",RawWorking[[#This Row],[DeliveryDate]]=""),"",RawWorking[[#This Row],[DeliveryDate]]-RawWorking[[#This Row],[ShipDate]])</f>
        <v>9</v>
      </c>
      <c r="M1808" s="9">
        <f>IF(COUNTIF(INDEX(RawWorking[OrderID],1):RawWorking[[#This Row],[OrderID]],RawWorking[[#This Row],[OrderID]])=1,1,0)</f>
        <v>1</v>
      </c>
      <c r="N1808" s="4">
        <f>IFERROR(RawWorking[[#This Row],[LineAmount]]/RawWorking[[#This Row],[Quantity]],"")</f>
        <v>203.04</v>
      </c>
    </row>
    <row r="1809" spans="1:14">
      <c r="A1809">
        <v>51808</v>
      </c>
      <c r="B1809">
        <v>31046</v>
      </c>
      <c r="C1809" s="2">
        <v>45978</v>
      </c>
      <c r="D1809">
        <v>2135</v>
      </c>
      <c r="E1809">
        <v>1009</v>
      </c>
      <c r="F1809">
        <v>1</v>
      </c>
      <c r="G1809">
        <v>40.28</v>
      </c>
      <c r="H1809" s="2">
        <v>45979</v>
      </c>
      <c r="I1809" s="2">
        <v>45986</v>
      </c>
      <c r="J1809" t="s">
        <v>11</v>
      </c>
      <c r="K1809" s="2" t="str">
        <f>IFERROR(INDEX(Product_lookup[Category],MATCH(RawWorking[[#This Row],[ProductID]],Product_lookup[ProductID],0)),"")</f>
        <v>Home</v>
      </c>
      <c r="L1809" s="9">
        <f>IF(OR(RawWorking[[#This Row],[ShipDate]]="",RawWorking[[#This Row],[DeliveryDate]]=""),"",RawWorking[[#This Row],[DeliveryDate]]-RawWorking[[#This Row],[ShipDate]])</f>
        <v>7</v>
      </c>
      <c r="M1809" s="9">
        <f>IF(COUNTIF(INDEX(RawWorking[OrderID],1):RawWorking[[#This Row],[OrderID]],RawWorking[[#This Row],[OrderID]])=1,1,0)</f>
        <v>0</v>
      </c>
      <c r="N1809" s="4">
        <f>IFERROR(RawWorking[[#This Row],[LineAmount]]/RawWorking[[#This Row],[Quantity]],"")</f>
        <v>40.28</v>
      </c>
    </row>
    <row r="1810" spans="1:14">
      <c r="A1810">
        <v>51809</v>
      </c>
      <c r="B1810">
        <v>31047</v>
      </c>
      <c r="C1810" s="2">
        <v>45824</v>
      </c>
      <c r="D1810">
        <v>2013</v>
      </c>
      <c r="E1810">
        <v>1016</v>
      </c>
      <c r="F1810">
        <v>1</v>
      </c>
      <c r="G1810">
        <v>65.260000000000005</v>
      </c>
      <c r="H1810" s="2">
        <v>45825</v>
      </c>
      <c r="I1810" s="2">
        <v>45826</v>
      </c>
      <c r="J1810" t="s">
        <v>9</v>
      </c>
      <c r="K1810" s="2" t="str">
        <f>IFERROR(INDEX(Product_lookup[Category],MATCH(RawWorking[[#This Row],[ProductID]],Product_lookup[ProductID],0)),"")</f>
        <v>Sports</v>
      </c>
      <c r="L1810" s="9">
        <f>IF(OR(RawWorking[[#This Row],[ShipDate]]="",RawWorking[[#This Row],[DeliveryDate]]=""),"",RawWorking[[#This Row],[DeliveryDate]]-RawWorking[[#This Row],[ShipDate]])</f>
        <v>1</v>
      </c>
      <c r="M1810" s="9">
        <f>IF(COUNTIF(INDEX(RawWorking[OrderID],1):RawWorking[[#This Row],[OrderID]],RawWorking[[#This Row],[OrderID]])=1,1,0)</f>
        <v>1</v>
      </c>
      <c r="N1810" s="4">
        <f>IFERROR(RawWorking[[#This Row],[LineAmount]]/RawWorking[[#This Row],[Quantity]],"")</f>
        <v>65.260000000000005</v>
      </c>
    </row>
    <row r="1811" spans="1:14">
      <c r="A1811">
        <v>51810</v>
      </c>
      <c r="B1811">
        <v>31048</v>
      </c>
      <c r="C1811" s="2">
        <v>45799</v>
      </c>
      <c r="D1811">
        <v>2557</v>
      </c>
      <c r="E1811">
        <v>1016</v>
      </c>
      <c r="F1811">
        <v>1</v>
      </c>
      <c r="G1811">
        <v>65.260000000000005</v>
      </c>
      <c r="H1811" s="2">
        <v>45800</v>
      </c>
      <c r="I1811" s="2" t="s">
        <v>1421</v>
      </c>
      <c r="J1811" t="s">
        <v>16</v>
      </c>
      <c r="K1811" s="2" t="str">
        <f>IFERROR(INDEX(Product_lookup[Category],MATCH(RawWorking[[#This Row],[ProductID]],Product_lookup[ProductID],0)),"")</f>
        <v>Sports</v>
      </c>
      <c r="L1811" s="9" t="str">
        <f>IF(OR(RawWorking[[#This Row],[ShipDate]]="",RawWorking[[#This Row],[DeliveryDate]]=""),"",RawWorking[[#This Row],[DeliveryDate]]-RawWorking[[#This Row],[ShipDate]])</f>
        <v/>
      </c>
      <c r="M1811" s="9">
        <f>IF(COUNTIF(INDEX(RawWorking[OrderID],1):RawWorking[[#This Row],[OrderID]],RawWorking[[#This Row],[OrderID]])=1,1,0)</f>
        <v>1</v>
      </c>
      <c r="N1811" s="4">
        <f>IFERROR(RawWorking[[#This Row],[LineAmount]]/RawWorking[[#This Row],[Quantity]],"")</f>
        <v>65.260000000000005</v>
      </c>
    </row>
    <row r="1812" spans="1:14">
      <c r="A1812">
        <v>51811</v>
      </c>
      <c r="B1812">
        <v>31048</v>
      </c>
      <c r="C1812" s="2">
        <v>45799</v>
      </c>
      <c r="D1812">
        <v>2557</v>
      </c>
      <c r="E1812">
        <v>1016</v>
      </c>
      <c r="F1812">
        <v>2</v>
      </c>
      <c r="G1812">
        <v>130.52000000000001</v>
      </c>
      <c r="H1812" s="2" t="s">
        <v>1421</v>
      </c>
      <c r="I1812" s="2" t="s">
        <v>1421</v>
      </c>
      <c r="J1812" t="s">
        <v>16</v>
      </c>
      <c r="K1812" s="2" t="str">
        <f>IFERROR(INDEX(Product_lookup[Category],MATCH(RawWorking[[#This Row],[ProductID]],Product_lookup[ProductID],0)),"")</f>
        <v>Sports</v>
      </c>
      <c r="L1812" s="9" t="str">
        <f>IF(OR(RawWorking[[#This Row],[ShipDate]]="",RawWorking[[#This Row],[DeliveryDate]]=""),"",RawWorking[[#This Row],[DeliveryDate]]-RawWorking[[#This Row],[ShipDate]])</f>
        <v/>
      </c>
      <c r="M1812" s="9">
        <f>IF(COUNTIF(INDEX(RawWorking[OrderID],1):RawWorking[[#This Row],[OrderID]],RawWorking[[#This Row],[OrderID]])=1,1,0)</f>
        <v>0</v>
      </c>
      <c r="N1812" s="4">
        <f>IFERROR(RawWorking[[#This Row],[LineAmount]]/RawWorking[[#This Row],[Quantity]],"")</f>
        <v>65.260000000000005</v>
      </c>
    </row>
    <row r="1813" spans="1:14">
      <c r="A1813">
        <v>51812</v>
      </c>
      <c r="B1813">
        <v>31048</v>
      </c>
      <c r="C1813" s="2">
        <v>45799</v>
      </c>
      <c r="D1813">
        <v>2557</v>
      </c>
      <c r="E1813">
        <v>1015</v>
      </c>
      <c r="F1813">
        <v>2</v>
      </c>
      <c r="G1813">
        <v>239.48</v>
      </c>
      <c r="H1813" s="2">
        <v>45803</v>
      </c>
      <c r="I1813" s="2" t="s">
        <v>1421</v>
      </c>
      <c r="J1813" t="s">
        <v>16</v>
      </c>
      <c r="K1813" s="2" t="str">
        <f>IFERROR(INDEX(Product_lookup[Category],MATCH(RawWorking[[#This Row],[ProductID]],Product_lookup[ProductID],0)),"")</f>
        <v>Sports</v>
      </c>
      <c r="L1813" s="9" t="str">
        <f>IF(OR(RawWorking[[#This Row],[ShipDate]]="",RawWorking[[#This Row],[DeliveryDate]]=""),"",RawWorking[[#This Row],[DeliveryDate]]-RawWorking[[#This Row],[ShipDate]])</f>
        <v/>
      </c>
      <c r="M1813" s="9">
        <f>IF(COUNTIF(INDEX(RawWorking[OrderID],1):RawWorking[[#This Row],[OrderID]],RawWorking[[#This Row],[OrderID]])=1,1,0)</f>
        <v>0</v>
      </c>
      <c r="N1813" s="4">
        <f>IFERROR(RawWorking[[#This Row],[LineAmount]]/RawWorking[[#This Row],[Quantity]],"")</f>
        <v>119.74</v>
      </c>
    </row>
    <row r="1814" spans="1:14">
      <c r="A1814">
        <v>51813</v>
      </c>
      <c r="B1814">
        <v>31049</v>
      </c>
      <c r="C1814" s="2">
        <v>45872</v>
      </c>
      <c r="D1814">
        <v>2007</v>
      </c>
      <c r="E1814">
        <v>1009</v>
      </c>
      <c r="F1814">
        <v>1</v>
      </c>
      <c r="G1814">
        <v>40.28</v>
      </c>
      <c r="H1814" s="2">
        <v>45875</v>
      </c>
      <c r="I1814" s="2">
        <v>45882</v>
      </c>
      <c r="J1814" t="s">
        <v>9</v>
      </c>
      <c r="K1814" s="2" t="str">
        <f>IFERROR(INDEX(Product_lookup[Category],MATCH(RawWorking[[#This Row],[ProductID]],Product_lookup[ProductID],0)),"")</f>
        <v>Home</v>
      </c>
      <c r="L1814" s="9">
        <f>IF(OR(RawWorking[[#This Row],[ShipDate]]="",RawWorking[[#This Row],[DeliveryDate]]=""),"",RawWorking[[#This Row],[DeliveryDate]]-RawWorking[[#This Row],[ShipDate]])</f>
        <v>7</v>
      </c>
      <c r="M1814" s="9">
        <f>IF(COUNTIF(INDEX(RawWorking[OrderID],1):RawWorking[[#This Row],[OrderID]],RawWorking[[#This Row],[OrderID]])=1,1,0)</f>
        <v>1</v>
      </c>
      <c r="N1814" s="4">
        <f>IFERROR(RawWorking[[#This Row],[LineAmount]]/RawWorking[[#This Row],[Quantity]],"")</f>
        <v>40.28</v>
      </c>
    </row>
    <row r="1815" spans="1:14">
      <c r="A1815">
        <v>51814</v>
      </c>
      <c r="B1815">
        <v>31050</v>
      </c>
      <c r="C1815" s="2">
        <v>45716</v>
      </c>
      <c r="D1815">
        <v>2571</v>
      </c>
      <c r="E1815">
        <v>1007</v>
      </c>
      <c r="F1815">
        <v>3</v>
      </c>
      <c r="G1815">
        <v>599.42999999999995</v>
      </c>
      <c r="H1815" s="2">
        <v>45719</v>
      </c>
      <c r="I1815" s="2" t="s">
        <v>1421</v>
      </c>
      <c r="J1815" t="s">
        <v>16</v>
      </c>
      <c r="K1815" s="2" t="str">
        <f>IFERROR(INDEX(Product_lookup[Category],MATCH(RawWorking[[#This Row],[ProductID]],Product_lookup[ProductID],0)),"")</f>
        <v>Home</v>
      </c>
      <c r="L1815" s="9" t="str">
        <f>IF(OR(RawWorking[[#This Row],[ShipDate]]="",RawWorking[[#This Row],[DeliveryDate]]=""),"",RawWorking[[#This Row],[DeliveryDate]]-RawWorking[[#This Row],[ShipDate]])</f>
        <v/>
      </c>
      <c r="M1815" s="9">
        <f>IF(COUNTIF(INDEX(RawWorking[OrderID],1):RawWorking[[#This Row],[OrderID]],RawWorking[[#This Row],[OrderID]])=1,1,0)</f>
        <v>1</v>
      </c>
      <c r="N1815" s="4">
        <f>IFERROR(RawWorking[[#This Row],[LineAmount]]/RawWorking[[#This Row],[Quantity]],"")</f>
        <v>199.80999999999997</v>
      </c>
    </row>
    <row r="1816" spans="1:14">
      <c r="A1816">
        <v>51815</v>
      </c>
      <c r="B1816">
        <v>31051</v>
      </c>
      <c r="C1816" s="2">
        <v>45831</v>
      </c>
      <c r="D1816">
        <v>2152</v>
      </c>
      <c r="E1816">
        <v>1012</v>
      </c>
      <c r="F1816">
        <v>1</v>
      </c>
      <c r="G1816">
        <v>241.54</v>
      </c>
      <c r="H1816" s="2">
        <v>45833</v>
      </c>
      <c r="I1816" s="2">
        <v>45838</v>
      </c>
      <c r="J1816" t="s">
        <v>9</v>
      </c>
      <c r="K1816" s="2" t="str">
        <f>IFERROR(INDEX(Product_lookup[Category],MATCH(RawWorking[[#This Row],[ProductID]],Product_lookup[ProductID],0)),"")</f>
        <v>Office</v>
      </c>
      <c r="L1816" s="9">
        <f>IF(OR(RawWorking[[#This Row],[ShipDate]]="",RawWorking[[#This Row],[DeliveryDate]]=""),"",RawWorking[[#This Row],[DeliveryDate]]-RawWorking[[#This Row],[ShipDate]])</f>
        <v>5</v>
      </c>
      <c r="M1816" s="9">
        <f>IF(COUNTIF(INDEX(RawWorking[OrderID],1):RawWorking[[#This Row],[OrderID]],RawWorking[[#This Row],[OrderID]])=1,1,0)</f>
        <v>1</v>
      </c>
      <c r="N1816" s="4">
        <f>IFERROR(RawWorking[[#This Row],[LineAmount]]/RawWorking[[#This Row],[Quantity]],"")</f>
        <v>241.54</v>
      </c>
    </row>
    <row r="1817" spans="1:14">
      <c r="A1817">
        <v>51816</v>
      </c>
      <c r="B1817">
        <v>31052</v>
      </c>
      <c r="C1817" s="2">
        <v>45775</v>
      </c>
      <c r="D1817">
        <v>2038</v>
      </c>
      <c r="E1817">
        <v>1002</v>
      </c>
      <c r="F1817">
        <v>2</v>
      </c>
      <c r="G1817">
        <v>237.2</v>
      </c>
      <c r="H1817" s="2">
        <v>45778</v>
      </c>
      <c r="I1817" s="2">
        <v>45935</v>
      </c>
      <c r="J1817" t="s">
        <v>9</v>
      </c>
      <c r="K1817" s="2" t="str">
        <f>IFERROR(INDEX(Product_lookup[Category],MATCH(RawWorking[[#This Row],[ProductID]],Product_lookup[ProductID],0)),"")</f>
        <v>Electronics</v>
      </c>
      <c r="L1817" s="9">
        <f>IF(OR(RawWorking[[#This Row],[ShipDate]]="",RawWorking[[#This Row],[DeliveryDate]]=""),"",RawWorking[[#This Row],[DeliveryDate]]-RawWorking[[#This Row],[ShipDate]])</f>
        <v>157</v>
      </c>
      <c r="M1817" s="9">
        <f>IF(COUNTIF(INDEX(RawWorking[OrderID],1):RawWorking[[#This Row],[OrderID]],RawWorking[[#This Row],[OrderID]])=1,1,0)</f>
        <v>1</v>
      </c>
      <c r="N1817" s="4">
        <f>IFERROR(RawWorking[[#This Row],[LineAmount]]/RawWorking[[#This Row],[Quantity]],"")</f>
        <v>118.6</v>
      </c>
    </row>
    <row r="1818" spans="1:14">
      <c r="A1818">
        <v>51817</v>
      </c>
      <c r="B1818">
        <v>31053</v>
      </c>
      <c r="C1818" s="2">
        <v>45887</v>
      </c>
      <c r="D1818">
        <v>2592</v>
      </c>
      <c r="E1818">
        <v>1010</v>
      </c>
      <c r="F1818">
        <v>1</v>
      </c>
      <c r="G1818">
        <v>121.5</v>
      </c>
      <c r="H1818" s="2" t="s">
        <v>1421</v>
      </c>
      <c r="I1818" s="2" t="s">
        <v>1421</v>
      </c>
      <c r="J1818" t="s">
        <v>16</v>
      </c>
      <c r="K1818" s="2" t="str">
        <f>IFERROR(INDEX(Product_lookup[Category],MATCH(RawWorking[[#This Row],[ProductID]],Product_lookup[ProductID],0)),"")</f>
        <v>Office</v>
      </c>
      <c r="L1818" s="9" t="str">
        <f>IF(OR(RawWorking[[#This Row],[ShipDate]]="",RawWorking[[#This Row],[DeliveryDate]]=""),"",RawWorking[[#This Row],[DeliveryDate]]-RawWorking[[#This Row],[ShipDate]])</f>
        <v/>
      </c>
      <c r="M1818" s="9">
        <f>IF(COUNTIF(INDEX(RawWorking[OrderID],1):RawWorking[[#This Row],[OrderID]],RawWorking[[#This Row],[OrderID]])=1,1,0)</f>
        <v>1</v>
      </c>
      <c r="N1818" s="4">
        <f>IFERROR(RawWorking[[#This Row],[LineAmount]]/RawWorking[[#This Row],[Quantity]],"")</f>
        <v>121.5</v>
      </c>
    </row>
    <row r="1819" spans="1:14">
      <c r="A1819">
        <v>51818</v>
      </c>
      <c r="B1819">
        <v>31053</v>
      </c>
      <c r="C1819" s="2">
        <v>45887</v>
      </c>
      <c r="D1819">
        <v>2592</v>
      </c>
      <c r="E1819">
        <v>1003</v>
      </c>
      <c r="F1819">
        <v>2</v>
      </c>
      <c r="G1819">
        <v>448.74</v>
      </c>
      <c r="H1819" s="2">
        <v>46273</v>
      </c>
      <c r="I1819" s="2" t="s">
        <v>1421</v>
      </c>
      <c r="J1819" t="s">
        <v>16</v>
      </c>
      <c r="K1819" s="2" t="str">
        <f>IFERROR(INDEX(Product_lookup[Category],MATCH(RawWorking[[#This Row],[ProductID]],Product_lookup[ProductID],0)),"")</f>
        <v>Electronics</v>
      </c>
      <c r="L1819" s="9" t="str">
        <f>IF(OR(RawWorking[[#This Row],[ShipDate]]="",RawWorking[[#This Row],[DeliveryDate]]=""),"",RawWorking[[#This Row],[DeliveryDate]]-RawWorking[[#This Row],[ShipDate]])</f>
        <v/>
      </c>
      <c r="M1819" s="9">
        <f>IF(COUNTIF(INDEX(RawWorking[OrderID],1):RawWorking[[#This Row],[OrderID]],RawWorking[[#This Row],[OrderID]])=1,1,0)</f>
        <v>0</v>
      </c>
      <c r="N1819" s="4">
        <f>IFERROR(RawWorking[[#This Row],[LineAmount]]/RawWorking[[#This Row],[Quantity]],"")</f>
        <v>224.37</v>
      </c>
    </row>
    <row r="1820" spans="1:14">
      <c r="A1820">
        <v>51819</v>
      </c>
      <c r="B1820">
        <v>31054</v>
      </c>
      <c r="C1820" s="2">
        <v>45714</v>
      </c>
      <c r="D1820">
        <v>2427</v>
      </c>
      <c r="E1820">
        <v>1006</v>
      </c>
      <c r="F1820">
        <v>2</v>
      </c>
      <c r="G1820">
        <v>507.72</v>
      </c>
      <c r="H1820" s="2">
        <v>45717</v>
      </c>
      <c r="I1820" s="2">
        <v>45724</v>
      </c>
      <c r="J1820" t="s">
        <v>11</v>
      </c>
      <c r="K1820" s="2" t="str">
        <f>IFERROR(INDEX(Product_lookup[Category],MATCH(RawWorking[[#This Row],[ProductID]],Product_lookup[ProductID],0)),"")</f>
        <v>Home</v>
      </c>
      <c r="L1820" s="9">
        <f>IF(OR(RawWorking[[#This Row],[ShipDate]]="",RawWorking[[#This Row],[DeliveryDate]]=""),"",RawWorking[[#This Row],[DeliveryDate]]-RawWorking[[#This Row],[ShipDate]])</f>
        <v>7</v>
      </c>
      <c r="M1820" s="9">
        <f>IF(COUNTIF(INDEX(RawWorking[OrderID],1):RawWorking[[#This Row],[OrderID]],RawWorking[[#This Row],[OrderID]])=1,1,0)</f>
        <v>1</v>
      </c>
      <c r="N1820" s="4">
        <f>IFERROR(RawWorking[[#This Row],[LineAmount]]/RawWorking[[#This Row],[Quantity]],"")</f>
        <v>253.86</v>
      </c>
    </row>
    <row r="1821" spans="1:14">
      <c r="A1821">
        <v>51820</v>
      </c>
      <c r="B1821">
        <v>31055</v>
      </c>
      <c r="C1821" s="2">
        <v>45850</v>
      </c>
      <c r="D1821">
        <v>2292</v>
      </c>
      <c r="E1821">
        <v>1006</v>
      </c>
      <c r="F1821">
        <v>1</v>
      </c>
      <c r="G1821">
        <v>253.86</v>
      </c>
      <c r="H1821" s="2">
        <v>45851</v>
      </c>
      <c r="I1821" s="2">
        <v>45854</v>
      </c>
      <c r="J1821" t="s">
        <v>9</v>
      </c>
      <c r="K1821" s="2" t="str">
        <f>IFERROR(INDEX(Product_lookup[Category],MATCH(RawWorking[[#This Row],[ProductID]],Product_lookup[ProductID],0)),"")</f>
        <v>Home</v>
      </c>
      <c r="L1821" s="9">
        <f>IF(OR(RawWorking[[#This Row],[ShipDate]]="",RawWorking[[#This Row],[DeliveryDate]]=""),"",RawWorking[[#This Row],[DeliveryDate]]-RawWorking[[#This Row],[ShipDate]])</f>
        <v>3</v>
      </c>
      <c r="M1821" s="9">
        <f>IF(COUNTIF(INDEX(RawWorking[OrderID],1):RawWorking[[#This Row],[OrderID]],RawWorking[[#This Row],[OrderID]])=1,1,0)</f>
        <v>1</v>
      </c>
      <c r="N1821" s="4">
        <f>IFERROR(RawWorking[[#This Row],[LineAmount]]/RawWorking[[#This Row],[Quantity]],"")</f>
        <v>253.86</v>
      </c>
    </row>
    <row r="1822" spans="1:14">
      <c r="A1822">
        <v>51821</v>
      </c>
      <c r="B1822">
        <v>31055</v>
      </c>
      <c r="C1822" s="2">
        <v>45850</v>
      </c>
      <c r="D1822">
        <v>2292</v>
      </c>
      <c r="E1822">
        <v>1015</v>
      </c>
      <c r="F1822">
        <v>5</v>
      </c>
      <c r="G1822">
        <v>598.70000000000005</v>
      </c>
      <c r="H1822" s="2">
        <v>45852</v>
      </c>
      <c r="I1822" s="2">
        <v>45862</v>
      </c>
      <c r="J1822" t="s">
        <v>9</v>
      </c>
      <c r="K1822" s="2" t="str">
        <f>IFERROR(INDEX(Product_lookup[Category],MATCH(RawWorking[[#This Row],[ProductID]],Product_lookup[ProductID],0)),"")</f>
        <v>Sports</v>
      </c>
      <c r="L1822" s="9">
        <f>IF(OR(RawWorking[[#This Row],[ShipDate]]="",RawWorking[[#This Row],[DeliveryDate]]=""),"",RawWorking[[#This Row],[DeliveryDate]]-RawWorking[[#This Row],[ShipDate]])</f>
        <v>10</v>
      </c>
      <c r="M1822" s="9">
        <f>IF(COUNTIF(INDEX(RawWorking[OrderID],1):RawWorking[[#This Row],[OrderID]],RawWorking[[#This Row],[OrderID]])=1,1,0)</f>
        <v>0</v>
      </c>
      <c r="N1822" s="4">
        <f>IFERROR(RawWorking[[#This Row],[LineAmount]]/RawWorking[[#This Row],[Quantity]],"")</f>
        <v>119.74000000000001</v>
      </c>
    </row>
    <row r="1823" spans="1:14">
      <c r="A1823">
        <v>51822</v>
      </c>
      <c r="B1823">
        <v>31055</v>
      </c>
      <c r="C1823" s="2">
        <v>45850</v>
      </c>
      <c r="D1823">
        <v>2292</v>
      </c>
      <c r="E1823">
        <v>1012</v>
      </c>
      <c r="F1823">
        <v>2</v>
      </c>
      <c r="G1823">
        <v>483.08</v>
      </c>
      <c r="H1823" s="2">
        <v>45852</v>
      </c>
      <c r="I1823" s="2">
        <v>45853</v>
      </c>
      <c r="J1823" t="s">
        <v>9</v>
      </c>
      <c r="K1823" s="2" t="str">
        <f>IFERROR(INDEX(Product_lookup[Category],MATCH(RawWorking[[#This Row],[ProductID]],Product_lookup[ProductID],0)),"")</f>
        <v>Office</v>
      </c>
      <c r="L1823" s="9">
        <f>IF(OR(RawWorking[[#This Row],[ShipDate]]="",RawWorking[[#This Row],[DeliveryDate]]=""),"",RawWorking[[#This Row],[DeliveryDate]]-RawWorking[[#This Row],[ShipDate]])</f>
        <v>1</v>
      </c>
      <c r="M1823" s="9">
        <f>IF(COUNTIF(INDEX(RawWorking[OrderID],1):RawWorking[[#This Row],[OrderID]],RawWorking[[#This Row],[OrderID]])=1,1,0)</f>
        <v>0</v>
      </c>
      <c r="N1823" s="4">
        <f>IFERROR(RawWorking[[#This Row],[LineAmount]]/RawWorking[[#This Row],[Quantity]],"")</f>
        <v>241.54</v>
      </c>
    </row>
    <row r="1824" spans="1:14">
      <c r="A1824">
        <v>51823</v>
      </c>
      <c r="B1824">
        <v>31056</v>
      </c>
      <c r="C1824" s="2">
        <v>45875</v>
      </c>
      <c r="D1824">
        <v>2037</v>
      </c>
      <c r="E1824">
        <v>1010</v>
      </c>
      <c r="F1824">
        <v>2</v>
      </c>
      <c r="G1824">
        <v>243</v>
      </c>
      <c r="H1824" s="2">
        <v>45877</v>
      </c>
      <c r="I1824" s="2">
        <v>45884</v>
      </c>
      <c r="J1824" t="s">
        <v>9</v>
      </c>
      <c r="K1824" s="2" t="str">
        <f>IFERROR(INDEX(Product_lookup[Category],MATCH(RawWorking[[#This Row],[ProductID]],Product_lookup[ProductID],0)),"")</f>
        <v>Office</v>
      </c>
      <c r="L1824" s="9">
        <f>IF(OR(RawWorking[[#This Row],[ShipDate]]="",RawWorking[[#This Row],[DeliveryDate]]=""),"",RawWorking[[#This Row],[DeliveryDate]]-RawWorking[[#This Row],[ShipDate]])</f>
        <v>7</v>
      </c>
      <c r="M1824" s="9">
        <f>IF(COUNTIF(INDEX(RawWorking[OrderID],1):RawWorking[[#This Row],[OrderID]],RawWorking[[#This Row],[OrderID]])=1,1,0)</f>
        <v>1</v>
      </c>
      <c r="N1824" s="4">
        <f>IFERROR(RawWorking[[#This Row],[LineAmount]]/RawWorking[[#This Row],[Quantity]],"")</f>
        <v>121.5</v>
      </c>
    </row>
    <row r="1825" spans="1:14">
      <c r="A1825">
        <v>51824</v>
      </c>
      <c r="B1825">
        <v>31056</v>
      </c>
      <c r="C1825" s="2">
        <v>45875</v>
      </c>
      <c r="D1825">
        <v>2037</v>
      </c>
      <c r="E1825">
        <v>1011</v>
      </c>
      <c r="F1825">
        <v>1</v>
      </c>
      <c r="G1825">
        <v>101.44</v>
      </c>
      <c r="H1825" s="2">
        <v>45876</v>
      </c>
      <c r="I1825" s="2">
        <v>45884</v>
      </c>
      <c r="J1825" t="s">
        <v>9</v>
      </c>
      <c r="K1825" s="2" t="str">
        <f>IFERROR(INDEX(Product_lookup[Category],MATCH(RawWorking[[#This Row],[ProductID]],Product_lookup[ProductID],0)),"")</f>
        <v>Office</v>
      </c>
      <c r="L1825" s="9">
        <f>IF(OR(RawWorking[[#This Row],[ShipDate]]="",RawWorking[[#This Row],[DeliveryDate]]=""),"",RawWorking[[#This Row],[DeliveryDate]]-RawWorking[[#This Row],[ShipDate]])</f>
        <v>8</v>
      </c>
      <c r="M1825" s="9">
        <f>IF(COUNTIF(INDEX(RawWorking[OrderID],1):RawWorking[[#This Row],[OrderID]],RawWorking[[#This Row],[OrderID]])=1,1,0)</f>
        <v>0</v>
      </c>
      <c r="N1825" s="4">
        <f>IFERROR(RawWorking[[#This Row],[LineAmount]]/RawWorking[[#This Row],[Quantity]],"")</f>
        <v>101.44</v>
      </c>
    </row>
    <row r="1826" spans="1:14">
      <c r="A1826">
        <v>51825</v>
      </c>
      <c r="B1826">
        <v>31057</v>
      </c>
      <c r="C1826" s="2">
        <v>45883</v>
      </c>
      <c r="D1826">
        <v>2378</v>
      </c>
      <c r="E1826">
        <v>1003</v>
      </c>
      <c r="F1826">
        <v>1</v>
      </c>
      <c r="G1826">
        <v>224.37</v>
      </c>
      <c r="H1826" s="2" t="s">
        <v>1421</v>
      </c>
      <c r="I1826" s="2" t="s">
        <v>1421</v>
      </c>
      <c r="J1826" t="s">
        <v>12</v>
      </c>
      <c r="K1826" s="2" t="str">
        <f>IFERROR(INDEX(Product_lookup[Category],MATCH(RawWorking[[#This Row],[ProductID]],Product_lookup[ProductID],0)),"")</f>
        <v>Electronics</v>
      </c>
      <c r="L1826" s="9" t="str">
        <f>IF(OR(RawWorking[[#This Row],[ShipDate]]="",RawWorking[[#This Row],[DeliveryDate]]=""),"",RawWorking[[#This Row],[DeliveryDate]]-RawWorking[[#This Row],[ShipDate]])</f>
        <v/>
      </c>
      <c r="M1826" s="9">
        <f>IF(COUNTIF(INDEX(RawWorking[OrderID],1):RawWorking[[#This Row],[OrderID]],RawWorking[[#This Row],[OrderID]])=1,1,0)</f>
        <v>1</v>
      </c>
      <c r="N1826" s="4">
        <f>IFERROR(RawWorking[[#This Row],[LineAmount]]/RawWorking[[#This Row],[Quantity]],"")</f>
        <v>224.37</v>
      </c>
    </row>
    <row r="1827" spans="1:14">
      <c r="A1827">
        <v>51826</v>
      </c>
      <c r="B1827">
        <v>31057</v>
      </c>
      <c r="C1827" s="2">
        <v>45883</v>
      </c>
      <c r="D1827">
        <v>2378</v>
      </c>
      <c r="E1827">
        <v>1014</v>
      </c>
      <c r="F1827">
        <v>1</v>
      </c>
      <c r="G1827">
        <v>215.34</v>
      </c>
      <c r="H1827" s="2" t="s">
        <v>1421</v>
      </c>
      <c r="I1827" s="2" t="s">
        <v>1421</v>
      </c>
      <c r="J1827" t="s">
        <v>12</v>
      </c>
      <c r="K1827" s="2" t="str">
        <f>IFERROR(INDEX(Product_lookup[Category],MATCH(RawWorking[[#This Row],[ProductID]],Product_lookup[ProductID],0)),"")</f>
        <v>Sports</v>
      </c>
      <c r="L1827" s="9" t="str">
        <f>IF(OR(RawWorking[[#This Row],[ShipDate]]="",RawWorking[[#This Row],[DeliveryDate]]=""),"",RawWorking[[#This Row],[DeliveryDate]]-RawWorking[[#This Row],[ShipDate]])</f>
        <v/>
      </c>
      <c r="M1827" s="9">
        <f>IF(COUNTIF(INDEX(RawWorking[OrderID],1):RawWorking[[#This Row],[OrderID]],RawWorking[[#This Row],[OrderID]])=1,1,0)</f>
        <v>0</v>
      </c>
      <c r="N1827" s="4">
        <f>IFERROR(RawWorking[[#This Row],[LineAmount]]/RawWorking[[#This Row],[Quantity]],"")</f>
        <v>215.34</v>
      </c>
    </row>
    <row r="1828" spans="1:14">
      <c r="A1828">
        <v>51827</v>
      </c>
      <c r="B1828">
        <v>31057</v>
      </c>
      <c r="C1828" s="2">
        <v>45883</v>
      </c>
      <c r="D1828">
        <v>2378</v>
      </c>
      <c r="E1828">
        <v>1003</v>
      </c>
      <c r="F1828">
        <v>3</v>
      </c>
      <c r="G1828">
        <v>673.11</v>
      </c>
      <c r="H1828" s="2" t="s">
        <v>1421</v>
      </c>
      <c r="I1828" s="2" t="s">
        <v>1421</v>
      </c>
      <c r="J1828" t="s">
        <v>12</v>
      </c>
      <c r="K1828" s="2" t="str">
        <f>IFERROR(INDEX(Product_lookup[Category],MATCH(RawWorking[[#This Row],[ProductID]],Product_lookup[ProductID],0)),"")</f>
        <v>Electronics</v>
      </c>
      <c r="L1828" s="9" t="str">
        <f>IF(OR(RawWorking[[#This Row],[ShipDate]]="",RawWorking[[#This Row],[DeliveryDate]]=""),"",RawWorking[[#This Row],[DeliveryDate]]-RawWorking[[#This Row],[ShipDate]])</f>
        <v/>
      </c>
      <c r="M1828" s="9">
        <f>IF(COUNTIF(INDEX(RawWorking[OrderID],1):RawWorking[[#This Row],[OrderID]],RawWorking[[#This Row],[OrderID]])=1,1,0)</f>
        <v>0</v>
      </c>
      <c r="N1828" s="4">
        <f>IFERROR(RawWorking[[#This Row],[LineAmount]]/RawWorking[[#This Row],[Quantity]],"")</f>
        <v>224.37</v>
      </c>
    </row>
    <row r="1829" spans="1:14">
      <c r="A1829">
        <v>51828</v>
      </c>
      <c r="B1829">
        <v>31057</v>
      </c>
      <c r="C1829" s="2">
        <v>45883</v>
      </c>
      <c r="D1829">
        <v>2378</v>
      </c>
      <c r="E1829">
        <v>1010</v>
      </c>
      <c r="F1829">
        <v>1</v>
      </c>
      <c r="G1829">
        <v>121.5</v>
      </c>
      <c r="H1829" s="2" t="s">
        <v>1421</v>
      </c>
      <c r="I1829" s="2" t="s">
        <v>1421</v>
      </c>
      <c r="J1829" t="s">
        <v>12</v>
      </c>
      <c r="K1829" s="2" t="str">
        <f>IFERROR(INDEX(Product_lookup[Category],MATCH(RawWorking[[#This Row],[ProductID]],Product_lookup[ProductID],0)),"")</f>
        <v>Office</v>
      </c>
      <c r="L1829" s="9" t="str">
        <f>IF(OR(RawWorking[[#This Row],[ShipDate]]="",RawWorking[[#This Row],[DeliveryDate]]=""),"",RawWorking[[#This Row],[DeliveryDate]]-RawWorking[[#This Row],[ShipDate]])</f>
        <v/>
      </c>
      <c r="M1829" s="9">
        <f>IF(COUNTIF(INDEX(RawWorking[OrderID],1):RawWorking[[#This Row],[OrderID]],RawWorking[[#This Row],[OrderID]])=1,1,0)</f>
        <v>0</v>
      </c>
      <c r="N1829" s="4">
        <f>IFERROR(RawWorking[[#This Row],[LineAmount]]/RawWorking[[#This Row],[Quantity]],"")</f>
        <v>121.5</v>
      </c>
    </row>
    <row r="1830" spans="1:14">
      <c r="A1830">
        <v>51829</v>
      </c>
      <c r="B1830">
        <v>31058</v>
      </c>
      <c r="C1830" s="2">
        <v>45744</v>
      </c>
      <c r="D1830">
        <v>2483</v>
      </c>
      <c r="E1830">
        <v>1009</v>
      </c>
      <c r="F1830">
        <v>2</v>
      </c>
      <c r="G1830">
        <v>80.56</v>
      </c>
      <c r="H1830" s="2">
        <v>45745</v>
      </c>
      <c r="I1830" s="2">
        <v>45747</v>
      </c>
      <c r="J1830" t="s">
        <v>9</v>
      </c>
      <c r="K1830" s="2" t="str">
        <f>IFERROR(INDEX(Product_lookup[Category],MATCH(RawWorking[[#This Row],[ProductID]],Product_lookup[ProductID],0)),"")</f>
        <v>Home</v>
      </c>
      <c r="L1830" s="9">
        <f>IF(OR(RawWorking[[#This Row],[ShipDate]]="",RawWorking[[#This Row],[DeliveryDate]]=""),"",RawWorking[[#This Row],[DeliveryDate]]-RawWorking[[#This Row],[ShipDate]])</f>
        <v>2</v>
      </c>
      <c r="M1830" s="9">
        <f>IF(COUNTIF(INDEX(RawWorking[OrderID],1):RawWorking[[#This Row],[OrderID]],RawWorking[[#This Row],[OrderID]])=1,1,0)</f>
        <v>1</v>
      </c>
      <c r="N1830" s="4">
        <f>IFERROR(RawWorking[[#This Row],[LineAmount]]/RawWorking[[#This Row],[Quantity]],"")</f>
        <v>40.28</v>
      </c>
    </row>
    <row r="1831" spans="1:14">
      <c r="A1831">
        <v>51830</v>
      </c>
      <c r="B1831">
        <v>31059</v>
      </c>
      <c r="C1831" s="2">
        <v>45914</v>
      </c>
      <c r="D1831">
        <v>2338</v>
      </c>
      <c r="E1831">
        <v>1007</v>
      </c>
      <c r="F1831">
        <v>1</v>
      </c>
      <c r="G1831">
        <v>199.81</v>
      </c>
      <c r="H1831" s="2">
        <v>45915</v>
      </c>
      <c r="I1831" s="2">
        <v>45918</v>
      </c>
      <c r="J1831" t="s">
        <v>9</v>
      </c>
      <c r="K1831" s="2" t="str">
        <f>IFERROR(INDEX(Product_lookup[Category],MATCH(RawWorking[[#This Row],[ProductID]],Product_lookup[ProductID],0)),"")</f>
        <v>Home</v>
      </c>
      <c r="L1831" s="9">
        <f>IF(OR(RawWorking[[#This Row],[ShipDate]]="",RawWorking[[#This Row],[DeliveryDate]]=""),"",RawWorking[[#This Row],[DeliveryDate]]-RawWorking[[#This Row],[ShipDate]])</f>
        <v>3</v>
      </c>
      <c r="M1831" s="9">
        <f>IF(COUNTIF(INDEX(RawWorking[OrderID],1):RawWorking[[#This Row],[OrderID]],RawWorking[[#This Row],[OrderID]])=1,1,0)</f>
        <v>1</v>
      </c>
      <c r="N1831" s="4">
        <f>IFERROR(RawWorking[[#This Row],[LineAmount]]/RawWorking[[#This Row],[Quantity]],"")</f>
        <v>199.81</v>
      </c>
    </row>
    <row r="1832" spans="1:14">
      <c r="A1832">
        <v>51831</v>
      </c>
      <c r="B1832">
        <v>31060</v>
      </c>
      <c r="C1832" s="2">
        <v>45744</v>
      </c>
      <c r="D1832">
        <v>2215</v>
      </c>
      <c r="E1832">
        <v>1004</v>
      </c>
      <c r="F1832">
        <v>1</v>
      </c>
      <c r="G1832">
        <v>183.74</v>
      </c>
      <c r="H1832" s="2">
        <v>45745</v>
      </c>
      <c r="I1832" s="2">
        <v>45749</v>
      </c>
      <c r="J1832" t="s">
        <v>9</v>
      </c>
      <c r="K1832" s="2" t="str">
        <f>IFERROR(INDEX(Product_lookup[Category],MATCH(RawWorking[[#This Row],[ProductID]],Product_lookup[ProductID],0)),"")</f>
        <v>Electronics</v>
      </c>
      <c r="L1832" s="9">
        <f>IF(OR(RawWorking[[#This Row],[ShipDate]]="",RawWorking[[#This Row],[DeliveryDate]]=""),"",RawWorking[[#This Row],[DeliveryDate]]-RawWorking[[#This Row],[ShipDate]])</f>
        <v>4</v>
      </c>
      <c r="M1832" s="9">
        <f>IF(COUNTIF(INDEX(RawWorking[OrderID],1):RawWorking[[#This Row],[OrderID]],RawWorking[[#This Row],[OrderID]])=1,1,0)</f>
        <v>1</v>
      </c>
      <c r="N1832" s="4">
        <f>IFERROR(RawWorking[[#This Row],[LineAmount]]/RawWorking[[#This Row],[Quantity]],"")</f>
        <v>183.74</v>
      </c>
    </row>
    <row r="1833" spans="1:14">
      <c r="A1833">
        <v>51832</v>
      </c>
      <c r="B1833">
        <v>31061</v>
      </c>
      <c r="C1833" s="2">
        <v>45870</v>
      </c>
      <c r="D1833">
        <v>2586</v>
      </c>
      <c r="E1833">
        <v>1003</v>
      </c>
      <c r="F1833">
        <v>2</v>
      </c>
      <c r="G1833">
        <v>448.74</v>
      </c>
      <c r="H1833" s="2">
        <v>45871</v>
      </c>
      <c r="I1833" s="2">
        <v>45880</v>
      </c>
      <c r="J1833" t="s">
        <v>9</v>
      </c>
      <c r="K1833" s="2" t="str">
        <f>IFERROR(INDEX(Product_lookup[Category],MATCH(RawWorking[[#This Row],[ProductID]],Product_lookup[ProductID],0)),"")</f>
        <v>Electronics</v>
      </c>
      <c r="L1833" s="9">
        <f>IF(OR(RawWorking[[#This Row],[ShipDate]]="",RawWorking[[#This Row],[DeliveryDate]]=""),"",RawWorking[[#This Row],[DeliveryDate]]-RawWorking[[#This Row],[ShipDate]])</f>
        <v>9</v>
      </c>
      <c r="M1833" s="9">
        <f>IF(COUNTIF(INDEX(RawWorking[OrderID],1):RawWorking[[#This Row],[OrderID]],RawWorking[[#This Row],[OrderID]])=1,1,0)</f>
        <v>1</v>
      </c>
      <c r="N1833" s="4">
        <f>IFERROR(RawWorking[[#This Row],[LineAmount]]/RawWorking[[#This Row],[Quantity]],"")</f>
        <v>224.37</v>
      </c>
    </row>
    <row r="1834" spans="1:14">
      <c r="A1834">
        <v>51833</v>
      </c>
      <c r="B1834">
        <v>31061</v>
      </c>
      <c r="C1834" s="2">
        <v>45665</v>
      </c>
      <c r="D1834">
        <v>2586</v>
      </c>
      <c r="E1834">
        <v>1016</v>
      </c>
      <c r="F1834">
        <v>1</v>
      </c>
      <c r="G1834">
        <v>65.260000000000005</v>
      </c>
      <c r="H1834" s="2">
        <v>45871</v>
      </c>
      <c r="I1834" s="2">
        <v>45878</v>
      </c>
      <c r="J1834" t="s">
        <v>9</v>
      </c>
      <c r="K1834" s="2" t="str">
        <f>IFERROR(INDEX(Product_lookup[Category],MATCH(RawWorking[[#This Row],[ProductID]],Product_lookup[ProductID],0)),"")</f>
        <v>Sports</v>
      </c>
      <c r="L1834" s="9">
        <f>IF(OR(RawWorking[[#This Row],[ShipDate]]="",RawWorking[[#This Row],[DeliveryDate]]=""),"",RawWorking[[#This Row],[DeliveryDate]]-RawWorking[[#This Row],[ShipDate]])</f>
        <v>7</v>
      </c>
      <c r="M1834" s="9">
        <f>IF(COUNTIF(INDEX(RawWorking[OrderID],1):RawWorking[[#This Row],[OrderID]],RawWorking[[#This Row],[OrderID]])=1,1,0)</f>
        <v>0</v>
      </c>
      <c r="N1834" s="4">
        <f>IFERROR(RawWorking[[#This Row],[LineAmount]]/RawWorking[[#This Row],[Quantity]],"")</f>
        <v>65.260000000000005</v>
      </c>
    </row>
    <row r="1835" spans="1:14">
      <c r="A1835">
        <v>51834</v>
      </c>
      <c r="B1835">
        <v>31062</v>
      </c>
      <c r="C1835" s="2">
        <v>45976</v>
      </c>
      <c r="D1835">
        <v>2295</v>
      </c>
      <c r="E1835">
        <v>1011</v>
      </c>
      <c r="F1835">
        <v>1</v>
      </c>
      <c r="G1835">
        <v>101.44</v>
      </c>
      <c r="H1835" s="2">
        <v>45977</v>
      </c>
      <c r="I1835" s="2">
        <v>45982</v>
      </c>
      <c r="J1835" t="s">
        <v>9</v>
      </c>
      <c r="K1835" s="2" t="str">
        <f>IFERROR(INDEX(Product_lookup[Category],MATCH(RawWorking[[#This Row],[ProductID]],Product_lookup[ProductID],0)),"")</f>
        <v>Office</v>
      </c>
      <c r="L1835" s="9">
        <f>IF(OR(RawWorking[[#This Row],[ShipDate]]="",RawWorking[[#This Row],[DeliveryDate]]=""),"",RawWorking[[#This Row],[DeliveryDate]]-RawWorking[[#This Row],[ShipDate]])</f>
        <v>5</v>
      </c>
      <c r="M1835" s="9">
        <f>IF(COUNTIF(INDEX(RawWorking[OrderID],1):RawWorking[[#This Row],[OrderID]],RawWorking[[#This Row],[OrderID]])=1,1,0)</f>
        <v>1</v>
      </c>
      <c r="N1835" s="4">
        <f>IFERROR(RawWorking[[#This Row],[LineAmount]]/RawWorking[[#This Row],[Quantity]],"")</f>
        <v>101.44</v>
      </c>
    </row>
    <row r="1836" spans="1:14">
      <c r="A1836">
        <v>51835</v>
      </c>
      <c r="B1836">
        <v>31062</v>
      </c>
      <c r="C1836" s="2">
        <v>45976</v>
      </c>
      <c r="D1836">
        <v>2295</v>
      </c>
      <c r="E1836">
        <v>1009</v>
      </c>
      <c r="F1836">
        <v>1</v>
      </c>
      <c r="G1836">
        <v>40.28</v>
      </c>
      <c r="H1836" s="2">
        <v>45979</v>
      </c>
      <c r="I1836" s="2">
        <v>45988</v>
      </c>
      <c r="J1836" t="s">
        <v>9</v>
      </c>
      <c r="K1836" s="2" t="str">
        <f>IFERROR(INDEX(Product_lookup[Category],MATCH(RawWorking[[#This Row],[ProductID]],Product_lookup[ProductID],0)),"")</f>
        <v>Home</v>
      </c>
      <c r="L1836" s="9">
        <f>IF(OR(RawWorking[[#This Row],[ShipDate]]="",RawWorking[[#This Row],[DeliveryDate]]=""),"",RawWorking[[#This Row],[DeliveryDate]]-RawWorking[[#This Row],[ShipDate]])</f>
        <v>9</v>
      </c>
      <c r="M1836" s="9">
        <f>IF(COUNTIF(INDEX(RawWorking[OrderID],1):RawWorking[[#This Row],[OrderID]],RawWorking[[#This Row],[OrderID]])=1,1,0)</f>
        <v>0</v>
      </c>
      <c r="N1836" s="4">
        <f>IFERROR(RawWorking[[#This Row],[LineAmount]]/RawWorking[[#This Row],[Quantity]],"")</f>
        <v>40.28</v>
      </c>
    </row>
    <row r="1837" spans="1:14">
      <c r="A1837">
        <v>51836</v>
      </c>
      <c r="B1837">
        <v>31063</v>
      </c>
      <c r="C1837" s="2">
        <v>45768</v>
      </c>
      <c r="D1837">
        <v>2539</v>
      </c>
      <c r="E1837">
        <v>1012</v>
      </c>
      <c r="F1837">
        <v>1</v>
      </c>
      <c r="G1837">
        <v>241.54</v>
      </c>
      <c r="H1837" s="2">
        <v>45771</v>
      </c>
      <c r="I1837" s="2">
        <v>45778</v>
      </c>
      <c r="J1837" t="s">
        <v>9</v>
      </c>
      <c r="K1837" s="2" t="str">
        <f>IFERROR(INDEX(Product_lookup[Category],MATCH(RawWorking[[#This Row],[ProductID]],Product_lookup[ProductID],0)),"")</f>
        <v>Office</v>
      </c>
      <c r="L1837" s="9">
        <f>IF(OR(RawWorking[[#This Row],[ShipDate]]="",RawWorking[[#This Row],[DeliveryDate]]=""),"",RawWorking[[#This Row],[DeliveryDate]]-RawWorking[[#This Row],[ShipDate]])</f>
        <v>7</v>
      </c>
      <c r="M1837" s="9">
        <f>IF(COUNTIF(INDEX(RawWorking[OrderID],1):RawWorking[[#This Row],[OrderID]],RawWorking[[#This Row],[OrderID]])=1,1,0)</f>
        <v>1</v>
      </c>
      <c r="N1837" s="4">
        <f>IFERROR(RawWorking[[#This Row],[LineAmount]]/RawWorking[[#This Row],[Quantity]],"")</f>
        <v>241.54</v>
      </c>
    </row>
    <row r="1838" spans="1:14">
      <c r="A1838">
        <v>51837</v>
      </c>
      <c r="B1838">
        <v>31063</v>
      </c>
      <c r="C1838" s="2">
        <v>45768</v>
      </c>
      <c r="D1838">
        <v>2539</v>
      </c>
      <c r="E1838">
        <v>1005</v>
      </c>
      <c r="F1838">
        <v>1</v>
      </c>
      <c r="G1838">
        <v>31.73</v>
      </c>
      <c r="H1838" s="2">
        <v>45769</v>
      </c>
      <c r="I1838" s="2">
        <v>45772</v>
      </c>
      <c r="J1838" t="s">
        <v>9</v>
      </c>
      <c r="K1838" s="2" t="str">
        <f>IFERROR(INDEX(Product_lookup[Category],MATCH(RawWorking[[#This Row],[ProductID]],Product_lookup[ProductID],0)),"")</f>
        <v>Electronics</v>
      </c>
      <c r="L1838" s="9">
        <f>IF(OR(RawWorking[[#This Row],[ShipDate]]="",RawWorking[[#This Row],[DeliveryDate]]=""),"",RawWorking[[#This Row],[DeliveryDate]]-RawWorking[[#This Row],[ShipDate]])</f>
        <v>3</v>
      </c>
      <c r="M1838" s="9">
        <f>IF(COUNTIF(INDEX(RawWorking[OrderID],1):RawWorking[[#This Row],[OrderID]],RawWorking[[#This Row],[OrderID]])=1,1,0)</f>
        <v>0</v>
      </c>
      <c r="N1838" s="4">
        <f>IFERROR(RawWorking[[#This Row],[LineAmount]]/RawWorking[[#This Row],[Quantity]],"")</f>
        <v>31.73</v>
      </c>
    </row>
    <row r="1839" spans="1:14">
      <c r="A1839">
        <v>51838</v>
      </c>
      <c r="B1839">
        <v>31063</v>
      </c>
      <c r="C1839" s="2">
        <v>45768</v>
      </c>
      <c r="D1839">
        <v>2539</v>
      </c>
      <c r="E1839">
        <v>1016</v>
      </c>
      <c r="F1839">
        <v>1</v>
      </c>
      <c r="G1839">
        <v>65.260000000000005</v>
      </c>
      <c r="H1839" s="2">
        <v>45769</v>
      </c>
      <c r="I1839" s="2">
        <v>45776</v>
      </c>
      <c r="J1839" t="s">
        <v>9</v>
      </c>
      <c r="K1839" s="2" t="str">
        <f>IFERROR(INDEX(Product_lookup[Category],MATCH(RawWorking[[#This Row],[ProductID]],Product_lookup[ProductID],0)),"")</f>
        <v>Sports</v>
      </c>
      <c r="L1839" s="9">
        <f>IF(OR(RawWorking[[#This Row],[ShipDate]]="",RawWorking[[#This Row],[DeliveryDate]]=""),"",RawWorking[[#This Row],[DeliveryDate]]-RawWorking[[#This Row],[ShipDate]])</f>
        <v>7</v>
      </c>
      <c r="M1839" s="9">
        <f>IF(COUNTIF(INDEX(RawWorking[OrderID],1):RawWorking[[#This Row],[OrderID]],RawWorking[[#This Row],[OrderID]])=1,1,0)</f>
        <v>0</v>
      </c>
      <c r="N1839" s="4">
        <f>IFERROR(RawWorking[[#This Row],[LineAmount]]/RawWorking[[#This Row],[Quantity]],"")</f>
        <v>65.260000000000005</v>
      </c>
    </row>
    <row r="1840" spans="1:14">
      <c r="A1840">
        <v>51839</v>
      </c>
      <c r="B1840">
        <v>31064</v>
      </c>
      <c r="C1840" s="2">
        <v>45889</v>
      </c>
      <c r="D1840">
        <v>2533</v>
      </c>
      <c r="E1840">
        <v>1016</v>
      </c>
      <c r="F1840">
        <v>3</v>
      </c>
      <c r="G1840">
        <v>195.78</v>
      </c>
      <c r="H1840" s="2">
        <v>45890</v>
      </c>
      <c r="I1840" s="2">
        <v>45892</v>
      </c>
      <c r="J1840" t="s">
        <v>9</v>
      </c>
      <c r="K1840" s="2" t="str">
        <f>IFERROR(INDEX(Product_lookup[Category],MATCH(RawWorking[[#This Row],[ProductID]],Product_lookup[ProductID],0)),"")</f>
        <v>Sports</v>
      </c>
      <c r="L1840" s="9">
        <f>IF(OR(RawWorking[[#This Row],[ShipDate]]="",RawWorking[[#This Row],[DeliveryDate]]=""),"",RawWorking[[#This Row],[DeliveryDate]]-RawWorking[[#This Row],[ShipDate]])</f>
        <v>2</v>
      </c>
      <c r="M1840" s="9">
        <f>IF(COUNTIF(INDEX(RawWorking[OrderID],1):RawWorking[[#This Row],[OrderID]],RawWorking[[#This Row],[OrderID]])=1,1,0)</f>
        <v>1</v>
      </c>
      <c r="N1840" s="4">
        <f>IFERROR(RawWorking[[#This Row],[LineAmount]]/RawWorking[[#This Row],[Quantity]],"")</f>
        <v>65.260000000000005</v>
      </c>
    </row>
    <row r="1841" spans="1:14">
      <c r="A1841">
        <v>51840</v>
      </c>
      <c r="B1841">
        <v>31065</v>
      </c>
      <c r="C1841" s="2">
        <v>45823</v>
      </c>
      <c r="D1841">
        <v>2505</v>
      </c>
      <c r="E1841">
        <v>1008</v>
      </c>
      <c r="F1841">
        <v>2</v>
      </c>
      <c r="G1841">
        <v>412.18</v>
      </c>
      <c r="H1841" s="2" t="s">
        <v>1421</v>
      </c>
      <c r="I1841" s="2" t="s">
        <v>1421</v>
      </c>
      <c r="J1841" t="s">
        <v>16</v>
      </c>
      <c r="K1841" s="2" t="str">
        <f>IFERROR(INDEX(Product_lookup[Category],MATCH(RawWorking[[#This Row],[ProductID]],Product_lookup[ProductID],0)),"")</f>
        <v>Home</v>
      </c>
      <c r="L1841" s="9" t="str">
        <f>IF(OR(RawWorking[[#This Row],[ShipDate]]="",RawWorking[[#This Row],[DeliveryDate]]=""),"",RawWorking[[#This Row],[DeliveryDate]]-RawWorking[[#This Row],[ShipDate]])</f>
        <v/>
      </c>
      <c r="M1841" s="9">
        <f>IF(COUNTIF(INDEX(RawWorking[OrderID],1):RawWorking[[#This Row],[OrderID]],RawWorking[[#This Row],[OrderID]])=1,1,0)</f>
        <v>1</v>
      </c>
      <c r="N1841" s="4">
        <f>IFERROR(RawWorking[[#This Row],[LineAmount]]/RawWorking[[#This Row],[Quantity]],"")</f>
        <v>206.09</v>
      </c>
    </row>
    <row r="1842" spans="1:14">
      <c r="A1842">
        <v>51841</v>
      </c>
      <c r="B1842">
        <v>31065</v>
      </c>
      <c r="C1842" s="2">
        <v>45823</v>
      </c>
      <c r="D1842">
        <v>2505</v>
      </c>
      <c r="E1842">
        <v>1007</v>
      </c>
      <c r="F1842">
        <v>1</v>
      </c>
      <c r="G1842">
        <v>199.81</v>
      </c>
      <c r="H1842" s="2">
        <v>45824</v>
      </c>
      <c r="I1842" s="2" t="s">
        <v>1421</v>
      </c>
      <c r="J1842" t="s">
        <v>16</v>
      </c>
      <c r="K1842" s="2" t="str">
        <f>IFERROR(INDEX(Product_lookup[Category],MATCH(RawWorking[[#This Row],[ProductID]],Product_lookup[ProductID],0)),"")</f>
        <v>Home</v>
      </c>
      <c r="L1842" s="9" t="str">
        <f>IF(OR(RawWorking[[#This Row],[ShipDate]]="",RawWorking[[#This Row],[DeliveryDate]]=""),"",RawWorking[[#This Row],[DeliveryDate]]-RawWorking[[#This Row],[ShipDate]])</f>
        <v/>
      </c>
      <c r="M1842" s="9">
        <f>IF(COUNTIF(INDEX(RawWorking[OrderID],1):RawWorking[[#This Row],[OrderID]],RawWorking[[#This Row],[OrderID]])=1,1,0)</f>
        <v>0</v>
      </c>
      <c r="N1842" s="4">
        <f>IFERROR(RawWorking[[#This Row],[LineAmount]]/RawWorking[[#This Row],[Quantity]],"")</f>
        <v>199.81</v>
      </c>
    </row>
    <row r="1843" spans="1:14">
      <c r="A1843">
        <v>51842</v>
      </c>
      <c r="B1843">
        <v>31065</v>
      </c>
      <c r="C1843" s="2">
        <v>45823</v>
      </c>
      <c r="D1843">
        <v>2505</v>
      </c>
      <c r="E1843">
        <v>1001</v>
      </c>
      <c r="F1843">
        <v>2</v>
      </c>
      <c r="G1843">
        <v>406.08</v>
      </c>
      <c r="H1843" s="2" t="s">
        <v>1421</v>
      </c>
      <c r="I1843" s="2" t="s">
        <v>1421</v>
      </c>
      <c r="J1843" t="s">
        <v>16</v>
      </c>
      <c r="K1843" s="2" t="str">
        <f>IFERROR(INDEX(Product_lookup[Category],MATCH(RawWorking[[#This Row],[ProductID]],Product_lookup[ProductID],0)),"")</f>
        <v>Electronics</v>
      </c>
      <c r="L1843" s="9" t="str">
        <f>IF(OR(RawWorking[[#This Row],[ShipDate]]="",RawWorking[[#This Row],[DeliveryDate]]=""),"",RawWorking[[#This Row],[DeliveryDate]]-RawWorking[[#This Row],[ShipDate]])</f>
        <v/>
      </c>
      <c r="M1843" s="9">
        <f>IF(COUNTIF(INDEX(RawWorking[OrderID],1):RawWorking[[#This Row],[OrderID]],RawWorking[[#This Row],[OrderID]])=1,1,0)</f>
        <v>0</v>
      </c>
      <c r="N1843" s="4">
        <f>IFERROR(RawWorking[[#This Row],[LineAmount]]/RawWorking[[#This Row],[Quantity]],"")</f>
        <v>203.04</v>
      </c>
    </row>
    <row r="1844" spans="1:14">
      <c r="A1844">
        <v>51843</v>
      </c>
      <c r="B1844">
        <v>31066</v>
      </c>
      <c r="C1844" s="2">
        <v>45774</v>
      </c>
      <c r="D1844">
        <v>2121</v>
      </c>
      <c r="E1844">
        <v>1007</v>
      </c>
      <c r="F1844">
        <v>1</v>
      </c>
      <c r="G1844">
        <v>199.81</v>
      </c>
      <c r="H1844" s="2">
        <v>45775</v>
      </c>
      <c r="I1844" s="2">
        <v>45785</v>
      </c>
      <c r="J1844" t="s">
        <v>9</v>
      </c>
      <c r="K1844" s="2" t="str">
        <f>IFERROR(INDEX(Product_lookup[Category],MATCH(RawWorking[[#This Row],[ProductID]],Product_lookup[ProductID],0)),"")</f>
        <v>Home</v>
      </c>
      <c r="L1844" s="9">
        <f>IF(OR(RawWorking[[#This Row],[ShipDate]]="",RawWorking[[#This Row],[DeliveryDate]]=""),"",RawWorking[[#This Row],[DeliveryDate]]-RawWorking[[#This Row],[ShipDate]])</f>
        <v>10</v>
      </c>
      <c r="M1844" s="9">
        <f>IF(COUNTIF(INDEX(RawWorking[OrderID],1):RawWorking[[#This Row],[OrderID]],RawWorking[[#This Row],[OrderID]])=1,1,0)</f>
        <v>1</v>
      </c>
      <c r="N1844" s="4">
        <f>IFERROR(RawWorking[[#This Row],[LineAmount]]/RawWorking[[#This Row],[Quantity]],"")</f>
        <v>199.81</v>
      </c>
    </row>
    <row r="1845" spans="1:14">
      <c r="A1845">
        <v>51844</v>
      </c>
      <c r="B1845">
        <v>31067</v>
      </c>
      <c r="C1845" s="2">
        <v>45786</v>
      </c>
      <c r="D1845">
        <v>2425</v>
      </c>
      <c r="E1845">
        <v>1011</v>
      </c>
      <c r="F1845">
        <v>1</v>
      </c>
      <c r="G1845">
        <v>101.44</v>
      </c>
      <c r="H1845" s="2">
        <v>45788</v>
      </c>
      <c r="I1845" s="2">
        <v>45795</v>
      </c>
      <c r="J1845" t="s">
        <v>9</v>
      </c>
      <c r="K1845" s="2" t="str">
        <f>IFERROR(INDEX(Product_lookup[Category],MATCH(RawWorking[[#This Row],[ProductID]],Product_lookup[ProductID],0)),"")</f>
        <v>Office</v>
      </c>
      <c r="L1845" s="9">
        <f>IF(OR(RawWorking[[#This Row],[ShipDate]]="",RawWorking[[#This Row],[DeliveryDate]]=""),"",RawWorking[[#This Row],[DeliveryDate]]-RawWorking[[#This Row],[ShipDate]])</f>
        <v>7</v>
      </c>
      <c r="M1845" s="9">
        <f>IF(COUNTIF(INDEX(RawWorking[OrderID],1):RawWorking[[#This Row],[OrderID]],RawWorking[[#This Row],[OrderID]])=1,1,0)</f>
        <v>1</v>
      </c>
      <c r="N1845" s="4">
        <f>IFERROR(RawWorking[[#This Row],[LineAmount]]/RawWorking[[#This Row],[Quantity]],"")</f>
        <v>101.44</v>
      </c>
    </row>
    <row r="1846" spans="1:14">
      <c r="A1846">
        <v>51845</v>
      </c>
      <c r="B1846">
        <v>31067</v>
      </c>
      <c r="C1846" s="2">
        <v>45786</v>
      </c>
      <c r="D1846">
        <v>2425</v>
      </c>
      <c r="E1846">
        <v>1012</v>
      </c>
      <c r="F1846">
        <v>2</v>
      </c>
      <c r="G1846">
        <v>483.08</v>
      </c>
      <c r="H1846" s="2">
        <v>45788</v>
      </c>
      <c r="I1846" s="2">
        <v>45790</v>
      </c>
      <c r="J1846" t="s">
        <v>9</v>
      </c>
      <c r="K1846" s="2" t="str">
        <f>IFERROR(INDEX(Product_lookup[Category],MATCH(RawWorking[[#This Row],[ProductID]],Product_lookup[ProductID],0)),"")</f>
        <v>Office</v>
      </c>
      <c r="L1846" s="9">
        <f>IF(OR(RawWorking[[#This Row],[ShipDate]]="",RawWorking[[#This Row],[DeliveryDate]]=""),"",RawWorking[[#This Row],[DeliveryDate]]-RawWorking[[#This Row],[ShipDate]])</f>
        <v>2</v>
      </c>
      <c r="M1846" s="9">
        <f>IF(COUNTIF(INDEX(RawWorking[OrderID],1):RawWorking[[#This Row],[OrderID]],RawWorking[[#This Row],[OrderID]])=1,1,0)</f>
        <v>0</v>
      </c>
      <c r="N1846" s="4">
        <f>IFERROR(RawWorking[[#This Row],[LineAmount]]/RawWorking[[#This Row],[Quantity]],"")</f>
        <v>241.54</v>
      </c>
    </row>
    <row r="1847" spans="1:14">
      <c r="A1847">
        <v>51846</v>
      </c>
      <c r="B1847">
        <v>31068</v>
      </c>
      <c r="C1847" s="2">
        <v>46000</v>
      </c>
      <c r="D1847">
        <v>2574</v>
      </c>
      <c r="E1847">
        <v>1007</v>
      </c>
      <c r="F1847">
        <v>2</v>
      </c>
      <c r="G1847">
        <v>399.62</v>
      </c>
      <c r="H1847" s="2">
        <v>46001</v>
      </c>
      <c r="I1847" s="2" t="s">
        <v>1421</v>
      </c>
      <c r="J1847" t="s">
        <v>16</v>
      </c>
      <c r="K1847" s="2" t="str">
        <f>IFERROR(INDEX(Product_lookup[Category],MATCH(RawWorking[[#This Row],[ProductID]],Product_lookup[ProductID],0)),"")</f>
        <v>Home</v>
      </c>
      <c r="L1847" s="9" t="str">
        <f>IF(OR(RawWorking[[#This Row],[ShipDate]]="",RawWorking[[#This Row],[DeliveryDate]]=""),"",RawWorking[[#This Row],[DeliveryDate]]-RawWorking[[#This Row],[ShipDate]])</f>
        <v/>
      </c>
      <c r="M1847" s="9">
        <f>IF(COUNTIF(INDEX(RawWorking[OrderID],1):RawWorking[[#This Row],[OrderID]],RawWorking[[#This Row],[OrderID]])=1,1,0)</f>
        <v>1</v>
      </c>
      <c r="N1847" s="4">
        <f>IFERROR(RawWorking[[#This Row],[LineAmount]]/RawWorking[[#This Row],[Quantity]],"")</f>
        <v>199.81</v>
      </c>
    </row>
    <row r="1848" spans="1:14">
      <c r="A1848">
        <v>51847</v>
      </c>
      <c r="B1848">
        <v>31069</v>
      </c>
      <c r="C1848" s="2">
        <v>45908</v>
      </c>
      <c r="D1848">
        <v>2207</v>
      </c>
      <c r="E1848">
        <v>1009</v>
      </c>
      <c r="F1848">
        <v>1</v>
      </c>
      <c r="G1848">
        <v>40.28</v>
      </c>
      <c r="H1848" s="2">
        <v>45910</v>
      </c>
      <c r="I1848" s="2">
        <v>45913</v>
      </c>
      <c r="J1848" t="s">
        <v>9</v>
      </c>
      <c r="K1848" s="2" t="str">
        <f>IFERROR(INDEX(Product_lookup[Category],MATCH(RawWorking[[#This Row],[ProductID]],Product_lookup[ProductID],0)),"")</f>
        <v>Home</v>
      </c>
      <c r="L1848" s="9">
        <f>IF(OR(RawWorking[[#This Row],[ShipDate]]="",RawWorking[[#This Row],[DeliveryDate]]=""),"",RawWorking[[#This Row],[DeliveryDate]]-RawWorking[[#This Row],[ShipDate]])</f>
        <v>3</v>
      </c>
      <c r="M1848" s="9">
        <f>IF(COUNTIF(INDEX(RawWorking[OrderID],1):RawWorking[[#This Row],[OrderID]],RawWorking[[#This Row],[OrderID]])=1,1,0)</f>
        <v>1</v>
      </c>
      <c r="N1848" s="4">
        <f>IFERROR(RawWorking[[#This Row],[LineAmount]]/RawWorking[[#This Row],[Quantity]],"")</f>
        <v>40.28</v>
      </c>
    </row>
    <row r="1849" spans="1:14">
      <c r="A1849">
        <v>51848</v>
      </c>
      <c r="B1849">
        <v>31069</v>
      </c>
      <c r="C1849" s="2">
        <v>45878</v>
      </c>
      <c r="D1849">
        <v>2207</v>
      </c>
      <c r="E1849">
        <v>1003</v>
      </c>
      <c r="F1849">
        <v>1</v>
      </c>
      <c r="G1849">
        <v>224.37</v>
      </c>
      <c r="H1849" s="2">
        <v>45909</v>
      </c>
      <c r="I1849" s="2">
        <v>45910</v>
      </c>
      <c r="J1849" t="s">
        <v>9</v>
      </c>
      <c r="K1849" s="2" t="str">
        <f>IFERROR(INDEX(Product_lookup[Category],MATCH(RawWorking[[#This Row],[ProductID]],Product_lookup[ProductID],0)),"")</f>
        <v>Electronics</v>
      </c>
      <c r="L1849" s="9">
        <f>IF(OR(RawWorking[[#This Row],[ShipDate]]="",RawWorking[[#This Row],[DeliveryDate]]=""),"",RawWorking[[#This Row],[DeliveryDate]]-RawWorking[[#This Row],[ShipDate]])</f>
        <v>1</v>
      </c>
      <c r="M1849" s="9">
        <f>IF(COUNTIF(INDEX(RawWorking[OrderID],1):RawWorking[[#This Row],[OrderID]],RawWorking[[#This Row],[OrderID]])=1,1,0)</f>
        <v>0</v>
      </c>
      <c r="N1849" s="4">
        <f>IFERROR(RawWorking[[#This Row],[LineAmount]]/RawWorking[[#This Row],[Quantity]],"")</f>
        <v>224.37</v>
      </c>
    </row>
    <row r="1850" spans="1:14">
      <c r="A1850">
        <v>51849</v>
      </c>
      <c r="B1850">
        <v>31070</v>
      </c>
      <c r="C1850" s="2">
        <v>45732</v>
      </c>
      <c r="D1850">
        <v>2316</v>
      </c>
      <c r="E1850">
        <v>1011</v>
      </c>
      <c r="F1850">
        <v>1</v>
      </c>
      <c r="G1850">
        <v>101.44</v>
      </c>
      <c r="H1850" s="2">
        <v>45733</v>
      </c>
      <c r="I1850" s="2">
        <v>45736</v>
      </c>
      <c r="J1850" t="s">
        <v>9</v>
      </c>
      <c r="K1850" s="2" t="str">
        <f>IFERROR(INDEX(Product_lookup[Category],MATCH(RawWorking[[#This Row],[ProductID]],Product_lookup[ProductID],0)),"")</f>
        <v>Office</v>
      </c>
      <c r="L1850" s="9">
        <f>IF(OR(RawWorking[[#This Row],[ShipDate]]="",RawWorking[[#This Row],[DeliveryDate]]=""),"",RawWorking[[#This Row],[DeliveryDate]]-RawWorking[[#This Row],[ShipDate]])</f>
        <v>3</v>
      </c>
      <c r="M1850" s="9">
        <f>IF(COUNTIF(INDEX(RawWorking[OrderID],1):RawWorking[[#This Row],[OrderID]],RawWorking[[#This Row],[OrderID]])=1,1,0)</f>
        <v>1</v>
      </c>
      <c r="N1850" s="4">
        <f>IFERROR(RawWorking[[#This Row],[LineAmount]]/RawWorking[[#This Row],[Quantity]],"")</f>
        <v>101.44</v>
      </c>
    </row>
    <row r="1851" spans="1:14">
      <c r="A1851">
        <v>51850</v>
      </c>
      <c r="B1851">
        <v>31070</v>
      </c>
      <c r="C1851" s="2">
        <v>45732</v>
      </c>
      <c r="D1851">
        <v>2316</v>
      </c>
      <c r="E1851">
        <v>1001</v>
      </c>
      <c r="F1851">
        <v>1</v>
      </c>
      <c r="G1851">
        <v>203.04</v>
      </c>
      <c r="H1851" s="2">
        <v>45735</v>
      </c>
      <c r="I1851" s="2">
        <v>45740</v>
      </c>
      <c r="J1851" t="s">
        <v>9</v>
      </c>
      <c r="K1851" s="2" t="str">
        <f>IFERROR(INDEX(Product_lookup[Category],MATCH(RawWorking[[#This Row],[ProductID]],Product_lookup[ProductID],0)),"")</f>
        <v>Electronics</v>
      </c>
      <c r="L1851" s="9">
        <f>IF(OR(RawWorking[[#This Row],[ShipDate]]="",RawWorking[[#This Row],[DeliveryDate]]=""),"",RawWorking[[#This Row],[DeliveryDate]]-RawWorking[[#This Row],[ShipDate]])</f>
        <v>5</v>
      </c>
      <c r="M1851" s="9">
        <f>IF(COUNTIF(INDEX(RawWorking[OrderID],1):RawWorking[[#This Row],[OrderID]],RawWorking[[#This Row],[OrderID]])=1,1,0)</f>
        <v>0</v>
      </c>
      <c r="N1851" s="4">
        <f>IFERROR(RawWorking[[#This Row],[LineAmount]]/RawWorking[[#This Row],[Quantity]],"")</f>
        <v>203.04</v>
      </c>
    </row>
    <row r="1852" spans="1:14">
      <c r="A1852">
        <v>51851</v>
      </c>
      <c r="B1852">
        <v>31071</v>
      </c>
      <c r="C1852" s="2">
        <v>45836</v>
      </c>
      <c r="D1852">
        <v>2117</v>
      </c>
      <c r="E1852">
        <v>1011</v>
      </c>
      <c r="F1852">
        <v>3</v>
      </c>
      <c r="G1852">
        <v>304.32</v>
      </c>
      <c r="H1852" s="2">
        <v>45838</v>
      </c>
      <c r="I1852" s="2">
        <v>45842</v>
      </c>
      <c r="J1852" t="s">
        <v>9</v>
      </c>
      <c r="K1852" s="2" t="str">
        <f>IFERROR(INDEX(Product_lookup[Category],MATCH(RawWorking[[#This Row],[ProductID]],Product_lookup[ProductID],0)),"")</f>
        <v>Office</v>
      </c>
      <c r="L1852" s="9">
        <f>IF(OR(RawWorking[[#This Row],[ShipDate]]="",RawWorking[[#This Row],[DeliveryDate]]=""),"",RawWorking[[#This Row],[DeliveryDate]]-RawWorking[[#This Row],[ShipDate]])</f>
        <v>4</v>
      </c>
      <c r="M1852" s="9">
        <f>IF(COUNTIF(INDEX(RawWorking[OrderID],1):RawWorking[[#This Row],[OrderID]],RawWorking[[#This Row],[OrderID]])=1,1,0)</f>
        <v>1</v>
      </c>
      <c r="N1852" s="4">
        <f>IFERROR(RawWorking[[#This Row],[LineAmount]]/RawWorking[[#This Row],[Quantity]],"")</f>
        <v>101.44</v>
      </c>
    </row>
    <row r="1853" spans="1:14">
      <c r="A1853">
        <v>51852</v>
      </c>
      <c r="B1853">
        <v>31072</v>
      </c>
      <c r="C1853" s="2">
        <v>45727</v>
      </c>
      <c r="D1853">
        <v>2406</v>
      </c>
      <c r="E1853">
        <v>1001</v>
      </c>
      <c r="F1853">
        <v>2</v>
      </c>
      <c r="G1853">
        <v>406.08</v>
      </c>
      <c r="H1853" s="2">
        <v>45965</v>
      </c>
      <c r="I1853" s="2">
        <v>45972</v>
      </c>
      <c r="J1853" t="s">
        <v>9</v>
      </c>
      <c r="K1853" s="2" t="str">
        <f>IFERROR(INDEX(Product_lookup[Category],MATCH(RawWorking[[#This Row],[ProductID]],Product_lookup[ProductID],0)),"")</f>
        <v>Electronics</v>
      </c>
      <c r="L1853" s="9">
        <f>IF(OR(RawWorking[[#This Row],[ShipDate]]="",RawWorking[[#This Row],[DeliveryDate]]=""),"",RawWorking[[#This Row],[DeliveryDate]]-RawWorking[[#This Row],[ShipDate]])</f>
        <v>7</v>
      </c>
      <c r="M1853" s="9">
        <f>IF(COUNTIF(INDEX(RawWorking[OrderID],1):RawWorking[[#This Row],[OrderID]],RawWorking[[#This Row],[OrderID]])=1,1,0)</f>
        <v>1</v>
      </c>
      <c r="N1853" s="4">
        <f>IFERROR(RawWorking[[#This Row],[LineAmount]]/RawWorking[[#This Row],[Quantity]],"")</f>
        <v>203.04</v>
      </c>
    </row>
    <row r="1854" spans="1:14">
      <c r="A1854">
        <v>51853</v>
      </c>
      <c r="B1854">
        <v>31072</v>
      </c>
      <c r="C1854" s="2">
        <v>45964</v>
      </c>
      <c r="D1854">
        <v>2406</v>
      </c>
      <c r="E1854">
        <v>1006</v>
      </c>
      <c r="F1854">
        <v>2</v>
      </c>
      <c r="G1854">
        <v>507.72</v>
      </c>
      <c r="H1854" s="2">
        <v>45967</v>
      </c>
      <c r="I1854" s="2">
        <v>45972</v>
      </c>
      <c r="J1854" t="s">
        <v>9</v>
      </c>
      <c r="K1854" s="2" t="str">
        <f>IFERROR(INDEX(Product_lookup[Category],MATCH(RawWorking[[#This Row],[ProductID]],Product_lookup[ProductID],0)),"")</f>
        <v>Home</v>
      </c>
      <c r="L1854" s="9">
        <f>IF(OR(RawWorking[[#This Row],[ShipDate]]="",RawWorking[[#This Row],[DeliveryDate]]=""),"",RawWorking[[#This Row],[DeliveryDate]]-RawWorking[[#This Row],[ShipDate]])</f>
        <v>5</v>
      </c>
      <c r="M1854" s="9">
        <f>IF(COUNTIF(INDEX(RawWorking[OrderID],1):RawWorking[[#This Row],[OrderID]],RawWorking[[#This Row],[OrderID]])=1,1,0)</f>
        <v>0</v>
      </c>
      <c r="N1854" s="4">
        <f>IFERROR(RawWorking[[#This Row],[LineAmount]]/RawWorking[[#This Row],[Quantity]],"")</f>
        <v>253.86</v>
      </c>
    </row>
    <row r="1855" spans="1:14">
      <c r="A1855">
        <v>51854</v>
      </c>
      <c r="B1855">
        <v>31072</v>
      </c>
      <c r="C1855" s="2">
        <v>45964</v>
      </c>
      <c r="D1855">
        <v>2406</v>
      </c>
      <c r="E1855">
        <v>1007</v>
      </c>
      <c r="F1855">
        <v>1</v>
      </c>
      <c r="G1855">
        <v>199.81</v>
      </c>
      <c r="H1855" s="2">
        <v>45967</v>
      </c>
      <c r="I1855" s="2">
        <v>45973</v>
      </c>
      <c r="J1855" t="s">
        <v>9</v>
      </c>
      <c r="K1855" s="2" t="str">
        <f>IFERROR(INDEX(Product_lookup[Category],MATCH(RawWorking[[#This Row],[ProductID]],Product_lookup[ProductID],0)),"")</f>
        <v>Home</v>
      </c>
      <c r="L1855" s="9">
        <f>IF(OR(RawWorking[[#This Row],[ShipDate]]="",RawWorking[[#This Row],[DeliveryDate]]=""),"",RawWorking[[#This Row],[DeliveryDate]]-RawWorking[[#This Row],[ShipDate]])</f>
        <v>6</v>
      </c>
      <c r="M1855" s="9">
        <f>IF(COUNTIF(INDEX(RawWorking[OrderID],1):RawWorking[[#This Row],[OrderID]],RawWorking[[#This Row],[OrderID]])=1,1,0)</f>
        <v>0</v>
      </c>
      <c r="N1855" s="4">
        <f>IFERROR(RawWorking[[#This Row],[LineAmount]]/RawWorking[[#This Row],[Quantity]],"")</f>
        <v>199.81</v>
      </c>
    </row>
    <row r="1856" spans="1:14">
      <c r="A1856">
        <v>51855</v>
      </c>
      <c r="B1856">
        <v>31073</v>
      </c>
      <c r="C1856" s="2">
        <v>45846</v>
      </c>
      <c r="D1856">
        <v>2339</v>
      </c>
      <c r="E1856">
        <v>1016</v>
      </c>
      <c r="F1856">
        <v>3</v>
      </c>
      <c r="G1856">
        <v>195.78</v>
      </c>
      <c r="H1856" s="2" t="s">
        <v>1421</v>
      </c>
      <c r="I1856" s="2" t="s">
        <v>1421</v>
      </c>
      <c r="J1856" t="s">
        <v>16</v>
      </c>
      <c r="K1856" s="2" t="str">
        <f>IFERROR(INDEX(Product_lookup[Category],MATCH(RawWorking[[#This Row],[ProductID]],Product_lookup[ProductID],0)),"")</f>
        <v>Sports</v>
      </c>
      <c r="L1856" s="9" t="str">
        <f>IF(OR(RawWorking[[#This Row],[ShipDate]]="",RawWorking[[#This Row],[DeliveryDate]]=""),"",RawWorking[[#This Row],[DeliveryDate]]-RawWorking[[#This Row],[ShipDate]])</f>
        <v/>
      </c>
      <c r="M1856" s="9">
        <f>IF(COUNTIF(INDEX(RawWorking[OrderID],1):RawWorking[[#This Row],[OrderID]],RawWorking[[#This Row],[OrderID]])=1,1,0)</f>
        <v>1</v>
      </c>
      <c r="N1856" s="4">
        <f>IFERROR(RawWorking[[#This Row],[LineAmount]]/RawWorking[[#This Row],[Quantity]],"")</f>
        <v>65.260000000000005</v>
      </c>
    </row>
    <row r="1857" spans="1:14">
      <c r="A1857">
        <v>51856</v>
      </c>
      <c r="B1857">
        <v>31074</v>
      </c>
      <c r="C1857" s="2">
        <v>45667</v>
      </c>
      <c r="D1857">
        <v>2037</v>
      </c>
      <c r="E1857">
        <v>1016</v>
      </c>
      <c r="F1857">
        <v>1</v>
      </c>
      <c r="G1857">
        <v>65.260000000000005</v>
      </c>
      <c r="H1857" s="2">
        <v>45668</v>
      </c>
      <c r="I1857" s="2">
        <v>45675</v>
      </c>
      <c r="J1857" t="s">
        <v>9</v>
      </c>
      <c r="K1857" s="2" t="str">
        <f>IFERROR(INDEX(Product_lookup[Category],MATCH(RawWorking[[#This Row],[ProductID]],Product_lookup[ProductID],0)),"")</f>
        <v>Sports</v>
      </c>
      <c r="L1857" s="9">
        <f>IF(OR(RawWorking[[#This Row],[ShipDate]]="",RawWorking[[#This Row],[DeliveryDate]]=""),"",RawWorking[[#This Row],[DeliveryDate]]-RawWorking[[#This Row],[ShipDate]])</f>
        <v>7</v>
      </c>
      <c r="M1857" s="9">
        <f>IF(COUNTIF(INDEX(RawWorking[OrderID],1):RawWorking[[#This Row],[OrderID]],RawWorking[[#This Row],[OrderID]])=1,1,0)</f>
        <v>1</v>
      </c>
      <c r="N1857" s="4">
        <f>IFERROR(RawWorking[[#This Row],[LineAmount]]/RawWorking[[#This Row],[Quantity]],"")</f>
        <v>65.260000000000005</v>
      </c>
    </row>
    <row r="1858" spans="1:14">
      <c r="A1858">
        <v>51857</v>
      </c>
      <c r="B1858">
        <v>31075</v>
      </c>
      <c r="C1858" s="2">
        <v>45744</v>
      </c>
      <c r="D1858">
        <v>2160</v>
      </c>
      <c r="E1858">
        <v>1011</v>
      </c>
      <c r="F1858">
        <v>1</v>
      </c>
      <c r="G1858">
        <v>101.44</v>
      </c>
      <c r="H1858" s="2">
        <v>45745</v>
      </c>
      <c r="I1858" s="2">
        <v>45751</v>
      </c>
      <c r="J1858" t="s">
        <v>9</v>
      </c>
      <c r="K1858" s="2" t="str">
        <f>IFERROR(INDEX(Product_lookup[Category],MATCH(RawWorking[[#This Row],[ProductID]],Product_lookup[ProductID],0)),"")</f>
        <v>Office</v>
      </c>
      <c r="L1858" s="9">
        <f>IF(OR(RawWorking[[#This Row],[ShipDate]]="",RawWorking[[#This Row],[DeliveryDate]]=""),"",RawWorking[[#This Row],[DeliveryDate]]-RawWorking[[#This Row],[ShipDate]])</f>
        <v>6</v>
      </c>
      <c r="M1858" s="9">
        <f>IF(COUNTIF(INDEX(RawWorking[OrderID],1):RawWorking[[#This Row],[OrderID]],RawWorking[[#This Row],[OrderID]])=1,1,0)</f>
        <v>1</v>
      </c>
      <c r="N1858" s="4">
        <f>IFERROR(RawWorking[[#This Row],[LineAmount]]/RawWorking[[#This Row],[Quantity]],"")</f>
        <v>101.44</v>
      </c>
    </row>
    <row r="1859" spans="1:14">
      <c r="A1859">
        <v>51858</v>
      </c>
      <c r="B1859">
        <v>31075</v>
      </c>
      <c r="C1859" s="2">
        <v>45744</v>
      </c>
      <c r="D1859">
        <v>2160</v>
      </c>
      <c r="E1859">
        <v>1015</v>
      </c>
      <c r="F1859">
        <v>2</v>
      </c>
      <c r="G1859">
        <v>239.48</v>
      </c>
      <c r="H1859" s="2">
        <v>45747</v>
      </c>
      <c r="I1859" s="2">
        <v>45749</v>
      </c>
      <c r="J1859" t="s">
        <v>9</v>
      </c>
      <c r="K1859" s="2" t="str">
        <f>IFERROR(INDEX(Product_lookup[Category],MATCH(RawWorking[[#This Row],[ProductID]],Product_lookup[ProductID],0)),"")</f>
        <v>Sports</v>
      </c>
      <c r="L1859" s="9">
        <f>IF(OR(RawWorking[[#This Row],[ShipDate]]="",RawWorking[[#This Row],[DeliveryDate]]=""),"",RawWorking[[#This Row],[DeliveryDate]]-RawWorking[[#This Row],[ShipDate]])</f>
        <v>2</v>
      </c>
      <c r="M1859" s="9">
        <f>IF(COUNTIF(INDEX(RawWorking[OrderID],1):RawWorking[[#This Row],[OrderID]],RawWorking[[#This Row],[OrderID]])=1,1,0)</f>
        <v>0</v>
      </c>
      <c r="N1859" s="4">
        <f>IFERROR(RawWorking[[#This Row],[LineAmount]]/RawWorking[[#This Row],[Quantity]],"")</f>
        <v>119.74</v>
      </c>
    </row>
    <row r="1860" spans="1:14">
      <c r="A1860">
        <v>51859</v>
      </c>
      <c r="B1860">
        <v>31075</v>
      </c>
      <c r="C1860" s="2">
        <v>45744</v>
      </c>
      <c r="D1860">
        <v>2160</v>
      </c>
      <c r="E1860">
        <v>1014</v>
      </c>
      <c r="F1860">
        <v>1</v>
      </c>
      <c r="G1860">
        <v>215.34</v>
      </c>
      <c r="H1860" s="2">
        <v>45745</v>
      </c>
      <c r="I1860" s="2">
        <v>45747</v>
      </c>
      <c r="J1860" t="s">
        <v>9</v>
      </c>
      <c r="K1860" s="2" t="str">
        <f>IFERROR(INDEX(Product_lookup[Category],MATCH(RawWorking[[#This Row],[ProductID]],Product_lookup[ProductID],0)),"")</f>
        <v>Sports</v>
      </c>
      <c r="L1860" s="9">
        <f>IF(OR(RawWorking[[#This Row],[ShipDate]]="",RawWorking[[#This Row],[DeliveryDate]]=""),"",RawWorking[[#This Row],[DeliveryDate]]-RawWorking[[#This Row],[ShipDate]])</f>
        <v>2</v>
      </c>
      <c r="M1860" s="9">
        <f>IF(COUNTIF(INDEX(RawWorking[OrderID],1):RawWorking[[#This Row],[OrderID]],RawWorking[[#This Row],[OrderID]])=1,1,0)</f>
        <v>0</v>
      </c>
      <c r="N1860" s="4">
        <f>IFERROR(RawWorking[[#This Row],[LineAmount]]/RawWorking[[#This Row],[Quantity]],"")</f>
        <v>215.34</v>
      </c>
    </row>
    <row r="1861" spans="1:14">
      <c r="A1861">
        <v>51860</v>
      </c>
      <c r="B1861">
        <v>31076</v>
      </c>
      <c r="C1861" s="2">
        <v>45773</v>
      </c>
      <c r="D1861">
        <v>2058</v>
      </c>
      <c r="E1861">
        <v>1010</v>
      </c>
      <c r="F1861">
        <v>1</v>
      </c>
      <c r="G1861">
        <v>121.5</v>
      </c>
      <c r="H1861" s="2" t="s">
        <v>1421</v>
      </c>
      <c r="I1861" s="2" t="s">
        <v>1421</v>
      </c>
      <c r="J1861" t="s">
        <v>16</v>
      </c>
      <c r="K1861" s="2" t="str">
        <f>IFERROR(INDEX(Product_lookup[Category],MATCH(RawWorking[[#This Row],[ProductID]],Product_lookup[ProductID],0)),"")</f>
        <v>Office</v>
      </c>
      <c r="L1861" s="9" t="str">
        <f>IF(OR(RawWorking[[#This Row],[ShipDate]]="",RawWorking[[#This Row],[DeliveryDate]]=""),"",RawWorking[[#This Row],[DeliveryDate]]-RawWorking[[#This Row],[ShipDate]])</f>
        <v/>
      </c>
      <c r="M1861" s="9">
        <f>IF(COUNTIF(INDEX(RawWorking[OrderID],1):RawWorking[[#This Row],[OrderID]],RawWorking[[#This Row],[OrderID]])=1,1,0)</f>
        <v>1</v>
      </c>
      <c r="N1861" s="4">
        <f>IFERROR(RawWorking[[#This Row],[LineAmount]]/RawWorking[[#This Row],[Quantity]],"")</f>
        <v>121.5</v>
      </c>
    </row>
    <row r="1862" spans="1:14">
      <c r="A1862">
        <v>51861</v>
      </c>
      <c r="B1862">
        <v>31077</v>
      </c>
      <c r="C1862" s="2">
        <v>45713</v>
      </c>
      <c r="D1862">
        <v>2324</v>
      </c>
      <c r="E1862">
        <v>1001</v>
      </c>
      <c r="F1862">
        <v>3</v>
      </c>
      <c r="G1862">
        <v>609.12</v>
      </c>
      <c r="H1862" s="2">
        <v>45716</v>
      </c>
      <c r="I1862" s="2">
        <v>45726</v>
      </c>
      <c r="J1862" t="s">
        <v>9</v>
      </c>
      <c r="K1862" s="2" t="str">
        <f>IFERROR(INDEX(Product_lookup[Category],MATCH(RawWorking[[#This Row],[ProductID]],Product_lookup[ProductID],0)),"")</f>
        <v>Electronics</v>
      </c>
      <c r="L1862" s="9">
        <f>IF(OR(RawWorking[[#This Row],[ShipDate]]="",RawWorking[[#This Row],[DeliveryDate]]=""),"",RawWorking[[#This Row],[DeliveryDate]]-RawWorking[[#This Row],[ShipDate]])</f>
        <v>10</v>
      </c>
      <c r="M1862" s="9">
        <f>IF(COUNTIF(INDEX(RawWorking[OrderID],1):RawWorking[[#This Row],[OrderID]],RawWorking[[#This Row],[OrderID]])=1,1,0)</f>
        <v>1</v>
      </c>
      <c r="N1862" s="4">
        <f>IFERROR(RawWorking[[#This Row],[LineAmount]]/RawWorking[[#This Row],[Quantity]],"")</f>
        <v>203.04</v>
      </c>
    </row>
    <row r="1863" spans="1:14">
      <c r="A1863">
        <v>51862</v>
      </c>
      <c r="B1863">
        <v>31078</v>
      </c>
      <c r="C1863" s="2">
        <v>45716</v>
      </c>
      <c r="D1863">
        <v>2214</v>
      </c>
      <c r="E1863">
        <v>1011</v>
      </c>
      <c r="F1863">
        <v>1</v>
      </c>
      <c r="G1863">
        <v>101.44</v>
      </c>
      <c r="H1863" s="2">
        <v>45719</v>
      </c>
      <c r="I1863" s="2">
        <v>45724</v>
      </c>
      <c r="J1863" t="s">
        <v>9</v>
      </c>
      <c r="K1863" s="2" t="str">
        <f>IFERROR(INDEX(Product_lookup[Category],MATCH(RawWorking[[#This Row],[ProductID]],Product_lookup[ProductID],0)),"")</f>
        <v>Office</v>
      </c>
      <c r="L1863" s="9">
        <f>IF(OR(RawWorking[[#This Row],[ShipDate]]="",RawWorking[[#This Row],[DeliveryDate]]=""),"",RawWorking[[#This Row],[DeliveryDate]]-RawWorking[[#This Row],[ShipDate]])</f>
        <v>5</v>
      </c>
      <c r="M1863" s="9">
        <f>IF(COUNTIF(INDEX(RawWorking[OrderID],1):RawWorking[[#This Row],[OrderID]],RawWorking[[#This Row],[OrderID]])=1,1,0)</f>
        <v>1</v>
      </c>
      <c r="N1863" s="4">
        <f>IFERROR(RawWorking[[#This Row],[LineAmount]]/RawWorking[[#This Row],[Quantity]],"")</f>
        <v>101.44</v>
      </c>
    </row>
    <row r="1864" spans="1:14">
      <c r="A1864">
        <v>51863</v>
      </c>
      <c r="B1864">
        <v>31078</v>
      </c>
      <c r="C1864" s="2">
        <v>45716</v>
      </c>
      <c r="D1864">
        <v>2214</v>
      </c>
      <c r="E1864">
        <v>1012</v>
      </c>
      <c r="F1864">
        <v>1</v>
      </c>
      <c r="G1864">
        <v>241.54</v>
      </c>
      <c r="H1864" s="2">
        <v>45719</v>
      </c>
      <c r="I1864" s="2">
        <v>45721</v>
      </c>
      <c r="J1864" t="s">
        <v>9</v>
      </c>
      <c r="K1864" s="2" t="str">
        <f>IFERROR(INDEX(Product_lookup[Category],MATCH(RawWorking[[#This Row],[ProductID]],Product_lookup[ProductID],0)),"")</f>
        <v>Office</v>
      </c>
      <c r="L1864" s="9">
        <f>IF(OR(RawWorking[[#This Row],[ShipDate]]="",RawWorking[[#This Row],[DeliveryDate]]=""),"",RawWorking[[#This Row],[DeliveryDate]]-RawWorking[[#This Row],[ShipDate]])</f>
        <v>2</v>
      </c>
      <c r="M1864" s="9">
        <f>IF(COUNTIF(INDEX(RawWorking[OrderID],1):RawWorking[[#This Row],[OrderID]],RawWorking[[#This Row],[OrderID]])=1,1,0)</f>
        <v>0</v>
      </c>
      <c r="N1864" s="4">
        <f>IFERROR(RawWorking[[#This Row],[LineAmount]]/RawWorking[[#This Row],[Quantity]],"")</f>
        <v>241.54</v>
      </c>
    </row>
    <row r="1865" spans="1:14">
      <c r="A1865">
        <v>51864</v>
      </c>
      <c r="B1865">
        <v>31078</v>
      </c>
      <c r="C1865" s="2">
        <v>45716</v>
      </c>
      <c r="D1865">
        <v>2214</v>
      </c>
      <c r="E1865">
        <v>1003</v>
      </c>
      <c r="F1865">
        <v>3</v>
      </c>
      <c r="G1865">
        <v>673.11</v>
      </c>
      <c r="H1865" s="2">
        <v>45718</v>
      </c>
      <c r="I1865" s="2">
        <v>45721</v>
      </c>
      <c r="J1865" t="s">
        <v>9</v>
      </c>
      <c r="K1865" s="2" t="str">
        <f>IFERROR(INDEX(Product_lookup[Category],MATCH(RawWorking[[#This Row],[ProductID]],Product_lookup[ProductID],0)),"")</f>
        <v>Electronics</v>
      </c>
      <c r="L1865" s="9">
        <f>IF(OR(RawWorking[[#This Row],[ShipDate]]="",RawWorking[[#This Row],[DeliveryDate]]=""),"",RawWorking[[#This Row],[DeliveryDate]]-RawWorking[[#This Row],[ShipDate]])</f>
        <v>3</v>
      </c>
      <c r="M1865" s="9">
        <f>IF(COUNTIF(INDEX(RawWorking[OrderID],1):RawWorking[[#This Row],[OrderID]],RawWorking[[#This Row],[OrderID]])=1,1,0)</f>
        <v>0</v>
      </c>
      <c r="N1865" s="4">
        <f>IFERROR(RawWorking[[#This Row],[LineAmount]]/RawWorking[[#This Row],[Quantity]],"")</f>
        <v>224.37</v>
      </c>
    </row>
    <row r="1866" spans="1:14">
      <c r="A1866">
        <v>51865</v>
      </c>
      <c r="B1866">
        <v>31078</v>
      </c>
      <c r="C1866" s="2">
        <v>45716</v>
      </c>
      <c r="D1866">
        <v>2214</v>
      </c>
      <c r="E1866">
        <v>1005</v>
      </c>
      <c r="F1866">
        <v>1</v>
      </c>
      <c r="G1866">
        <v>31.73</v>
      </c>
      <c r="H1866" s="2">
        <v>45719</v>
      </c>
      <c r="I1866" s="2">
        <v>45725</v>
      </c>
      <c r="J1866" t="s">
        <v>9</v>
      </c>
      <c r="K1866" s="2" t="str">
        <f>IFERROR(INDEX(Product_lookup[Category],MATCH(RawWorking[[#This Row],[ProductID]],Product_lookup[ProductID],0)),"")</f>
        <v>Electronics</v>
      </c>
      <c r="L1866" s="9">
        <f>IF(OR(RawWorking[[#This Row],[ShipDate]]="",RawWorking[[#This Row],[DeliveryDate]]=""),"",RawWorking[[#This Row],[DeliveryDate]]-RawWorking[[#This Row],[ShipDate]])</f>
        <v>6</v>
      </c>
      <c r="M1866" s="9">
        <f>IF(COUNTIF(INDEX(RawWorking[OrderID],1):RawWorking[[#This Row],[OrderID]],RawWorking[[#This Row],[OrderID]])=1,1,0)</f>
        <v>0</v>
      </c>
      <c r="N1866" s="4">
        <f>IFERROR(RawWorking[[#This Row],[LineAmount]]/RawWorking[[#This Row],[Quantity]],"")</f>
        <v>31.73</v>
      </c>
    </row>
    <row r="1867" spans="1:14">
      <c r="A1867">
        <v>51866</v>
      </c>
      <c r="B1867">
        <v>31079</v>
      </c>
      <c r="C1867" s="2">
        <v>46015</v>
      </c>
      <c r="D1867">
        <v>2288</v>
      </c>
      <c r="E1867">
        <v>1011</v>
      </c>
      <c r="F1867">
        <v>1</v>
      </c>
      <c r="G1867">
        <v>101.44</v>
      </c>
      <c r="H1867" s="2" t="s">
        <v>1421</v>
      </c>
      <c r="I1867" s="2" t="s">
        <v>1421</v>
      </c>
      <c r="J1867" t="s">
        <v>16</v>
      </c>
      <c r="K1867" s="2" t="str">
        <f>IFERROR(INDEX(Product_lookup[Category],MATCH(RawWorking[[#This Row],[ProductID]],Product_lookup[ProductID],0)),"")</f>
        <v>Office</v>
      </c>
      <c r="L1867" s="9" t="str">
        <f>IF(OR(RawWorking[[#This Row],[ShipDate]]="",RawWorking[[#This Row],[DeliveryDate]]=""),"",RawWorking[[#This Row],[DeliveryDate]]-RawWorking[[#This Row],[ShipDate]])</f>
        <v/>
      </c>
      <c r="M1867" s="9">
        <f>IF(COUNTIF(INDEX(RawWorking[OrderID],1):RawWorking[[#This Row],[OrderID]],RawWorking[[#This Row],[OrderID]])=1,1,0)</f>
        <v>1</v>
      </c>
      <c r="N1867" s="4">
        <f>IFERROR(RawWorking[[#This Row],[LineAmount]]/RawWorking[[#This Row],[Quantity]],"")</f>
        <v>101.44</v>
      </c>
    </row>
    <row r="1868" spans="1:14">
      <c r="A1868">
        <v>51867</v>
      </c>
      <c r="B1868">
        <v>31080</v>
      </c>
      <c r="C1868" s="2">
        <v>45877</v>
      </c>
      <c r="D1868">
        <v>2548</v>
      </c>
      <c r="E1868">
        <v>1013</v>
      </c>
      <c r="F1868">
        <v>1</v>
      </c>
      <c r="G1868">
        <v>170.25</v>
      </c>
      <c r="H1868" s="2">
        <v>45879</v>
      </c>
      <c r="I1868" s="2" t="s">
        <v>1421</v>
      </c>
      <c r="J1868" t="s">
        <v>16</v>
      </c>
      <c r="K1868" s="2" t="str">
        <f>IFERROR(INDEX(Product_lookup[Category],MATCH(RawWorking[[#This Row],[ProductID]],Product_lookup[ProductID],0)),"")</f>
        <v>Office</v>
      </c>
      <c r="L1868" s="9" t="str">
        <f>IF(OR(RawWorking[[#This Row],[ShipDate]]="",RawWorking[[#This Row],[DeliveryDate]]=""),"",RawWorking[[#This Row],[DeliveryDate]]-RawWorking[[#This Row],[ShipDate]])</f>
        <v/>
      </c>
      <c r="M1868" s="9">
        <f>IF(COUNTIF(INDEX(RawWorking[OrderID],1):RawWorking[[#This Row],[OrderID]],RawWorking[[#This Row],[OrderID]])=1,1,0)</f>
        <v>1</v>
      </c>
      <c r="N1868" s="4">
        <f>IFERROR(RawWorking[[#This Row],[LineAmount]]/RawWorking[[#This Row],[Quantity]],"")</f>
        <v>170.25</v>
      </c>
    </row>
    <row r="1869" spans="1:14">
      <c r="A1869">
        <v>51868</v>
      </c>
      <c r="B1869">
        <v>31081</v>
      </c>
      <c r="C1869" s="2">
        <v>45710</v>
      </c>
      <c r="D1869">
        <v>2120</v>
      </c>
      <c r="E1869">
        <v>1010</v>
      </c>
      <c r="F1869">
        <v>1</v>
      </c>
      <c r="G1869">
        <v>121.5</v>
      </c>
      <c r="H1869" s="2" t="s">
        <v>1421</v>
      </c>
      <c r="I1869" s="2" t="s">
        <v>1421</v>
      </c>
      <c r="J1869" t="s">
        <v>12</v>
      </c>
      <c r="K1869" s="2" t="str">
        <f>IFERROR(INDEX(Product_lookup[Category],MATCH(RawWorking[[#This Row],[ProductID]],Product_lookup[ProductID],0)),"")</f>
        <v>Office</v>
      </c>
      <c r="L1869" s="9" t="str">
        <f>IF(OR(RawWorking[[#This Row],[ShipDate]]="",RawWorking[[#This Row],[DeliveryDate]]=""),"",RawWorking[[#This Row],[DeliveryDate]]-RawWorking[[#This Row],[ShipDate]])</f>
        <v/>
      </c>
      <c r="M1869" s="9">
        <f>IF(COUNTIF(INDEX(RawWorking[OrderID],1):RawWorking[[#This Row],[OrderID]],RawWorking[[#This Row],[OrderID]])=1,1,0)</f>
        <v>1</v>
      </c>
      <c r="N1869" s="4">
        <f>IFERROR(RawWorking[[#This Row],[LineAmount]]/RawWorking[[#This Row],[Quantity]],"")</f>
        <v>121.5</v>
      </c>
    </row>
    <row r="1870" spans="1:14">
      <c r="A1870">
        <v>51869</v>
      </c>
      <c r="B1870">
        <v>31081</v>
      </c>
      <c r="C1870" s="2">
        <v>45710</v>
      </c>
      <c r="D1870">
        <v>2120</v>
      </c>
      <c r="E1870">
        <v>1011</v>
      </c>
      <c r="F1870">
        <v>2</v>
      </c>
      <c r="G1870">
        <v>202.88</v>
      </c>
      <c r="H1870" s="2" t="s">
        <v>1421</v>
      </c>
      <c r="I1870" s="2" t="s">
        <v>1421</v>
      </c>
      <c r="J1870" t="s">
        <v>12</v>
      </c>
      <c r="K1870" s="2" t="str">
        <f>IFERROR(INDEX(Product_lookup[Category],MATCH(RawWorking[[#This Row],[ProductID]],Product_lookup[ProductID],0)),"")</f>
        <v>Office</v>
      </c>
      <c r="L1870" s="9" t="str">
        <f>IF(OR(RawWorking[[#This Row],[ShipDate]]="",RawWorking[[#This Row],[DeliveryDate]]=""),"",RawWorking[[#This Row],[DeliveryDate]]-RawWorking[[#This Row],[ShipDate]])</f>
        <v/>
      </c>
      <c r="M1870" s="9">
        <f>IF(COUNTIF(INDEX(RawWorking[OrderID],1):RawWorking[[#This Row],[OrderID]],RawWorking[[#This Row],[OrderID]])=1,1,0)</f>
        <v>0</v>
      </c>
      <c r="N1870" s="4">
        <f>IFERROR(RawWorking[[#This Row],[LineAmount]]/RawWorking[[#This Row],[Quantity]],"")</f>
        <v>101.44</v>
      </c>
    </row>
    <row r="1871" spans="1:14">
      <c r="A1871">
        <v>51870</v>
      </c>
      <c r="B1871">
        <v>31081</v>
      </c>
      <c r="C1871" s="2">
        <v>45710</v>
      </c>
      <c r="D1871">
        <v>2120</v>
      </c>
      <c r="E1871">
        <v>1002</v>
      </c>
      <c r="F1871">
        <v>1</v>
      </c>
      <c r="G1871">
        <v>118.6</v>
      </c>
      <c r="H1871" s="2" t="s">
        <v>1421</v>
      </c>
      <c r="I1871" s="2" t="s">
        <v>1421</v>
      </c>
      <c r="J1871" t="s">
        <v>12</v>
      </c>
      <c r="K1871" s="2" t="str">
        <f>IFERROR(INDEX(Product_lookup[Category],MATCH(RawWorking[[#This Row],[ProductID]],Product_lookup[ProductID],0)),"")</f>
        <v>Electronics</v>
      </c>
      <c r="L1871" s="9" t="str">
        <f>IF(OR(RawWorking[[#This Row],[ShipDate]]="",RawWorking[[#This Row],[DeliveryDate]]=""),"",RawWorking[[#This Row],[DeliveryDate]]-RawWorking[[#This Row],[ShipDate]])</f>
        <v/>
      </c>
      <c r="M1871" s="9">
        <f>IF(COUNTIF(INDEX(RawWorking[OrderID],1):RawWorking[[#This Row],[OrderID]],RawWorking[[#This Row],[OrderID]])=1,1,0)</f>
        <v>0</v>
      </c>
      <c r="N1871" s="4">
        <f>IFERROR(RawWorking[[#This Row],[LineAmount]]/RawWorking[[#This Row],[Quantity]],"")</f>
        <v>118.6</v>
      </c>
    </row>
    <row r="1872" spans="1:14">
      <c r="A1872">
        <v>51871</v>
      </c>
      <c r="B1872">
        <v>31082</v>
      </c>
      <c r="C1872" s="2">
        <v>45799</v>
      </c>
      <c r="D1872">
        <v>2279</v>
      </c>
      <c r="E1872">
        <v>1016</v>
      </c>
      <c r="F1872">
        <v>1</v>
      </c>
      <c r="G1872">
        <v>65.260000000000005</v>
      </c>
      <c r="H1872" s="2">
        <v>45800</v>
      </c>
      <c r="I1872" s="2">
        <v>45805</v>
      </c>
      <c r="J1872" t="s">
        <v>9</v>
      </c>
      <c r="K1872" s="2" t="str">
        <f>IFERROR(INDEX(Product_lookup[Category],MATCH(RawWorking[[#This Row],[ProductID]],Product_lookup[ProductID],0)),"")</f>
        <v>Sports</v>
      </c>
      <c r="L1872" s="9">
        <f>IF(OR(RawWorking[[#This Row],[ShipDate]]="",RawWorking[[#This Row],[DeliveryDate]]=""),"",RawWorking[[#This Row],[DeliveryDate]]-RawWorking[[#This Row],[ShipDate]])</f>
        <v>5</v>
      </c>
      <c r="M1872" s="9">
        <f>IF(COUNTIF(INDEX(RawWorking[OrderID],1):RawWorking[[#This Row],[OrderID]],RawWorking[[#This Row],[OrderID]])=1,1,0)</f>
        <v>1</v>
      </c>
      <c r="N1872" s="4">
        <f>IFERROR(RawWorking[[#This Row],[LineAmount]]/RawWorking[[#This Row],[Quantity]],"")</f>
        <v>65.260000000000005</v>
      </c>
    </row>
    <row r="1873" spans="1:14">
      <c r="A1873">
        <v>51872</v>
      </c>
      <c r="B1873">
        <v>31083</v>
      </c>
      <c r="C1873" s="2">
        <v>45783</v>
      </c>
      <c r="D1873">
        <v>2244</v>
      </c>
      <c r="E1873">
        <v>1010</v>
      </c>
      <c r="F1873">
        <v>1</v>
      </c>
      <c r="G1873">
        <v>121.5</v>
      </c>
      <c r="H1873" s="2">
        <v>45785</v>
      </c>
      <c r="I1873" s="2">
        <v>45795</v>
      </c>
      <c r="J1873" t="s">
        <v>9</v>
      </c>
      <c r="K1873" s="2" t="str">
        <f>IFERROR(INDEX(Product_lookup[Category],MATCH(RawWorking[[#This Row],[ProductID]],Product_lookup[ProductID],0)),"")</f>
        <v>Office</v>
      </c>
      <c r="L1873" s="9">
        <f>IF(OR(RawWorking[[#This Row],[ShipDate]]="",RawWorking[[#This Row],[DeliveryDate]]=""),"",RawWorking[[#This Row],[DeliveryDate]]-RawWorking[[#This Row],[ShipDate]])</f>
        <v>10</v>
      </c>
      <c r="M1873" s="9">
        <f>IF(COUNTIF(INDEX(RawWorking[OrderID],1):RawWorking[[#This Row],[OrderID]],RawWorking[[#This Row],[OrderID]])=1,1,0)</f>
        <v>1</v>
      </c>
      <c r="N1873" s="4">
        <f>IFERROR(RawWorking[[#This Row],[LineAmount]]/RawWorking[[#This Row],[Quantity]],"")</f>
        <v>121.5</v>
      </c>
    </row>
    <row r="1874" spans="1:14">
      <c r="A1874">
        <v>51873</v>
      </c>
      <c r="B1874">
        <v>31084</v>
      </c>
      <c r="C1874" s="2">
        <v>45881</v>
      </c>
      <c r="D1874">
        <v>2222</v>
      </c>
      <c r="E1874">
        <v>1006</v>
      </c>
      <c r="F1874">
        <v>1</v>
      </c>
      <c r="G1874">
        <v>253.86</v>
      </c>
      <c r="H1874" s="2">
        <v>45882</v>
      </c>
      <c r="I1874" s="2">
        <v>45884</v>
      </c>
      <c r="J1874" t="s">
        <v>9</v>
      </c>
      <c r="K1874" s="2" t="str">
        <f>IFERROR(INDEX(Product_lookup[Category],MATCH(RawWorking[[#This Row],[ProductID]],Product_lookup[ProductID],0)),"")</f>
        <v>Home</v>
      </c>
      <c r="L1874" s="9">
        <f>IF(OR(RawWorking[[#This Row],[ShipDate]]="",RawWorking[[#This Row],[DeliveryDate]]=""),"",RawWorking[[#This Row],[DeliveryDate]]-RawWorking[[#This Row],[ShipDate]])</f>
        <v>2</v>
      </c>
      <c r="M1874" s="9">
        <f>IF(COUNTIF(INDEX(RawWorking[OrderID],1):RawWorking[[#This Row],[OrderID]],RawWorking[[#This Row],[OrderID]])=1,1,0)</f>
        <v>1</v>
      </c>
      <c r="N1874" s="4">
        <f>IFERROR(RawWorking[[#This Row],[LineAmount]]/RawWorking[[#This Row],[Quantity]],"")</f>
        <v>253.86</v>
      </c>
    </row>
    <row r="1875" spans="1:14">
      <c r="A1875">
        <v>51874</v>
      </c>
      <c r="B1875">
        <v>31085</v>
      </c>
      <c r="C1875" s="2">
        <v>45785</v>
      </c>
      <c r="D1875">
        <v>2115</v>
      </c>
      <c r="E1875">
        <v>1002</v>
      </c>
      <c r="F1875">
        <v>1</v>
      </c>
      <c r="G1875">
        <v>118.6</v>
      </c>
      <c r="H1875" s="2">
        <v>45787</v>
      </c>
      <c r="I1875" s="2">
        <v>45793</v>
      </c>
      <c r="J1875" t="s">
        <v>9</v>
      </c>
      <c r="K1875" s="2" t="str">
        <f>IFERROR(INDEX(Product_lookup[Category],MATCH(RawWorking[[#This Row],[ProductID]],Product_lookup[ProductID],0)),"")</f>
        <v>Electronics</v>
      </c>
      <c r="L1875" s="9">
        <f>IF(OR(RawWorking[[#This Row],[ShipDate]]="",RawWorking[[#This Row],[DeliveryDate]]=""),"",RawWorking[[#This Row],[DeliveryDate]]-RawWorking[[#This Row],[ShipDate]])</f>
        <v>6</v>
      </c>
      <c r="M1875" s="9">
        <f>IF(COUNTIF(INDEX(RawWorking[OrderID],1):RawWorking[[#This Row],[OrderID]],RawWorking[[#This Row],[OrderID]])=1,1,0)</f>
        <v>1</v>
      </c>
      <c r="N1875" s="4">
        <f>IFERROR(RawWorking[[#This Row],[LineAmount]]/RawWorking[[#This Row],[Quantity]],"")</f>
        <v>118.6</v>
      </c>
    </row>
    <row r="1876" spans="1:14">
      <c r="A1876">
        <v>51875</v>
      </c>
      <c r="B1876">
        <v>31085</v>
      </c>
      <c r="C1876" s="2">
        <v>45785</v>
      </c>
      <c r="D1876">
        <v>2115</v>
      </c>
      <c r="E1876">
        <v>1007</v>
      </c>
      <c r="F1876">
        <v>1</v>
      </c>
      <c r="G1876">
        <v>199.81</v>
      </c>
      <c r="H1876" s="2">
        <v>45787</v>
      </c>
      <c r="I1876" s="2">
        <v>45788</v>
      </c>
      <c r="J1876" t="s">
        <v>9</v>
      </c>
      <c r="K1876" s="2" t="str">
        <f>IFERROR(INDEX(Product_lookup[Category],MATCH(RawWorking[[#This Row],[ProductID]],Product_lookup[ProductID],0)),"")</f>
        <v>Home</v>
      </c>
      <c r="L1876" s="9">
        <f>IF(OR(RawWorking[[#This Row],[ShipDate]]="",RawWorking[[#This Row],[DeliveryDate]]=""),"",RawWorking[[#This Row],[DeliveryDate]]-RawWorking[[#This Row],[ShipDate]])</f>
        <v>1</v>
      </c>
      <c r="M1876" s="9">
        <f>IF(COUNTIF(INDEX(RawWorking[OrderID],1):RawWorking[[#This Row],[OrderID]],RawWorking[[#This Row],[OrderID]])=1,1,0)</f>
        <v>0</v>
      </c>
      <c r="N1876" s="4">
        <f>IFERROR(RawWorking[[#This Row],[LineAmount]]/RawWorking[[#This Row],[Quantity]],"")</f>
        <v>199.81</v>
      </c>
    </row>
    <row r="1877" spans="1:14">
      <c r="A1877">
        <v>51876</v>
      </c>
      <c r="B1877">
        <v>31086</v>
      </c>
      <c r="C1877" s="2">
        <v>45970</v>
      </c>
      <c r="D1877">
        <v>2095</v>
      </c>
      <c r="E1877">
        <v>1001</v>
      </c>
      <c r="F1877">
        <v>2</v>
      </c>
      <c r="G1877">
        <v>406.08</v>
      </c>
      <c r="H1877" s="2">
        <v>45973</v>
      </c>
      <c r="I1877" s="2">
        <v>45983</v>
      </c>
      <c r="J1877" t="s">
        <v>9</v>
      </c>
      <c r="K1877" s="2" t="str">
        <f>IFERROR(INDEX(Product_lookup[Category],MATCH(RawWorking[[#This Row],[ProductID]],Product_lookup[ProductID],0)),"")</f>
        <v>Electronics</v>
      </c>
      <c r="L1877" s="9">
        <f>IF(OR(RawWorking[[#This Row],[ShipDate]]="",RawWorking[[#This Row],[DeliveryDate]]=""),"",RawWorking[[#This Row],[DeliveryDate]]-RawWorking[[#This Row],[ShipDate]])</f>
        <v>10</v>
      </c>
      <c r="M1877" s="9">
        <f>IF(COUNTIF(INDEX(RawWorking[OrderID],1):RawWorking[[#This Row],[OrderID]],RawWorking[[#This Row],[OrderID]])=1,1,0)</f>
        <v>1</v>
      </c>
      <c r="N1877" s="4">
        <f>IFERROR(RawWorking[[#This Row],[LineAmount]]/RawWorking[[#This Row],[Quantity]],"")</f>
        <v>203.04</v>
      </c>
    </row>
    <row r="1878" spans="1:14">
      <c r="A1878">
        <v>51877</v>
      </c>
      <c r="B1878">
        <v>31087</v>
      </c>
      <c r="C1878" s="2">
        <v>45809</v>
      </c>
      <c r="D1878">
        <v>2495</v>
      </c>
      <c r="E1878">
        <v>1005</v>
      </c>
      <c r="F1878">
        <v>1</v>
      </c>
      <c r="G1878">
        <v>31.73</v>
      </c>
      <c r="H1878" s="2" t="s">
        <v>1421</v>
      </c>
      <c r="I1878" s="2" t="s">
        <v>1421</v>
      </c>
      <c r="J1878" t="s">
        <v>12</v>
      </c>
      <c r="K1878" s="2" t="str">
        <f>IFERROR(INDEX(Product_lookup[Category],MATCH(RawWorking[[#This Row],[ProductID]],Product_lookup[ProductID],0)),"")</f>
        <v>Electronics</v>
      </c>
      <c r="L1878" s="9" t="str">
        <f>IF(OR(RawWorking[[#This Row],[ShipDate]]="",RawWorking[[#This Row],[DeliveryDate]]=""),"",RawWorking[[#This Row],[DeliveryDate]]-RawWorking[[#This Row],[ShipDate]])</f>
        <v/>
      </c>
      <c r="M1878" s="9">
        <f>IF(COUNTIF(INDEX(RawWorking[OrderID],1):RawWorking[[#This Row],[OrderID]],RawWorking[[#This Row],[OrderID]])=1,1,0)</f>
        <v>1</v>
      </c>
      <c r="N1878" s="4">
        <f>IFERROR(RawWorking[[#This Row],[LineAmount]]/RawWorking[[#This Row],[Quantity]],"")</f>
        <v>31.73</v>
      </c>
    </row>
    <row r="1879" spans="1:14">
      <c r="A1879">
        <v>51878</v>
      </c>
      <c r="B1879">
        <v>31087</v>
      </c>
      <c r="C1879" s="2">
        <v>45809</v>
      </c>
      <c r="D1879">
        <v>2495</v>
      </c>
      <c r="E1879">
        <v>1007</v>
      </c>
      <c r="F1879">
        <v>1</v>
      </c>
      <c r="G1879">
        <v>199.81</v>
      </c>
      <c r="H1879" s="2" t="s">
        <v>1421</v>
      </c>
      <c r="I1879" s="2" t="s">
        <v>1421</v>
      </c>
      <c r="J1879" t="s">
        <v>12</v>
      </c>
      <c r="K1879" s="2" t="str">
        <f>IFERROR(INDEX(Product_lookup[Category],MATCH(RawWorking[[#This Row],[ProductID]],Product_lookup[ProductID],0)),"")</f>
        <v>Home</v>
      </c>
      <c r="L1879" s="9" t="str">
        <f>IF(OR(RawWorking[[#This Row],[ShipDate]]="",RawWorking[[#This Row],[DeliveryDate]]=""),"",RawWorking[[#This Row],[DeliveryDate]]-RawWorking[[#This Row],[ShipDate]])</f>
        <v/>
      </c>
      <c r="M1879" s="9">
        <f>IF(COUNTIF(INDEX(RawWorking[OrderID],1):RawWorking[[#This Row],[OrderID]],RawWorking[[#This Row],[OrderID]])=1,1,0)</f>
        <v>0</v>
      </c>
      <c r="N1879" s="4">
        <f>IFERROR(RawWorking[[#This Row],[LineAmount]]/RawWorking[[#This Row],[Quantity]],"")</f>
        <v>199.81</v>
      </c>
    </row>
    <row r="1880" spans="1:14">
      <c r="A1880">
        <v>51879</v>
      </c>
      <c r="B1880">
        <v>31087</v>
      </c>
      <c r="C1880" s="2">
        <v>45809</v>
      </c>
      <c r="D1880">
        <v>2495</v>
      </c>
      <c r="E1880">
        <v>1011</v>
      </c>
      <c r="F1880">
        <v>2</v>
      </c>
      <c r="G1880">
        <v>202.88</v>
      </c>
      <c r="H1880" s="2" t="s">
        <v>1421</v>
      </c>
      <c r="I1880" s="2" t="s">
        <v>1421</v>
      </c>
      <c r="J1880" t="s">
        <v>12</v>
      </c>
      <c r="K1880" s="2" t="str">
        <f>IFERROR(INDEX(Product_lookup[Category],MATCH(RawWorking[[#This Row],[ProductID]],Product_lookup[ProductID],0)),"")</f>
        <v>Office</v>
      </c>
      <c r="L1880" s="9" t="str">
        <f>IF(OR(RawWorking[[#This Row],[ShipDate]]="",RawWorking[[#This Row],[DeliveryDate]]=""),"",RawWorking[[#This Row],[DeliveryDate]]-RawWorking[[#This Row],[ShipDate]])</f>
        <v/>
      </c>
      <c r="M1880" s="9">
        <f>IF(COUNTIF(INDEX(RawWorking[OrderID],1):RawWorking[[#This Row],[OrderID]],RawWorking[[#This Row],[OrderID]])=1,1,0)</f>
        <v>0</v>
      </c>
      <c r="N1880" s="4">
        <f>IFERROR(RawWorking[[#This Row],[LineAmount]]/RawWorking[[#This Row],[Quantity]],"")</f>
        <v>101.44</v>
      </c>
    </row>
    <row r="1881" spans="1:14">
      <c r="A1881">
        <v>51880</v>
      </c>
      <c r="B1881">
        <v>31088</v>
      </c>
      <c r="C1881" s="2">
        <v>45962</v>
      </c>
      <c r="D1881">
        <v>2496</v>
      </c>
      <c r="E1881">
        <v>1010</v>
      </c>
      <c r="F1881">
        <v>5</v>
      </c>
      <c r="G1881">
        <v>607.5</v>
      </c>
      <c r="H1881" s="2">
        <v>45964</v>
      </c>
      <c r="I1881" s="2">
        <v>45965</v>
      </c>
      <c r="J1881" t="s">
        <v>9</v>
      </c>
      <c r="K1881" s="2" t="str">
        <f>IFERROR(INDEX(Product_lookup[Category],MATCH(RawWorking[[#This Row],[ProductID]],Product_lookup[ProductID],0)),"")</f>
        <v>Office</v>
      </c>
      <c r="L1881" s="9">
        <f>IF(OR(RawWorking[[#This Row],[ShipDate]]="",RawWorking[[#This Row],[DeliveryDate]]=""),"",RawWorking[[#This Row],[DeliveryDate]]-RawWorking[[#This Row],[ShipDate]])</f>
        <v>1</v>
      </c>
      <c r="M1881" s="9">
        <f>IF(COUNTIF(INDEX(RawWorking[OrderID],1):RawWorking[[#This Row],[OrderID]],RawWorking[[#This Row],[OrderID]])=1,1,0)</f>
        <v>1</v>
      </c>
      <c r="N1881" s="4">
        <f>IFERROR(RawWorking[[#This Row],[LineAmount]]/RawWorking[[#This Row],[Quantity]],"")</f>
        <v>121.5</v>
      </c>
    </row>
    <row r="1882" spans="1:14">
      <c r="A1882">
        <v>51881</v>
      </c>
      <c r="B1882">
        <v>31089</v>
      </c>
      <c r="C1882" s="2">
        <v>45860</v>
      </c>
      <c r="D1882">
        <v>2336</v>
      </c>
      <c r="E1882">
        <v>1004</v>
      </c>
      <c r="F1882">
        <v>2</v>
      </c>
      <c r="G1882">
        <v>367.48</v>
      </c>
      <c r="H1882" s="2">
        <v>45862</v>
      </c>
      <c r="I1882" s="2">
        <v>45871</v>
      </c>
      <c r="J1882" t="s">
        <v>9</v>
      </c>
      <c r="K1882" s="2" t="str">
        <f>IFERROR(INDEX(Product_lookup[Category],MATCH(RawWorking[[#This Row],[ProductID]],Product_lookup[ProductID],0)),"")</f>
        <v>Electronics</v>
      </c>
      <c r="L1882" s="9">
        <f>IF(OR(RawWorking[[#This Row],[ShipDate]]="",RawWorking[[#This Row],[DeliveryDate]]=""),"",RawWorking[[#This Row],[DeliveryDate]]-RawWorking[[#This Row],[ShipDate]])</f>
        <v>9</v>
      </c>
      <c r="M1882" s="9">
        <f>IF(COUNTIF(INDEX(RawWorking[OrderID],1):RawWorking[[#This Row],[OrderID]],RawWorking[[#This Row],[OrderID]])=1,1,0)</f>
        <v>1</v>
      </c>
      <c r="N1882" s="4">
        <f>IFERROR(RawWorking[[#This Row],[LineAmount]]/RawWorking[[#This Row],[Quantity]],"")</f>
        <v>183.74</v>
      </c>
    </row>
    <row r="1883" spans="1:14">
      <c r="A1883">
        <v>51882</v>
      </c>
      <c r="B1883">
        <v>31089</v>
      </c>
      <c r="C1883" s="2">
        <v>45860</v>
      </c>
      <c r="D1883">
        <v>2336</v>
      </c>
      <c r="E1883">
        <v>1005</v>
      </c>
      <c r="F1883">
        <v>3</v>
      </c>
      <c r="G1883">
        <v>95.19</v>
      </c>
      <c r="H1883" s="2">
        <v>45861</v>
      </c>
      <c r="I1883" s="2">
        <v>45867</v>
      </c>
      <c r="J1883" t="s">
        <v>9</v>
      </c>
      <c r="K1883" s="2" t="str">
        <f>IFERROR(INDEX(Product_lookup[Category],MATCH(RawWorking[[#This Row],[ProductID]],Product_lookup[ProductID],0)),"")</f>
        <v>Electronics</v>
      </c>
      <c r="L1883" s="9">
        <f>IF(OR(RawWorking[[#This Row],[ShipDate]]="",RawWorking[[#This Row],[DeliveryDate]]=""),"",RawWorking[[#This Row],[DeliveryDate]]-RawWorking[[#This Row],[ShipDate]])</f>
        <v>6</v>
      </c>
      <c r="M1883" s="9">
        <f>IF(COUNTIF(INDEX(RawWorking[OrderID],1):RawWorking[[#This Row],[OrderID]],RawWorking[[#This Row],[OrderID]])=1,1,0)</f>
        <v>0</v>
      </c>
      <c r="N1883" s="4">
        <f>IFERROR(RawWorking[[#This Row],[LineAmount]]/RawWorking[[#This Row],[Quantity]],"")</f>
        <v>31.73</v>
      </c>
    </row>
    <row r="1884" spans="1:14">
      <c r="A1884">
        <v>51883</v>
      </c>
      <c r="B1884">
        <v>31090</v>
      </c>
      <c r="C1884" s="2">
        <v>45956</v>
      </c>
      <c r="D1884">
        <v>2211</v>
      </c>
      <c r="E1884">
        <v>1015</v>
      </c>
      <c r="F1884">
        <v>2</v>
      </c>
      <c r="G1884">
        <v>239.48</v>
      </c>
      <c r="H1884" s="2">
        <v>45957</v>
      </c>
      <c r="I1884" s="2">
        <v>45965</v>
      </c>
      <c r="J1884" t="s">
        <v>9</v>
      </c>
      <c r="K1884" s="2" t="str">
        <f>IFERROR(INDEX(Product_lookup[Category],MATCH(RawWorking[[#This Row],[ProductID]],Product_lookup[ProductID],0)),"")</f>
        <v>Sports</v>
      </c>
      <c r="L1884" s="9">
        <f>IF(OR(RawWorking[[#This Row],[ShipDate]]="",RawWorking[[#This Row],[DeliveryDate]]=""),"",RawWorking[[#This Row],[DeliveryDate]]-RawWorking[[#This Row],[ShipDate]])</f>
        <v>8</v>
      </c>
      <c r="M1884" s="9">
        <f>IF(COUNTIF(INDEX(RawWorking[OrderID],1):RawWorking[[#This Row],[OrderID]],RawWorking[[#This Row],[OrderID]])=1,1,0)</f>
        <v>1</v>
      </c>
      <c r="N1884" s="4">
        <f>IFERROR(RawWorking[[#This Row],[LineAmount]]/RawWorking[[#This Row],[Quantity]],"")</f>
        <v>119.74</v>
      </c>
    </row>
    <row r="1885" spans="1:14">
      <c r="A1885">
        <v>51884</v>
      </c>
      <c r="B1885">
        <v>31091</v>
      </c>
      <c r="C1885" s="2">
        <v>45959</v>
      </c>
      <c r="D1885">
        <v>2397</v>
      </c>
      <c r="E1885">
        <v>1004</v>
      </c>
      <c r="F1885">
        <v>1</v>
      </c>
      <c r="G1885">
        <v>183.74</v>
      </c>
      <c r="H1885" s="2">
        <v>45962</v>
      </c>
      <c r="I1885" s="2">
        <v>45965</v>
      </c>
      <c r="J1885" t="s">
        <v>9</v>
      </c>
      <c r="K1885" s="2" t="str">
        <f>IFERROR(INDEX(Product_lookup[Category],MATCH(RawWorking[[#This Row],[ProductID]],Product_lookup[ProductID],0)),"")</f>
        <v>Electronics</v>
      </c>
      <c r="L1885" s="9">
        <f>IF(OR(RawWorking[[#This Row],[ShipDate]]="",RawWorking[[#This Row],[DeliveryDate]]=""),"",RawWorking[[#This Row],[DeliveryDate]]-RawWorking[[#This Row],[ShipDate]])</f>
        <v>3</v>
      </c>
      <c r="M1885" s="9">
        <f>IF(COUNTIF(INDEX(RawWorking[OrderID],1):RawWorking[[#This Row],[OrderID]],RawWorking[[#This Row],[OrderID]])=1,1,0)</f>
        <v>1</v>
      </c>
      <c r="N1885" s="4">
        <f>IFERROR(RawWorking[[#This Row],[LineAmount]]/RawWorking[[#This Row],[Quantity]],"")</f>
        <v>183.74</v>
      </c>
    </row>
    <row r="1886" spans="1:14">
      <c r="A1886">
        <v>51885</v>
      </c>
      <c r="B1886">
        <v>31092</v>
      </c>
      <c r="C1886" s="2">
        <v>45868</v>
      </c>
      <c r="D1886">
        <v>2005</v>
      </c>
      <c r="E1886">
        <v>1002</v>
      </c>
      <c r="F1886">
        <v>1</v>
      </c>
      <c r="G1886">
        <v>118.6</v>
      </c>
      <c r="H1886" s="2">
        <v>45870</v>
      </c>
      <c r="I1886" s="2">
        <v>45875</v>
      </c>
      <c r="J1886" t="s">
        <v>9</v>
      </c>
      <c r="K1886" s="2" t="str">
        <f>IFERROR(INDEX(Product_lookup[Category],MATCH(RawWorking[[#This Row],[ProductID]],Product_lookup[ProductID],0)),"")</f>
        <v>Electronics</v>
      </c>
      <c r="L1886" s="9">
        <f>IF(OR(RawWorking[[#This Row],[ShipDate]]="",RawWorking[[#This Row],[DeliveryDate]]=""),"",RawWorking[[#This Row],[DeliveryDate]]-RawWorking[[#This Row],[ShipDate]])</f>
        <v>5</v>
      </c>
      <c r="M1886" s="9">
        <f>IF(COUNTIF(INDEX(RawWorking[OrderID],1):RawWorking[[#This Row],[OrderID]],RawWorking[[#This Row],[OrderID]])=1,1,0)</f>
        <v>1</v>
      </c>
      <c r="N1886" s="4">
        <f>IFERROR(RawWorking[[#This Row],[LineAmount]]/RawWorking[[#This Row],[Quantity]],"")</f>
        <v>118.6</v>
      </c>
    </row>
    <row r="1887" spans="1:14">
      <c r="A1887">
        <v>51886</v>
      </c>
      <c r="B1887">
        <v>31092</v>
      </c>
      <c r="C1887" s="2">
        <v>45868</v>
      </c>
      <c r="D1887">
        <v>2005</v>
      </c>
      <c r="E1887">
        <v>1003</v>
      </c>
      <c r="F1887">
        <v>2</v>
      </c>
      <c r="G1887">
        <v>448.74</v>
      </c>
      <c r="H1887" s="2">
        <v>45870</v>
      </c>
      <c r="I1887" s="2">
        <v>45874</v>
      </c>
      <c r="J1887" t="s">
        <v>9</v>
      </c>
      <c r="K1887" s="2" t="str">
        <f>IFERROR(INDEX(Product_lookup[Category],MATCH(RawWorking[[#This Row],[ProductID]],Product_lookup[ProductID],0)),"")</f>
        <v>Electronics</v>
      </c>
      <c r="L1887" s="9">
        <f>IF(OR(RawWorking[[#This Row],[ShipDate]]="",RawWorking[[#This Row],[DeliveryDate]]=""),"",RawWorking[[#This Row],[DeliveryDate]]-RawWorking[[#This Row],[ShipDate]])</f>
        <v>4</v>
      </c>
      <c r="M1887" s="9">
        <f>IF(COUNTIF(INDEX(RawWorking[OrderID],1):RawWorking[[#This Row],[OrderID]],RawWorking[[#This Row],[OrderID]])=1,1,0)</f>
        <v>0</v>
      </c>
      <c r="N1887" s="4">
        <f>IFERROR(RawWorking[[#This Row],[LineAmount]]/RawWorking[[#This Row],[Quantity]],"")</f>
        <v>224.37</v>
      </c>
    </row>
    <row r="1888" spans="1:14">
      <c r="A1888">
        <v>51887</v>
      </c>
      <c r="B1888">
        <v>31092</v>
      </c>
      <c r="C1888" s="2">
        <v>45868</v>
      </c>
      <c r="D1888">
        <v>2005</v>
      </c>
      <c r="E1888">
        <v>1011</v>
      </c>
      <c r="F1888">
        <v>1</v>
      </c>
      <c r="G1888">
        <v>101.44</v>
      </c>
      <c r="H1888" s="2">
        <v>45871</v>
      </c>
      <c r="I1888" s="2">
        <v>45872</v>
      </c>
      <c r="J1888" t="s">
        <v>9</v>
      </c>
      <c r="K1888" s="2" t="str">
        <f>IFERROR(INDEX(Product_lookup[Category],MATCH(RawWorking[[#This Row],[ProductID]],Product_lookup[ProductID],0)),"")</f>
        <v>Office</v>
      </c>
      <c r="L1888" s="9">
        <f>IF(OR(RawWorking[[#This Row],[ShipDate]]="",RawWorking[[#This Row],[DeliveryDate]]=""),"",RawWorking[[#This Row],[DeliveryDate]]-RawWorking[[#This Row],[ShipDate]])</f>
        <v>1</v>
      </c>
      <c r="M1888" s="9">
        <f>IF(COUNTIF(INDEX(RawWorking[OrderID],1):RawWorking[[#This Row],[OrderID]],RawWorking[[#This Row],[OrderID]])=1,1,0)</f>
        <v>0</v>
      </c>
      <c r="N1888" s="4">
        <f>IFERROR(RawWorking[[#This Row],[LineAmount]]/RawWorking[[#This Row],[Quantity]],"")</f>
        <v>101.44</v>
      </c>
    </row>
    <row r="1889" spans="1:14">
      <c r="A1889">
        <v>51888</v>
      </c>
      <c r="B1889">
        <v>31093</v>
      </c>
      <c r="C1889" s="2">
        <v>45996</v>
      </c>
      <c r="D1889">
        <v>2479</v>
      </c>
      <c r="E1889">
        <v>1004</v>
      </c>
      <c r="F1889">
        <v>2</v>
      </c>
      <c r="G1889">
        <v>367.48</v>
      </c>
      <c r="H1889" s="2" t="s">
        <v>1421</v>
      </c>
      <c r="I1889" s="2" t="s">
        <v>1421</v>
      </c>
      <c r="J1889" t="s">
        <v>12</v>
      </c>
      <c r="K1889" s="2" t="str">
        <f>IFERROR(INDEX(Product_lookup[Category],MATCH(RawWorking[[#This Row],[ProductID]],Product_lookup[ProductID],0)),"")</f>
        <v>Electronics</v>
      </c>
      <c r="L1889" s="9" t="str">
        <f>IF(OR(RawWorking[[#This Row],[ShipDate]]="",RawWorking[[#This Row],[DeliveryDate]]=""),"",RawWorking[[#This Row],[DeliveryDate]]-RawWorking[[#This Row],[ShipDate]])</f>
        <v/>
      </c>
      <c r="M1889" s="9">
        <f>IF(COUNTIF(INDEX(RawWorking[OrderID],1):RawWorking[[#This Row],[OrderID]],RawWorking[[#This Row],[OrderID]])=1,1,0)</f>
        <v>1</v>
      </c>
      <c r="N1889" s="4">
        <f>IFERROR(RawWorking[[#This Row],[LineAmount]]/RawWorking[[#This Row],[Quantity]],"")</f>
        <v>183.74</v>
      </c>
    </row>
    <row r="1890" spans="1:14">
      <c r="A1890">
        <v>51889</v>
      </c>
      <c r="B1890">
        <v>31093</v>
      </c>
      <c r="C1890" s="2">
        <v>45996</v>
      </c>
      <c r="D1890">
        <v>2479</v>
      </c>
      <c r="E1890">
        <v>1010</v>
      </c>
      <c r="F1890">
        <v>1</v>
      </c>
      <c r="G1890">
        <v>121.5</v>
      </c>
      <c r="H1890" s="2" t="s">
        <v>1421</v>
      </c>
      <c r="I1890" s="2" t="s">
        <v>1421</v>
      </c>
      <c r="J1890" t="s">
        <v>12</v>
      </c>
      <c r="K1890" s="2" t="str">
        <f>IFERROR(INDEX(Product_lookup[Category],MATCH(RawWorking[[#This Row],[ProductID]],Product_lookup[ProductID],0)),"")</f>
        <v>Office</v>
      </c>
      <c r="L1890" s="9" t="str">
        <f>IF(OR(RawWorking[[#This Row],[ShipDate]]="",RawWorking[[#This Row],[DeliveryDate]]=""),"",RawWorking[[#This Row],[DeliveryDate]]-RawWorking[[#This Row],[ShipDate]])</f>
        <v/>
      </c>
      <c r="M1890" s="9">
        <f>IF(COUNTIF(INDEX(RawWorking[OrderID],1):RawWorking[[#This Row],[OrderID]],RawWorking[[#This Row],[OrderID]])=1,1,0)</f>
        <v>0</v>
      </c>
      <c r="N1890" s="4">
        <f>IFERROR(RawWorking[[#This Row],[LineAmount]]/RawWorking[[#This Row],[Quantity]],"")</f>
        <v>121.5</v>
      </c>
    </row>
    <row r="1891" spans="1:14">
      <c r="A1891">
        <v>51890</v>
      </c>
      <c r="B1891">
        <v>31094</v>
      </c>
      <c r="C1891" s="2">
        <v>45806</v>
      </c>
      <c r="D1891">
        <v>2024</v>
      </c>
      <c r="E1891">
        <v>1010</v>
      </c>
      <c r="F1891">
        <v>1</v>
      </c>
      <c r="G1891">
        <v>121.5</v>
      </c>
      <c r="H1891" s="2">
        <v>45808</v>
      </c>
      <c r="I1891" s="2">
        <v>45810</v>
      </c>
      <c r="J1891" t="s">
        <v>9</v>
      </c>
      <c r="K1891" s="2" t="str">
        <f>IFERROR(INDEX(Product_lookup[Category],MATCH(RawWorking[[#This Row],[ProductID]],Product_lookup[ProductID],0)),"")</f>
        <v>Office</v>
      </c>
      <c r="L1891" s="9">
        <f>IF(OR(RawWorking[[#This Row],[ShipDate]]="",RawWorking[[#This Row],[DeliveryDate]]=""),"",RawWorking[[#This Row],[DeliveryDate]]-RawWorking[[#This Row],[ShipDate]])</f>
        <v>2</v>
      </c>
      <c r="M1891" s="9">
        <f>IF(COUNTIF(INDEX(RawWorking[OrderID],1):RawWorking[[#This Row],[OrderID]],RawWorking[[#This Row],[OrderID]])=1,1,0)</f>
        <v>1</v>
      </c>
      <c r="N1891" s="4">
        <f>IFERROR(RawWorking[[#This Row],[LineAmount]]/RawWorking[[#This Row],[Quantity]],"")</f>
        <v>121.5</v>
      </c>
    </row>
    <row r="1892" spans="1:14">
      <c r="A1892">
        <v>51891</v>
      </c>
      <c r="B1892">
        <v>31094</v>
      </c>
      <c r="C1892" s="2">
        <v>45806</v>
      </c>
      <c r="D1892">
        <v>2024</v>
      </c>
      <c r="E1892">
        <v>1007</v>
      </c>
      <c r="F1892">
        <v>1</v>
      </c>
      <c r="G1892">
        <v>199.81</v>
      </c>
      <c r="H1892" s="2">
        <v>45808</v>
      </c>
      <c r="I1892" s="2">
        <v>45816</v>
      </c>
      <c r="J1892" t="s">
        <v>9</v>
      </c>
      <c r="K1892" s="2" t="str">
        <f>IFERROR(INDEX(Product_lookup[Category],MATCH(RawWorking[[#This Row],[ProductID]],Product_lookup[ProductID],0)),"")</f>
        <v>Home</v>
      </c>
      <c r="L1892" s="9">
        <f>IF(OR(RawWorking[[#This Row],[ShipDate]]="",RawWorking[[#This Row],[DeliveryDate]]=""),"",RawWorking[[#This Row],[DeliveryDate]]-RawWorking[[#This Row],[ShipDate]])</f>
        <v>8</v>
      </c>
      <c r="M1892" s="9">
        <f>IF(COUNTIF(INDEX(RawWorking[OrderID],1):RawWorking[[#This Row],[OrderID]],RawWorking[[#This Row],[OrderID]])=1,1,0)</f>
        <v>0</v>
      </c>
      <c r="N1892" s="4">
        <f>IFERROR(RawWorking[[#This Row],[LineAmount]]/RawWorking[[#This Row],[Quantity]],"")</f>
        <v>199.81</v>
      </c>
    </row>
    <row r="1893" spans="1:14">
      <c r="A1893">
        <v>51892</v>
      </c>
      <c r="B1893">
        <v>31095</v>
      </c>
      <c r="C1893" s="2">
        <v>45859</v>
      </c>
      <c r="D1893">
        <v>2329</v>
      </c>
      <c r="E1893">
        <v>1010</v>
      </c>
      <c r="F1893">
        <v>1</v>
      </c>
      <c r="G1893">
        <v>121.5</v>
      </c>
      <c r="H1893" s="2">
        <v>45860</v>
      </c>
      <c r="I1893" s="2">
        <v>45863</v>
      </c>
      <c r="J1893" t="s">
        <v>9</v>
      </c>
      <c r="K1893" s="2" t="str">
        <f>IFERROR(INDEX(Product_lookup[Category],MATCH(RawWorking[[#This Row],[ProductID]],Product_lookup[ProductID],0)),"")</f>
        <v>Office</v>
      </c>
      <c r="L1893" s="9">
        <f>IF(OR(RawWorking[[#This Row],[ShipDate]]="",RawWorking[[#This Row],[DeliveryDate]]=""),"",RawWorking[[#This Row],[DeliveryDate]]-RawWorking[[#This Row],[ShipDate]])</f>
        <v>3</v>
      </c>
      <c r="M1893" s="9">
        <f>IF(COUNTIF(INDEX(RawWorking[OrderID],1):RawWorking[[#This Row],[OrderID]],RawWorking[[#This Row],[OrderID]])=1,1,0)</f>
        <v>1</v>
      </c>
      <c r="N1893" s="4">
        <f>IFERROR(RawWorking[[#This Row],[LineAmount]]/RawWorking[[#This Row],[Quantity]],"")</f>
        <v>121.5</v>
      </c>
    </row>
    <row r="1894" spans="1:14">
      <c r="A1894">
        <v>51893</v>
      </c>
      <c r="B1894">
        <v>31096</v>
      </c>
      <c r="C1894" s="2">
        <v>45942</v>
      </c>
      <c r="D1894">
        <v>2284</v>
      </c>
      <c r="E1894">
        <v>1015</v>
      </c>
      <c r="F1894">
        <v>1</v>
      </c>
      <c r="G1894">
        <v>119.74</v>
      </c>
      <c r="H1894" s="2">
        <v>45945</v>
      </c>
      <c r="I1894" s="2">
        <v>45955</v>
      </c>
      <c r="J1894" t="s">
        <v>9</v>
      </c>
      <c r="K1894" s="2" t="str">
        <f>IFERROR(INDEX(Product_lookup[Category],MATCH(RawWorking[[#This Row],[ProductID]],Product_lookup[ProductID],0)),"")</f>
        <v>Sports</v>
      </c>
      <c r="L1894" s="9">
        <f>IF(OR(RawWorking[[#This Row],[ShipDate]]="",RawWorking[[#This Row],[DeliveryDate]]=""),"",RawWorking[[#This Row],[DeliveryDate]]-RawWorking[[#This Row],[ShipDate]])</f>
        <v>10</v>
      </c>
      <c r="M1894" s="9">
        <f>IF(COUNTIF(INDEX(RawWorking[OrderID],1):RawWorking[[#This Row],[OrderID]],RawWorking[[#This Row],[OrderID]])=1,1,0)</f>
        <v>1</v>
      </c>
      <c r="N1894" s="4">
        <f>IFERROR(RawWorking[[#This Row],[LineAmount]]/RawWorking[[#This Row],[Quantity]],"")</f>
        <v>119.74</v>
      </c>
    </row>
    <row r="1895" spans="1:14">
      <c r="A1895">
        <v>51894</v>
      </c>
      <c r="B1895">
        <v>31096</v>
      </c>
      <c r="C1895" s="2">
        <v>45942</v>
      </c>
      <c r="D1895">
        <v>2284</v>
      </c>
      <c r="E1895">
        <v>1004</v>
      </c>
      <c r="F1895">
        <v>1</v>
      </c>
      <c r="G1895">
        <v>183.74</v>
      </c>
      <c r="H1895" s="2">
        <v>45943</v>
      </c>
      <c r="I1895" s="2">
        <v>45947</v>
      </c>
      <c r="J1895" t="s">
        <v>9</v>
      </c>
      <c r="K1895" s="2" t="str">
        <f>IFERROR(INDEX(Product_lookup[Category],MATCH(RawWorking[[#This Row],[ProductID]],Product_lookup[ProductID],0)),"")</f>
        <v>Electronics</v>
      </c>
      <c r="L1895" s="9">
        <f>IF(OR(RawWorking[[#This Row],[ShipDate]]="",RawWorking[[#This Row],[DeliveryDate]]=""),"",RawWorking[[#This Row],[DeliveryDate]]-RawWorking[[#This Row],[ShipDate]])</f>
        <v>4</v>
      </c>
      <c r="M1895" s="9">
        <f>IF(COUNTIF(INDEX(RawWorking[OrderID],1):RawWorking[[#This Row],[OrderID]],RawWorking[[#This Row],[OrderID]])=1,1,0)</f>
        <v>0</v>
      </c>
      <c r="N1895" s="4">
        <f>IFERROR(RawWorking[[#This Row],[LineAmount]]/RawWorking[[#This Row],[Quantity]],"")</f>
        <v>183.74</v>
      </c>
    </row>
    <row r="1896" spans="1:14">
      <c r="A1896">
        <v>51895</v>
      </c>
      <c r="B1896">
        <v>31096</v>
      </c>
      <c r="C1896" s="2">
        <v>45942</v>
      </c>
      <c r="D1896">
        <v>2284</v>
      </c>
      <c r="E1896">
        <v>1009</v>
      </c>
      <c r="F1896">
        <v>3</v>
      </c>
      <c r="G1896">
        <v>120.84</v>
      </c>
      <c r="H1896" s="2">
        <v>45944</v>
      </c>
      <c r="I1896" s="2">
        <v>45954</v>
      </c>
      <c r="J1896" t="s">
        <v>9</v>
      </c>
      <c r="K1896" s="2" t="str">
        <f>IFERROR(INDEX(Product_lookup[Category],MATCH(RawWorking[[#This Row],[ProductID]],Product_lookup[ProductID],0)),"")</f>
        <v>Home</v>
      </c>
      <c r="L1896" s="9">
        <f>IF(OR(RawWorking[[#This Row],[ShipDate]]="",RawWorking[[#This Row],[DeliveryDate]]=""),"",RawWorking[[#This Row],[DeliveryDate]]-RawWorking[[#This Row],[ShipDate]])</f>
        <v>10</v>
      </c>
      <c r="M1896" s="9">
        <f>IF(COUNTIF(INDEX(RawWorking[OrderID],1):RawWorking[[#This Row],[OrderID]],RawWorking[[#This Row],[OrderID]])=1,1,0)</f>
        <v>0</v>
      </c>
      <c r="N1896" s="4">
        <f>IFERROR(RawWorking[[#This Row],[LineAmount]]/RawWorking[[#This Row],[Quantity]],"")</f>
        <v>40.28</v>
      </c>
    </row>
    <row r="1897" spans="1:14">
      <c r="A1897">
        <v>51896</v>
      </c>
      <c r="B1897">
        <v>31096</v>
      </c>
      <c r="C1897" s="2">
        <v>45942</v>
      </c>
      <c r="D1897">
        <v>2284</v>
      </c>
      <c r="E1897">
        <v>1005</v>
      </c>
      <c r="F1897">
        <v>1</v>
      </c>
      <c r="G1897">
        <v>31.73</v>
      </c>
      <c r="H1897" s="2">
        <v>45944</v>
      </c>
      <c r="I1897" s="2">
        <v>45947</v>
      </c>
      <c r="J1897" t="s">
        <v>9</v>
      </c>
      <c r="K1897" s="2" t="str">
        <f>IFERROR(INDEX(Product_lookup[Category],MATCH(RawWorking[[#This Row],[ProductID]],Product_lookup[ProductID],0)),"")</f>
        <v>Electronics</v>
      </c>
      <c r="L1897" s="9">
        <f>IF(OR(RawWorking[[#This Row],[ShipDate]]="",RawWorking[[#This Row],[DeliveryDate]]=""),"",RawWorking[[#This Row],[DeliveryDate]]-RawWorking[[#This Row],[ShipDate]])</f>
        <v>3</v>
      </c>
      <c r="M1897" s="9">
        <f>IF(COUNTIF(INDEX(RawWorking[OrderID],1):RawWorking[[#This Row],[OrderID]],RawWorking[[#This Row],[OrderID]])=1,1,0)</f>
        <v>0</v>
      </c>
      <c r="N1897" s="4">
        <f>IFERROR(RawWorking[[#This Row],[LineAmount]]/RawWorking[[#This Row],[Quantity]],"")</f>
        <v>31.73</v>
      </c>
    </row>
    <row r="1898" spans="1:14">
      <c r="A1898">
        <v>51897</v>
      </c>
      <c r="B1898">
        <v>31097</v>
      </c>
      <c r="C1898" s="2">
        <v>45672</v>
      </c>
      <c r="D1898">
        <v>2162</v>
      </c>
      <c r="E1898">
        <v>1001</v>
      </c>
      <c r="F1898">
        <v>3</v>
      </c>
      <c r="G1898">
        <v>609.12</v>
      </c>
      <c r="H1898" s="2">
        <v>45675</v>
      </c>
      <c r="I1898" s="2">
        <v>45682</v>
      </c>
      <c r="J1898" t="s">
        <v>9</v>
      </c>
      <c r="K1898" s="2" t="str">
        <f>IFERROR(INDEX(Product_lookup[Category],MATCH(RawWorking[[#This Row],[ProductID]],Product_lookup[ProductID],0)),"")</f>
        <v>Electronics</v>
      </c>
      <c r="L1898" s="9">
        <f>IF(OR(RawWorking[[#This Row],[ShipDate]]="",RawWorking[[#This Row],[DeliveryDate]]=""),"",RawWorking[[#This Row],[DeliveryDate]]-RawWorking[[#This Row],[ShipDate]])</f>
        <v>7</v>
      </c>
      <c r="M1898" s="9">
        <f>IF(COUNTIF(INDEX(RawWorking[OrderID],1):RawWorking[[#This Row],[OrderID]],RawWorking[[#This Row],[OrderID]])=1,1,0)</f>
        <v>1</v>
      </c>
      <c r="N1898" s="4">
        <f>IFERROR(RawWorking[[#This Row],[LineAmount]]/RawWorking[[#This Row],[Quantity]],"")</f>
        <v>203.04</v>
      </c>
    </row>
    <row r="1899" spans="1:14">
      <c r="A1899">
        <v>51898</v>
      </c>
      <c r="B1899">
        <v>31098</v>
      </c>
      <c r="C1899" s="2">
        <v>45672</v>
      </c>
      <c r="D1899">
        <v>2574</v>
      </c>
      <c r="E1899">
        <v>1007</v>
      </c>
      <c r="F1899">
        <v>4</v>
      </c>
      <c r="G1899">
        <v>799.24</v>
      </c>
      <c r="H1899" s="2">
        <v>45674</v>
      </c>
      <c r="I1899" s="2">
        <v>45677</v>
      </c>
      <c r="J1899" t="s">
        <v>9</v>
      </c>
      <c r="K1899" s="2" t="str">
        <f>IFERROR(INDEX(Product_lookup[Category],MATCH(RawWorking[[#This Row],[ProductID]],Product_lookup[ProductID],0)),"")</f>
        <v>Home</v>
      </c>
      <c r="L1899" s="9">
        <f>IF(OR(RawWorking[[#This Row],[ShipDate]]="",RawWorking[[#This Row],[DeliveryDate]]=""),"",RawWorking[[#This Row],[DeliveryDate]]-RawWorking[[#This Row],[ShipDate]])</f>
        <v>3</v>
      </c>
      <c r="M1899" s="9">
        <f>IF(COUNTIF(INDEX(RawWorking[OrderID],1):RawWorking[[#This Row],[OrderID]],RawWorking[[#This Row],[OrderID]])=1,1,0)</f>
        <v>1</v>
      </c>
      <c r="N1899" s="4">
        <f>IFERROR(RawWorking[[#This Row],[LineAmount]]/RawWorking[[#This Row],[Quantity]],"")</f>
        <v>199.81</v>
      </c>
    </row>
    <row r="1900" spans="1:14">
      <c r="A1900">
        <v>51899</v>
      </c>
      <c r="B1900">
        <v>31099</v>
      </c>
      <c r="C1900" s="2">
        <v>45662</v>
      </c>
      <c r="D1900">
        <v>2556</v>
      </c>
      <c r="E1900">
        <v>1011</v>
      </c>
      <c r="F1900">
        <v>3</v>
      </c>
      <c r="G1900">
        <v>304.32</v>
      </c>
      <c r="H1900" s="2">
        <v>45781</v>
      </c>
      <c r="I1900" s="2">
        <v>45786</v>
      </c>
      <c r="J1900" t="s">
        <v>9</v>
      </c>
      <c r="K1900" s="2" t="str">
        <f>IFERROR(INDEX(Product_lookup[Category],MATCH(RawWorking[[#This Row],[ProductID]],Product_lookup[ProductID],0)),"")</f>
        <v>Office</v>
      </c>
      <c r="L1900" s="9">
        <f>IF(OR(RawWorking[[#This Row],[ShipDate]]="",RawWorking[[#This Row],[DeliveryDate]]=""),"",RawWorking[[#This Row],[DeliveryDate]]-RawWorking[[#This Row],[ShipDate]])</f>
        <v>5</v>
      </c>
      <c r="M1900" s="9">
        <f>IF(COUNTIF(INDEX(RawWorking[OrderID],1):RawWorking[[#This Row],[OrderID]],RawWorking[[#This Row],[OrderID]])=1,1,0)</f>
        <v>1</v>
      </c>
      <c r="N1900" s="4">
        <f>IFERROR(RawWorking[[#This Row],[LineAmount]]/RawWorking[[#This Row],[Quantity]],"")</f>
        <v>101.44</v>
      </c>
    </row>
    <row r="1901" spans="1:14">
      <c r="A1901">
        <v>51900</v>
      </c>
      <c r="B1901">
        <v>31099</v>
      </c>
      <c r="C1901" s="2">
        <v>45662</v>
      </c>
      <c r="D1901">
        <v>2556</v>
      </c>
      <c r="E1901">
        <v>1009</v>
      </c>
      <c r="F1901">
        <v>3</v>
      </c>
      <c r="G1901">
        <v>120.84</v>
      </c>
      <c r="H1901" s="2">
        <v>45752</v>
      </c>
      <c r="I1901" s="2">
        <v>45784</v>
      </c>
      <c r="J1901" t="s">
        <v>9</v>
      </c>
      <c r="K1901" s="2" t="str">
        <f>IFERROR(INDEX(Product_lookup[Category],MATCH(RawWorking[[#This Row],[ProductID]],Product_lookup[ProductID],0)),"")</f>
        <v>Home</v>
      </c>
      <c r="L1901" s="9">
        <f>IF(OR(RawWorking[[#This Row],[ShipDate]]="",RawWorking[[#This Row],[DeliveryDate]]=""),"",RawWorking[[#This Row],[DeliveryDate]]-RawWorking[[#This Row],[ShipDate]])</f>
        <v>32</v>
      </c>
      <c r="M1901" s="9">
        <f>IF(COUNTIF(INDEX(RawWorking[OrderID],1):RawWorking[[#This Row],[OrderID]],RawWorking[[#This Row],[OrderID]])=1,1,0)</f>
        <v>0</v>
      </c>
      <c r="N1901" s="4">
        <f>IFERROR(RawWorking[[#This Row],[LineAmount]]/RawWorking[[#This Row],[Quantity]],"")</f>
        <v>40.28</v>
      </c>
    </row>
    <row r="1902" spans="1:14">
      <c r="A1902">
        <v>51901</v>
      </c>
      <c r="B1902">
        <v>31099</v>
      </c>
      <c r="C1902" s="2">
        <v>45778</v>
      </c>
      <c r="D1902">
        <v>2556</v>
      </c>
      <c r="E1902">
        <v>1005</v>
      </c>
      <c r="F1902">
        <v>2</v>
      </c>
      <c r="G1902">
        <v>63.46</v>
      </c>
      <c r="H1902" s="2">
        <v>45779</v>
      </c>
      <c r="I1902" s="2">
        <v>45780</v>
      </c>
      <c r="J1902" t="s">
        <v>9</v>
      </c>
      <c r="K1902" s="2" t="str">
        <f>IFERROR(INDEX(Product_lookup[Category],MATCH(RawWorking[[#This Row],[ProductID]],Product_lookup[ProductID],0)),"")</f>
        <v>Electronics</v>
      </c>
      <c r="L1902" s="9">
        <f>IF(OR(RawWorking[[#This Row],[ShipDate]]="",RawWorking[[#This Row],[DeliveryDate]]=""),"",RawWorking[[#This Row],[DeliveryDate]]-RawWorking[[#This Row],[ShipDate]])</f>
        <v>1</v>
      </c>
      <c r="M1902" s="9">
        <f>IF(COUNTIF(INDEX(RawWorking[OrderID],1):RawWorking[[#This Row],[OrderID]],RawWorking[[#This Row],[OrderID]])=1,1,0)</f>
        <v>0</v>
      </c>
      <c r="N1902" s="4">
        <f>IFERROR(RawWorking[[#This Row],[LineAmount]]/RawWorking[[#This Row],[Quantity]],"")</f>
        <v>31.73</v>
      </c>
    </row>
    <row r="1903" spans="1:14">
      <c r="A1903">
        <v>51902</v>
      </c>
      <c r="B1903">
        <v>31100</v>
      </c>
      <c r="C1903" s="2">
        <v>46016</v>
      </c>
      <c r="D1903">
        <v>2291</v>
      </c>
      <c r="E1903">
        <v>1006</v>
      </c>
      <c r="F1903">
        <v>1</v>
      </c>
      <c r="G1903">
        <v>253.86</v>
      </c>
      <c r="H1903" s="2">
        <v>46018</v>
      </c>
      <c r="I1903" s="2">
        <v>46022</v>
      </c>
      <c r="J1903" t="s">
        <v>9</v>
      </c>
      <c r="K1903" s="2" t="str">
        <f>IFERROR(INDEX(Product_lookup[Category],MATCH(RawWorking[[#This Row],[ProductID]],Product_lookup[ProductID],0)),"")</f>
        <v>Home</v>
      </c>
      <c r="L1903" s="9">
        <f>IF(OR(RawWorking[[#This Row],[ShipDate]]="",RawWorking[[#This Row],[DeliveryDate]]=""),"",RawWorking[[#This Row],[DeliveryDate]]-RawWorking[[#This Row],[ShipDate]])</f>
        <v>4</v>
      </c>
      <c r="M1903" s="9">
        <f>IF(COUNTIF(INDEX(RawWorking[OrderID],1):RawWorking[[#This Row],[OrderID]],RawWorking[[#This Row],[OrderID]])=1,1,0)</f>
        <v>1</v>
      </c>
      <c r="N1903" s="4">
        <f>IFERROR(RawWorking[[#This Row],[LineAmount]]/RawWorking[[#This Row],[Quantity]],"")</f>
        <v>253.86</v>
      </c>
    </row>
    <row r="1904" spans="1:14">
      <c r="A1904">
        <v>51903</v>
      </c>
      <c r="B1904">
        <v>31101</v>
      </c>
      <c r="C1904" s="2">
        <v>45659</v>
      </c>
      <c r="D1904">
        <v>2073</v>
      </c>
      <c r="E1904">
        <v>1011</v>
      </c>
      <c r="F1904">
        <v>2</v>
      </c>
      <c r="G1904">
        <v>202.88</v>
      </c>
      <c r="H1904" s="2">
        <v>45660</v>
      </c>
      <c r="I1904" s="2">
        <v>45665</v>
      </c>
      <c r="J1904" t="s">
        <v>9</v>
      </c>
      <c r="K1904" s="2" t="str">
        <f>IFERROR(INDEX(Product_lookup[Category],MATCH(RawWorking[[#This Row],[ProductID]],Product_lookup[ProductID],0)),"")</f>
        <v>Office</v>
      </c>
      <c r="L1904" s="9">
        <f>IF(OR(RawWorking[[#This Row],[ShipDate]]="",RawWorking[[#This Row],[DeliveryDate]]=""),"",RawWorking[[#This Row],[DeliveryDate]]-RawWorking[[#This Row],[ShipDate]])</f>
        <v>5</v>
      </c>
      <c r="M1904" s="9">
        <f>IF(COUNTIF(INDEX(RawWorking[OrderID],1):RawWorking[[#This Row],[OrderID]],RawWorking[[#This Row],[OrderID]])=1,1,0)</f>
        <v>1</v>
      </c>
      <c r="N1904" s="4">
        <f>IFERROR(RawWorking[[#This Row],[LineAmount]]/RawWorking[[#This Row],[Quantity]],"")</f>
        <v>101.44</v>
      </c>
    </row>
    <row r="1905" spans="1:14">
      <c r="A1905">
        <v>51904</v>
      </c>
      <c r="B1905">
        <v>31102</v>
      </c>
      <c r="C1905" s="2">
        <v>45686</v>
      </c>
      <c r="D1905">
        <v>2554</v>
      </c>
      <c r="E1905">
        <v>1005</v>
      </c>
      <c r="F1905">
        <v>4</v>
      </c>
      <c r="G1905">
        <v>126.92</v>
      </c>
      <c r="H1905" s="2">
        <v>45687</v>
      </c>
      <c r="I1905" s="2">
        <v>45779</v>
      </c>
      <c r="J1905" t="s">
        <v>9</v>
      </c>
      <c r="K1905" s="2" t="str">
        <f>IFERROR(INDEX(Product_lookup[Category],MATCH(RawWorking[[#This Row],[ProductID]],Product_lookup[ProductID],0)),"")</f>
        <v>Electronics</v>
      </c>
      <c r="L1905" s="9">
        <f>IF(OR(RawWorking[[#This Row],[ShipDate]]="",RawWorking[[#This Row],[DeliveryDate]]=""),"",RawWorking[[#This Row],[DeliveryDate]]-RawWorking[[#This Row],[ShipDate]])</f>
        <v>92</v>
      </c>
      <c r="M1905" s="9">
        <f>IF(COUNTIF(INDEX(RawWorking[OrderID],1):RawWorking[[#This Row],[OrderID]],RawWorking[[#This Row],[OrderID]])=1,1,0)</f>
        <v>1</v>
      </c>
      <c r="N1905" s="4">
        <f>IFERROR(RawWorking[[#This Row],[LineAmount]]/RawWorking[[#This Row],[Quantity]],"")</f>
        <v>31.73</v>
      </c>
    </row>
    <row r="1906" spans="1:14">
      <c r="A1906">
        <v>51905</v>
      </c>
      <c r="B1906">
        <v>31102</v>
      </c>
      <c r="C1906" s="2">
        <v>45686</v>
      </c>
      <c r="D1906">
        <v>2554</v>
      </c>
      <c r="E1906">
        <v>1001</v>
      </c>
      <c r="F1906">
        <v>1</v>
      </c>
      <c r="G1906">
        <v>203.04</v>
      </c>
      <c r="H1906" s="2">
        <v>45687</v>
      </c>
      <c r="I1906" s="2">
        <v>45810</v>
      </c>
      <c r="J1906" t="s">
        <v>9</v>
      </c>
      <c r="K1906" s="2" t="str">
        <f>IFERROR(INDEX(Product_lookup[Category],MATCH(RawWorking[[#This Row],[ProductID]],Product_lookup[ProductID],0)),"")</f>
        <v>Electronics</v>
      </c>
      <c r="L1906" s="9">
        <f>IF(OR(RawWorking[[#This Row],[ShipDate]]="",RawWorking[[#This Row],[DeliveryDate]]=""),"",RawWorking[[#This Row],[DeliveryDate]]-RawWorking[[#This Row],[ShipDate]])</f>
        <v>123</v>
      </c>
      <c r="M1906" s="9">
        <f>IF(COUNTIF(INDEX(RawWorking[OrderID],1):RawWorking[[#This Row],[OrderID]],RawWorking[[#This Row],[OrderID]])=1,1,0)</f>
        <v>0</v>
      </c>
      <c r="N1906" s="4">
        <f>IFERROR(RawWorking[[#This Row],[LineAmount]]/RawWorking[[#This Row],[Quantity]],"")</f>
        <v>203.04</v>
      </c>
    </row>
    <row r="1907" spans="1:14">
      <c r="A1907">
        <v>51906</v>
      </c>
      <c r="B1907">
        <v>31102</v>
      </c>
      <c r="C1907" s="2">
        <v>45686</v>
      </c>
      <c r="D1907">
        <v>2554</v>
      </c>
      <c r="E1907">
        <v>1016</v>
      </c>
      <c r="F1907">
        <v>2</v>
      </c>
      <c r="G1907">
        <v>130.52000000000001</v>
      </c>
      <c r="H1907" s="2">
        <v>45688</v>
      </c>
      <c r="I1907" s="2">
        <v>45694</v>
      </c>
      <c r="J1907" t="s">
        <v>9</v>
      </c>
      <c r="K1907" s="2" t="str">
        <f>IFERROR(INDEX(Product_lookup[Category],MATCH(RawWorking[[#This Row],[ProductID]],Product_lookup[ProductID],0)),"")</f>
        <v>Sports</v>
      </c>
      <c r="L1907" s="9">
        <f>IF(OR(RawWorking[[#This Row],[ShipDate]]="",RawWorking[[#This Row],[DeliveryDate]]=""),"",RawWorking[[#This Row],[DeliveryDate]]-RawWorking[[#This Row],[ShipDate]])</f>
        <v>6</v>
      </c>
      <c r="M1907" s="9">
        <f>IF(COUNTIF(INDEX(RawWorking[OrderID],1):RawWorking[[#This Row],[OrderID]],RawWorking[[#This Row],[OrderID]])=1,1,0)</f>
        <v>0</v>
      </c>
      <c r="N1907" s="4">
        <f>IFERROR(RawWorking[[#This Row],[LineAmount]]/RawWorking[[#This Row],[Quantity]],"")</f>
        <v>65.260000000000005</v>
      </c>
    </row>
    <row r="1908" spans="1:14">
      <c r="A1908">
        <v>51907</v>
      </c>
      <c r="B1908">
        <v>31102</v>
      </c>
      <c r="C1908" s="2">
        <v>45686</v>
      </c>
      <c r="D1908">
        <v>2554</v>
      </c>
      <c r="E1908">
        <v>1002</v>
      </c>
      <c r="F1908">
        <v>2</v>
      </c>
      <c r="G1908">
        <v>237.2</v>
      </c>
      <c r="H1908" s="2">
        <v>45688</v>
      </c>
      <c r="I1908" s="2">
        <v>45691</v>
      </c>
      <c r="J1908" t="s">
        <v>9</v>
      </c>
      <c r="K1908" s="2" t="str">
        <f>IFERROR(INDEX(Product_lookup[Category],MATCH(RawWorking[[#This Row],[ProductID]],Product_lookup[ProductID],0)),"")</f>
        <v>Electronics</v>
      </c>
      <c r="L1908" s="9">
        <f>IF(OR(RawWorking[[#This Row],[ShipDate]]="",RawWorking[[#This Row],[DeliveryDate]]=""),"",RawWorking[[#This Row],[DeliveryDate]]-RawWorking[[#This Row],[ShipDate]])</f>
        <v>3</v>
      </c>
      <c r="M1908" s="9">
        <f>IF(COUNTIF(INDEX(RawWorking[OrderID],1):RawWorking[[#This Row],[OrderID]],RawWorking[[#This Row],[OrderID]])=1,1,0)</f>
        <v>0</v>
      </c>
      <c r="N1908" s="4">
        <f>IFERROR(RawWorking[[#This Row],[LineAmount]]/RawWorking[[#This Row],[Quantity]],"")</f>
        <v>118.6</v>
      </c>
    </row>
    <row r="1909" spans="1:14">
      <c r="A1909">
        <v>51908</v>
      </c>
      <c r="B1909">
        <v>31103</v>
      </c>
      <c r="C1909" s="2">
        <v>45703</v>
      </c>
      <c r="D1909">
        <v>2109</v>
      </c>
      <c r="E1909">
        <v>1003</v>
      </c>
      <c r="F1909">
        <v>2</v>
      </c>
      <c r="G1909">
        <v>448.74</v>
      </c>
      <c r="H1909" s="2">
        <v>45706</v>
      </c>
      <c r="I1909" s="2">
        <v>45713</v>
      </c>
      <c r="J1909" t="s">
        <v>9</v>
      </c>
      <c r="K1909" s="2" t="str">
        <f>IFERROR(INDEX(Product_lookup[Category],MATCH(RawWorking[[#This Row],[ProductID]],Product_lookup[ProductID],0)),"")</f>
        <v>Electronics</v>
      </c>
      <c r="L1909" s="9">
        <f>IF(OR(RawWorking[[#This Row],[ShipDate]]="",RawWorking[[#This Row],[DeliveryDate]]=""),"",RawWorking[[#This Row],[DeliveryDate]]-RawWorking[[#This Row],[ShipDate]])</f>
        <v>7</v>
      </c>
      <c r="M1909" s="9">
        <f>IF(COUNTIF(INDEX(RawWorking[OrderID],1):RawWorking[[#This Row],[OrderID]],RawWorking[[#This Row],[OrderID]])=1,1,0)</f>
        <v>1</v>
      </c>
      <c r="N1909" s="4">
        <f>IFERROR(RawWorking[[#This Row],[LineAmount]]/RawWorking[[#This Row],[Quantity]],"")</f>
        <v>224.37</v>
      </c>
    </row>
    <row r="1910" spans="1:14">
      <c r="A1910">
        <v>51909</v>
      </c>
      <c r="B1910">
        <v>31104</v>
      </c>
      <c r="C1910" s="2">
        <v>45916</v>
      </c>
      <c r="D1910">
        <v>2437</v>
      </c>
      <c r="E1910">
        <v>1015</v>
      </c>
      <c r="F1910">
        <v>1</v>
      </c>
      <c r="G1910">
        <v>119.74</v>
      </c>
      <c r="H1910" s="2">
        <v>45919</v>
      </c>
      <c r="I1910" s="2">
        <v>45928</v>
      </c>
      <c r="J1910" t="s">
        <v>9</v>
      </c>
      <c r="K1910" s="2" t="str">
        <f>IFERROR(INDEX(Product_lookup[Category],MATCH(RawWorking[[#This Row],[ProductID]],Product_lookup[ProductID],0)),"")</f>
        <v>Sports</v>
      </c>
      <c r="L1910" s="9">
        <f>IF(OR(RawWorking[[#This Row],[ShipDate]]="",RawWorking[[#This Row],[DeliveryDate]]=""),"",RawWorking[[#This Row],[DeliveryDate]]-RawWorking[[#This Row],[ShipDate]])</f>
        <v>9</v>
      </c>
      <c r="M1910" s="9">
        <f>IF(COUNTIF(INDEX(RawWorking[OrderID],1):RawWorking[[#This Row],[OrderID]],RawWorking[[#This Row],[OrderID]])=1,1,0)</f>
        <v>1</v>
      </c>
      <c r="N1910" s="4">
        <f>IFERROR(RawWorking[[#This Row],[LineAmount]]/RawWorking[[#This Row],[Quantity]],"")</f>
        <v>119.74</v>
      </c>
    </row>
    <row r="1911" spans="1:14">
      <c r="A1911">
        <v>51910</v>
      </c>
      <c r="B1911">
        <v>31105</v>
      </c>
      <c r="C1911" s="2">
        <v>45675</v>
      </c>
      <c r="D1911">
        <v>2365</v>
      </c>
      <c r="E1911">
        <v>1007</v>
      </c>
      <c r="F1911">
        <v>1</v>
      </c>
      <c r="G1911">
        <v>199.81</v>
      </c>
      <c r="H1911" s="2">
        <v>45676</v>
      </c>
      <c r="I1911" s="2">
        <v>45682</v>
      </c>
      <c r="J1911" t="s">
        <v>9</v>
      </c>
      <c r="K1911" s="2" t="str">
        <f>IFERROR(INDEX(Product_lookup[Category],MATCH(RawWorking[[#This Row],[ProductID]],Product_lookup[ProductID],0)),"")</f>
        <v>Home</v>
      </c>
      <c r="L1911" s="9">
        <f>IF(OR(RawWorking[[#This Row],[ShipDate]]="",RawWorking[[#This Row],[DeliveryDate]]=""),"",RawWorking[[#This Row],[DeliveryDate]]-RawWorking[[#This Row],[ShipDate]])</f>
        <v>6</v>
      </c>
      <c r="M1911" s="9">
        <f>IF(COUNTIF(INDEX(RawWorking[OrderID],1):RawWorking[[#This Row],[OrderID]],RawWorking[[#This Row],[OrderID]])=1,1,0)</f>
        <v>1</v>
      </c>
      <c r="N1911" s="4">
        <f>IFERROR(RawWorking[[#This Row],[LineAmount]]/RawWorking[[#This Row],[Quantity]],"")</f>
        <v>199.81</v>
      </c>
    </row>
    <row r="1912" spans="1:14">
      <c r="A1912">
        <v>51911</v>
      </c>
      <c r="B1912">
        <v>31106</v>
      </c>
      <c r="C1912" s="2">
        <v>46012</v>
      </c>
      <c r="D1912">
        <v>2547</v>
      </c>
      <c r="E1912">
        <v>1015</v>
      </c>
      <c r="F1912">
        <v>1</v>
      </c>
      <c r="G1912">
        <v>119.74</v>
      </c>
      <c r="H1912" s="2">
        <v>46014</v>
      </c>
      <c r="I1912" s="2">
        <v>46020</v>
      </c>
      <c r="J1912" t="s">
        <v>9</v>
      </c>
      <c r="K1912" s="2" t="str">
        <f>IFERROR(INDEX(Product_lookup[Category],MATCH(RawWorking[[#This Row],[ProductID]],Product_lookup[ProductID],0)),"")</f>
        <v>Sports</v>
      </c>
      <c r="L1912" s="9">
        <f>IF(OR(RawWorking[[#This Row],[ShipDate]]="",RawWorking[[#This Row],[DeliveryDate]]=""),"",RawWorking[[#This Row],[DeliveryDate]]-RawWorking[[#This Row],[ShipDate]])</f>
        <v>6</v>
      </c>
      <c r="M1912" s="9">
        <f>IF(COUNTIF(INDEX(RawWorking[OrderID],1):RawWorking[[#This Row],[OrderID]],RawWorking[[#This Row],[OrderID]])=1,1,0)</f>
        <v>1</v>
      </c>
      <c r="N1912" s="4">
        <f>IFERROR(RawWorking[[#This Row],[LineAmount]]/RawWorking[[#This Row],[Quantity]],"")</f>
        <v>119.74</v>
      </c>
    </row>
    <row r="1913" spans="1:14">
      <c r="A1913">
        <v>51912</v>
      </c>
      <c r="B1913">
        <v>31106</v>
      </c>
      <c r="C1913" s="2">
        <v>46012</v>
      </c>
      <c r="D1913">
        <v>2547</v>
      </c>
      <c r="E1913">
        <v>1005</v>
      </c>
      <c r="F1913">
        <v>2</v>
      </c>
      <c r="G1913">
        <v>63.46</v>
      </c>
      <c r="H1913" s="2">
        <v>46013</v>
      </c>
      <c r="I1913" s="2">
        <v>46017</v>
      </c>
      <c r="J1913" t="s">
        <v>9</v>
      </c>
      <c r="K1913" s="2" t="str">
        <f>IFERROR(INDEX(Product_lookup[Category],MATCH(RawWorking[[#This Row],[ProductID]],Product_lookup[ProductID],0)),"")</f>
        <v>Electronics</v>
      </c>
      <c r="L1913" s="9">
        <f>IF(OR(RawWorking[[#This Row],[ShipDate]]="",RawWorking[[#This Row],[DeliveryDate]]=""),"",RawWorking[[#This Row],[DeliveryDate]]-RawWorking[[#This Row],[ShipDate]])</f>
        <v>4</v>
      </c>
      <c r="M1913" s="9">
        <f>IF(COUNTIF(INDEX(RawWorking[OrderID],1):RawWorking[[#This Row],[OrderID]],RawWorking[[#This Row],[OrderID]])=1,1,0)</f>
        <v>0</v>
      </c>
      <c r="N1913" s="4">
        <f>IFERROR(RawWorking[[#This Row],[LineAmount]]/RawWorking[[#This Row],[Quantity]],"")</f>
        <v>31.73</v>
      </c>
    </row>
    <row r="1914" spans="1:14">
      <c r="A1914">
        <v>51913</v>
      </c>
      <c r="B1914">
        <v>31107</v>
      </c>
      <c r="C1914" s="2">
        <v>45677</v>
      </c>
      <c r="D1914">
        <v>2096</v>
      </c>
      <c r="E1914">
        <v>1015</v>
      </c>
      <c r="F1914">
        <v>1</v>
      </c>
      <c r="G1914">
        <v>119.74</v>
      </c>
      <c r="H1914" s="2">
        <v>46327</v>
      </c>
      <c r="I1914" s="2" t="s">
        <v>1421</v>
      </c>
      <c r="J1914" t="s">
        <v>16</v>
      </c>
      <c r="K1914" s="2" t="str">
        <f>IFERROR(INDEX(Product_lookup[Category],MATCH(RawWorking[[#This Row],[ProductID]],Product_lookup[ProductID],0)),"")</f>
        <v>Sports</v>
      </c>
      <c r="L1914" s="9" t="str">
        <f>IF(OR(RawWorking[[#This Row],[ShipDate]]="",RawWorking[[#This Row],[DeliveryDate]]=""),"",RawWorking[[#This Row],[DeliveryDate]]-RawWorking[[#This Row],[ShipDate]])</f>
        <v/>
      </c>
      <c r="M1914" s="9">
        <f>IF(COUNTIF(INDEX(RawWorking[OrderID],1):RawWorking[[#This Row],[OrderID]],RawWorking[[#This Row],[OrderID]])=1,1,0)</f>
        <v>1</v>
      </c>
      <c r="N1914" s="4">
        <f>IFERROR(RawWorking[[#This Row],[LineAmount]]/RawWorking[[#This Row],[Quantity]],"")</f>
        <v>119.74</v>
      </c>
    </row>
    <row r="1915" spans="1:14">
      <c r="A1915">
        <v>51914</v>
      </c>
      <c r="B1915">
        <v>31107</v>
      </c>
      <c r="C1915" s="2">
        <v>45677</v>
      </c>
      <c r="D1915">
        <v>2096</v>
      </c>
      <c r="E1915">
        <v>1010</v>
      </c>
      <c r="F1915">
        <v>3</v>
      </c>
      <c r="G1915">
        <v>364.5</v>
      </c>
      <c r="H1915" s="2" t="s">
        <v>1421</v>
      </c>
      <c r="I1915" s="2" t="s">
        <v>1421</v>
      </c>
      <c r="J1915" t="s">
        <v>16</v>
      </c>
      <c r="K1915" s="2" t="str">
        <f>IFERROR(INDEX(Product_lookup[Category],MATCH(RawWorking[[#This Row],[ProductID]],Product_lookup[ProductID],0)),"")</f>
        <v>Office</v>
      </c>
      <c r="L1915" s="9" t="str">
        <f>IF(OR(RawWorking[[#This Row],[ShipDate]]="",RawWorking[[#This Row],[DeliveryDate]]=""),"",RawWorking[[#This Row],[DeliveryDate]]-RawWorking[[#This Row],[ShipDate]])</f>
        <v/>
      </c>
      <c r="M1915" s="9">
        <f>IF(COUNTIF(INDEX(RawWorking[OrderID],1):RawWorking[[#This Row],[OrderID]],RawWorking[[#This Row],[OrderID]])=1,1,0)</f>
        <v>0</v>
      </c>
      <c r="N1915" s="4">
        <f>IFERROR(RawWorking[[#This Row],[LineAmount]]/RawWorking[[#This Row],[Quantity]],"")</f>
        <v>121.5</v>
      </c>
    </row>
    <row r="1916" spans="1:14">
      <c r="A1916">
        <v>51915</v>
      </c>
      <c r="B1916">
        <v>31107</v>
      </c>
      <c r="C1916" s="2">
        <v>45677</v>
      </c>
      <c r="D1916">
        <v>2096</v>
      </c>
      <c r="E1916">
        <v>1015</v>
      </c>
      <c r="F1916">
        <v>1</v>
      </c>
      <c r="G1916">
        <v>119.74</v>
      </c>
      <c r="H1916" s="2" t="s">
        <v>1421</v>
      </c>
      <c r="I1916" s="2" t="s">
        <v>1421</v>
      </c>
      <c r="J1916" t="s">
        <v>16</v>
      </c>
      <c r="K1916" s="2" t="str">
        <f>IFERROR(INDEX(Product_lookup[Category],MATCH(RawWorking[[#This Row],[ProductID]],Product_lookup[ProductID],0)),"")</f>
        <v>Sports</v>
      </c>
      <c r="L1916" s="9" t="str">
        <f>IF(OR(RawWorking[[#This Row],[ShipDate]]="",RawWorking[[#This Row],[DeliveryDate]]=""),"",RawWorking[[#This Row],[DeliveryDate]]-RawWorking[[#This Row],[ShipDate]])</f>
        <v/>
      </c>
      <c r="M1916" s="9">
        <f>IF(COUNTIF(INDEX(RawWorking[OrderID],1):RawWorking[[#This Row],[OrderID]],RawWorking[[#This Row],[OrderID]])=1,1,0)</f>
        <v>0</v>
      </c>
      <c r="N1916" s="4">
        <f>IFERROR(RawWorking[[#This Row],[LineAmount]]/RawWorking[[#This Row],[Quantity]],"")</f>
        <v>119.74</v>
      </c>
    </row>
    <row r="1917" spans="1:14">
      <c r="A1917">
        <v>51916</v>
      </c>
      <c r="B1917">
        <v>31108</v>
      </c>
      <c r="C1917" s="2">
        <v>45851</v>
      </c>
      <c r="D1917">
        <v>2230</v>
      </c>
      <c r="E1917">
        <v>1009</v>
      </c>
      <c r="F1917">
        <v>2</v>
      </c>
      <c r="G1917">
        <v>80.56</v>
      </c>
      <c r="H1917" s="2">
        <v>45854</v>
      </c>
      <c r="I1917" s="2">
        <v>45856</v>
      </c>
      <c r="J1917" t="s">
        <v>9</v>
      </c>
      <c r="K1917" s="2" t="str">
        <f>IFERROR(INDEX(Product_lookup[Category],MATCH(RawWorking[[#This Row],[ProductID]],Product_lookup[ProductID],0)),"")</f>
        <v>Home</v>
      </c>
      <c r="L1917" s="9">
        <f>IF(OR(RawWorking[[#This Row],[ShipDate]]="",RawWorking[[#This Row],[DeliveryDate]]=""),"",RawWorking[[#This Row],[DeliveryDate]]-RawWorking[[#This Row],[ShipDate]])</f>
        <v>2</v>
      </c>
      <c r="M1917" s="9">
        <f>IF(COUNTIF(INDEX(RawWorking[OrderID],1):RawWorking[[#This Row],[OrderID]],RawWorking[[#This Row],[OrderID]])=1,1,0)</f>
        <v>1</v>
      </c>
      <c r="N1917" s="4">
        <f>IFERROR(RawWorking[[#This Row],[LineAmount]]/RawWorking[[#This Row],[Quantity]],"")</f>
        <v>40.28</v>
      </c>
    </row>
    <row r="1918" spans="1:14">
      <c r="A1918">
        <v>51917</v>
      </c>
      <c r="B1918">
        <v>31108</v>
      </c>
      <c r="C1918" s="2">
        <v>45851</v>
      </c>
      <c r="D1918">
        <v>2230</v>
      </c>
      <c r="E1918">
        <v>1012</v>
      </c>
      <c r="F1918">
        <v>2</v>
      </c>
      <c r="G1918">
        <v>483.08</v>
      </c>
      <c r="H1918" s="2">
        <v>45852</v>
      </c>
      <c r="I1918" s="2">
        <v>45861</v>
      </c>
      <c r="J1918" t="s">
        <v>9</v>
      </c>
      <c r="K1918" s="2" t="str">
        <f>IFERROR(INDEX(Product_lookup[Category],MATCH(RawWorking[[#This Row],[ProductID]],Product_lookup[ProductID],0)),"")</f>
        <v>Office</v>
      </c>
      <c r="L1918" s="9">
        <f>IF(OR(RawWorking[[#This Row],[ShipDate]]="",RawWorking[[#This Row],[DeliveryDate]]=""),"",RawWorking[[#This Row],[DeliveryDate]]-RawWorking[[#This Row],[ShipDate]])</f>
        <v>9</v>
      </c>
      <c r="M1918" s="9">
        <f>IF(COUNTIF(INDEX(RawWorking[OrderID],1):RawWorking[[#This Row],[OrderID]],RawWorking[[#This Row],[OrderID]])=1,1,0)</f>
        <v>0</v>
      </c>
      <c r="N1918" s="4">
        <f>IFERROR(RawWorking[[#This Row],[LineAmount]]/RawWorking[[#This Row],[Quantity]],"")</f>
        <v>241.54</v>
      </c>
    </row>
    <row r="1919" spans="1:14">
      <c r="A1919">
        <v>51918</v>
      </c>
      <c r="B1919">
        <v>31109</v>
      </c>
      <c r="C1919" s="2">
        <v>45697</v>
      </c>
      <c r="D1919">
        <v>2402</v>
      </c>
      <c r="E1919">
        <v>1011</v>
      </c>
      <c r="F1919">
        <v>1</v>
      </c>
      <c r="G1919">
        <v>101.44</v>
      </c>
      <c r="H1919" s="2">
        <v>45700</v>
      </c>
      <c r="I1919" s="2">
        <v>45708</v>
      </c>
      <c r="J1919" t="s">
        <v>9</v>
      </c>
      <c r="K1919" s="2" t="str">
        <f>IFERROR(INDEX(Product_lookup[Category],MATCH(RawWorking[[#This Row],[ProductID]],Product_lookup[ProductID],0)),"")</f>
        <v>Office</v>
      </c>
      <c r="L1919" s="9">
        <f>IF(OR(RawWorking[[#This Row],[ShipDate]]="",RawWorking[[#This Row],[DeliveryDate]]=""),"",RawWorking[[#This Row],[DeliveryDate]]-RawWorking[[#This Row],[ShipDate]])</f>
        <v>8</v>
      </c>
      <c r="M1919" s="9">
        <f>IF(COUNTIF(INDEX(RawWorking[OrderID],1):RawWorking[[#This Row],[OrderID]],RawWorking[[#This Row],[OrderID]])=1,1,0)</f>
        <v>1</v>
      </c>
      <c r="N1919" s="4">
        <f>IFERROR(RawWorking[[#This Row],[LineAmount]]/RawWorking[[#This Row],[Quantity]],"")</f>
        <v>101.44</v>
      </c>
    </row>
    <row r="1920" spans="1:14">
      <c r="A1920">
        <v>51919</v>
      </c>
      <c r="B1920">
        <v>31110</v>
      </c>
      <c r="C1920" s="2">
        <v>45932</v>
      </c>
      <c r="D1920">
        <v>2333</v>
      </c>
      <c r="E1920">
        <v>1001</v>
      </c>
      <c r="F1920">
        <v>1</v>
      </c>
      <c r="G1920">
        <v>203.04</v>
      </c>
      <c r="H1920" s="2">
        <v>45935</v>
      </c>
      <c r="I1920" s="2">
        <v>45937</v>
      </c>
      <c r="J1920" t="s">
        <v>9</v>
      </c>
      <c r="K1920" s="2" t="str">
        <f>IFERROR(INDEX(Product_lookup[Category],MATCH(RawWorking[[#This Row],[ProductID]],Product_lookup[ProductID],0)),"")</f>
        <v>Electronics</v>
      </c>
      <c r="L1920" s="9">
        <f>IF(OR(RawWorking[[#This Row],[ShipDate]]="",RawWorking[[#This Row],[DeliveryDate]]=""),"",RawWorking[[#This Row],[DeliveryDate]]-RawWorking[[#This Row],[ShipDate]])</f>
        <v>2</v>
      </c>
      <c r="M1920" s="9">
        <f>IF(COUNTIF(INDEX(RawWorking[OrderID],1):RawWorking[[#This Row],[OrderID]],RawWorking[[#This Row],[OrderID]])=1,1,0)</f>
        <v>1</v>
      </c>
      <c r="N1920" s="4">
        <f>IFERROR(RawWorking[[#This Row],[LineAmount]]/RawWorking[[#This Row],[Quantity]],"")</f>
        <v>203.04</v>
      </c>
    </row>
    <row r="1921" spans="1:14">
      <c r="A1921">
        <v>51920</v>
      </c>
      <c r="B1921">
        <v>31110</v>
      </c>
      <c r="C1921" s="2">
        <v>45932</v>
      </c>
      <c r="D1921">
        <v>2333</v>
      </c>
      <c r="E1921">
        <v>1003</v>
      </c>
      <c r="F1921">
        <v>1</v>
      </c>
      <c r="G1921">
        <v>224.37</v>
      </c>
      <c r="H1921" s="2">
        <v>45933</v>
      </c>
      <c r="I1921" s="2">
        <v>45938</v>
      </c>
      <c r="J1921" t="s">
        <v>9</v>
      </c>
      <c r="K1921" s="2" t="str">
        <f>IFERROR(INDEX(Product_lookup[Category],MATCH(RawWorking[[#This Row],[ProductID]],Product_lookup[ProductID],0)),"")</f>
        <v>Electronics</v>
      </c>
      <c r="L1921" s="9">
        <f>IF(OR(RawWorking[[#This Row],[ShipDate]]="",RawWorking[[#This Row],[DeliveryDate]]=""),"",RawWorking[[#This Row],[DeliveryDate]]-RawWorking[[#This Row],[ShipDate]])</f>
        <v>5</v>
      </c>
      <c r="M1921" s="9">
        <f>IF(COUNTIF(INDEX(RawWorking[OrderID],1):RawWorking[[#This Row],[OrderID]],RawWorking[[#This Row],[OrderID]])=1,1,0)</f>
        <v>0</v>
      </c>
      <c r="N1921" s="4">
        <f>IFERROR(RawWorking[[#This Row],[LineAmount]]/RawWorking[[#This Row],[Quantity]],"")</f>
        <v>224.37</v>
      </c>
    </row>
    <row r="1922" spans="1:14">
      <c r="A1922">
        <v>51921</v>
      </c>
      <c r="B1922">
        <v>31111</v>
      </c>
      <c r="C1922" s="2">
        <v>45793</v>
      </c>
      <c r="D1922">
        <v>2487</v>
      </c>
      <c r="E1922">
        <v>1016</v>
      </c>
      <c r="F1922">
        <v>1</v>
      </c>
      <c r="G1922">
        <v>65.260000000000005</v>
      </c>
      <c r="H1922" s="2">
        <v>45794</v>
      </c>
      <c r="I1922" s="2">
        <v>45798</v>
      </c>
      <c r="J1922" t="s">
        <v>9</v>
      </c>
      <c r="K1922" s="2" t="str">
        <f>IFERROR(INDEX(Product_lookup[Category],MATCH(RawWorking[[#This Row],[ProductID]],Product_lookup[ProductID],0)),"")</f>
        <v>Sports</v>
      </c>
      <c r="L1922" s="9">
        <f>IF(OR(RawWorking[[#This Row],[ShipDate]]="",RawWorking[[#This Row],[DeliveryDate]]=""),"",RawWorking[[#This Row],[DeliveryDate]]-RawWorking[[#This Row],[ShipDate]])</f>
        <v>4</v>
      </c>
      <c r="M1922" s="9">
        <f>IF(COUNTIF(INDEX(RawWorking[OrderID],1):RawWorking[[#This Row],[OrderID]],RawWorking[[#This Row],[OrderID]])=1,1,0)</f>
        <v>1</v>
      </c>
      <c r="N1922" s="4">
        <f>IFERROR(RawWorking[[#This Row],[LineAmount]]/RawWorking[[#This Row],[Quantity]],"")</f>
        <v>65.260000000000005</v>
      </c>
    </row>
    <row r="1923" spans="1:14">
      <c r="A1923">
        <v>51922</v>
      </c>
      <c r="B1923">
        <v>31112</v>
      </c>
      <c r="C1923" s="2">
        <v>45997</v>
      </c>
      <c r="D1923">
        <v>2473</v>
      </c>
      <c r="E1923">
        <v>1010</v>
      </c>
      <c r="F1923">
        <v>1</v>
      </c>
      <c r="G1923">
        <v>121.5</v>
      </c>
      <c r="H1923" s="2" t="s">
        <v>1421</v>
      </c>
      <c r="I1923" s="2" t="s">
        <v>1421</v>
      </c>
      <c r="J1923" t="s">
        <v>16</v>
      </c>
      <c r="K1923" s="2" t="str">
        <f>IFERROR(INDEX(Product_lookup[Category],MATCH(RawWorking[[#This Row],[ProductID]],Product_lookup[ProductID],0)),"")</f>
        <v>Office</v>
      </c>
      <c r="L1923" s="9" t="str">
        <f>IF(OR(RawWorking[[#This Row],[ShipDate]]="",RawWorking[[#This Row],[DeliveryDate]]=""),"",RawWorking[[#This Row],[DeliveryDate]]-RawWorking[[#This Row],[ShipDate]])</f>
        <v/>
      </c>
      <c r="M1923" s="9">
        <f>IF(COUNTIF(INDEX(RawWorking[OrderID],1):RawWorking[[#This Row],[OrderID]],RawWorking[[#This Row],[OrderID]])=1,1,0)</f>
        <v>1</v>
      </c>
      <c r="N1923" s="4">
        <f>IFERROR(RawWorking[[#This Row],[LineAmount]]/RawWorking[[#This Row],[Quantity]],"")</f>
        <v>121.5</v>
      </c>
    </row>
    <row r="1924" spans="1:14">
      <c r="A1924">
        <v>51923</v>
      </c>
      <c r="B1924">
        <v>31113</v>
      </c>
      <c r="C1924" s="2">
        <v>45986</v>
      </c>
      <c r="D1924">
        <v>2589</v>
      </c>
      <c r="E1924">
        <v>1004</v>
      </c>
      <c r="F1924">
        <v>4</v>
      </c>
      <c r="G1924">
        <v>734.96</v>
      </c>
      <c r="H1924" s="2">
        <v>45988</v>
      </c>
      <c r="I1924" s="2">
        <v>45996</v>
      </c>
      <c r="J1924" t="s">
        <v>9</v>
      </c>
      <c r="K1924" s="2" t="str">
        <f>IFERROR(INDEX(Product_lookup[Category],MATCH(RawWorking[[#This Row],[ProductID]],Product_lookup[ProductID],0)),"")</f>
        <v>Electronics</v>
      </c>
      <c r="L1924" s="9">
        <f>IF(OR(RawWorking[[#This Row],[ShipDate]]="",RawWorking[[#This Row],[DeliveryDate]]=""),"",RawWorking[[#This Row],[DeliveryDate]]-RawWorking[[#This Row],[ShipDate]])</f>
        <v>8</v>
      </c>
      <c r="M1924" s="9">
        <f>IF(COUNTIF(INDEX(RawWorking[OrderID],1):RawWorking[[#This Row],[OrderID]],RawWorking[[#This Row],[OrderID]])=1,1,0)</f>
        <v>1</v>
      </c>
      <c r="N1924" s="4">
        <f>IFERROR(RawWorking[[#This Row],[LineAmount]]/RawWorking[[#This Row],[Quantity]],"")</f>
        <v>183.74</v>
      </c>
    </row>
    <row r="1925" spans="1:14">
      <c r="A1925">
        <v>51924</v>
      </c>
      <c r="B1925">
        <v>31114</v>
      </c>
      <c r="C1925" s="2">
        <v>45990</v>
      </c>
      <c r="D1925">
        <v>2416</v>
      </c>
      <c r="E1925">
        <v>1004</v>
      </c>
      <c r="F1925">
        <v>1</v>
      </c>
      <c r="G1925">
        <v>183.74</v>
      </c>
      <c r="H1925" s="2" t="s">
        <v>1421</v>
      </c>
      <c r="I1925" s="2" t="s">
        <v>1421</v>
      </c>
      <c r="J1925" t="s">
        <v>16</v>
      </c>
      <c r="K1925" s="2" t="str">
        <f>IFERROR(INDEX(Product_lookup[Category],MATCH(RawWorking[[#This Row],[ProductID]],Product_lookup[ProductID],0)),"")</f>
        <v>Electronics</v>
      </c>
      <c r="L1925" s="9" t="str">
        <f>IF(OR(RawWorking[[#This Row],[ShipDate]]="",RawWorking[[#This Row],[DeliveryDate]]=""),"",RawWorking[[#This Row],[DeliveryDate]]-RawWorking[[#This Row],[ShipDate]])</f>
        <v/>
      </c>
      <c r="M1925" s="9">
        <f>IF(COUNTIF(INDEX(RawWorking[OrderID],1):RawWorking[[#This Row],[OrderID]],RawWorking[[#This Row],[OrderID]])=1,1,0)</f>
        <v>1</v>
      </c>
      <c r="N1925" s="4">
        <f>IFERROR(RawWorking[[#This Row],[LineAmount]]/RawWorking[[#This Row],[Quantity]],"")</f>
        <v>183.74</v>
      </c>
    </row>
    <row r="1926" spans="1:14">
      <c r="A1926">
        <v>51925</v>
      </c>
      <c r="B1926">
        <v>31115</v>
      </c>
      <c r="C1926" s="2">
        <v>45746</v>
      </c>
      <c r="D1926">
        <v>2073</v>
      </c>
      <c r="E1926">
        <v>1015</v>
      </c>
      <c r="F1926">
        <v>1</v>
      </c>
      <c r="G1926">
        <v>119.74</v>
      </c>
      <c r="H1926" s="2" t="s">
        <v>1421</v>
      </c>
      <c r="I1926" s="2" t="s">
        <v>1421</v>
      </c>
      <c r="J1926" t="s">
        <v>16</v>
      </c>
      <c r="K1926" s="2" t="str">
        <f>IFERROR(INDEX(Product_lookup[Category],MATCH(RawWorking[[#This Row],[ProductID]],Product_lookup[ProductID],0)),"")</f>
        <v>Sports</v>
      </c>
      <c r="L1926" s="9" t="str">
        <f>IF(OR(RawWorking[[#This Row],[ShipDate]]="",RawWorking[[#This Row],[DeliveryDate]]=""),"",RawWorking[[#This Row],[DeliveryDate]]-RawWorking[[#This Row],[ShipDate]])</f>
        <v/>
      </c>
      <c r="M1926" s="9">
        <f>IF(COUNTIF(INDEX(RawWorking[OrderID],1):RawWorking[[#This Row],[OrderID]],RawWorking[[#This Row],[OrderID]])=1,1,0)</f>
        <v>1</v>
      </c>
      <c r="N1926" s="4">
        <f>IFERROR(RawWorking[[#This Row],[LineAmount]]/RawWorking[[#This Row],[Quantity]],"")</f>
        <v>119.74</v>
      </c>
    </row>
    <row r="1927" spans="1:14">
      <c r="A1927">
        <v>51926</v>
      </c>
      <c r="B1927">
        <v>31116</v>
      </c>
      <c r="C1927" s="2">
        <v>45794</v>
      </c>
      <c r="D1927">
        <v>2424</v>
      </c>
      <c r="E1927">
        <v>1008</v>
      </c>
      <c r="F1927">
        <v>1</v>
      </c>
      <c r="G1927">
        <v>206.09</v>
      </c>
      <c r="H1927" s="2">
        <v>45796</v>
      </c>
      <c r="I1927" s="2">
        <v>45802</v>
      </c>
      <c r="J1927" t="s">
        <v>9</v>
      </c>
      <c r="K1927" s="2" t="str">
        <f>IFERROR(INDEX(Product_lookup[Category],MATCH(RawWorking[[#This Row],[ProductID]],Product_lookup[ProductID],0)),"")</f>
        <v>Home</v>
      </c>
      <c r="L1927" s="9">
        <f>IF(OR(RawWorking[[#This Row],[ShipDate]]="",RawWorking[[#This Row],[DeliveryDate]]=""),"",RawWorking[[#This Row],[DeliveryDate]]-RawWorking[[#This Row],[ShipDate]])</f>
        <v>6</v>
      </c>
      <c r="M1927" s="9">
        <f>IF(COUNTIF(INDEX(RawWorking[OrderID],1):RawWorking[[#This Row],[OrderID]],RawWorking[[#This Row],[OrderID]])=1,1,0)</f>
        <v>1</v>
      </c>
      <c r="N1927" s="4">
        <f>IFERROR(RawWorking[[#This Row],[LineAmount]]/RawWorking[[#This Row],[Quantity]],"")</f>
        <v>206.09</v>
      </c>
    </row>
    <row r="1928" spans="1:14">
      <c r="A1928">
        <v>51927</v>
      </c>
      <c r="B1928">
        <v>31117</v>
      </c>
      <c r="C1928" s="2">
        <v>45976</v>
      </c>
      <c r="D1928">
        <v>2562</v>
      </c>
      <c r="E1928">
        <v>1016</v>
      </c>
      <c r="F1928">
        <v>1</v>
      </c>
      <c r="G1928">
        <v>65.260000000000005</v>
      </c>
      <c r="H1928" s="2">
        <v>45977</v>
      </c>
      <c r="I1928" s="2">
        <v>45985</v>
      </c>
      <c r="J1928" t="s">
        <v>9</v>
      </c>
      <c r="K1928" s="2" t="str">
        <f>IFERROR(INDEX(Product_lookup[Category],MATCH(RawWorking[[#This Row],[ProductID]],Product_lookup[ProductID],0)),"")</f>
        <v>Sports</v>
      </c>
      <c r="L1928" s="9">
        <f>IF(OR(RawWorking[[#This Row],[ShipDate]]="",RawWorking[[#This Row],[DeliveryDate]]=""),"",RawWorking[[#This Row],[DeliveryDate]]-RawWorking[[#This Row],[ShipDate]])</f>
        <v>8</v>
      </c>
      <c r="M1928" s="9">
        <f>IF(COUNTIF(INDEX(RawWorking[OrderID],1):RawWorking[[#This Row],[OrderID]],RawWorking[[#This Row],[OrderID]])=1,1,0)</f>
        <v>1</v>
      </c>
      <c r="N1928" s="4">
        <f>IFERROR(RawWorking[[#This Row],[LineAmount]]/RawWorking[[#This Row],[Quantity]],"")</f>
        <v>65.260000000000005</v>
      </c>
    </row>
    <row r="1929" spans="1:14">
      <c r="A1929">
        <v>51928</v>
      </c>
      <c r="B1929">
        <v>31118</v>
      </c>
      <c r="C1929" s="2">
        <v>45819</v>
      </c>
      <c r="D1929">
        <v>2394</v>
      </c>
      <c r="E1929">
        <v>1007</v>
      </c>
      <c r="F1929">
        <v>1</v>
      </c>
      <c r="G1929">
        <v>199.81</v>
      </c>
      <c r="H1929" s="2">
        <v>45821</v>
      </c>
      <c r="I1929" s="2">
        <v>45823</v>
      </c>
      <c r="J1929" t="s">
        <v>9</v>
      </c>
      <c r="K1929" s="2" t="str">
        <f>IFERROR(INDEX(Product_lookup[Category],MATCH(RawWorking[[#This Row],[ProductID]],Product_lookup[ProductID],0)),"")</f>
        <v>Home</v>
      </c>
      <c r="L1929" s="9">
        <f>IF(OR(RawWorking[[#This Row],[ShipDate]]="",RawWorking[[#This Row],[DeliveryDate]]=""),"",RawWorking[[#This Row],[DeliveryDate]]-RawWorking[[#This Row],[ShipDate]])</f>
        <v>2</v>
      </c>
      <c r="M1929" s="9">
        <f>IF(COUNTIF(INDEX(RawWorking[OrderID],1):RawWorking[[#This Row],[OrderID]],RawWorking[[#This Row],[OrderID]])=1,1,0)</f>
        <v>1</v>
      </c>
      <c r="N1929" s="4">
        <f>IFERROR(RawWorking[[#This Row],[LineAmount]]/RawWorking[[#This Row],[Quantity]],"")</f>
        <v>199.81</v>
      </c>
    </row>
    <row r="1930" spans="1:14">
      <c r="A1930">
        <v>51929</v>
      </c>
      <c r="B1930">
        <v>31119</v>
      </c>
      <c r="C1930" s="2">
        <v>45691</v>
      </c>
      <c r="D1930">
        <v>2442</v>
      </c>
      <c r="E1930">
        <v>1014</v>
      </c>
      <c r="F1930">
        <v>3</v>
      </c>
      <c r="G1930">
        <v>646.02</v>
      </c>
      <c r="H1930" s="2" t="s">
        <v>1421</v>
      </c>
      <c r="I1930" s="2" t="s">
        <v>1421</v>
      </c>
      <c r="J1930" t="s">
        <v>16</v>
      </c>
      <c r="K1930" s="2" t="str">
        <f>IFERROR(INDEX(Product_lookup[Category],MATCH(RawWorking[[#This Row],[ProductID]],Product_lookup[ProductID],0)),"")</f>
        <v>Sports</v>
      </c>
      <c r="L1930" s="9" t="str">
        <f>IF(OR(RawWorking[[#This Row],[ShipDate]]="",RawWorking[[#This Row],[DeliveryDate]]=""),"",RawWorking[[#This Row],[DeliveryDate]]-RawWorking[[#This Row],[ShipDate]])</f>
        <v/>
      </c>
      <c r="M1930" s="9">
        <f>IF(COUNTIF(INDEX(RawWorking[OrderID],1):RawWorking[[#This Row],[OrderID]],RawWorking[[#This Row],[OrderID]])=1,1,0)</f>
        <v>1</v>
      </c>
      <c r="N1930" s="4">
        <f>IFERROR(RawWorking[[#This Row],[LineAmount]]/RawWorking[[#This Row],[Quantity]],"")</f>
        <v>215.34</v>
      </c>
    </row>
    <row r="1931" spans="1:14">
      <c r="A1931">
        <v>51930</v>
      </c>
      <c r="B1931">
        <v>31119</v>
      </c>
      <c r="C1931" s="2">
        <v>45691</v>
      </c>
      <c r="D1931">
        <v>2442</v>
      </c>
      <c r="E1931">
        <v>1011</v>
      </c>
      <c r="F1931">
        <v>1</v>
      </c>
      <c r="G1931">
        <v>101.44</v>
      </c>
      <c r="H1931" s="2" t="s">
        <v>1421</v>
      </c>
      <c r="I1931" s="2" t="s">
        <v>1421</v>
      </c>
      <c r="J1931" t="s">
        <v>16</v>
      </c>
      <c r="K1931" s="2" t="str">
        <f>IFERROR(INDEX(Product_lookup[Category],MATCH(RawWorking[[#This Row],[ProductID]],Product_lookup[ProductID],0)),"")</f>
        <v>Office</v>
      </c>
      <c r="L1931" s="9" t="str">
        <f>IF(OR(RawWorking[[#This Row],[ShipDate]]="",RawWorking[[#This Row],[DeliveryDate]]=""),"",RawWorking[[#This Row],[DeliveryDate]]-RawWorking[[#This Row],[ShipDate]])</f>
        <v/>
      </c>
      <c r="M1931" s="9">
        <f>IF(COUNTIF(INDEX(RawWorking[OrderID],1):RawWorking[[#This Row],[OrderID]],RawWorking[[#This Row],[OrderID]])=1,1,0)</f>
        <v>0</v>
      </c>
      <c r="N1931" s="4">
        <f>IFERROR(RawWorking[[#This Row],[LineAmount]]/RawWorking[[#This Row],[Quantity]],"")</f>
        <v>101.44</v>
      </c>
    </row>
    <row r="1932" spans="1:14">
      <c r="A1932">
        <v>51931</v>
      </c>
      <c r="B1932">
        <v>31119</v>
      </c>
      <c r="C1932" s="2">
        <v>45691</v>
      </c>
      <c r="D1932">
        <v>2442</v>
      </c>
      <c r="E1932">
        <v>1008</v>
      </c>
      <c r="F1932">
        <v>1</v>
      </c>
      <c r="G1932">
        <v>206.09</v>
      </c>
      <c r="H1932" s="2">
        <v>45692</v>
      </c>
      <c r="I1932" s="2" t="s">
        <v>1421</v>
      </c>
      <c r="J1932" t="s">
        <v>16</v>
      </c>
      <c r="K1932" s="2" t="str">
        <f>IFERROR(INDEX(Product_lookup[Category],MATCH(RawWorking[[#This Row],[ProductID]],Product_lookup[ProductID],0)),"")</f>
        <v>Home</v>
      </c>
      <c r="L1932" s="9" t="str">
        <f>IF(OR(RawWorking[[#This Row],[ShipDate]]="",RawWorking[[#This Row],[DeliveryDate]]=""),"",RawWorking[[#This Row],[DeliveryDate]]-RawWorking[[#This Row],[ShipDate]])</f>
        <v/>
      </c>
      <c r="M1932" s="9">
        <f>IF(COUNTIF(INDEX(RawWorking[OrderID],1):RawWorking[[#This Row],[OrderID]],RawWorking[[#This Row],[OrderID]])=1,1,0)</f>
        <v>0</v>
      </c>
      <c r="N1932" s="4">
        <f>IFERROR(RawWorking[[#This Row],[LineAmount]]/RawWorking[[#This Row],[Quantity]],"")</f>
        <v>206.09</v>
      </c>
    </row>
    <row r="1933" spans="1:14">
      <c r="A1933">
        <v>51932</v>
      </c>
      <c r="B1933">
        <v>31120</v>
      </c>
      <c r="C1933" s="2">
        <v>45787</v>
      </c>
      <c r="D1933">
        <v>2080</v>
      </c>
      <c r="E1933">
        <v>1016</v>
      </c>
      <c r="F1933">
        <v>1</v>
      </c>
      <c r="G1933">
        <v>65.260000000000005</v>
      </c>
      <c r="H1933" s="2">
        <v>45938</v>
      </c>
      <c r="I1933" s="2">
        <v>45942</v>
      </c>
      <c r="J1933" t="s">
        <v>9</v>
      </c>
      <c r="K1933" s="2" t="str">
        <f>IFERROR(INDEX(Product_lookup[Category],MATCH(RawWorking[[#This Row],[ProductID]],Product_lookup[ProductID],0)),"")</f>
        <v>Sports</v>
      </c>
      <c r="L1933" s="9">
        <f>IF(OR(RawWorking[[#This Row],[ShipDate]]="",RawWorking[[#This Row],[DeliveryDate]]=""),"",RawWorking[[#This Row],[DeliveryDate]]-RawWorking[[#This Row],[ShipDate]])</f>
        <v>4</v>
      </c>
      <c r="M1933" s="9">
        <f>IF(COUNTIF(INDEX(RawWorking[OrderID],1):RawWorking[[#This Row],[OrderID]],RawWorking[[#This Row],[OrderID]])=1,1,0)</f>
        <v>1</v>
      </c>
      <c r="N1933" s="4">
        <f>IFERROR(RawWorking[[#This Row],[LineAmount]]/RawWorking[[#This Row],[Quantity]],"")</f>
        <v>65.260000000000005</v>
      </c>
    </row>
    <row r="1934" spans="1:14">
      <c r="A1934">
        <v>51933</v>
      </c>
      <c r="B1934">
        <v>31120</v>
      </c>
      <c r="C1934" s="2">
        <v>45935</v>
      </c>
      <c r="D1934">
        <v>2080</v>
      </c>
      <c r="E1934">
        <v>1004</v>
      </c>
      <c r="F1934">
        <v>1</v>
      </c>
      <c r="G1934">
        <v>183.74</v>
      </c>
      <c r="H1934" s="2">
        <v>45936</v>
      </c>
      <c r="I1934" s="2">
        <v>45943</v>
      </c>
      <c r="J1934" t="s">
        <v>9</v>
      </c>
      <c r="K1934" s="2" t="str">
        <f>IFERROR(INDEX(Product_lookup[Category],MATCH(RawWorking[[#This Row],[ProductID]],Product_lookup[ProductID],0)),"")</f>
        <v>Electronics</v>
      </c>
      <c r="L1934" s="9">
        <f>IF(OR(RawWorking[[#This Row],[ShipDate]]="",RawWorking[[#This Row],[DeliveryDate]]=""),"",RawWorking[[#This Row],[DeliveryDate]]-RawWorking[[#This Row],[ShipDate]])</f>
        <v>7</v>
      </c>
      <c r="M1934" s="9">
        <f>IF(COUNTIF(INDEX(RawWorking[OrderID],1):RawWorking[[#This Row],[OrderID]],RawWorking[[#This Row],[OrderID]])=1,1,0)</f>
        <v>0</v>
      </c>
      <c r="N1934" s="4">
        <f>IFERROR(RawWorking[[#This Row],[LineAmount]]/RawWorking[[#This Row],[Quantity]],"")</f>
        <v>183.74</v>
      </c>
    </row>
    <row r="1935" spans="1:14">
      <c r="A1935">
        <v>51934</v>
      </c>
      <c r="B1935">
        <v>31121</v>
      </c>
      <c r="C1935" s="2">
        <v>45864</v>
      </c>
      <c r="D1935">
        <v>2475</v>
      </c>
      <c r="E1935">
        <v>1004</v>
      </c>
      <c r="F1935">
        <v>1</v>
      </c>
      <c r="G1935">
        <v>183.74</v>
      </c>
      <c r="H1935" s="2">
        <v>45865</v>
      </c>
      <c r="I1935" s="2">
        <v>45869</v>
      </c>
      <c r="J1935" t="s">
        <v>9</v>
      </c>
      <c r="K1935" s="2" t="str">
        <f>IFERROR(INDEX(Product_lookup[Category],MATCH(RawWorking[[#This Row],[ProductID]],Product_lookup[ProductID],0)),"")</f>
        <v>Electronics</v>
      </c>
      <c r="L1935" s="9">
        <f>IF(OR(RawWorking[[#This Row],[ShipDate]]="",RawWorking[[#This Row],[DeliveryDate]]=""),"",RawWorking[[#This Row],[DeliveryDate]]-RawWorking[[#This Row],[ShipDate]])</f>
        <v>4</v>
      </c>
      <c r="M1935" s="9">
        <f>IF(COUNTIF(INDEX(RawWorking[OrderID],1):RawWorking[[#This Row],[OrderID]],RawWorking[[#This Row],[OrderID]])=1,1,0)</f>
        <v>1</v>
      </c>
      <c r="N1935" s="4">
        <f>IFERROR(RawWorking[[#This Row],[LineAmount]]/RawWorking[[#This Row],[Quantity]],"")</f>
        <v>183.74</v>
      </c>
    </row>
    <row r="1936" spans="1:14">
      <c r="A1936">
        <v>51935</v>
      </c>
      <c r="B1936">
        <v>31122</v>
      </c>
      <c r="C1936" s="2">
        <v>45987</v>
      </c>
      <c r="D1936">
        <v>2456</v>
      </c>
      <c r="E1936">
        <v>1013</v>
      </c>
      <c r="F1936">
        <v>2</v>
      </c>
      <c r="G1936">
        <v>340.5</v>
      </c>
      <c r="H1936" s="2">
        <v>45988</v>
      </c>
      <c r="I1936" s="2">
        <v>45989</v>
      </c>
      <c r="J1936" t="s">
        <v>9</v>
      </c>
      <c r="K1936" s="2" t="str">
        <f>IFERROR(INDEX(Product_lookup[Category],MATCH(RawWorking[[#This Row],[ProductID]],Product_lookup[ProductID],0)),"")</f>
        <v>Office</v>
      </c>
      <c r="L1936" s="9">
        <f>IF(OR(RawWorking[[#This Row],[ShipDate]]="",RawWorking[[#This Row],[DeliveryDate]]=""),"",RawWorking[[#This Row],[DeliveryDate]]-RawWorking[[#This Row],[ShipDate]])</f>
        <v>1</v>
      </c>
      <c r="M1936" s="9">
        <f>IF(COUNTIF(INDEX(RawWorking[OrderID],1):RawWorking[[#This Row],[OrderID]],RawWorking[[#This Row],[OrderID]])=1,1,0)</f>
        <v>1</v>
      </c>
      <c r="N1936" s="4">
        <f>IFERROR(RawWorking[[#This Row],[LineAmount]]/RawWorking[[#This Row],[Quantity]],"")</f>
        <v>170.25</v>
      </c>
    </row>
    <row r="1937" spans="1:14">
      <c r="A1937">
        <v>51936</v>
      </c>
      <c r="B1937">
        <v>31123</v>
      </c>
      <c r="C1937" s="2">
        <v>45784</v>
      </c>
      <c r="D1937">
        <v>2072</v>
      </c>
      <c r="E1937">
        <v>1013</v>
      </c>
      <c r="F1937">
        <v>1</v>
      </c>
      <c r="G1937">
        <v>170.25</v>
      </c>
      <c r="H1937" s="2">
        <v>45846</v>
      </c>
      <c r="I1937" s="2">
        <v>45855</v>
      </c>
      <c r="J1937" t="s">
        <v>9</v>
      </c>
      <c r="K1937" s="2" t="str">
        <f>IFERROR(INDEX(Product_lookup[Category],MATCH(RawWorking[[#This Row],[ProductID]],Product_lookup[ProductID],0)),"")</f>
        <v>Office</v>
      </c>
      <c r="L1937" s="9">
        <f>IF(OR(RawWorking[[#This Row],[ShipDate]]="",RawWorking[[#This Row],[DeliveryDate]]=""),"",RawWorking[[#This Row],[DeliveryDate]]-RawWorking[[#This Row],[ShipDate]])</f>
        <v>9</v>
      </c>
      <c r="M1937" s="9">
        <f>IF(COUNTIF(INDEX(RawWorking[OrderID],1):RawWorking[[#This Row],[OrderID]],RawWorking[[#This Row],[OrderID]])=1,1,0)</f>
        <v>1</v>
      </c>
      <c r="N1937" s="4">
        <f>IFERROR(RawWorking[[#This Row],[LineAmount]]/RawWorking[[#This Row],[Quantity]],"")</f>
        <v>170.25</v>
      </c>
    </row>
    <row r="1938" spans="1:14">
      <c r="A1938">
        <v>51937</v>
      </c>
      <c r="B1938">
        <v>31124</v>
      </c>
      <c r="C1938" s="2">
        <v>45691</v>
      </c>
      <c r="D1938">
        <v>2336</v>
      </c>
      <c r="E1938">
        <v>1002</v>
      </c>
      <c r="F1938">
        <v>1</v>
      </c>
      <c r="G1938">
        <v>118.6</v>
      </c>
      <c r="H1938" s="2">
        <v>45693</v>
      </c>
      <c r="I1938" s="2">
        <v>45694</v>
      </c>
      <c r="J1938" t="s">
        <v>9</v>
      </c>
      <c r="K1938" s="2" t="str">
        <f>IFERROR(INDEX(Product_lookup[Category],MATCH(RawWorking[[#This Row],[ProductID]],Product_lookup[ProductID],0)),"")</f>
        <v>Electronics</v>
      </c>
      <c r="L1938" s="9">
        <f>IF(OR(RawWorking[[#This Row],[ShipDate]]="",RawWorking[[#This Row],[DeliveryDate]]=""),"",RawWorking[[#This Row],[DeliveryDate]]-RawWorking[[#This Row],[ShipDate]])</f>
        <v>1</v>
      </c>
      <c r="M1938" s="9">
        <f>IF(COUNTIF(INDEX(RawWorking[OrderID],1):RawWorking[[#This Row],[OrderID]],RawWorking[[#This Row],[OrderID]])=1,1,0)</f>
        <v>1</v>
      </c>
      <c r="N1938" s="4">
        <f>IFERROR(RawWorking[[#This Row],[LineAmount]]/RawWorking[[#This Row],[Quantity]],"")</f>
        <v>118.6</v>
      </c>
    </row>
    <row r="1939" spans="1:14">
      <c r="A1939">
        <v>51938</v>
      </c>
      <c r="B1939">
        <v>31125</v>
      </c>
      <c r="C1939" s="2">
        <v>45951</v>
      </c>
      <c r="D1939">
        <v>2093</v>
      </c>
      <c r="E1939">
        <v>1005</v>
      </c>
      <c r="F1939">
        <v>3</v>
      </c>
      <c r="G1939">
        <v>95.19</v>
      </c>
      <c r="H1939" s="2">
        <v>45954</v>
      </c>
      <c r="I1939" s="2">
        <v>45961</v>
      </c>
      <c r="J1939" t="s">
        <v>9</v>
      </c>
      <c r="K1939" s="2" t="str">
        <f>IFERROR(INDEX(Product_lookup[Category],MATCH(RawWorking[[#This Row],[ProductID]],Product_lookup[ProductID],0)),"")</f>
        <v>Electronics</v>
      </c>
      <c r="L1939" s="9">
        <f>IF(OR(RawWorking[[#This Row],[ShipDate]]="",RawWorking[[#This Row],[DeliveryDate]]=""),"",RawWorking[[#This Row],[DeliveryDate]]-RawWorking[[#This Row],[ShipDate]])</f>
        <v>7</v>
      </c>
      <c r="M1939" s="9">
        <f>IF(COUNTIF(INDEX(RawWorking[OrderID],1):RawWorking[[#This Row],[OrderID]],RawWorking[[#This Row],[OrderID]])=1,1,0)</f>
        <v>1</v>
      </c>
      <c r="N1939" s="4">
        <f>IFERROR(RawWorking[[#This Row],[LineAmount]]/RawWorking[[#This Row],[Quantity]],"")</f>
        <v>31.73</v>
      </c>
    </row>
    <row r="1940" spans="1:14">
      <c r="A1940">
        <v>51939</v>
      </c>
      <c r="B1940">
        <v>31125</v>
      </c>
      <c r="C1940" s="2">
        <v>45951</v>
      </c>
      <c r="D1940">
        <v>2093</v>
      </c>
      <c r="E1940">
        <v>1001</v>
      </c>
      <c r="F1940">
        <v>1</v>
      </c>
      <c r="G1940">
        <v>203.04</v>
      </c>
      <c r="H1940" s="2">
        <v>45954</v>
      </c>
      <c r="I1940" s="2">
        <v>45959</v>
      </c>
      <c r="J1940" t="s">
        <v>9</v>
      </c>
      <c r="K1940" s="2" t="str">
        <f>IFERROR(INDEX(Product_lookup[Category],MATCH(RawWorking[[#This Row],[ProductID]],Product_lookup[ProductID],0)),"")</f>
        <v>Electronics</v>
      </c>
      <c r="L1940" s="9">
        <f>IF(OR(RawWorking[[#This Row],[ShipDate]]="",RawWorking[[#This Row],[DeliveryDate]]=""),"",RawWorking[[#This Row],[DeliveryDate]]-RawWorking[[#This Row],[ShipDate]])</f>
        <v>5</v>
      </c>
      <c r="M1940" s="9">
        <f>IF(COUNTIF(INDEX(RawWorking[OrderID],1):RawWorking[[#This Row],[OrderID]],RawWorking[[#This Row],[OrderID]])=1,1,0)</f>
        <v>0</v>
      </c>
      <c r="N1940" s="4">
        <f>IFERROR(RawWorking[[#This Row],[LineAmount]]/RawWorking[[#This Row],[Quantity]],"")</f>
        <v>203.04</v>
      </c>
    </row>
    <row r="1941" spans="1:14">
      <c r="A1941">
        <v>51940</v>
      </c>
      <c r="B1941">
        <v>31126</v>
      </c>
      <c r="C1941" s="2">
        <v>45847</v>
      </c>
      <c r="D1941">
        <v>2151</v>
      </c>
      <c r="E1941">
        <v>1015</v>
      </c>
      <c r="F1941">
        <v>2</v>
      </c>
      <c r="G1941">
        <v>239.48</v>
      </c>
      <c r="H1941" s="2">
        <v>45848</v>
      </c>
      <c r="I1941" s="2">
        <v>45853</v>
      </c>
      <c r="J1941" t="s">
        <v>9</v>
      </c>
      <c r="K1941" s="2" t="str">
        <f>IFERROR(INDEX(Product_lookup[Category],MATCH(RawWorking[[#This Row],[ProductID]],Product_lookup[ProductID],0)),"")</f>
        <v>Sports</v>
      </c>
      <c r="L1941" s="9">
        <f>IF(OR(RawWorking[[#This Row],[ShipDate]]="",RawWorking[[#This Row],[DeliveryDate]]=""),"",RawWorking[[#This Row],[DeliveryDate]]-RawWorking[[#This Row],[ShipDate]])</f>
        <v>5</v>
      </c>
      <c r="M1941" s="9">
        <f>IF(COUNTIF(INDEX(RawWorking[OrderID],1):RawWorking[[#This Row],[OrderID]],RawWorking[[#This Row],[OrderID]])=1,1,0)</f>
        <v>1</v>
      </c>
      <c r="N1941" s="4">
        <f>IFERROR(RawWorking[[#This Row],[LineAmount]]/RawWorking[[#This Row],[Quantity]],"")</f>
        <v>119.74</v>
      </c>
    </row>
    <row r="1942" spans="1:14">
      <c r="A1942">
        <v>51941</v>
      </c>
      <c r="B1942">
        <v>31126</v>
      </c>
      <c r="C1942" s="2">
        <v>45847</v>
      </c>
      <c r="D1942">
        <v>2151</v>
      </c>
      <c r="E1942">
        <v>1010</v>
      </c>
      <c r="F1942">
        <v>3</v>
      </c>
      <c r="G1942">
        <v>364.5</v>
      </c>
      <c r="H1942" s="2">
        <v>45848</v>
      </c>
      <c r="I1942" s="2">
        <v>45857</v>
      </c>
      <c r="J1942" t="s">
        <v>9</v>
      </c>
      <c r="K1942" s="2" t="str">
        <f>IFERROR(INDEX(Product_lookup[Category],MATCH(RawWorking[[#This Row],[ProductID]],Product_lookup[ProductID],0)),"")</f>
        <v>Office</v>
      </c>
      <c r="L1942" s="9">
        <f>IF(OR(RawWorking[[#This Row],[ShipDate]]="",RawWorking[[#This Row],[DeliveryDate]]=""),"",RawWorking[[#This Row],[DeliveryDate]]-RawWorking[[#This Row],[ShipDate]])</f>
        <v>9</v>
      </c>
      <c r="M1942" s="9">
        <f>IF(COUNTIF(INDEX(RawWorking[OrderID],1):RawWorking[[#This Row],[OrderID]],RawWorking[[#This Row],[OrderID]])=1,1,0)</f>
        <v>0</v>
      </c>
      <c r="N1942" s="4">
        <f>IFERROR(RawWorking[[#This Row],[LineAmount]]/RawWorking[[#This Row],[Quantity]],"")</f>
        <v>121.5</v>
      </c>
    </row>
    <row r="1943" spans="1:14">
      <c r="A1943">
        <v>51942</v>
      </c>
      <c r="B1943">
        <v>31127</v>
      </c>
      <c r="C1943" s="2">
        <v>45792</v>
      </c>
      <c r="D1943">
        <v>2400</v>
      </c>
      <c r="E1943">
        <v>1015</v>
      </c>
      <c r="F1943">
        <v>1</v>
      </c>
      <c r="G1943">
        <v>119.74</v>
      </c>
      <c r="H1943" s="2">
        <v>45795</v>
      </c>
      <c r="I1943" s="2">
        <v>45804</v>
      </c>
      <c r="J1943" t="s">
        <v>9</v>
      </c>
      <c r="K1943" s="2" t="str">
        <f>IFERROR(INDEX(Product_lookup[Category],MATCH(RawWorking[[#This Row],[ProductID]],Product_lookup[ProductID],0)),"")</f>
        <v>Sports</v>
      </c>
      <c r="L1943" s="9">
        <f>IF(OR(RawWorking[[#This Row],[ShipDate]]="",RawWorking[[#This Row],[DeliveryDate]]=""),"",RawWorking[[#This Row],[DeliveryDate]]-RawWorking[[#This Row],[ShipDate]])</f>
        <v>9</v>
      </c>
      <c r="M1943" s="9">
        <f>IF(COUNTIF(INDEX(RawWorking[OrderID],1):RawWorking[[#This Row],[OrderID]],RawWorking[[#This Row],[OrderID]])=1,1,0)</f>
        <v>1</v>
      </c>
      <c r="N1943" s="4">
        <f>IFERROR(RawWorking[[#This Row],[LineAmount]]/RawWorking[[#This Row],[Quantity]],"")</f>
        <v>119.74</v>
      </c>
    </row>
    <row r="1944" spans="1:14">
      <c r="A1944">
        <v>51943</v>
      </c>
      <c r="B1944">
        <v>31128</v>
      </c>
      <c r="C1944" s="2">
        <v>45704</v>
      </c>
      <c r="D1944">
        <v>2201</v>
      </c>
      <c r="E1944">
        <v>1011</v>
      </c>
      <c r="F1944">
        <v>4</v>
      </c>
      <c r="G1944">
        <v>405.76</v>
      </c>
      <c r="H1944" s="2">
        <v>45707</v>
      </c>
      <c r="I1944" s="2">
        <v>45714</v>
      </c>
      <c r="J1944" t="s">
        <v>9</v>
      </c>
      <c r="K1944" s="2" t="str">
        <f>IFERROR(INDEX(Product_lookup[Category],MATCH(RawWorking[[#This Row],[ProductID]],Product_lookup[ProductID],0)),"")</f>
        <v>Office</v>
      </c>
      <c r="L1944" s="9">
        <f>IF(OR(RawWorking[[#This Row],[ShipDate]]="",RawWorking[[#This Row],[DeliveryDate]]=""),"",RawWorking[[#This Row],[DeliveryDate]]-RawWorking[[#This Row],[ShipDate]])</f>
        <v>7</v>
      </c>
      <c r="M1944" s="9">
        <f>IF(COUNTIF(INDEX(RawWorking[OrderID],1):RawWorking[[#This Row],[OrderID]],RawWorking[[#This Row],[OrderID]])=1,1,0)</f>
        <v>1</v>
      </c>
      <c r="N1944" s="4">
        <f>IFERROR(RawWorking[[#This Row],[LineAmount]]/RawWorking[[#This Row],[Quantity]],"")</f>
        <v>101.44</v>
      </c>
    </row>
    <row r="1945" spans="1:14">
      <c r="A1945">
        <v>51944</v>
      </c>
      <c r="B1945">
        <v>31129</v>
      </c>
      <c r="C1945" s="2">
        <v>45977</v>
      </c>
      <c r="D1945">
        <v>2307</v>
      </c>
      <c r="E1945">
        <v>1010</v>
      </c>
      <c r="F1945">
        <v>3</v>
      </c>
      <c r="G1945">
        <v>364.5</v>
      </c>
      <c r="H1945" s="2">
        <v>45979</v>
      </c>
      <c r="I1945" s="2">
        <v>45983</v>
      </c>
      <c r="J1945" t="s">
        <v>9</v>
      </c>
      <c r="K1945" s="2" t="str">
        <f>IFERROR(INDEX(Product_lookup[Category],MATCH(RawWorking[[#This Row],[ProductID]],Product_lookup[ProductID],0)),"")</f>
        <v>Office</v>
      </c>
      <c r="L1945" s="9">
        <f>IF(OR(RawWorking[[#This Row],[ShipDate]]="",RawWorking[[#This Row],[DeliveryDate]]=""),"",RawWorking[[#This Row],[DeliveryDate]]-RawWorking[[#This Row],[ShipDate]])</f>
        <v>4</v>
      </c>
      <c r="M1945" s="9">
        <f>IF(COUNTIF(INDEX(RawWorking[OrderID],1):RawWorking[[#This Row],[OrderID]],RawWorking[[#This Row],[OrderID]])=1,1,0)</f>
        <v>1</v>
      </c>
      <c r="N1945" s="4">
        <f>IFERROR(RawWorking[[#This Row],[LineAmount]]/RawWorking[[#This Row],[Quantity]],"")</f>
        <v>121.5</v>
      </c>
    </row>
    <row r="1946" spans="1:14">
      <c r="A1946">
        <v>51945</v>
      </c>
      <c r="B1946">
        <v>31129</v>
      </c>
      <c r="C1946" s="2">
        <v>45977</v>
      </c>
      <c r="D1946">
        <v>2307</v>
      </c>
      <c r="E1946">
        <v>1014</v>
      </c>
      <c r="F1946">
        <v>2</v>
      </c>
      <c r="G1946">
        <v>430.68</v>
      </c>
      <c r="H1946" s="2">
        <v>45980</v>
      </c>
      <c r="I1946" s="2">
        <v>45986</v>
      </c>
      <c r="J1946" t="s">
        <v>9</v>
      </c>
      <c r="K1946" s="2" t="str">
        <f>IFERROR(INDEX(Product_lookup[Category],MATCH(RawWorking[[#This Row],[ProductID]],Product_lookup[ProductID],0)),"")</f>
        <v>Sports</v>
      </c>
      <c r="L1946" s="9">
        <f>IF(OR(RawWorking[[#This Row],[ShipDate]]="",RawWorking[[#This Row],[DeliveryDate]]=""),"",RawWorking[[#This Row],[DeliveryDate]]-RawWorking[[#This Row],[ShipDate]])</f>
        <v>6</v>
      </c>
      <c r="M1946" s="9">
        <f>IF(COUNTIF(INDEX(RawWorking[OrderID],1):RawWorking[[#This Row],[OrderID]],RawWorking[[#This Row],[OrderID]])=1,1,0)</f>
        <v>0</v>
      </c>
      <c r="N1946" s="4">
        <f>IFERROR(RawWorking[[#This Row],[LineAmount]]/RawWorking[[#This Row],[Quantity]],"")</f>
        <v>215.34</v>
      </c>
    </row>
    <row r="1947" spans="1:14">
      <c r="A1947">
        <v>51946</v>
      </c>
      <c r="B1947">
        <v>31129</v>
      </c>
      <c r="C1947" s="2">
        <v>45977</v>
      </c>
      <c r="D1947">
        <v>2307</v>
      </c>
      <c r="E1947">
        <v>1012</v>
      </c>
      <c r="F1947">
        <v>2</v>
      </c>
      <c r="G1947">
        <v>483.08</v>
      </c>
      <c r="H1947" s="2">
        <v>45980</v>
      </c>
      <c r="I1947" s="2">
        <v>45982</v>
      </c>
      <c r="J1947" t="s">
        <v>9</v>
      </c>
      <c r="K1947" s="2" t="str">
        <f>IFERROR(INDEX(Product_lookup[Category],MATCH(RawWorking[[#This Row],[ProductID]],Product_lookup[ProductID],0)),"")</f>
        <v>Office</v>
      </c>
      <c r="L1947" s="9">
        <f>IF(OR(RawWorking[[#This Row],[ShipDate]]="",RawWorking[[#This Row],[DeliveryDate]]=""),"",RawWorking[[#This Row],[DeliveryDate]]-RawWorking[[#This Row],[ShipDate]])</f>
        <v>2</v>
      </c>
      <c r="M1947" s="9">
        <f>IF(COUNTIF(INDEX(RawWorking[OrderID],1):RawWorking[[#This Row],[OrderID]],RawWorking[[#This Row],[OrderID]])=1,1,0)</f>
        <v>0</v>
      </c>
      <c r="N1947" s="4">
        <f>IFERROR(RawWorking[[#This Row],[LineAmount]]/RawWorking[[#This Row],[Quantity]],"")</f>
        <v>241.54</v>
      </c>
    </row>
    <row r="1948" spans="1:14">
      <c r="A1948">
        <v>51947</v>
      </c>
      <c r="B1948">
        <v>31130</v>
      </c>
      <c r="C1948" s="2">
        <v>45864</v>
      </c>
      <c r="D1948">
        <v>2092</v>
      </c>
      <c r="E1948">
        <v>1013</v>
      </c>
      <c r="F1948">
        <v>1</v>
      </c>
      <c r="G1948">
        <v>170.25</v>
      </c>
      <c r="H1948" s="2">
        <v>45867</v>
      </c>
      <c r="I1948" s="2">
        <v>45877</v>
      </c>
      <c r="J1948" t="s">
        <v>9</v>
      </c>
      <c r="K1948" s="2" t="str">
        <f>IFERROR(INDEX(Product_lookup[Category],MATCH(RawWorking[[#This Row],[ProductID]],Product_lookup[ProductID],0)),"")</f>
        <v>Office</v>
      </c>
      <c r="L1948" s="9">
        <f>IF(OR(RawWorking[[#This Row],[ShipDate]]="",RawWorking[[#This Row],[DeliveryDate]]=""),"",RawWorking[[#This Row],[DeliveryDate]]-RawWorking[[#This Row],[ShipDate]])</f>
        <v>10</v>
      </c>
      <c r="M1948" s="9">
        <f>IF(COUNTIF(INDEX(RawWorking[OrderID],1):RawWorking[[#This Row],[OrderID]],RawWorking[[#This Row],[OrderID]])=1,1,0)</f>
        <v>1</v>
      </c>
      <c r="N1948" s="4">
        <f>IFERROR(RawWorking[[#This Row],[LineAmount]]/RawWorking[[#This Row],[Quantity]],"")</f>
        <v>170.25</v>
      </c>
    </row>
    <row r="1949" spans="1:14">
      <c r="A1949">
        <v>51948</v>
      </c>
      <c r="B1949">
        <v>31130</v>
      </c>
      <c r="C1949" s="2">
        <v>45864</v>
      </c>
      <c r="D1949">
        <v>2092</v>
      </c>
      <c r="E1949">
        <v>1005</v>
      </c>
      <c r="F1949">
        <v>1</v>
      </c>
      <c r="G1949">
        <v>31.73</v>
      </c>
      <c r="H1949" s="2">
        <v>45867</v>
      </c>
      <c r="I1949" s="2">
        <v>45877</v>
      </c>
      <c r="J1949" t="s">
        <v>9</v>
      </c>
      <c r="K1949" s="2" t="str">
        <f>IFERROR(INDEX(Product_lookup[Category],MATCH(RawWorking[[#This Row],[ProductID]],Product_lookup[ProductID],0)),"")</f>
        <v>Electronics</v>
      </c>
      <c r="L1949" s="9">
        <f>IF(OR(RawWorking[[#This Row],[ShipDate]]="",RawWorking[[#This Row],[DeliveryDate]]=""),"",RawWorking[[#This Row],[DeliveryDate]]-RawWorking[[#This Row],[ShipDate]])</f>
        <v>10</v>
      </c>
      <c r="M1949" s="9">
        <f>IF(COUNTIF(INDEX(RawWorking[OrderID],1):RawWorking[[#This Row],[OrderID]],RawWorking[[#This Row],[OrderID]])=1,1,0)</f>
        <v>0</v>
      </c>
      <c r="N1949" s="4">
        <f>IFERROR(RawWorking[[#This Row],[LineAmount]]/RawWorking[[#This Row],[Quantity]],"")</f>
        <v>31.73</v>
      </c>
    </row>
    <row r="1950" spans="1:14">
      <c r="A1950">
        <v>51949</v>
      </c>
      <c r="B1950">
        <v>31130</v>
      </c>
      <c r="C1950" s="2">
        <v>45864</v>
      </c>
      <c r="D1950">
        <v>2092</v>
      </c>
      <c r="E1950">
        <v>1010</v>
      </c>
      <c r="F1950">
        <v>1</v>
      </c>
      <c r="G1950">
        <v>121.5</v>
      </c>
      <c r="H1950" s="2">
        <v>45865</v>
      </c>
      <c r="I1950" s="2">
        <v>45867</v>
      </c>
      <c r="J1950" t="s">
        <v>9</v>
      </c>
      <c r="K1950" s="2" t="str">
        <f>IFERROR(INDEX(Product_lookup[Category],MATCH(RawWorking[[#This Row],[ProductID]],Product_lookup[ProductID],0)),"")</f>
        <v>Office</v>
      </c>
      <c r="L1950" s="9">
        <f>IF(OR(RawWorking[[#This Row],[ShipDate]]="",RawWorking[[#This Row],[DeliveryDate]]=""),"",RawWorking[[#This Row],[DeliveryDate]]-RawWorking[[#This Row],[ShipDate]])</f>
        <v>2</v>
      </c>
      <c r="M1950" s="9">
        <f>IF(COUNTIF(INDEX(RawWorking[OrderID],1):RawWorking[[#This Row],[OrderID]],RawWorking[[#This Row],[OrderID]])=1,1,0)</f>
        <v>0</v>
      </c>
      <c r="N1950" s="4">
        <f>IFERROR(RawWorking[[#This Row],[LineAmount]]/RawWorking[[#This Row],[Quantity]],"")</f>
        <v>121.5</v>
      </c>
    </row>
    <row r="1951" spans="1:14">
      <c r="A1951">
        <v>51950</v>
      </c>
      <c r="B1951">
        <v>31130</v>
      </c>
      <c r="C1951" s="2">
        <v>45864</v>
      </c>
      <c r="D1951">
        <v>2092</v>
      </c>
      <c r="E1951">
        <v>1002</v>
      </c>
      <c r="F1951">
        <v>1</v>
      </c>
      <c r="G1951">
        <v>118.6</v>
      </c>
      <c r="H1951" s="2">
        <v>45867</v>
      </c>
      <c r="I1951" s="2">
        <v>45876</v>
      </c>
      <c r="J1951" t="s">
        <v>9</v>
      </c>
      <c r="K1951" s="2" t="str">
        <f>IFERROR(INDEX(Product_lookup[Category],MATCH(RawWorking[[#This Row],[ProductID]],Product_lookup[ProductID],0)),"")</f>
        <v>Electronics</v>
      </c>
      <c r="L1951" s="9">
        <f>IF(OR(RawWorking[[#This Row],[ShipDate]]="",RawWorking[[#This Row],[DeliveryDate]]=""),"",RawWorking[[#This Row],[DeliveryDate]]-RawWorking[[#This Row],[ShipDate]])</f>
        <v>9</v>
      </c>
      <c r="M1951" s="9">
        <f>IF(COUNTIF(INDEX(RawWorking[OrderID],1):RawWorking[[#This Row],[OrderID]],RawWorking[[#This Row],[OrderID]])=1,1,0)</f>
        <v>0</v>
      </c>
      <c r="N1951" s="4">
        <f>IFERROR(RawWorking[[#This Row],[LineAmount]]/RawWorking[[#This Row],[Quantity]],"")</f>
        <v>118.6</v>
      </c>
    </row>
    <row r="1952" spans="1:14">
      <c r="A1952">
        <v>51951</v>
      </c>
      <c r="B1952">
        <v>31131</v>
      </c>
      <c r="C1952" s="2">
        <v>45770</v>
      </c>
      <c r="D1952">
        <v>2379</v>
      </c>
      <c r="E1952">
        <v>1002</v>
      </c>
      <c r="F1952">
        <v>1</v>
      </c>
      <c r="G1952">
        <v>118.6</v>
      </c>
      <c r="H1952" s="2" t="s">
        <v>1421</v>
      </c>
      <c r="I1952" s="2" t="s">
        <v>1421</v>
      </c>
      <c r="J1952" t="s">
        <v>12</v>
      </c>
      <c r="K1952" s="2" t="str">
        <f>IFERROR(INDEX(Product_lookup[Category],MATCH(RawWorking[[#This Row],[ProductID]],Product_lookup[ProductID],0)),"")</f>
        <v>Electronics</v>
      </c>
      <c r="L1952" s="9" t="str">
        <f>IF(OR(RawWorking[[#This Row],[ShipDate]]="",RawWorking[[#This Row],[DeliveryDate]]=""),"",RawWorking[[#This Row],[DeliveryDate]]-RawWorking[[#This Row],[ShipDate]])</f>
        <v/>
      </c>
      <c r="M1952" s="9">
        <f>IF(COUNTIF(INDEX(RawWorking[OrderID],1):RawWorking[[#This Row],[OrderID]],RawWorking[[#This Row],[OrderID]])=1,1,0)</f>
        <v>1</v>
      </c>
      <c r="N1952" s="4">
        <f>IFERROR(RawWorking[[#This Row],[LineAmount]]/RawWorking[[#This Row],[Quantity]],"")</f>
        <v>118.6</v>
      </c>
    </row>
    <row r="1953" spans="1:14">
      <c r="A1953">
        <v>51952</v>
      </c>
      <c r="B1953">
        <v>31131</v>
      </c>
      <c r="C1953" s="2">
        <v>45770</v>
      </c>
      <c r="D1953">
        <v>2379</v>
      </c>
      <c r="E1953">
        <v>1001</v>
      </c>
      <c r="F1953">
        <v>1</v>
      </c>
      <c r="G1953">
        <v>203.04</v>
      </c>
      <c r="H1953" s="2" t="s">
        <v>1421</v>
      </c>
      <c r="I1953" s="2" t="s">
        <v>1421</v>
      </c>
      <c r="J1953" t="s">
        <v>12</v>
      </c>
      <c r="K1953" s="2" t="str">
        <f>IFERROR(INDEX(Product_lookup[Category],MATCH(RawWorking[[#This Row],[ProductID]],Product_lookup[ProductID],0)),"")</f>
        <v>Electronics</v>
      </c>
      <c r="L1953" s="9" t="str">
        <f>IF(OR(RawWorking[[#This Row],[ShipDate]]="",RawWorking[[#This Row],[DeliveryDate]]=""),"",RawWorking[[#This Row],[DeliveryDate]]-RawWorking[[#This Row],[ShipDate]])</f>
        <v/>
      </c>
      <c r="M1953" s="9">
        <f>IF(COUNTIF(INDEX(RawWorking[OrderID],1):RawWorking[[#This Row],[OrderID]],RawWorking[[#This Row],[OrderID]])=1,1,0)</f>
        <v>0</v>
      </c>
      <c r="N1953" s="4">
        <f>IFERROR(RawWorking[[#This Row],[LineAmount]]/RawWorking[[#This Row],[Quantity]],"")</f>
        <v>203.04</v>
      </c>
    </row>
    <row r="1954" spans="1:14">
      <c r="A1954">
        <v>51953</v>
      </c>
      <c r="B1954">
        <v>31132</v>
      </c>
      <c r="C1954" s="2">
        <v>45855</v>
      </c>
      <c r="D1954">
        <v>2574</v>
      </c>
      <c r="E1954">
        <v>1012</v>
      </c>
      <c r="F1954">
        <v>2</v>
      </c>
      <c r="G1954">
        <v>483.08</v>
      </c>
      <c r="H1954" s="2">
        <v>45859</v>
      </c>
      <c r="I1954" s="2" t="s">
        <v>1421</v>
      </c>
      <c r="J1954" t="s">
        <v>16</v>
      </c>
      <c r="K1954" s="2" t="str">
        <f>IFERROR(INDEX(Product_lookup[Category],MATCH(RawWorking[[#This Row],[ProductID]],Product_lookup[ProductID],0)),"")</f>
        <v>Office</v>
      </c>
      <c r="L1954" s="9" t="str">
        <f>IF(OR(RawWorking[[#This Row],[ShipDate]]="",RawWorking[[#This Row],[DeliveryDate]]=""),"",RawWorking[[#This Row],[DeliveryDate]]-RawWorking[[#This Row],[ShipDate]])</f>
        <v/>
      </c>
      <c r="M1954" s="9">
        <f>IF(COUNTIF(INDEX(RawWorking[OrderID],1):RawWorking[[#This Row],[OrderID]],RawWorking[[#This Row],[OrderID]])=1,1,0)</f>
        <v>1</v>
      </c>
      <c r="N1954" s="4">
        <f>IFERROR(RawWorking[[#This Row],[LineAmount]]/RawWorking[[#This Row],[Quantity]],"")</f>
        <v>241.54</v>
      </c>
    </row>
    <row r="1955" spans="1:14">
      <c r="A1955">
        <v>51954</v>
      </c>
      <c r="B1955">
        <v>31132</v>
      </c>
      <c r="C1955" s="2">
        <v>45855</v>
      </c>
      <c r="D1955">
        <v>2574</v>
      </c>
      <c r="E1955">
        <v>1010</v>
      </c>
      <c r="F1955">
        <v>2</v>
      </c>
      <c r="G1955">
        <v>243</v>
      </c>
      <c r="H1955" s="2" t="s">
        <v>1421</v>
      </c>
      <c r="I1955" s="2" t="s">
        <v>1421</v>
      </c>
      <c r="J1955" t="s">
        <v>16</v>
      </c>
      <c r="K1955" s="2" t="str">
        <f>IFERROR(INDEX(Product_lookup[Category],MATCH(RawWorking[[#This Row],[ProductID]],Product_lookup[ProductID],0)),"")</f>
        <v>Office</v>
      </c>
      <c r="L1955" s="9" t="str">
        <f>IF(OR(RawWorking[[#This Row],[ShipDate]]="",RawWorking[[#This Row],[DeliveryDate]]=""),"",RawWorking[[#This Row],[DeliveryDate]]-RawWorking[[#This Row],[ShipDate]])</f>
        <v/>
      </c>
      <c r="M1955" s="9">
        <f>IF(COUNTIF(INDEX(RawWorking[OrderID],1):RawWorking[[#This Row],[OrderID]],RawWorking[[#This Row],[OrderID]])=1,1,0)</f>
        <v>0</v>
      </c>
      <c r="N1955" s="4">
        <f>IFERROR(RawWorking[[#This Row],[LineAmount]]/RawWorking[[#This Row],[Quantity]],"")</f>
        <v>121.5</v>
      </c>
    </row>
    <row r="1956" spans="1:14">
      <c r="A1956">
        <v>51955</v>
      </c>
      <c r="B1956">
        <v>31133</v>
      </c>
      <c r="C1956" s="2">
        <v>45760</v>
      </c>
      <c r="D1956">
        <v>2241</v>
      </c>
      <c r="E1956">
        <v>1013</v>
      </c>
      <c r="F1956">
        <v>1</v>
      </c>
      <c r="G1956">
        <v>170.25</v>
      </c>
      <c r="H1956" s="2">
        <v>45763</v>
      </c>
      <c r="I1956" s="2">
        <v>45772</v>
      </c>
      <c r="J1956" t="s">
        <v>9</v>
      </c>
      <c r="K1956" s="2" t="str">
        <f>IFERROR(INDEX(Product_lookup[Category],MATCH(RawWorking[[#This Row],[ProductID]],Product_lookup[ProductID],0)),"")</f>
        <v>Office</v>
      </c>
      <c r="L1956" s="9">
        <f>IF(OR(RawWorking[[#This Row],[ShipDate]]="",RawWorking[[#This Row],[DeliveryDate]]=""),"",RawWorking[[#This Row],[DeliveryDate]]-RawWorking[[#This Row],[ShipDate]])</f>
        <v>9</v>
      </c>
      <c r="M1956" s="9">
        <f>IF(COUNTIF(INDEX(RawWorking[OrderID],1):RawWorking[[#This Row],[OrderID]],RawWorking[[#This Row],[OrderID]])=1,1,0)</f>
        <v>1</v>
      </c>
      <c r="N1956" s="4">
        <f>IFERROR(RawWorking[[#This Row],[LineAmount]]/RawWorking[[#This Row],[Quantity]],"")</f>
        <v>170.25</v>
      </c>
    </row>
    <row r="1957" spans="1:14">
      <c r="A1957">
        <v>51956</v>
      </c>
      <c r="B1957">
        <v>31134</v>
      </c>
      <c r="C1957" s="2">
        <v>45691</v>
      </c>
      <c r="D1957">
        <v>2326</v>
      </c>
      <c r="E1957">
        <v>1013</v>
      </c>
      <c r="F1957">
        <v>2</v>
      </c>
      <c r="G1957">
        <v>340.5</v>
      </c>
      <c r="H1957" s="2">
        <v>45694</v>
      </c>
      <c r="I1957" s="2">
        <v>45702</v>
      </c>
      <c r="J1957" t="s">
        <v>9</v>
      </c>
      <c r="K1957" s="2" t="str">
        <f>IFERROR(INDEX(Product_lookup[Category],MATCH(RawWorking[[#This Row],[ProductID]],Product_lookup[ProductID],0)),"")</f>
        <v>Office</v>
      </c>
      <c r="L1957" s="9">
        <f>IF(OR(RawWorking[[#This Row],[ShipDate]]="",RawWorking[[#This Row],[DeliveryDate]]=""),"",RawWorking[[#This Row],[DeliveryDate]]-RawWorking[[#This Row],[ShipDate]])</f>
        <v>8</v>
      </c>
      <c r="M1957" s="9">
        <f>IF(COUNTIF(INDEX(RawWorking[OrderID],1):RawWorking[[#This Row],[OrderID]],RawWorking[[#This Row],[OrderID]])=1,1,0)</f>
        <v>1</v>
      </c>
      <c r="N1957" s="4">
        <f>IFERROR(RawWorking[[#This Row],[LineAmount]]/RawWorking[[#This Row],[Quantity]],"")</f>
        <v>170.25</v>
      </c>
    </row>
    <row r="1958" spans="1:14">
      <c r="A1958">
        <v>51957</v>
      </c>
      <c r="B1958">
        <v>31134</v>
      </c>
      <c r="C1958" s="2">
        <v>45691</v>
      </c>
      <c r="D1958">
        <v>2326</v>
      </c>
      <c r="E1958">
        <v>1013</v>
      </c>
      <c r="F1958">
        <v>1</v>
      </c>
      <c r="G1958">
        <v>170.25</v>
      </c>
      <c r="H1958" s="2">
        <v>45692</v>
      </c>
      <c r="I1958" s="2">
        <v>45693</v>
      </c>
      <c r="J1958" t="s">
        <v>9</v>
      </c>
      <c r="K1958" s="2" t="str">
        <f>IFERROR(INDEX(Product_lookup[Category],MATCH(RawWorking[[#This Row],[ProductID]],Product_lookup[ProductID],0)),"")</f>
        <v>Office</v>
      </c>
      <c r="L1958" s="9">
        <f>IF(OR(RawWorking[[#This Row],[ShipDate]]="",RawWorking[[#This Row],[DeliveryDate]]=""),"",RawWorking[[#This Row],[DeliveryDate]]-RawWorking[[#This Row],[ShipDate]])</f>
        <v>1</v>
      </c>
      <c r="M1958" s="9">
        <f>IF(COUNTIF(INDEX(RawWorking[OrderID],1):RawWorking[[#This Row],[OrderID]],RawWorking[[#This Row],[OrderID]])=1,1,0)</f>
        <v>0</v>
      </c>
      <c r="N1958" s="4">
        <f>IFERROR(RawWorking[[#This Row],[LineAmount]]/RawWorking[[#This Row],[Quantity]],"")</f>
        <v>170.25</v>
      </c>
    </row>
    <row r="1959" spans="1:14">
      <c r="A1959">
        <v>51958</v>
      </c>
      <c r="B1959">
        <v>31135</v>
      </c>
      <c r="C1959" s="2">
        <v>45789</v>
      </c>
      <c r="D1959">
        <v>2446</v>
      </c>
      <c r="E1959">
        <v>1006</v>
      </c>
      <c r="F1959">
        <v>1</v>
      </c>
      <c r="G1959">
        <v>253.86</v>
      </c>
      <c r="H1959" s="2">
        <v>45791</v>
      </c>
      <c r="I1959" s="2">
        <v>45801</v>
      </c>
      <c r="J1959" t="s">
        <v>9</v>
      </c>
      <c r="K1959" s="2" t="str">
        <f>IFERROR(INDEX(Product_lookup[Category],MATCH(RawWorking[[#This Row],[ProductID]],Product_lookup[ProductID],0)),"")</f>
        <v>Home</v>
      </c>
      <c r="L1959" s="9">
        <f>IF(OR(RawWorking[[#This Row],[ShipDate]]="",RawWorking[[#This Row],[DeliveryDate]]=""),"",RawWorking[[#This Row],[DeliveryDate]]-RawWorking[[#This Row],[ShipDate]])</f>
        <v>10</v>
      </c>
      <c r="M1959" s="9">
        <f>IF(COUNTIF(INDEX(RawWorking[OrderID],1):RawWorking[[#This Row],[OrderID]],RawWorking[[#This Row],[OrderID]])=1,1,0)</f>
        <v>1</v>
      </c>
      <c r="N1959" s="4">
        <f>IFERROR(RawWorking[[#This Row],[LineAmount]]/RawWorking[[#This Row],[Quantity]],"")</f>
        <v>253.86</v>
      </c>
    </row>
    <row r="1960" spans="1:14">
      <c r="A1960">
        <v>51959</v>
      </c>
      <c r="B1960">
        <v>31135</v>
      </c>
      <c r="C1960" s="2">
        <v>45789</v>
      </c>
      <c r="D1960">
        <v>2446</v>
      </c>
      <c r="E1960">
        <v>1016</v>
      </c>
      <c r="F1960">
        <v>1</v>
      </c>
      <c r="G1960">
        <v>65.260000000000005</v>
      </c>
      <c r="H1960" s="2">
        <v>45790</v>
      </c>
      <c r="I1960" s="2">
        <v>45794</v>
      </c>
      <c r="J1960" t="s">
        <v>9</v>
      </c>
      <c r="K1960" s="2" t="str">
        <f>IFERROR(INDEX(Product_lookup[Category],MATCH(RawWorking[[#This Row],[ProductID]],Product_lookup[ProductID],0)),"")</f>
        <v>Sports</v>
      </c>
      <c r="L1960" s="9">
        <f>IF(OR(RawWorking[[#This Row],[ShipDate]]="",RawWorking[[#This Row],[DeliveryDate]]=""),"",RawWorking[[#This Row],[DeliveryDate]]-RawWorking[[#This Row],[ShipDate]])</f>
        <v>4</v>
      </c>
      <c r="M1960" s="9">
        <f>IF(COUNTIF(INDEX(RawWorking[OrderID],1):RawWorking[[#This Row],[OrderID]],RawWorking[[#This Row],[OrderID]])=1,1,0)</f>
        <v>0</v>
      </c>
      <c r="N1960" s="4">
        <f>IFERROR(RawWorking[[#This Row],[LineAmount]]/RawWorking[[#This Row],[Quantity]],"")</f>
        <v>65.260000000000005</v>
      </c>
    </row>
    <row r="1961" spans="1:14">
      <c r="A1961">
        <v>51960</v>
      </c>
      <c r="B1961">
        <v>31135</v>
      </c>
      <c r="C1961" s="2">
        <v>45789</v>
      </c>
      <c r="D1961">
        <v>2446</v>
      </c>
      <c r="E1961">
        <v>1005</v>
      </c>
      <c r="F1961">
        <v>1</v>
      </c>
      <c r="G1961">
        <v>31.73</v>
      </c>
      <c r="H1961" s="2">
        <v>45791</v>
      </c>
      <c r="I1961" s="2">
        <v>45801</v>
      </c>
      <c r="J1961" t="s">
        <v>9</v>
      </c>
      <c r="K1961" s="2" t="str">
        <f>IFERROR(INDEX(Product_lookup[Category],MATCH(RawWorking[[#This Row],[ProductID]],Product_lookup[ProductID],0)),"")</f>
        <v>Electronics</v>
      </c>
      <c r="L1961" s="9">
        <f>IF(OR(RawWorking[[#This Row],[ShipDate]]="",RawWorking[[#This Row],[DeliveryDate]]=""),"",RawWorking[[#This Row],[DeliveryDate]]-RawWorking[[#This Row],[ShipDate]])</f>
        <v>10</v>
      </c>
      <c r="M1961" s="9">
        <f>IF(COUNTIF(INDEX(RawWorking[OrderID],1):RawWorking[[#This Row],[OrderID]],RawWorking[[#This Row],[OrderID]])=1,1,0)</f>
        <v>0</v>
      </c>
      <c r="N1961" s="4">
        <f>IFERROR(RawWorking[[#This Row],[LineAmount]]/RawWorking[[#This Row],[Quantity]],"")</f>
        <v>31.73</v>
      </c>
    </row>
    <row r="1962" spans="1:14">
      <c r="A1962">
        <v>51961</v>
      </c>
      <c r="B1962">
        <v>31135</v>
      </c>
      <c r="C1962" s="2">
        <v>45789</v>
      </c>
      <c r="D1962">
        <v>2446</v>
      </c>
      <c r="E1962">
        <v>1007</v>
      </c>
      <c r="F1962">
        <v>2</v>
      </c>
      <c r="G1962">
        <v>399.62</v>
      </c>
      <c r="H1962" s="2">
        <v>45791</v>
      </c>
      <c r="I1962" s="2">
        <v>45798</v>
      </c>
      <c r="J1962" t="s">
        <v>9</v>
      </c>
      <c r="K1962" s="2" t="str">
        <f>IFERROR(INDEX(Product_lookup[Category],MATCH(RawWorking[[#This Row],[ProductID]],Product_lookup[ProductID],0)),"")</f>
        <v>Home</v>
      </c>
      <c r="L1962" s="9">
        <f>IF(OR(RawWorking[[#This Row],[ShipDate]]="",RawWorking[[#This Row],[DeliveryDate]]=""),"",RawWorking[[#This Row],[DeliveryDate]]-RawWorking[[#This Row],[ShipDate]])</f>
        <v>7</v>
      </c>
      <c r="M1962" s="9">
        <f>IF(COUNTIF(INDEX(RawWorking[OrderID],1):RawWorking[[#This Row],[OrderID]],RawWorking[[#This Row],[OrderID]])=1,1,0)</f>
        <v>0</v>
      </c>
      <c r="N1962" s="4">
        <f>IFERROR(RawWorking[[#This Row],[LineAmount]]/RawWorking[[#This Row],[Quantity]],"")</f>
        <v>199.81</v>
      </c>
    </row>
    <row r="1963" spans="1:14">
      <c r="A1963">
        <v>51962</v>
      </c>
      <c r="B1963">
        <v>31136</v>
      </c>
      <c r="C1963" s="2">
        <v>45783</v>
      </c>
      <c r="D1963">
        <v>2569</v>
      </c>
      <c r="E1963">
        <v>1012</v>
      </c>
      <c r="F1963">
        <v>1</v>
      </c>
      <c r="G1963">
        <v>241.54</v>
      </c>
      <c r="H1963" s="2">
        <v>45784</v>
      </c>
      <c r="I1963" s="2">
        <v>45794</v>
      </c>
      <c r="J1963" t="s">
        <v>9</v>
      </c>
      <c r="K1963" s="2" t="str">
        <f>IFERROR(INDEX(Product_lookup[Category],MATCH(RawWorking[[#This Row],[ProductID]],Product_lookup[ProductID],0)),"")</f>
        <v>Office</v>
      </c>
      <c r="L1963" s="9">
        <f>IF(OR(RawWorking[[#This Row],[ShipDate]]="",RawWorking[[#This Row],[DeliveryDate]]=""),"",RawWorking[[#This Row],[DeliveryDate]]-RawWorking[[#This Row],[ShipDate]])</f>
        <v>10</v>
      </c>
      <c r="M1963" s="9">
        <f>IF(COUNTIF(INDEX(RawWorking[OrderID],1):RawWorking[[#This Row],[OrderID]],RawWorking[[#This Row],[OrderID]])=1,1,0)</f>
        <v>1</v>
      </c>
      <c r="N1963" s="4">
        <f>IFERROR(RawWorking[[#This Row],[LineAmount]]/RawWorking[[#This Row],[Quantity]],"")</f>
        <v>241.54</v>
      </c>
    </row>
    <row r="1964" spans="1:14">
      <c r="A1964">
        <v>51963</v>
      </c>
      <c r="B1964">
        <v>31137</v>
      </c>
      <c r="C1964" s="2">
        <v>45671</v>
      </c>
      <c r="D1964">
        <v>2428</v>
      </c>
      <c r="E1964">
        <v>1005</v>
      </c>
      <c r="F1964">
        <v>1</v>
      </c>
      <c r="G1964">
        <v>31.73</v>
      </c>
      <c r="H1964" s="2">
        <v>45673</v>
      </c>
      <c r="I1964" s="2">
        <v>45681</v>
      </c>
      <c r="J1964" t="s">
        <v>9</v>
      </c>
      <c r="K1964" s="2" t="str">
        <f>IFERROR(INDEX(Product_lookup[Category],MATCH(RawWorking[[#This Row],[ProductID]],Product_lookup[ProductID],0)),"")</f>
        <v>Electronics</v>
      </c>
      <c r="L1964" s="9">
        <f>IF(OR(RawWorking[[#This Row],[ShipDate]]="",RawWorking[[#This Row],[DeliveryDate]]=""),"",RawWorking[[#This Row],[DeliveryDate]]-RawWorking[[#This Row],[ShipDate]])</f>
        <v>8</v>
      </c>
      <c r="M1964" s="9">
        <f>IF(COUNTIF(INDEX(RawWorking[OrderID],1):RawWorking[[#This Row],[OrderID]],RawWorking[[#This Row],[OrderID]])=1,1,0)</f>
        <v>1</v>
      </c>
      <c r="N1964" s="4">
        <f>IFERROR(RawWorking[[#This Row],[LineAmount]]/RawWorking[[#This Row],[Quantity]],"")</f>
        <v>31.73</v>
      </c>
    </row>
    <row r="1965" spans="1:14">
      <c r="A1965">
        <v>51964</v>
      </c>
      <c r="B1965">
        <v>31138</v>
      </c>
      <c r="C1965" s="2">
        <v>45889</v>
      </c>
      <c r="D1965">
        <v>2138</v>
      </c>
      <c r="E1965">
        <v>1001</v>
      </c>
      <c r="F1965">
        <v>1</v>
      </c>
      <c r="G1965">
        <v>203.04</v>
      </c>
      <c r="H1965" s="2">
        <v>45891</v>
      </c>
      <c r="I1965" s="2">
        <v>45893</v>
      </c>
      <c r="J1965" t="s">
        <v>9</v>
      </c>
      <c r="K1965" s="2" t="str">
        <f>IFERROR(INDEX(Product_lookup[Category],MATCH(RawWorking[[#This Row],[ProductID]],Product_lookup[ProductID],0)),"")</f>
        <v>Electronics</v>
      </c>
      <c r="L1965" s="9">
        <f>IF(OR(RawWorking[[#This Row],[ShipDate]]="",RawWorking[[#This Row],[DeliveryDate]]=""),"",RawWorking[[#This Row],[DeliveryDate]]-RawWorking[[#This Row],[ShipDate]])</f>
        <v>2</v>
      </c>
      <c r="M1965" s="9">
        <f>IF(COUNTIF(INDEX(RawWorking[OrderID],1):RawWorking[[#This Row],[OrderID]],RawWorking[[#This Row],[OrderID]])=1,1,0)</f>
        <v>1</v>
      </c>
      <c r="N1965" s="4">
        <f>IFERROR(RawWorking[[#This Row],[LineAmount]]/RawWorking[[#This Row],[Quantity]],"")</f>
        <v>203.04</v>
      </c>
    </row>
    <row r="1966" spans="1:14">
      <c r="A1966">
        <v>51965</v>
      </c>
      <c r="B1966">
        <v>31138</v>
      </c>
      <c r="C1966" s="2">
        <v>45889</v>
      </c>
      <c r="D1966">
        <v>2138</v>
      </c>
      <c r="E1966">
        <v>1005</v>
      </c>
      <c r="F1966">
        <v>1</v>
      </c>
      <c r="G1966">
        <v>31.73</v>
      </c>
      <c r="H1966" s="2">
        <v>45892</v>
      </c>
      <c r="I1966" s="2">
        <v>45899</v>
      </c>
      <c r="J1966" t="s">
        <v>9</v>
      </c>
      <c r="K1966" s="2" t="str">
        <f>IFERROR(INDEX(Product_lookup[Category],MATCH(RawWorking[[#This Row],[ProductID]],Product_lookup[ProductID],0)),"")</f>
        <v>Electronics</v>
      </c>
      <c r="L1966" s="9">
        <f>IF(OR(RawWorking[[#This Row],[ShipDate]]="",RawWorking[[#This Row],[DeliveryDate]]=""),"",RawWorking[[#This Row],[DeliveryDate]]-RawWorking[[#This Row],[ShipDate]])</f>
        <v>7</v>
      </c>
      <c r="M1966" s="9">
        <f>IF(COUNTIF(INDEX(RawWorking[OrderID],1):RawWorking[[#This Row],[OrderID]],RawWorking[[#This Row],[OrderID]])=1,1,0)</f>
        <v>0</v>
      </c>
      <c r="N1966" s="4">
        <f>IFERROR(RawWorking[[#This Row],[LineAmount]]/RawWorking[[#This Row],[Quantity]],"")</f>
        <v>31.73</v>
      </c>
    </row>
    <row r="1967" spans="1:14">
      <c r="A1967">
        <v>51966</v>
      </c>
      <c r="B1967">
        <v>31138</v>
      </c>
      <c r="C1967" s="2">
        <v>45889</v>
      </c>
      <c r="D1967">
        <v>2138</v>
      </c>
      <c r="E1967">
        <v>1016</v>
      </c>
      <c r="F1967">
        <v>4</v>
      </c>
      <c r="G1967">
        <v>261.04000000000002</v>
      </c>
      <c r="H1967" s="2">
        <v>45892</v>
      </c>
      <c r="I1967" s="2">
        <v>45897</v>
      </c>
      <c r="J1967" t="s">
        <v>9</v>
      </c>
      <c r="K1967" s="2" t="str">
        <f>IFERROR(INDEX(Product_lookup[Category],MATCH(RawWorking[[#This Row],[ProductID]],Product_lookup[ProductID],0)),"")</f>
        <v>Sports</v>
      </c>
      <c r="L1967" s="9">
        <f>IF(OR(RawWorking[[#This Row],[ShipDate]]="",RawWorking[[#This Row],[DeliveryDate]]=""),"",RawWorking[[#This Row],[DeliveryDate]]-RawWorking[[#This Row],[ShipDate]])</f>
        <v>5</v>
      </c>
      <c r="M1967" s="9">
        <f>IF(COUNTIF(INDEX(RawWorking[OrderID],1):RawWorking[[#This Row],[OrderID]],RawWorking[[#This Row],[OrderID]])=1,1,0)</f>
        <v>0</v>
      </c>
      <c r="N1967" s="4">
        <f>IFERROR(RawWorking[[#This Row],[LineAmount]]/RawWorking[[#This Row],[Quantity]],"")</f>
        <v>65.260000000000005</v>
      </c>
    </row>
    <row r="1968" spans="1:14">
      <c r="A1968">
        <v>51967</v>
      </c>
      <c r="B1968">
        <v>31139</v>
      </c>
      <c r="C1968" s="2">
        <v>45711</v>
      </c>
      <c r="D1968">
        <v>2448</v>
      </c>
      <c r="E1968">
        <v>1005</v>
      </c>
      <c r="F1968">
        <v>2</v>
      </c>
      <c r="G1968">
        <v>63.46</v>
      </c>
      <c r="H1968" s="2">
        <v>45713</v>
      </c>
      <c r="I1968" s="2">
        <v>45716</v>
      </c>
      <c r="J1968" t="s">
        <v>11</v>
      </c>
      <c r="K1968" s="2" t="str">
        <f>IFERROR(INDEX(Product_lookup[Category],MATCH(RawWorking[[#This Row],[ProductID]],Product_lookup[ProductID],0)),"")</f>
        <v>Electronics</v>
      </c>
      <c r="L1968" s="9">
        <f>IF(OR(RawWorking[[#This Row],[ShipDate]]="",RawWorking[[#This Row],[DeliveryDate]]=""),"",RawWorking[[#This Row],[DeliveryDate]]-RawWorking[[#This Row],[ShipDate]])</f>
        <v>3</v>
      </c>
      <c r="M1968" s="9">
        <f>IF(COUNTIF(INDEX(RawWorking[OrderID],1):RawWorking[[#This Row],[OrderID]],RawWorking[[#This Row],[OrderID]])=1,1,0)</f>
        <v>1</v>
      </c>
      <c r="N1968" s="4">
        <f>IFERROR(RawWorking[[#This Row],[LineAmount]]/RawWorking[[#This Row],[Quantity]],"")</f>
        <v>31.73</v>
      </c>
    </row>
    <row r="1969" spans="1:14">
      <c r="A1969">
        <v>51968</v>
      </c>
      <c r="B1969">
        <v>31139</v>
      </c>
      <c r="C1969" s="2">
        <v>45711</v>
      </c>
      <c r="D1969">
        <v>2448</v>
      </c>
      <c r="E1969">
        <v>1003</v>
      </c>
      <c r="F1969">
        <v>1</v>
      </c>
      <c r="G1969">
        <v>224.37</v>
      </c>
      <c r="H1969" s="2">
        <v>45712</v>
      </c>
      <c r="I1969" s="2">
        <v>45717</v>
      </c>
      <c r="J1969" t="s">
        <v>11</v>
      </c>
      <c r="K1969" s="2" t="str">
        <f>IFERROR(INDEX(Product_lookup[Category],MATCH(RawWorking[[#This Row],[ProductID]],Product_lookup[ProductID],0)),"")</f>
        <v>Electronics</v>
      </c>
      <c r="L1969" s="9">
        <f>IF(OR(RawWorking[[#This Row],[ShipDate]]="",RawWorking[[#This Row],[DeliveryDate]]=""),"",RawWorking[[#This Row],[DeliveryDate]]-RawWorking[[#This Row],[ShipDate]])</f>
        <v>5</v>
      </c>
      <c r="M1969" s="9">
        <f>IF(COUNTIF(INDEX(RawWorking[OrderID],1):RawWorking[[#This Row],[OrderID]],RawWorking[[#This Row],[OrderID]])=1,1,0)</f>
        <v>0</v>
      </c>
      <c r="N1969" s="4">
        <f>IFERROR(RawWorking[[#This Row],[LineAmount]]/RawWorking[[#This Row],[Quantity]],"")</f>
        <v>224.37</v>
      </c>
    </row>
    <row r="1970" spans="1:14">
      <c r="A1970">
        <v>51969</v>
      </c>
      <c r="B1970">
        <v>31140</v>
      </c>
      <c r="C1970" s="2">
        <v>45788</v>
      </c>
      <c r="D1970">
        <v>2141</v>
      </c>
      <c r="E1970">
        <v>1014</v>
      </c>
      <c r="F1970">
        <v>2</v>
      </c>
      <c r="G1970">
        <v>430.68</v>
      </c>
      <c r="H1970" s="2">
        <v>45791</v>
      </c>
      <c r="I1970" s="2">
        <v>45798</v>
      </c>
      <c r="J1970" t="s">
        <v>9</v>
      </c>
      <c r="K1970" s="2" t="str">
        <f>IFERROR(INDEX(Product_lookup[Category],MATCH(RawWorking[[#This Row],[ProductID]],Product_lookup[ProductID],0)),"")</f>
        <v>Sports</v>
      </c>
      <c r="L1970" s="9">
        <f>IF(OR(RawWorking[[#This Row],[ShipDate]]="",RawWorking[[#This Row],[DeliveryDate]]=""),"",RawWorking[[#This Row],[DeliveryDate]]-RawWorking[[#This Row],[ShipDate]])</f>
        <v>7</v>
      </c>
      <c r="M1970" s="9">
        <f>IF(COUNTIF(INDEX(RawWorking[OrderID],1):RawWorking[[#This Row],[OrderID]],RawWorking[[#This Row],[OrderID]])=1,1,0)</f>
        <v>1</v>
      </c>
      <c r="N1970" s="4">
        <f>IFERROR(RawWorking[[#This Row],[LineAmount]]/RawWorking[[#This Row],[Quantity]],"")</f>
        <v>215.34</v>
      </c>
    </row>
    <row r="1971" spans="1:14">
      <c r="A1971">
        <v>51970</v>
      </c>
      <c r="B1971">
        <v>31140</v>
      </c>
      <c r="C1971" s="2">
        <v>45788</v>
      </c>
      <c r="D1971">
        <v>2141</v>
      </c>
      <c r="E1971">
        <v>1015</v>
      </c>
      <c r="F1971">
        <v>3</v>
      </c>
      <c r="G1971">
        <v>359.22</v>
      </c>
      <c r="H1971" s="2">
        <v>45789</v>
      </c>
      <c r="I1971" s="2">
        <v>45792</v>
      </c>
      <c r="J1971" t="s">
        <v>9</v>
      </c>
      <c r="K1971" s="2" t="str">
        <f>IFERROR(INDEX(Product_lookup[Category],MATCH(RawWorking[[#This Row],[ProductID]],Product_lookup[ProductID],0)),"")</f>
        <v>Sports</v>
      </c>
      <c r="L1971" s="9">
        <f>IF(OR(RawWorking[[#This Row],[ShipDate]]="",RawWorking[[#This Row],[DeliveryDate]]=""),"",RawWorking[[#This Row],[DeliveryDate]]-RawWorking[[#This Row],[ShipDate]])</f>
        <v>3</v>
      </c>
      <c r="M1971" s="9">
        <f>IF(COUNTIF(INDEX(RawWorking[OrderID],1):RawWorking[[#This Row],[OrderID]],RawWorking[[#This Row],[OrderID]])=1,1,0)</f>
        <v>0</v>
      </c>
      <c r="N1971" s="4">
        <f>IFERROR(RawWorking[[#This Row],[LineAmount]]/RawWorking[[#This Row],[Quantity]],"")</f>
        <v>119.74000000000001</v>
      </c>
    </row>
    <row r="1972" spans="1:14">
      <c r="A1972">
        <v>51971</v>
      </c>
      <c r="B1972">
        <v>31141</v>
      </c>
      <c r="C1972" s="2">
        <v>45977</v>
      </c>
      <c r="D1972">
        <v>2436</v>
      </c>
      <c r="E1972">
        <v>1015</v>
      </c>
      <c r="F1972">
        <v>3</v>
      </c>
      <c r="G1972">
        <v>359.22</v>
      </c>
      <c r="H1972" s="2">
        <v>45979</v>
      </c>
      <c r="I1972" s="2">
        <v>45987</v>
      </c>
      <c r="J1972" t="s">
        <v>9</v>
      </c>
      <c r="K1972" s="2" t="str">
        <f>IFERROR(INDEX(Product_lookup[Category],MATCH(RawWorking[[#This Row],[ProductID]],Product_lookup[ProductID],0)),"")</f>
        <v>Sports</v>
      </c>
      <c r="L1972" s="9">
        <f>IF(OR(RawWorking[[#This Row],[ShipDate]]="",RawWorking[[#This Row],[DeliveryDate]]=""),"",RawWorking[[#This Row],[DeliveryDate]]-RawWorking[[#This Row],[ShipDate]])</f>
        <v>8</v>
      </c>
      <c r="M1972" s="9">
        <f>IF(COUNTIF(INDEX(RawWorking[OrderID],1):RawWorking[[#This Row],[OrderID]],RawWorking[[#This Row],[OrderID]])=1,1,0)</f>
        <v>1</v>
      </c>
      <c r="N1972" s="4">
        <f>IFERROR(RawWorking[[#This Row],[LineAmount]]/RawWorking[[#This Row],[Quantity]],"")</f>
        <v>119.74000000000001</v>
      </c>
    </row>
    <row r="1973" spans="1:14">
      <c r="A1973">
        <v>51972</v>
      </c>
      <c r="B1973">
        <v>31142</v>
      </c>
      <c r="C1973" s="2">
        <v>45665</v>
      </c>
      <c r="D1973">
        <v>2522</v>
      </c>
      <c r="E1973">
        <v>1015</v>
      </c>
      <c r="F1973">
        <v>1</v>
      </c>
      <c r="G1973">
        <v>119.74</v>
      </c>
      <c r="H1973" s="2">
        <v>45755</v>
      </c>
      <c r="I1973" s="2">
        <v>45881</v>
      </c>
      <c r="J1973" t="s">
        <v>9</v>
      </c>
      <c r="K1973" s="2" t="str">
        <f>IFERROR(INDEX(Product_lookup[Category],MATCH(RawWorking[[#This Row],[ProductID]],Product_lookup[ProductID],0)),"")</f>
        <v>Sports</v>
      </c>
      <c r="L1973" s="9">
        <f>IF(OR(RawWorking[[#This Row],[ShipDate]]="",RawWorking[[#This Row],[DeliveryDate]]=""),"",RawWorking[[#This Row],[DeliveryDate]]-RawWorking[[#This Row],[ShipDate]])</f>
        <v>126</v>
      </c>
      <c r="M1973" s="9">
        <f>IF(COUNTIF(INDEX(RawWorking[OrderID],1):RawWorking[[#This Row],[OrderID]],RawWorking[[#This Row],[OrderID]])=1,1,0)</f>
        <v>1</v>
      </c>
      <c r="N1973" s="4">
        <f>IFERROR(RawWorking[[#This Row],[LineAmount]]/RawWorking[[#This Row],[Quantity]],"")</f>
        <v>119.74</v>
      </c>
    </row>
    <row r="1974" spans="1:14">
      <c r="A1974">
        <v>51973</v>
      </c>
      <c r="B1974">
        <v>31143</v>
      </c>
      <c r="C1974" s="2">
        <v>45932</v>
      </c>
      <c r="D1974">
        <v>2394</v>
      </c>
      <c r="E1974">
        <v>1006</v>
      </c>
      <c r="F1974">
        <v>1</v>
      </c>
      <c r="G1974">
        <v>253.86</v>
      </c>
      <c r="H1974" s="2">
        <v>45935</v>
      </c>
      <c r="I1974" s="2">
        <v>45940</v>
      </c>
      <c r="J1974" t="s">
        <v>9</v>
      </c>
      <c r="K1974" s="2" t="str">
        <f>IFERROR(INDEX(Product_lookup[Category],MATCH(RawWorking[[#This Row],[ProductID]],Product_lookup[ProductID],0)),"")</f>
        <v>Home</v>
      </c>
      <c r="L1974" s="9">
        <f>IF(OR(RawWorking[[#This Row],[ShipDate]]="",RawWorking[[#This Row],[DeliveryDate]]=""),"",RawWorking[[#This Row],[DeliveryDate]]-RawWorking[[#This Row],[ShipDate]])</f>
        <v>5</v>
      </c>
      <c r="M1974" s="9">
        <f>IF(COUNTIF(INDEX(RawWorking[OrderID],1):RawWorking[[#This Row],[OrderID]],RawWorking[[#This Row],[OrderID]])=1,1,0)</f>
        <v>1</v>
      </c>
      <c r="N1974" s="4">
        <f>IFERROR(RawWorking[[#This Row],[LineAmount]]/RawWorking[[#This Row],[Quantity]],"")</f>
        <v>253.86</v>
      </c>
    </row>
    <row r="1975" spans="1:14">
      <c r="A1975">
        <v>51974</v>
      </c>
      <c r="B1975">
        <v>31143</v>
      </c>
      <c r="C1975" s="2">
        <v>45932</v>
      </c>
      <c r="D1975">
        <v>2394</v>
      </c>
      <c r="E1975">
        <v>1014</v>
      </c>
      <c r="F1975">
        <v>2</v>
      </c>
      <c r="G1975">
        <v>430.68</v>
      </c>
      <c r="H1975" s="2">
        <v>45935</v>
      </c>
      <c r="I1975" s="2">
        <v>45941</v>
      </c>
      <c r="J1975" t="s">
        <v>9</v>
      </c>
      <c r="K1975" s="2" t="str">
        <f>IFERROR(INDEX(Product_lookup[Category],MATCH(RawWorking[[#This Row],[ProductID]],Product_lookup[ProductID],0)),"")</f>
        <v>Sports</v>
      </c>
      <c r="L1975" s="9">
        <f>IF(OR(RawWorking[[#This Row],[ShipDate]]="",RawWorking[[#This Row],[DeliveryDate]]=""),"",RawWorking[[#This Row],[DeliveryDate]]-RawWorking[[#This Row],[ShipDate]])</f>
        <v>6</v>
      </c>
      <c r="M1975" s="9">
        <f>IF(COUNTIF(INDEX(RawWorking[OrderID],1):RawWorking[[#This Row],[OrderID]],RawWorking[[#This Row],[OrderID]])=1,1,0)</f>
        <v>0</v>
      </c>
      <c r="N1975" s="4">
        <f>IFERROR(RawWorking[[#This Row],[LineAmount]]/RawWorking[[#This Row],[Quantity]],"")</f>
        <v>215.34</v>
      </c>
    </row>
    <row r="1976" spans="1:14">
      <c r="A1976">
        <v>51975</v>
      </c>
      <c r="B1976">
        <v>31144</v>
      </c>
      <c r="C1976" s="2">
        <v>45898</v>
      </c>
      <c r="D1976">
        <v>2008</v>
      </c>
      <c r="E1976">
        <v>1008</v>
      </c>
      <c r="F1976">
        <v>3</v>
      </c>
      <c r="G1976">
        <v>618.27</v>
      </c>
      <c r="H1976" s="2">
        <v>45899</v>
      </c>
      <c r="I1976" s="2">
        <v>45909</v>
      </c>
      <c r="J1976" t="s">
        <v>9</v>
      </c>
      <c r="K1976" s="2" t="str">
        <f>IFERROR(INDEX(Product_lookup[Category],MATCH(RawWorking[[#This Row],[ProductID]],Product_lookup[ProductID],0)),"")</f>
        <v>Home</v>
      </c>
      <c r="L1976" s="9">
        <f>IF(OR(RawWorking[[#This Row],[ShipDate]]="",RawWorking[[#This Row],[DeliveryDate]]=""),"",RawWorking[[#This Row],[DeliveryDate]]-RawWorking[[#This Row],[ShipDate]])</f>
        <v>10</v>
      </c>
      <c r="M1976" s="9">
        <f>IF(COUNTIF(INDEX(RawWorking[OrderID],1):RawWorking[[#This Row],[OrderID]],RawWorking[[#This Row],[OrderID]])=1,1,0)</f>
        <v>1</v>
      </c>
      <c r="N1976" s="4">
        <f>IFERROR(RawWorking[[#This Row],[LineAmount]]/RawWorking[[#This Row],[Quantity]],"")</f>
        <v>206.09</v>
      </c>
    </row>
    <row r="1977" spans="1:14">
      <c r="A1977">
        <v>51976</v>
      </c>
      <c r="B1977">
        <v>31144</v>
      </c>
      <c r="C1977" s="2">
        <v>45898</v>
      </c>
      <c r="D1977">
        <v>2008</v>
      </c>
      <c r="E1977">
        <v>1009</v>
      </c>
      <c r="F1977">
        <v>2</v>
      </c>
      <c r="G1977">
        <v>80.56</v>
      </c>
      <c r="H1977" s="2">
        <v>45899</v>
      </c>
      <c r="I1977" s="2">
        <v>45904</v>
      </c>
      <c r="J1977" t="s">
        <v>9</v>
      </c>
      <c r="K1977" s="2" t="str">
        <f>IFERROR(INDEX(Product_lookup[Category],MATCH(RawWorking[[#This Row],[ProductID]],Product_lookup[ProductID],0)),"")</f>
        <v>Home</v>
      </c>
      <c r="L1977" s="9">
        <f>IF(OR(RawWorking[[#This Row],[ShipDate]]="",RawWorking[[#This Row],[DeliveryDate]]=""),"",RawWorking[[#This Row],[DeliveryDate]]-RawWorking[[#This Row],[ShipDate]])</f>
        <v>5</v>
      </c>
      <c r="M1977" s="9">
        <f>IF(COUNTIF(INDEX(RawWorking[OrderID],1):RawWorking[[#This Row],[OrderID]],RawWorking[[#This Row],[OrderID]])=1,1,0)</f>
        <v>0</v>
      </c>
      <c r="N1977" s="4">
        <f>IFERROR(RawWorking[[#This Row],[LineAmount]]/RawWorking[[#This Row],[Quantity]],"")</f>
        <v>40.28</v>
      </c>
    </row>
    <row r="1978" spans="1:14">
      <c r="A1978">
        <v>51977</v>
      </c>
      <c r="B1978">
        <v>31145</v>
      </c>
      <c r="C1978" s="2">
        <v>45895</v>
      </c>
      <c r="D1978">
        <v>2421</v>
      </c>
      <c r="E1978">
        <v>1012</v>
      </c>
      <c r="F1978">
        <v>2</v>
      </c>
      <c r="G1978">
        <v>483.08</v>
      </c>
      <c r="H1978" s="2" t="s">
        <v>1421</v>
      </c>
      <c r="I1978" s="2" t="s">
        <v>1421</v>
      </c>
      <c r="J1978" t="s">
        <v>12</v>
      </c>
      <c r="K1978" s="2" t="str">
        <f>IFERROR(INDEX(Product_lookup[Category],MATCH(RawWorking[[#This Row],[ProductID]],Product_lookup[ProductID],0)),"")</f>
        <v>Office</v>
      </c>
      <c r="L1978" s="9" t="str">
        <f>IF(OR(RawWorking[[#This Row],[ShipDate]]="",RawWorking[[#This Row],[DeliveryDate]]=""),"",RawWorking[[#This Row],[DeliveryDate]]-RawWorking[[#This Row],[ShipDate]])</f>
        <v/>
      </c>
      <c r="M1978" s="9">
        <f>IF(COUNTIF(INDEX(RawWorking[OrderID],1):RawWorking[[#This Row],[OrderID]],RawWorking[[#This Row],[OrderID]])=1,1,0)</f>
        <v>1</v>
      </c>
      <c r="N1978" s="4">
        <f>IFERROR(RawWorking[[#This Row],[LineAmount]]/RawWorking[[#This Row],[Quantity]],"")</f>
        <v>241.54</v>
      </c>
    </row>
    <row r="1979" spans="1:14">
      <c r="A1979">
        <v>51978</v>
      </c>
      <c r="B1979">
        <v>31145</v>
      </c>
      <c r="C1979" s="2">
        <v>45895</v>
      </c>
      <c r="D1979">
        <v>2421</v>
      </c>
      <c r="E1979">
        <v>1002</v>
      </c>
      <c r="F1979">
        <v>1</v>
      </c>
      <c r="G1979">
        <v>118.6</v>
      </c>
      <c r="H1979" s="2" t="s">
        <v>1421</v>
      </c>
      <c r="I1979" s="2" t="s">
        <v>1421</v>
      </c>
      <c r="J1979" t="s">
        <v>12</v>
      </c>
      <c r="K1979" s="2" t="str">
        <f>IFERROR(INDEX(Product_lookup[Category],MATCH(RawWorking[[#This Row],[ProductID]],Product_lookup[ProductID],0)),"")</f>
        <v>Electronics</v>
      </c>
      <c r="L1979" s="9" t="str">
        <f>IF(OR(RawWorking[[#This Row],[ShipDate]]="",RawWorking[[#This Row],[DeliveryDate]]=""),"",RawWorking[[#This Row],[DeliveryDate]]-RawWorking[[#This Row],[ShipDate]])</f>
        <v/>
      </c>
      <c r="M1979" s="9">
        <f>IF(COUNTIF(INDEX(RawWorking[OrderID],1):RawWorking[[#This Row],[OrderID]],RawWorking[[#This Row],[OrderID]])=1,1,0)</f>
        <v>0</v>
      </c>
      <c r="N1979" s="4">
        <f>IFERROR(RawWorking[[#This Row],[LineAmount]]/RawWorking[[#This Row],[Quantity]],"")</f>
        <v>118.6</v>
      </c>
    </row>
    <row r="1980" spans="1:14">
      <c r="A1980">
        <v>51979</v>
      </c>
      <c r="B1980">
        <v>31145</v>
      </c>
      <c r="C1980" s="2">
        <v>45895</v>
      </c>
      <c r="D1980">
        <v>2421</v>
      </c>
      <c r="E1980">
        <v>1002</v>
      </c>
      <c r="F1980">
        <v>1</v>
      </c>
      <c r="G1980">
        <v>118.6</v>
      </c>
      <c r="H1980" s="2" t="s">
        <v>1421</v>
      </c>
      <c r="I1980" s="2" t="s">
        <v>1421</v>
      </c>
      <c r="J1980" t="s">
        <v>12</v>
      </c>
      <c r="K1980" s="2" t="str">
        <f>IFERROR(INDEX(Product_lookup[Category],MATCH(RawWorking[[#This Row],[ProductID]],Product_lookup[ProductID],0)),"")</f>
        <v>Electronics</v>
      </c>
      <c r="L1980" s="9" t="str">
        <f>IF(OR(RawWorking[[#This Row],[ShipDate]]="",RawWorking[[#This Row],[DeliveryDate]]=""),"",RawWorking[[#This Row],[DeliveryDate]]-RawWorking[[#This Row],[ShipDate]])</f>
        <v/>
      </c>
      <c r="M1980" s="9">
        <f>IF(COUNTIF(INDEX(RawWorking[OrderID],1):RawWorking[[#This Row],[OrderID]],RawWorking[[#This Row],[OrderID]])=1,1,0)</f>
        <v>0</v>
      </c>
      <c r="N1980" s="4">
        <f>IFERROR(RawWorking[[#This Row],[LineAmount]]/RawWorking[[#This Row],[Quantity]],"")</f>
        <v>118.6</v>
      </c>
    </row>
    <row r="1981" spans="1:14">
      <c r="A1981">
        <v>51980</v>
      </c>
      <c r="B1981">
        <v>31146</v>
      </c>
      <c r="C1981" s="2">
        <v>45790</v>
      </c>
      <c r="D1981">
        <v>2582</v>
      </c>
      <c r="E1981">
        <v>1012</v>
      </c>
      <c r="F1981">
        <v>3</v>
      </c>
      <c r="G1981">
        <v>724.62</v>
      </c>
      <c r="H1981" s="2">
        <v>45792</v>
      </c>
      <c r="I1981" s="2">
        <v>45802</v>
      </c>
      <c r="J1981" t="s">
        <v>9</v>
      </c>
      <c r="K1981" s="2" t="str">
        <f>IFERROR(INDEX(Product_lookup[Category],MATCH(RawWorking[[#This Row],[ProductID]],Product_lookup[ProductID],0)),"")</f>
        <v>Office</v>
      </c>
      <c r="L1981" s="9">
        <f>IF(OR(RawWorking[[#This Row],[ShipDate]]="",RawWorking[[#This Row],[DeliveryDate]]=""),"",RawWorking[[#This Row],[DeliveryDate]]-RawWorking[[#This Row],[ShipDate]])</f>
        <v>10</v>
      </c>
      <c r="M1981" s="9">
        <f>IF(COUNTIF(INDEX(RawWorking[OrderID],1):RawWorking[[#This Row],[OrderID]],RawWorking[[#This Row],[OrderID]])=1,1,0)</f>
        <v>1</v>
      </c>
      <c r="N1981" s="4">
        <f>IFERROR(RawWorking[[#This Row],[LineAmount]]/RawWorking[[#This Row],[Quantity]],"")</f>
        <v>241.54</v>
      </c>
    </row>
    <row r="1982" spans="1:14">
      <c r="A1982">
        <v>51981</v>
      </c>
      <c r="B1982">
        <v>31146</v>
      </c>
      <c r="C1982" s="2">
        <v>45790</v>
      </c>
      <c r="D1982">
        <v>2582</v>
      </c>
      <c r="E1982">
        <v>1004</v>
      </c>
      <c r="F1982">
        <v>1</v>
      </c>
      <c r="G1982">
        <v>183.74</v>
      </c>
      <c r="H1982" s="2">
        <v>45792</v>
      </c>
      <c r="I1982" s="2">
        <v>45800</v>
      </c>
      <c r="J1982" t="s">
        <v>9</v>
      </c>
      <c r="K1982" s="2" t="str">
        <f>IFERROR(INDEX(Product_lookup[Category],MATCH(RawWorking[[#This Row],[ProductID]],Product_lookup[ProductID],0)),"")</f>
        <v>Electronics</v>
      </c>
      <c r="L1982" s="9">
        <f>IF(OR(RawWorking[[#This Row],[ShipDate]]="",RawWorking[[#This Row],[DeliveryDate]]=""),"",RawWorking[[#This Row],[DeliveryDate]]-RawWorking[[#This Row],[ShipDate]])</f>
        <v>8</v>
      </c>
      <c r="M1982" s="9">
        <f>IF(COUNTIF(INDEX(RawWorking[OrderID],1):RawWorking[[#This Row],[OrderID]],RawWorking[[#This Row],[OrderID]])=1,1,0)</f>
        <v>0</v>
      </c>
      <c r="N1982" s="4">
        <f>IFERROR(RawWorking[[#This Row],[LineAmount]]/RawWorking[[#This Row],[Quantity]],"")</f>
        <v>183.74</v>
      </c>
    </row>
    <row r="1983" spans="1:14">
      <c r="A1983">
        <v>51982</v>
      </c>
      <c r="B1983">
        <v>31146</v>
      </c>
      <c r="C1983" s="2">
        <v>45790</v>
      </c>
      <c r="D1983">
        <v>2582</v>
      </c>
      <c r="E1983">
        <v>1016</v>
      </c>
      <c r="F1983">
        <v>3</v>
      </c>
      <c r="G1983">
        <v>195.78</v>
      </c>
      <c r="H1983" s="2">
        <v>45791</v>
      </c>
      <c r="I1983" s="2">
        <v>45795</v>
      </c>
      <c r="J1983" t="s">
        <v>9</v>
      </c>
      <c r="K1983" s="2" t="str">
        <f>IFERROR(INDEX(Product_lookup[Category],MATCH(RawWorking[[#This Row],[ProductID]],Product_lookup[ProductID],0)),"")</f>
        <v>Sports</v>
      </c>
      <c r="L1983" s="9">
        <f>IF(OR(RawWorking[[#This Row],[ShipDate]]="",RawWorking[[#This Row],[DeliveryDate]]=""),"",RawWorking[[#This Row],[DeliveryDate]]-RawWorking[[#This Row],[ShipDate]])</f>
        <v>4</v>
      </c>
      <c r="M1983" s="9">
        <f>IF(COUNTIF(INDEX(RawWorking[OrderID],1):RawWorking[[#This Row],[OrderID]],RawWorking[[#This Row],[OrderID]])=1,1,0)</f>
        <v>0</v>
      </c>
      <c r="N1983" s="4">
        <f>IFERROR(RawWorking[[#This Row],[LineAmount]]/RawWorking[[#This Row],[Quantity]],"")</f>
        <v>65.260000000000005</v>
      </c>
    </row>
    <row r="1984" spans="1:14">
      <c r="A1984">
        <v>51983</v>
      </c>
      <c r="B1984">
        <v>31147</v>
      </c>
      <c r="C1984" s="2">
        <v>45816</v>
      </c>
      <c r="D1984">
        <v>2082</v>
      </c>
      <c r="E1984">
        <v>1009</v>
      </c>
      <c r="F1984">
        <v>1</v>
      </c>
      <c r="G1984">
        <v>40.28</v>
      </c>
      <c r="H1984" s="2">
        <v>45846</v>
      </c>
      <c r="I1984" s="2">
        <v>45882</v>
      </c>
      <c r="J1984" t="s">
        <v>9</v>
      </c>
      <c r="K1984" s="2" t="str">
        <f>IFERROR(INDEX(Product_lookup[Category],MATCH(RawWorking[[#This Row],[ProductID]],Product_lookup[ProductID],0)),"")</f>
        <v>Home</v>
      </c>
      <c r="L1984" s="9">
        <f>IF(OR(RawWorking[[#This Row],[ShipDate]]="",RawWorking[[#This Row],[DeliveryDate]]=""),"",RawWorking[[#This Row],[DeliveryDate]]-RawWorking[[#This Row],[ShipDate]])</f>
        <v>36</v>
      </c>
      <c r="M1984" s="9">
        <f>IF(COUNTIF(INDEX(RawWorking[OrderID],1):RawWorking[[#This Row],[OrderID]],RawWorking[[#This Row],[OrderID]])=1,1,0)</f>
        <v>1</v>
      </c>
      <c r="N1984" s="4">
        <f>IFERROR(RawWorking[[#This Row],[LineAmount]]/RawWorking[[#This Row],[Quantity]],"")</f>
        <v>40.28</v>
      </c>
    </row>
    <row r="1985" spans="1:14">
      <c r="A1985">
        <v>51984</v>
      </c>
      <c r="B1985">
        <v>31147</v>
      </c>
      <c r="C1985" s="2">
        <v>45816</v>
      </c>
      <c r="D1985">
        <v>2082</v>
      </c>
      <c r="E1985">
        <v>1015</v>
      </c>
      <c r="F1985">
        <v>2</v>
      </c>
      <c r="G1985">
        <v>239.48</v>
      </c>
      <c r="H1985" s="2">
        <v>45877</v>
      </c>
      <c r="I1985" s="2">
        <v>45883</v>
      </c>
      <c r="J1985" t="s">
        <v>9</v>
      </c>
      <c r="K1985" s="2" t="str">
        <f>IFERROR(INDEX(Product_lookup[Category],MATCH(RawWorking[[#This Row],[ProductID]],Product_lookup[ProductID],0)),"")</f>
        <v>Sports</v>
      </c>
      <c r="L1985" s="9">
        <f>IF(OR(RawWorking[[#This Row],[ShipDate]]="",RawWorking[[#This Row],[DeliveryDate]]=""),"",RawWorking[[#This Row],[DeliveryDate]]-RawWorking[[#This Row],[ShipDate]])</f>
        <v>6</v>
      </c>
      <c r="M1985" s="9">
        <f>IF(COUNTIF(INDEX(RawWorking[OrderID],1):RawWorking[[#This Row],[OrderID]],RawWorking[[#This Row],[OrderID]])=1,1,0)</f>
        <v>0</v>
      </c>
      <c r="N1985" s="4">
        <f>IFERROR(RawWorking[[#This Row],[LineAmount]]/RawWorking[[#This Row],[Quantity]],"")</f>
        <v>119.74</v>
      </c>
    </row>
    <row r="1986" spans="1:14">
      <c r="A1986">
        <v>51985</v>
      </c>
      <c r="B1986">
        <v>31147</v>
      </c>
      <c r="C1986" s="2">
        <v>45875</v>
      </c>
      <c r="D1986">
        <v>2082</v>
      </c>
      <c r="E1986">
        <v>1003</v>
      </c>
      <c r="F1986">
        <v>1</v>
      </c>
      <c r="G1986">
        <v>224.37</v>
      </c>
      <c r="H1986" s="2">
        <v>45878</v>
      </c>
      <c r="I1986" s="2">
        <v>45886</v>
      </c>
      <c r="J1986" t="s">
        <v>9</v>
      </c>
      <c r="K1986" s="2" t="str">
        <f>IFERROR(INDEX(Product_lookup[Category],MATCH(RawWorking[[#This Row],[ProductID]],Product_lookup[ProductID],0)),"")</f>
        <v>Electronics</v>
      </c>
      <c r="L1986" s="9">
        <f>IF(OR(RawWorking[[#This Row],[ShipDate]]="",RawWorking[[#This Row],[DeliveryDate]]=""),"",RawWorking[[#This Row],[DeliveryDate]]-RawWorking[[#This Row],[ShipDate]])</f>
        <v>8</v>
      </c>
      <c r="M1986" s="9">
        <f>IF(COUNTIF(INDEX(RawWorking[OrderID],1):RawWorking[[#This Row],[OrderID]],RawWorking[[#This Row],[OrderID]])=1,1,0)</f>
        <v>0</v>
      </c>
      <c r="N1986" s="4">
        <f>IFERROR(RawWorking[[#This Row],[LineAmount]]/RawWorking[[#This Row],[Quantity]],"")</f>
        <v>224.37</v>
      </c>
    </row>
    <row r="1987" spans="1:14">
      <c r="A1987">
        <v>51986</v>
      </c>
      <c r="B1987">
        <v>31147</v>
      </c>
      <c r="C1987" s="2">
        <v>45816</v>
      </c>
      <c r="D1987">
        <v>2082</v>
      </c>
      <c r="E1987">
        <v>1003</v>
      </c>
      <c r="F1987">
        <v>1</v>
      </c>
      <c r="G1987">
        <v>224.37</v>
      </c>
      <c r="H1987" s="2">
        <v>45878</v>
      </c>
      <c r="I1987" s="2">
        <v>45884</v>
      </c>
      <c r="J1987" t="s">
        <v>9</v>
      </c>
      <c r="K1987" s="2" t="str">
        <f>IFERROR(INDEX(Product_lookup[Category],MATCH(RawWorking[[#This Row],[ProductID]],Product_lookup[ProductID],0)),"")</f>
        <v>Electronics</v>
      </c>
      <c r="L1987" s="9">
        <f>IF(OR(RawWorking[[#This Row],[ShipDate]]="",RawWorking[[#This Row],[DeliveryDate]]=""),"",RawWorking[[#This Row],[DeliveryDate]]-RawWorking[[#This Row],[ShipDate]])</f>
        <v>6</v>
      </c>
      <c r="M1987" s="9">
        <f>IF(COUNTIF(INDEX(RawWorking[OrderID],1):RawWorking[[#This Row],[OrderID]],RawWorking[[#This Row],[OrderID]])=1,1,0)</f>
        <v>0</v>
      </c>
      <c r="N1987" s="4">
        <f>IFERROR(RawWorking[[#This Row],[LineAmount]]/RawWorking[[#This Row],[Quantity]],"")</f>
        <v>224.37</v>
      </c>
    </row>
    <row r="1988" spans="1:14">
      <c r="A1988">
        <v>51987</v>
      </c>
      <c r="B1988">
        <v>31148</v>
      </c>
      <c r="C1988" s="2">
        <v>45960</v>
      </c>
      <c r="D1988">
        <v>2252</v>
      </c>
      <c r="E1988">
        <v>1003</v>
      </c>
      <c r="F1988">
        <v>2</v>
      </c>
      <c r="G1988">
        <v>448.74</v>
      </c>
      <c r="H1988" s="2">
        <v>45963</v>
      </c>
      <c r="I1988" s="2">
        <v>45971</v>
      </c>
      <c r="J1988" t="s">
        <v>9</v>
      </c>
      <c r="K1988" s="2" t="str">
        <f>IFERROR(INDEX(Product_lookup[Category],MATCH(RawWorking[[#This Row],[ProductID]],Product_lookup[ProductID],0)),"")</f>
        <v>Electronics</v>
      </c>
      <c r="L1988" s="9">
        <f>IF(OR(RawWorking[[#This Row],[ShipDate]]="",RawWorking[[#This Row],[DeliveryDate]]=""),"",RawWorking[[#This Row],[DeliveryDate]]-RawWorking[[#This Row],[ShipDate]])</f>
        <v>8</v>
      </c>
      <c r="M1988" s="9">
        <f>IF(COUNTIF(INDEX(RawWorking[OrderID],1):RawWorking[[#This Row],[OrderID]],RawWorking[[#This Row],[OrderID]])=1,1,0)</f>
        <v>1</v>
      </c>
      <c r="N1988" s="4">
        <f>IFERROR(RawWorking[[#This Row],[LineAmount]]/RawWorking[[#This Row],[Quantity]],"")</f>
        <v>224.37</v>
      </c>
    </row>
    <row r="1989" spans="1:14">
      <c r="A1989">
        <v>51988</v>
      </c>
      <c r="B1989">
        <v>31149</v>
      </c>
      <c r="C1989" s="2">
        <v>46005</v>
      </c>
      <c r="D1989">
        <v>2553</v>
      </c>
      <c r="E1989">
        <v>1010</v>
      </c>
      <c r="F1989">
        <v>2</v>
      </c>
      <c r="G1989">
        <v>243</v>
      </c>
      <c r="H1989" s="2" t="s">
        <v>1421</v>
      </c>
      <c r="I1989" s="2" t="s">
        <v>1421</v>
      </c>
      <c r="J1989" t="s">
        <v>16</v>
      </c>
      <c r="K1989" s="2" t="str">
        <f>IFERROR(INDEX(Product_lookup[Category],MATCH(RawWorking[[#This Row],[ProductID]],Product_lookup[ProductID],0)),"")</f>
        <v>Office</v>
      </c>
      <c r="L1989" s="9" t="str">
        <f>IF(OR(RawWorking[[#This Row],[ShipDate]]="",RawWorking[[#This Row],[DeliveryDate]]=""),"",RawWorking[[#This Row],[DeliveryDate]]-RawWorking[[#This Row],[ShipDate]])</f>
        <v/>
      </c>
      <c r="M1989" s="9">
        <f>IF(COUNTIF(INDEX(RawWorking[OrderID],1):RawWorking[[#This Row],[OrderID]],RawWorking[[#This Row],[OrderID]])=1,1,0)</f>
        <v>1</v>
      </c>
      <c r="N1989" s="4">
        <f>IFERROR(RawWorking[[#This Row],[LineAmount]]/RawWorking[[#This Row],[Quantity]],"")</f>
        <v>121.5</v>
      </c>
    </row>
    <row r="1990" spans="1:14">
      <c r="A1990">
        <v>51989</v>
      </c>
      <c r="B1990">
        <v>31150</v>
      </c>
      <c r="C1990" s="2">
        <v>45726</v>
      </c>
      <c r="D1990">
        <v>2352</v>
      </c>
      <c r="E1990">
        <v>1001</v>
      </c>
      <c r="F1990">
        <v>1</v>
      </c>
      <c r="G1990">
        <v>203.04</v>
      </c>
      <c r="H1990" s="2">
        <v>45728</v>
      </c>
      <c r="I1990" s="2">
        <v>45733</v>
      </c>
      <c r="J1990" t="s">
        <v>9</v>
      </c>
      <c r="K1990" s="2" t="str">
        <f>IFERROR(INDEX(Product_lookup[Category],MATCH(RawWorking[[#This Row],[ProductID]],Product_lookup[ProductID],0)),"")</f>
        <v>Electronics</v>
      </c>
      <c r="L1990" s="9">
        <f>IF(OR(RawWorking[[#This Row],[ShipDate]]="",RawWorking[[#This Row],[DeliveryDate]]=""),"",RawWorking[[#This Row],[DeliveryDate]]-RawWorking[[#This Row],[ShipDate]])</f>
        <v>5</v>
      </c>
      <c r="M1990" s="9">
        <f>IF(COUNTIF(INDEX(RawWorking[OrderID],1):RawWorking[[#This Row],[OrderID]],RawWorking[[#This Row],[OrderID]])=1,1,0)</f>
        <v>1</v>
      </c>
      <c r="N1990" s="4">
        <f>IFERROR(RawWorking[[#This Row],[LineAmount]]/RawWorking[[#This Row],[Quantity]],"")</f>
        <v>203.04</v>
      </c>
    </row>
    <row r="1991" spans="1:14">
      <c r="A1991">
        <v>51990</v>
      </c>
      <c r="B1991">
        <v>31151</v>
      </c>
      <c r="C1991" s="2">
        <v>45763</v>
      </c>
      <c r="D1991">
        <v>2481</v>
      </c>
      <c r="E1991">
        <v>1016</v>
      </c>
      <c r="F1991">
        <v>1</v>
      </c>
      <c r="G1991">
        <v>65.260000000000005</v>
      </c>
      <c r="H1991" s="2">
        <v>45766</v>
      </c>
      <c r="I1991" s="2">
        <v>45775</v>
      </c>
      <c r="J1991" t="s">
        <v>9</v>
      </c>
      <c r="K1991" s="2" t="str">
        <f>IFERROR(INDEX(Product_lookup[Category],MATCH(RawWorking[[#This Row],[ProductID]],Product_lookup[ProductID],0)),"")</f>
        <v>Sports</v>
      </c>
      <c r="L1991" s="9">
        <f>IF(OR(RawWorking[[#This Row],[ShipDate]]="",RawWorking[[#This Row],[DeliveryDate]]=""),"",RawWorking[[#This Row],[DeliveryDate]]-RawWorking[[#This Row],[ShipDate]])</f>
        <v>9</v>
      </c>
      <c r="M1991" s="9">
        <f>IF(COUNTIF(INDEX(RawWorking[OrderID],1):RawWorking[[#This Row],[OrderID]],RawWorking[[#This Row],[OrderID]])=1,1,0)</f>
        <v>1</v>
      </c>
      <c r="N1991" s="4">
        <f>IFERROR(RawWorking[[#This Row],[LineAmount]]/RawWorking[[#This Row],[Quantity]],"")</f>
        <v>65.260000000000005</v>
      </c>
    </row>
    <row r="1992" spans="1:14">
      <c r="A1992">
        <v>51991</v>
      </c>
      <c r="B1992">
        <v>31151</v>
      </c>
      <c r="C1992" s="2">
        <v>45763</v>
      </c>
      <c r="D1992">
        <v>2481</v>
      </c>
      <c r="E1992">
        <v>1011</v>
      </c>
      <c r="F1992">
        <v>1</v>
      </c>
      <c r="G1992">
        <v>101.44</v>
      </c>
      <c r="H1992" s="2">
        <v>45766</v>
      </c>
      <c r="I1992" s="2">
        <v>45768</v>
      </c>
      <c r="J1992" t="s">
        <v>9</v>
      </c>
      <c r="K1992" s="2" t="str">
        <f>IFERROR(INDEX(Product_lookup[Category],MATCH(RawWorking[[#This Row],[ProductID]],Product_lookup[ProductID],0)),"")</f>
        <v>Office</v>
      </c>
      <c r="L1992" s="9">
        <f>IF(OR(RawWorking[[#This Row],[ShipDate]]="",RawWorking[[#This Row],[DeliveryDate]]=""),"",RawWorking[[#This Row],[DeliveryDate]]-RawWorking[[#This Row],[ShipDate]])</f>
        <v>2</v>
      </c>
      <c r="M1992" s="9">
        <f>IF(COUNTIF(INDEX(RawWorking[OrderID],1):RawWorking[[#This Row],[OrderID]],RawWorking[[#This Row],[OrderID]])=1,1,0)</f>
        <v>0</v>
      </c>
      <c r="N1992" s="4">
        <f>IFERROR(RawWorking[[#This Row],[LineAmount]]/RawWorking[[#This Row],[Quantity]],"")</f>
        <v>101.44</v>
      </c>
    </row>
    <row r="1993" spans="1:14">
      <c r="A1993">
        <v>51992</v>
      </c>
      <c r="B1993">
        <v>31152</v>
      </c>
      <c r="C1993" s="2">
        <v>45816</v>
      </c>
      <c r="D1993">
        <v>2432</v>
      </c>
      <c r="E1993">
        <v>1010</v>
      </c>
      <c r="F1993">
        <v>1</v>
      </c>
      <c r="G1993">
        <v>121.5</v>
      </c>
      <c r="H1993" s="2">
        <v>45817</v>
      </c>
      <c r="I1993" s="2">
        <v>45821</v>
      </c>
      <c r="J1993" t="s">
        <v>9</v>
      </c>
      <c r="K1993" s="2" t="str">
        <f>IFERROR(INDEX(Product_lookup[Category],MATCH(RawWorking[[#This Row],[ProductID]],Product_lookup[ProductID],0)),"")</f>
        <v>Office</v>
      </c>
      <c r="L1993" s="9">
        <f>IF(OR(RawWorking[[#This Row],[ShipDate]]="",RawWorking[[#This Row],[DeliveryDate]]=""),"",RawWorking[[#This Row],[DeliveryDate]]-RawWorking[[#This Row],[ShipDate]])</f>
        <v>4</v>
      </c>
      <c r="M1993" s="9">
        <f>IF(COUNTIF(INDEX(RawWorking[OrderID],1):RawWorking[[#This Row],[OrderID]],RawWorking[[#This Row],[OrderID]])=1,1,0)</f>
        <v>1</v>
      </c>
      <c r="N1993" s="4">
        <f>IFERROR(RawWorking[[#This Row],[LineAmount]]/RawWorking[[#This Row],[Quantity]],"")</f>
        <v>121.5</v>
      </c>
    </row>
    <row r="1994" spans="1:14">
      <c r="A1994">
        <v>51993</v>
      </c>
      <c r="B1994">
        <v>31153</v>
      </c>
      <c r="C1994" s="2">
        <v>45794</v>
      </c>
      <c r="D1994">
        <v>2297</v>
      </c>
      <c r="E1994">
        <v>1010</v>
      </c>
      <c r="F1994">
        <v>2</v>
      </c>
      <c r="G1994">
        <f>IFERROR(RawWorking[[#This Row],[Quantity]]*INDEX(Product_lookup[UnitPrice],MATCH(RawWorking[[#This Row],[ProductID]],Product_lookup[ProductID],0)),"")</f>
        <v>243</v>
      </c>
      <c r="H1994" s="2">
        <v>45797</v>
      </c>
      <c r="I1994" s="2">
        <v>45800</v>
      </c>
      <c r="J1994" t="s">
        <v>9</v>
      </c>
      <c r="K1994" s="2" t="str">
        <f>IFERROR(INDEX(Product_lookup[Category],MATCH(RawWorking[[#This Row],[ProductID]],Product_lookup[ProductID],0)),"")</f>
        <v>Office</v>
      </c>
      <c r="L1994" s="9">
        <f>IF(OR(RawWorking[[#This Row],[ShipDate]]="",RawWorking[[#This Row],[DeliveryDate]]=""),"",RawWorking[[#This Row],[DeliveryDate]]-RawWorking[[#This Row],[ShipDate]])</f>
        <v>3</v>
      </c>
      <c r="M1994" s="9">
        <f>IF(COUNTIF(INDEX(RawWorking[OrderID],1):RawWorking[[#This Row],[OrderID]],RawWorking[[#This Row],[OrderID]])=1,1,0)</f>
        <v>1</v>
      </c>
      <c r="N1994" s="4">
        <f>IFERROR(RawWorking[[#This Row],[LineAmount]]/RawWorking[[#This Row],[Quantity]],"")</f>
        <v>121.5</v>
      </c>
    </row>
    <row r="1995" spans="1:14">
      <c r="A1995">
        <v>51994</v>
      </c>
      <c r="B1995">
        <v>31154</v>
      </c>
      <c r="C1995" s="2">
        <v>45731</v>
      </c>
      <c r="D1995">
        <v>2578</v>
      </c>
      <c r="E1995">
        <v>1016</v>
      </c>
      <c r="F1995">
        <v>1</v>
      </c>
      <c r="G1995">
        <v>65.260000000000005</v>
      </c>
      <c r="H1995" s="2">
        <v>45732</v>
      </c>
      <c r="I1995" s="2">
        <v>45738</v>
      </c>
      <c r="J1995" t="s">
        <v>9</v>
      </c>
      <c r="K1995" s="2" t="str">
        <f>IFERROR(INDEX(Product_lookup[Category],MATCH(RawWorking[[#This Row],[ProductID]],Product_lookup[ProductID],0)),"")</f>
        <v>Sports</v>
      </c>
      <c r="L1995" s="9">
        <f>IF(OR(RawWorking[[#This Row],[ShipDate]]="",RawWorking[[#This Row],[DeliveryDate]]=""),"",RawWorking[[#This Row],[DeliveryDate]]-RawWorking[[#This Row],[ShipDate]])</f>
        <v>6</v>
      </c>
      <c r="M1995" s="9">
        <f>IF(COUNTIF(INDEX(RawWorking[OrderID],1):RawWorking[[#This Row],[OrderID]],RawWorking[[#This Row],[OrderID]])=1,1,0)</f>
        <v>1</v>
      </c>
      <c r="N1995" s="4">
        <f>IFERROR(RawWorking[[#This Row],[LineAmount]]/RawWorking[[#This Row],[Quantity]],"")</f>
        <v>65.260000000000005</v>
      </c>
    </row>
    <row r="1996" spans="1:14">
      <c r="A1996">
        <v>51995</v>
      </c>
      <c r="B1996">
        <v>31155</v>
      </c>
      <c r="C1996" s="2">
        <v>45801</v>
      </c>
      <c r="D1996">
        <v>2593</v>
      </c>
      <c r="E1996">
        <v>1002</v>
      </c>
      <c r="F1996">
        <v>1</v>
      </c>
      <c r="G1996">
        <v>118.6</v>
      </c>
      <c r="H1996" s="2">
        <v>45804</v>
      </c>
      <c r="I1996" s="2">
        <v>45812</v>
      </c>
      <c r="J1996" t="s">
        <v>9</v>
      </c>
      <c r="K1996" s="2" t="str">
        <f>IFERROR(INDEX(Product_lookup[Category],MATCH(RawWorking[[#This Row],[ProductID]],Product_lookup[ProductID],0)),"")</f>
        <v>Electronics</v>
      </c>
      <c r="L1996" s="9">
        <f>IF(OR(RawWorking[[#This Row],[ShipDate]]="",RawWorking[[#This Row],[DeliveryDate]]=""),"",RawWorking[[#This Row],[DeliveryDate]]-RawWorking[[#This Row],[ShipDate]])</f>
        <v>8</v>
      </c>
      <c r="M1996" s="9">
        <f>IF(COUNTIF(INDEX(RawWorking[OrderID],1):RawWorking[[#This Row],[OrderID]],RawWorking[[#This Row],[OrderID]])=1,1,0)</f>
        <v>1</v>
      </c>
      <c r="N1996" s="4">
        <f>IFERROR(RawWorking[[#This Row],[LineAmount]]/RawWorking[[#This Row],[Quantity]],"")</f>
        <v>118.6</v>
      </c>
    </row>
    <row r="1997" spans="1:14">
      <c r="A1997">
        <v>51996</v>
      </c>
      <c r="B1997">
        <v>31156</v>
      </c>
      <c r="C1997" s="2">
        <v>45740</v>
      </c>
      <c r="D1997">
        <v>2299</v>
      </c>
      <c r="E1997">
        <v>1001</v>
      </c>
      <c r="F1997">
        <v>1</v>
      </c>
      <c r="G1997">
        <v>203.04</v>
      </c>
      <c r="H1997" s="2" t="s">
        <v>1421</v>
      </c>
      <c r="I1997" s="2" t="s">
        <v>1421</v>
      </c>
      <c r="J1997" t="s">
        <v>16</v>
      </c>
      <c r="K1997" s="2" t="str">
        <f>IFERROR(INDEX(Product_lookup[Category],MATCH(RawWorking[[#This Row],[ProductID]],Product_lookup[ProductID],0)),"")</f>
        <v>Electronics</v>
      </c>
      <c r="L1997" s="9" t="str">
        <f>IF(OR(RawWorking[[#This Row],[ShipDate]]="",RawWorking[[#This Row],[DeliveryDate]]=""),"",RawWorking[[#This Row],[DeliveryDate]]-RawWorking[[#This Row],[ShipDate]])</f>
        <v/>
      </c>
      <c r="M1997" s="9">
        <f>IF(COUNTIF(INDEX(RawWorking[OrderID],1):RawWorking[[#This Row],[OrderID]],RawWorking[[#This Row],[OrderID]])=1,1,0)</f>
        <v>1</v>
      </c>
      <c r="N1997" s="4">
        <f>IFERROR(RawWorking[[#This Row],[LineAmount]]/RawWorking[[#This Row],[Quantity]],"")</f>
        <v>203.04</v>
      </c>
    </row>
    <row r="1998" spans="1:14">
      <c r="A1998">
        <v>51997</v>
      </c>
      <c r="B1998">
        <v>31156</v>
      </c>
      <c r="C1998" s="2">
        <v>45740</v>
      </c>
      <c r="D1998">
        <v>2299</v>
      </c>
      <c r="E1998">
        <v>1003</v>
      </c>
      <c r="F1998">
        <v>2</v>
      </c>
      <c r="G1998">
        <v>448.74</v>
      </c>
      <c r="H1998" s="2">
        <v>45743</v>
      </c>
      <c r="I1998" s="2" t="s">
        <v>1421</v>
      </c>
      <c r="J1998" t="s">
        <v>16</v>
      </c>
      <c r="K1998" s="2" t="str">
        <f>IFERROR(INDEX(Product_lookup[Category],MATCH(RawWorking[[#This Row],[ProductID]],Product_lookup[ProductID],0)),"")</f>
        <v>Electronics</v>
      </c>
      <c r="L1998" s="9" t="str">
        <f>IF(OR(RawWorking[[#This Row],[ShipDate]]="",RawWorking[[#This Row],[DeliveryDate]]=""),"",RawWorking[[#This Row],[DeliveryDate]]-RawWorking[[#This Row],[ShipDate]])</f>
        <v/>
      </c>
      <c r="M1998" s="9">
        <f>IF(COUNTIF(INDEX(RawWorking[OrderID],1):RawWorking[[#This Row],[OrderID]],RawWorking[[#This Row],[OrderID]])=1,1,0)</f>
        <v>0</v>
      </c>
      <c r="N1998" s="4">
        <f>IFERROR(RawWorking[[#This Row],[LineAmount]]/RawWorking[[#This Row],[Quantity]],"")</f>
        <v>224.37</v>
      </c>
    </row>
    <row r="1999" spans="1:14">
      <c r="A1999">
        <v>51998</v>
      </c>
      <c r="B1999">
        <v>31156</v>
      </c>
      <c r="C1999" s="2">
        <v>45740</v>
      </c>
      <c r="D1999">
        <v>2299</v>
      </c>
      <c r="E1999">
        <v>1003</v>
      </c>
      <c r="F1999">
        <v>1</v>
      </c>
      <c r="G1999">
        <v>224.37</v>
      </c>
      <c r="H1999" s="2" t="s">
        <v>1421</v>
      </c>
      <c r="I1999" s="2" t="s">
        <v>1421</v>
      </c>
      <c r="J1999" t="s">
        <v>16</v>
      </c>
      <c r="K1999" s="2" t="str">
        <f>IFERROR(INDEX(Product_lookup[Category],MATCH(RawWorking[[#This Row],[ProductID]],Product_lookup[ProductID],0)),"")</f>
        <v>Electronics</v>
      </c>
      <c r="L1999" s="9" t="str">
        <f>IF(OR(RawWorking[[#This Row],[ShipDate]]="",RawWorking[[#This Row],[DeliveryDate]]=""),"",RawWorking[[#This Row],[DeliveryDate]]-RawWorking[[#This Row],[ShipDate]])</f>
        <v/>
      </c>
      <c r="M1999" s="9">
        <f>IF(COUNTIF(INDEX(RawWorking[OrderID],1):RawWorking[[#This Row],[OrderID]],RawWorking[[#This Row],[OrderID]])=1,1,0)</f>
        <v>0</v>
      </c>
      <c r="N1999" s="4">
        <f>IFERROR(RawWorking[[#This Row],[LineAmount]]/RawWorking[[#This Row],[Quantity]],"")</f>
        <v>224.37</v>
      </c>
    </row>
    <row r="2000" spans="1:14">
      <c r="A2000">
        <v>51999</v>
      </c>
      <c r="B2000">
        <v>31157</v>
      </c>
      <c r="C2000" s="2">
        <v>45778</v>
      </c>
      <c r="D2000">
        <v>2285</v>
      </c>
      <c r="E2000">
        <v>1009</v>
      </c>
      <c r="F2000">
        <v>1</v>
      </c>
      <c r="G2000">
        <v>40.28</v>
      </c>
      <c r="H2000" s="2">
        <v>45780</v>
      </c>
      <c r="I2000" s="2">
        <v>45781</v>
      </c>
      <c r="J2000" t="s">
        <v>9</v>
      </c>
      <c r="K2000" s="2" t="str">
        <f>IFERROR(INDEX(Product_lookup[Category],MATCH(RawWorking[[#This Row],[ProductID]],Product_lookup[ProductID],0)),"")</f>
        <v>Home</v>
      </c>
      <c r="L2000" s="9">
        <f>IF(OR(RawWorking[[#This Row],[ShipDate]]="",RawWorking[[#This Row],[DeliveryDate]]=""),"",RawWorking[[#This Row],[DeliveryDate]]-RawWorking[[#This Row],[ShipDate]])</f>
        <v>1</v>
      </c>
      <c r="M2000" s="9">
        <f>IF(COUNTIF(INDEX(RawWorking[OrderID],1):RawWorking[[#This Row],[OrderID]],RawWorking[[#This Row],[OrderID]])=1,1,0)</f>
        <v>1</v>
      </c>
      <c r="N2000" s="4">
        <f>IFERROR(RawWorking[[#This Row],[LineAmount]]/RawWorking[[#This Row],[Quantity]],"")</f>
        <v>40.28</v>
      </c>
    </row>
    <row r="2001" spans="1:14">
      <c r="A2001">
        <v>52000</v>
      </c>
      <c r="B2001">
        <v>31157</v>
      </c>
      <c r="C2001" s="2">
        <v>45778</v>
      </c>
      <c r="D2001">
        <v>2285</v>
      </c>
      <c r="E2001">
        <v>1009</v>
      </c>
      <c r="F2001">
        <v>4</v>
      </c>
      <c r="G2001">
        <v>161.12</v>
      </c>
      <c r="H2001" s="2">
        <v>45780</v>
      </c>
      <c r="I2001" s="2">
        <v>45782</v>
      </c>
      <c r="J2001" t="s">
        <v>9</v>
      </c>
      <c r="K2001" s="2" t="str">
        <f>IFERROR(INDEX(Product_lookup[Category],MATCH(RawWorking[[#This Row],[ProductID]],Product_lookup[ProductID],0)),"")</f>
        <v>Home</v>
      </c>
      <c r="L2001" s="9">
        <f>IF(OR(RawWorking[[#This Row],[ShipDate]]="",RawWorking[[#This Row],[DeliveryDate]]=""),"",RawWorking[[#This Row],[DeliveryDate]]-RawWorking[[#This Row],[ShipDate]])</f>
        <v>2</v>
      </c>
      <c r="M2001" s="9">
        <f>IF(COUNTIF(INDEX(RawWorking[OrderID],1):RawWorking[[#This Row],[OrderID]],RawWorking[[#This Row],[OrderID]])=1,1,0)</f>
        <v>0</v>
      </c>
      <c r="N2001" s="4">
        <f>IFERROR(RawWorking[[#This Row],[LineAmount]]/RawWorking[[#This Row],[Quantity]],"")</f>
        <v>40.28</v>
      </c>
    </row>
    <row r="2002" spans="1:14">
      <c r="A2002">
        <v>52001</v>
      </c>
      <c r="B2002">
        <v>31158</v>
      </c>
      <c r="C2002" s="2">
        <v>45674</v>
      </c>
      <c r="D2002">
        <v>2264</v>
      </c>
      <c r="E2002">
        <v>1004</v>
      </c>
      <c r="F2002">
        <v>1</v>
      </c>
      <c r="G2002">
        <v>183.74</v>
      </c>
      <c r="H2002" s="2">
        <v>45676</v>
      </c>
      <c r="I2002" s="2">
        <v>45684</v>
      </c>
      <c r="J2002" t="s">
        <v>9</v>
      </c>
      <c r="K2002" s="2" t="str">
        <f>IFERROR(INDEX(Product_lookup[Category],MATCH(RawWorking[[#This Row],[ProductID]],Product_lookup[ProductID],0)),"")</f>
        <v>Electronics</v>
      </c>
      <c r="L2002" s="9">
        <f>IF(OR(RawWorking[[#This Row],[ShipDate]]="",RawWorking[[#This Row],[DeliveryDate]]=""),"",RawWorking[[#This Row],[DeliveryDate]]-RawWorking[[#This Row],[ShipDate]])</f>
        <v>8</v>
      </c>
      <c r="M2002" s="9">
        <f>IF(COUNTIF(INDEX(RawWorking[OrderID],1):RawWorking[[#This Row],[OrderID]],RawWorking[[#This Row],[OrderID]])=1,1,0)</f>
        <v>1</v>
      </c>
      <c r="N2002" s="4">
        <f>IFERROR(RawWorking[[#This Row],[LineAmount]]/RawWorking[[#This Row],[Quantity]],"")</f>
        <v>183.74</v>
      </c>
    </row>
    <row r="2003" spans="1:14">
      <c r="A2003">
        <v>52002</v>
      </c>
      <c r="B2003">
        <v>31159</v>
      </c>
      <c r="C2003" s="2">
        <v>45944</v>
      </c>
      <c r="D2003">
        <v>2179</v>
      </c>
      <c r="E2003">
        <v>1005</v>
      </c>
      <c r="F2003">
        <v>4</v>
      </c>
      <c r="G2003">
        <v>126.92</v>
      </c>
      <c r="H2003" s="2" t="s">
        <v>1421</v>
      </c>
      <c r="I2003" s="2" t="s">
        <v>1421</v>
      </c>
      <c r="J2003" t="s">
        <v>12</v>
      </c>
      <c r="K2003" s="2" t="str">
        <f>IFERROR(INDEX(Product_lookup[Category],MATCH(RawWorking[[#This Row],[ProductID]],Product_lookup[ProductID],0)),"")</f>
        <v>Electronics</v>
      </c>
      <c r="L2003" s="9" t="str">
        <f>IF(OR(RawWorking[[#This Row],[ShipDate]]="",RawWorking[[#This Row],[DeliveryDate]]=""),"",RawWorking[[#This Row],[DeliveryDate]]-RawWorking[[#This Row],[ShipDate]])</f>
        <v/>
      </c>
      <c r="M2003" s="9">
        <f>IF(COUNTIF(INDEX(RawWorking[OrderID],1):RawWorking[[#This Row],[OrderID]],RawWorking[[#This Row],[OrderID]])=1,1,0)</f>
        <v>1</v>
      </c>
      <c r="N2003" s="4">
        <f>IFERROR(RawWorking[[#This Row],[LineAmount]]/RawWorking[[#This Row],[Quantity]],"")</f>
        <v>31.73</v>
      </c>
    </row>
    <row r="2004" spans="1:14">
      <c r="A2004">
        <v>52003</v>
      </c>
      <c r="B2004">
        <v>31160</v>
      </c>
      <c r="C2004" s="2">
        <v>45706</v>
      </c>
      <c r="D2004">
        <v>2458</v>
      </c>
      <c r="E2004">
        <v>1006</v>
      </c>
      <c r="F2004">
        <v>3</v>
      </c>
      <c r="G2004">
        <v>761.58</v>
      </c>
      <c r="H2004" s="2">
        <v>45708</v>
      </c>
      <c r="I2004" s="2">
        <v>45715</v>
      </c>
      <c r="J2004" t="s">
        <v>9</v>
      </c>
      <c r="K2004" s="2" t="str">
        <f>IFERROR(INDEX(Product_lookup[Category],MATCH(RawWorking[[#This Row],[ProductID]],Product_lookup[ProductID],0)),"")</f>
        <v>Home</v>
      </c>
      <c r="L2004" s="9">
        <f>IF(OR(RawWorking[[#This Row],[ShipDate]]="",RawWorking[[#This Row],[DeliveryDate]]=""),"",RawWorking[[#This Row],[DeliveryDate]]-RawWorking[[#This Row],[ShipDate]])</f>
        <v>7</v>
      </c>
      <c r="M2004" s="9">
        <f>IF(COUNTIF(INDEX(RawWorking[OrderID],1):RawWorking[[#This Row],[OrderID]],RawWorking[[#This Row],[OrderID]])=1,1,0)</f>
        <v>1</v>
      </c>
      <c r="N2004" s="4">
        <f>IFERROR(RawWorking[[#This Row],[LineAmount]]/RawWorking[[#This Row],[Quantity]],"")</f>
        <v>253.86</v>
      </c>
    </row>
    <row r="2005" spans="1:14">
      <c r="A2005">
        <v>52004</v>
      </c>
      <c r="B2005">
        <v>31160</v>
      </c>
      <c r="C2005" s="2">
        <v>45706</v>
      </c>
      <c r="D2005">
        <v>2458</v>
      </c>
      <c r="E2005">
        <v>1009</v>
      </c>
      <c r="F2005">
        <v>2</v>
      </c>
      <c r="G2005">
        <v>80.56</v>
      </c>
      <c r="H2005" s="2">
        <v>45709</v>
      </c>
      <c r="I2005" s="2">
        <v>45710</v>
      </c>
      <c r="J2005" t="s">
        <v>9</v>
      </c>
      <c r="K2005" s="2" t="str">
        <f>IFERROR(INDEX(Product_lookup[Category],MATCH(RawWorking[[#This Row],[ProductID]],Product_lookup[ProductID],0)),"")</f>
        <v>Home</v>
      </c>
      <c r="L2005" s="9">
        <f>IF(OR(RawWorking[[#This Row],[ShipDate]]="",RawWorking[[#This Row],[DeliveryDate]]=""),"",RawWorking[[#This Row],[DeliveryDate]]-RawWorking[[#This Row],[ShipDate]])</f>
        <v>1</v>
      </c>
      <c r="M2005" s="9">
        <f>IF(COUNTIF(INDEX(RawWorking[OrderID],1):RawWorking[[#This Row],[OrderID]],RawWorking[[#This Row],[OrderID]])=1,1,0)</f>
        <v>0</v>
      </c>
      <c r="N2005" s="4">
        <f>IFERROR(RawWorking[[#This Row],[LineAmount]]/RawWorking[[#This Row],[Quantity]],"")</f>
        <v>40.28</v>
      </c>
    </row>
    <row r="2006" spans="1:14">
      <c r="A2006">
        <v>52005</v>
      </c>
      <c r="B2006">
        <v>31160</v>
      </c>
      <c r="C2006" s="2">
        <v>45706</v>
      </c>
      <c r="D2006">
        <v>2458</v>
      </c>
      <c r="E2006">
        <v>1008</v>
      </c>
      <c r="F2006">
        <v>1</v>
      </c>
      <c r="G2006">
        <v>206.09</v>
      </c>
      <c r="H2006" s="2">
        <v>45708</v>
      </c>
      <c r="I2006" s="2">
        <v>45717</v>
      </c>
      <c r="J2006" t="s">
        <v>9</v>
      </c>
      <c r="K2006" s="2" t="str">
        <f>IFERROR(INDEX(Product_lookup[Category],MATCH(RawWorking[[#This Row],[ProductID]],Product_lookup[ProductID],0)),"")</f>
        <v>Home</v>
      </c>
      <c r="L2006" s="9">
        <f>IF(OR(RawWorking[[#This Row],[ShipDate]]="",RawWorking[[#This Row],[DeliveryDate]]=""),"",RawWorking[[#This Row],[DeliveryDate]]-RawWorking[[#This Row],[ShipDate]])</f>
        <v>9</v>
      </c>
      <c r="M2006" s="9">
        <f>IF(COUNTIF(INDEX(RawWorking[OrderID],1):RawWorking[[#This Row],[OrderID]],RawWorking[[#This Row],[OrderID]])=1,1,0)</f>
        <v>0</v>
      </c>
      <c r="N2006" s="4">
        <f>IFERROR(RawWorking[[#This Row],[LineAmount]]/RawWorking[[#This Row],[Quantity]],"")</f>
        <v>206.09</v>
      </c>
    </row>
    <row r="2007" spans="1:14">
      <c r="A2007">
        <v>52006</v>
      </c>
      <c r="B2007">
        <v>31160</v>
      </c>
      <c r="C2007" s="2">
        <v>45706</v>
      </c>
      <c r="D2007">
        <v>2458</v>
      </c>
      <c r="E2007">
        <v>1016</v>
      </c>
      <c r="F2007">
        <v>1</v>
      </c>
      <c r="G2007">
        <v>65.260000000000005</v>
      </c>
      <c r="H2007" s="2">
        <v>45708</v>
      </c>
      <c r="I2007" s="2">
        <v>45712</v>
      </c>
      <c r="J2007" t="s">
        <v>9</v>
      </c>
      <c r="K2007" s="2" t="str">
        <f>IFERROR(INDEX(Product_lookup[Category],MATCH(RawWorking[[#This Row],[ProductID]],Product_lookup[ProductID],0)),"")</f>
        <v>Sports</v>
      </c>
      <c r="L2007" s="9">
        <f>IF(OR(RawWorking[[#This Row],[ShipDate]]="",RawWorking[[#This Row],[DeliveryDate]]=""),"",RawWorking[[#This Row],[DeliveryDate]]-RawWorking[[#This Row],[ShipDate]])</f>
        <v>4</v>
      </c>
      <c r="M2007" s="9">
        <f>IF(COUNTIF(INDEX(RawWorking[OrderID],1):RawWorking[[#This Row],[OrderID]],RawWorking[[#This Row],[OrderID]])=1,1,0)</f>
        <v>0</v>
      </c>
      <c r="N2007" s="4">
        <f>IFERROR(RawWorking[[#This Row],[LineAmount]]/RawWorking[[#This Row],[Quantity]],"")</f>
        <v>65.260000000000005</v>
      </c>
    </row>
    <row r="2008" spans="1:14">
      <c r="A2008">
        <v>52007</v>
      </c>
      <c r="B2008">
        <v>31161</v>
      </c>
      <c r="C2008" s="2">
        <v>45925</v>
      </c>
      <c r="D2008">
        <v>2186</v>
      </c>
      <c r="E2008">
        <v>1002</v>
      </c>
      <c r="F2008">
        <v>3</v>
      </c>
      <c r="G2008">
        <v>355.8</v>
      </c>
      <c r="H2008" s="2" t="s">
        <v>1421</v>
      </c>
      <c r="I2008" s="2" t="s">
        <v>1421</v>
      </c>
      <c r="J2008" t="s">
        <v>16</v>
      </c>
      <c r="K2008" s="2" t="str">
        <f>IFERROR(INDEX(Product_lookup[Category],MATCH(RawWorking[[#This Row],[ProductID]],Product_lookup[ProductID],0)),"")</f>
        <v>Electronics</v>
      </c>
      <c r="L2008" s="9" t="str">
        <f>IF(OR(RawWorking[[#This Row],[ShipDate]]="",RawWorking[[#This Row],[DeliveryDate]]=""),"",RawWorking[[#This Row],[DeliveryDate]]-RawWorking[[#This Row],[ShipDate]])</f>
        <v/>
      </c>
      <c r="M2008" s="9">
        <f>IF(COUNTIF(INDEX(RawWorking[OrderID],1):RawWorking[[#This Row],[OrderID]],RawWorking[[#This Row],[OrderID]])=1,1,0)</f>
        <v>1</v>
      </c>
      <c r="N2008" s="4">
        <f>IFERROR(RawWorking[[#This Row],[LineAmount]]/RawWorking[[#This Row],[Quantity]],"")</f>
        <v>118.60000000000001</v>
      </c>
    </row>
    <row r="2009" spans="1:14">
      <c r="A2009">
        <v>52008</v>
      </c>
      <c r="B2009">
        <v>31162</v>
      </c>
      <c r="C2009" s="2">
        <v>45832</v>
      </c>
      <c r="D2009">
        <v>2087</v>
      </c>
      <c r="E2009">
        <v>1005</v>
      </c>
      <c r="F2009">
        <v>1</v>
      </c>
      <c r="G2009">
        <v>31.73</v>
      </c>
      <c r="H2009" s="2">
        <v>45833</v>
      </c>
      <c r="I2009" s="2">
        <v>45834</v>
      </c>
      <c r="J2009" t="s">
        <v>11</v>
      </c>
      <c r="K2009" s="2" t="str">
        <f>IFERROR(INDEX(Product_lookup[Category],MATCH(RawWorking[[#This Row],[ProductID]],Product_lookup[ProductID],0)),"")</f>
        <v>Electronics</v>
      </c>
      <c r="L2009" s="9">
        <f>IF(OR(RawWorking[[#This Row],[ShipDate]]="",RawWorking[[#This Row],[DeliveryDate]]=""),"",RawWorking[[#This Row],[DeliveryDate]]-RawWorking[[#This Row],[ShipDate]])</f>
        <v>1</v>
      </c>
      <c r="M2009" s="9">
        <f>IF(COUNTIF(INDEX(RawWorking[OrderID],1):RawWorking[[#This Row],[OrderID]],RawWorking[[#This Row],[OrderID]])=1,1,0)</f>
        <v>1</v>
      </c>
      <c r="N2009" s="4">
        <f>IFERROR(RawWorking[[#This Row],[LineAmount]]/RawWorking[[#This Row],[Quantity]],"")</f>
        <v>31.73</v>
      </c>
    </row>
    <row r="2010" spans="1:14">
      <c r="A2010">
        <v>52009</v>
      </c>
      <c r="B2010">
        <v>31162</v>
      </c>
      <c r="C2010" s="2">
        <v>45832</v>
      </c>
      <c r="D2010">
        <v>2087</v>
      </c>
      <c r="E2010">
        <v>1016</v>
      </c>
      <c r="F2010">
        <v>3</v>
      </c>
      <c r="G2010">
        <v>195.78</v>
      </c>
      <c r="H2010" s="2">
        <v>45833</v>
      </c>
      <c r="I2010" s="2">
        <v>45835</v>
      </c>
      <c r="J2010" t="s">
        <v>11</v>
      </c>
      <c r="K2010" s="2" t="str">
        <f>IFERROR(INDEX(Product_lookup[Category],MATCH(RawWorking[[#This Row],[ProductID]],Product_lookup[ProductID],0)),"")</f>
        <v>Sports</v>
      </c>
      <c r="L2010" s="9">
        <f>IF(OR(RawWorking[[#This Row],[ShipDate]]="",RawWorking[[#This Row],[DeliveryDate]]=""),"",RawWorking[[#This Row],[DeliveryDate]]-RawWorking[[#This Row],[ShipDate]])</f>
        <v>2</v>
      </c>
      <c r="M2010" s="9">
        <f>IF(COUNTIF(INDEX(RawWorking[OrderID],1):RawWorking[[#This Row],[OrderID]],RawWorking[[#This Row],[OrderID]])=1,1,0)</f>
        <v>0</v>
      </c>
      <c r="N2010" s="4">
        <f>IFERROR(RawWorking[[#This Row],[LineAmount]]/RawWorking[[#This Row],[Quantity]],"")</f>
        <v>65.260000000000005</v>
      </c>
    </row>
    <row r="2011" spans="1:14">
      <c r="A2011">
        <v>52010</v>
      </c>
      <c r="B2011">
        <v>31162</v>
      </c>
      <c r="C2011" s="2">
        <v>45832</v>
      </c>
      <c r="D2011">
        <v>2087</v>
      </c>
      <c r="E2011">
        <v>1014</v>
      </c>
      <c r="F2011">
        <v>2</v>
      </c>
      <c r="G2011">
        <v>430.68</v>
      </c>
      <c r="H2011" s="2">
        <v>45835</v>
      </c>
      <c r="I2011" s="2">
        <v>45838</v>
      </c>
      <c r="J2011" t="s">
        <v>11</v>
      </c>
      <c r="K2011" s="2" t="str">
        <f>IFERROR(INDEX(Product_lookup[Category],MATCH(RawWorking[[#This Row],[ProductID]],Product_lookup[ProductID],0)),"")</f>
        <v>Sports</v>
      </c>
      <c r="L2011" s="9">
        <f>IF(OR(RawWorking[[#This Row],[ShipDate]]="",RawWorking[[#This Row],[DeliveryDate]]=""),"",RawWorking[[#This Row],[DeliveryDate]]-RawWorking[[#This Row],[ShipDate]])</f>
        <v>3</v>
      </c>
      <c r="M2011" s="9">
        <f>IF(COUNTIF(INDEX(RawWorking[OrderID],1):RawWorking[[#This Row],[OrderID]],RawWorking[[#This Row],[OrderID]])=1,1,0)</f>
        <v>0</v>
      </c>
      <c r="N2011" s="4">
        <f>IFERROR(RawWorking[[#This Row],[LineAmount]]/RawWorking[[#This Row],[Quantity]],"")</f>
        <v>215.34</v>
      </c>
    </row>
    <row r="2012" spans="1:14">
      <c r="A2012">
        <v>52011</v>
      </c>
      <c r="B2012">
        <v>31163</v>
      </c>
      <c r="C2012" s="2">
        <v>46008</v>
      </c>
      <c r="D2012">
        <v>2393</v>
      </c>
      <c r="E2012">
        <v>1015</v>
      </c>
      <c r="F2012">
        <v>3</v>
      </c>
      <c r="G2012">
        <v>359.22</v>
      </c>
      <c r="H2012" s="2">
        <v>46010</v>
      </c>
      <c r="I2012" s="2">
        <v>46014</v>
      </c>
      <c r="J2012" t="s">
        <v>9</v>
      </c>
      <c r="K2012" s="2" t="str">
        <f>IFERROR(INDEX(Product_lookup[Category],MATCH(RawWorking[[#This Row],[ProductID]],Product_lookup[ProductID],0)),"")</f>
        <v>Sports</v>
      </c>
      <c r="L2012" s="9">
        <f>IF(OR(RawWorking[[#This Row],[ShipDate]]="",RawWorking[[#This Row],[DeliveryDate]]=""),"",RawWorking[[#This Row],[DeliveryDate]]-RawWorking[[#This Row],[ShipDate]])</f>
        <v>4</v>
      </c>
      <c r="M2012" s="9">
        <f>IF(COUNTIF(INDEX(RawWorking[OrderID],1):RawWorking[[#This Row],[OrderID]],RawWorking[[#This Row],[OrderID]])=1,1,0)</f>
        <v>1</v>
      </c>
      <c r="N2012" s="4">
        <f>IFERROR(RawWorking[[#This Row],[LineAmount]]/RawWorking[[#This Row],[Quantity]],"")</f>
        <v>119.74000000000001</v>
      </c>
    </row>
    <row r="2013" spans="1:14">
      <c r="A2013">
        <v>52012</v>
      </c>
      <c r="B2013">
        <v>31164</v>
      </c>
      <c r="C2013" s="2">
        <v>45926</v>
      </c>
      <c r="D2013">
        <v>2172</v>
      </c>
      <c r="E2013">
        <v>1012</v>
      </c>
      <c r="F2013">
        <v>1</v>
      </c>
      <c r="G2013">
        <v>241.54</v>
      </c>
      <c r="H2013" s="2">
        <v>45928</v>
      </c>
      <c r="I2013" s="2">
        <v>45929</v>
      </c>
      <c r="J2013" t="s">
        <v>9</v>
      </c>
      <c r="K2013" s="2" t="str">
        <f>IFERROR(INDEX(Product_lookup[Category],MATCH(RawWorking[[#This Row],[ProductID]],Product_lookup[ProductID],0)),"")</f>
        <v>Office</v>
      </c>
      <c r="L2013" s="9">
        <f>IF(OR(RawWorking[[#This Row],[ShipDate]]="",RawWorking[[#This Row],[DeliveryDate]]=""),"",RawWorking[[#This Row],[DeliveryDate]]-RawWorking[[#This Row],[ShipDate]])</f>
        <v>1</v>
      </c>
      <c r="M2013" s="9">
        <f>IF(COUNTIF(INDEX(RawWorking[OrderID],1):RawWorking[[#This Row],[OrderID]],RawWorking[[#This Row],[OrderID]])=1,1,0)</f>
        <v>1</v>
      </c>
      <c r="N2013" s="4">
        <f>IFERROR(RawWorking[[#This Row],[LineAmount]]/RawWorking[[#This Row],[Quantity]],"")</f>
        <v>241.54</v>
      </c>
    </row>
    <row r="2014" spans="1:14">
      <c r="A2014">
        <v>52013</v>
      </c>
      <c r="B2014">
        <v>31165</v>
      </c>
      <c r="C2014" s="2">
        <v>45867</v>
      </c>
      <c r="D2014">
        <v>2056</v>
      </c>
      <c r="E2014">
        <v>1004</v>
      </c>
      <c r="F2014">
        <v>1</v>
      </c>
      <c r="G2014">
        <v>183.74</v>
      </c>
      <c r="H2014" s="2">
        <v>45870</v>
      </c>
      <c r="I2014" s="2">
        <v>45969</v>
      </c>
      <c r="J2014" t="s">
        <v>9</v>
      </c>
      <c r="K2014" s="2" t="str">
        <f>IFERROR(INDEX(Product_lookup[Category],MATCH(RawWorking[[#This Row],[ProductID]],Product_lookup[ProductID],0)),"")</f>
        <v>Electronics</v>
      </c>
      <c r="L2014" s="9">
        <f>IF(OR(RawWorking[[#This Row],[ShipDate]]="",RawWorking[[#This Row],[DeliveryDate]]=""),"",RawWorking[[#This Row],[DeliveryDate]]-RawWorking[[#This Row],[ShipDate]])</f>
        <v>99</v>
      </c>
      <c r="M2014" s="9">
        <f>IF(COUNTIF(INDEX(RawWorking[OrderID],1):RawWorking[[#This Row],[OrderID]],RawWorking[[#This Row],[OrderID]])=1,1,0)</f>
        <v>1</v>
      </c>
      <c r="N2014" s="4">
        <f>IFERROR(RawWorking[[#This Row],[LineAmount]]/RawWorking[[#This Row],[Quantity]],"")</f>
        <v>183.74</v>
      </c>
    </row>
    <row r="2015" spans="1:14">
      <c r="A2015">
        <v>52014</v>
      </c>
      <c r="B2015">
        <v>31165</v>
      </c>
      <c r="C2015" s="2">
        <v>45867</v>
      </c>
      <c r="D2015">
        <v>2056</v>
      </c>
      <c r="E2015">
        <v>1002</v>
      </c>
      <c r="F2015">
        <v>1</v>
      </c>
      <c r="G2015">
        <v>118.6</v>
      </c>
      <c r="H2015" s="2">
        <v>45868</v>
      </c>
      <c r="I2015" s="2">
        <v>45870</v>
      </c>
      <c r="J2015" t="s">
        <v>9</v>
      </c>
      <c r="K2015" s="2" t="str">
        <f>IFERROR(INDEX(Product_lookup[Category],MATCH(RawWorking[[#This Row],[ProductID]],Product_lookup[ProductID],0)),"")</f>
        <v>Electronics</v>
      </c>
      <c r="L2015" s="9">
        <f>IF(OR(RawWorking[[#This Row],[ShipDate]]="",RawWorking[[#This Row],[DeliveryDate]]=""),"",RawWorking[[#This Row],[DeliveryDate]]-RawWorking[[#This Row],[ShipDate]])</f>
        <v>2</v>
      </c>
      <c r="M2015" s="9">
        <f>IF(COUNTIF(INDEX(RawWorking[OrderID],1):RawWorking[[#This Row],[OrderID]],RawWorking[[#This Row],[OrderID]])=1,1,0)</f>
        <v>0</v>
      </c>
      <c r="N2015" s="4">
        <f>IFERROR(RawWorking[[#This Row],[LineAmount]]/RawWorking[[#This Row],[Quantity]],"")</f>
        <v>118.6</v>
      </c>
    </row>
    <row r="2016" spans="1:14">
      <c r="A2016">
        <v>52015</v>
      </c>
      <c r="B2016">
        <v>31166</v>
      </c>
      <c r="C2016" s="2">
        <v>45664</v>
      </c>
      <c r="D2016">
        <v>2172</v>
      </c>
      <c r="E2016">
        <v>1016</v>
      </c>
      <c r="F2016">
        <v>1</v>
      </c>
      <c r="G2016">
        <v>65.260000000000005</v>
      </c>
      <c r="H2016" s="2">
        <v>45666</v>
      </c>
      <c r="I2016" s="2">
        <v>45673</v>
      </c>
      <c r="J2016" t="s">
        <v>9</v>
      </c>
      <c r="K2016" s="2" t="str">
        <f>IFERROR(INDEX(Product_lookup[Category],MATCH(RawWorking[[#This Row],[ProductID]],Product_lookup[ProductID],0)),"")</f>
        <v>Sports</v>
      </c>
      <c r="L2016" s="9">
        <f>IF(OR(RawWorking[[#This Row],[ShipDate]]="",RawWorking[[#This Row],[DeliveryDate]]=""),"",RawWorking[[#This Row],[DeliveryDate]]-RawWorking[[#This Row],[ShipDate]])</f>
        <v>7</v>
      </c>
      <c r="M2016" s="9">
        <f>IF(COUNTIF(INDEX(RawWorking[OrderID],1):RawWorking[[#This Row],[OrderID]],RawWorking[[#This Row],[OrderID]])=1,1,0)</f>
        <v>1</v>
      </c>
      <c r="N2016" s="4">
        <f>IFERROR(RawWorking[[#This Row],[LineAmount]]/RawWorking[[#This Row],[Quantity]],"")</f>
        <v>65.260000000000005</v>
      </c>
    </row>
    <row r="2017" spans="1:14">
      <c r="A2017">
        <v>52016</v>
      </c>
      <c r="B2017">
        <v>31167</v>
      </c>
      <c r="C2017" s="2">
        <v>45908</v>
      </c>
      <c r="D2017">
        <v>2309</v>
      </c>
      <c r="E2017">
        <v>1008</v>
      </c>
      <c r="F2017">
        <v>1</v>
      </c>
      <c r="G2017">
        <v>206.09</v>
      </c>
      <c r="H2017" s="2">
        <v>45911</v>
      </c>
      <c r="I2017" s="2">
        <v>45919</v>
      </c>
      <c r="J2017" t="s">
        <v>9</v>
      </c>
      <c r="K2017" s="2" t="str">
        <f>IFERROR(INDEX(Product_lookup[Category],MATCH(RawWorking[[#This Row],[ProductID]],Product_lookup[ProductID],0)),"")</f>
        <v>Home</v>
      </c>
      <c r="L2017" s="9">
        <f>IF(OR(RawWorking[[#This Row],[ShipDate]]="",RawWorking[[#This Row],[DeliveryDate]]=""),"",RawWorking[[#This Row],[DeliveryDate]]-RawWorking[[#This Row],[ShipDate]])</f>
        <v>8</v>
      </c>
      <c r="M2017" s="9">
        <f>IF(COUNTIF(INDEX(RawWorking[OrderID],1):RawWorking[[#This Row],[OrderID]],RawWorking[[#This Row],[OrderID]])=1,1,0)</f>
        <v>1</v>
      </c>
      <c r="N2017" s="4">
        <f>IFERROR(RawWorking[[#This Row],[LineAmount]]/RawWorking[[#This Row],[Quantity]],"")</f>
        <v>206.09</v>
      </c>
    </row>
    <row r="2018" spans="1:14">
      <c r="A2018">
        <v>52017</v>
      </c>
      <c r="B2018">
        <v>31168</v>
      </c>
      <c r="C2018" s="2">
        <v>45765</v>
      </c>
      <c r="D2018">
        <v>2389</v>
      </c>
      <c r="E2018">
        <v>1013</v>
      </c>
      <c r="F2018">
        <v>2</v>
      </c>
      <c r="G2018">
        <v>340.5</v>
      </c>
      <c r="H2018" s="2">
        <v>45766</v>
      </c>
      <c r="I2018" s="2">
        <v>45771</v>
      </c>
      <c r="J2018" t="s">
        <v>9</v>
      </c>
      <c r="K2018" s="2" t="str">
        <f>IFERROR(INDEX(Product_lookup[Category],MATCH(RawWorking[[#This Row],[ProductID]],Product_lookup[ProductID],0)),"")</f>
        <v>Office</v>
      </c>
      <c r="L2018" s="9">
        <f>IF(OR(RawWorking[[#This Row],[ShipDate]]="",RawWorking[[#This Row],[DeliveryDate]]=""),"",RawWorking[[#This Row],[DeliveryDate]]-RawWorking[[#This Row],[ShipDate]])</f>
        <v>5</v>
      </c>
      <c r="M2018" s="9">
        <f>IF(COUNTIF(INDEX(RawWorking[OrderID],1):RawWorking[[#This Row],[OrderID]],RawWorking[[#This Row],[OrderID]])=1,1,0)</f>
        <v>1</v>
      </c>
      <c r="N2018" s="4">
        <f>IFERROR(RawWorking[[#This Row],[LineAmount]]/RawWorking[[#This Row],[Quantity]],"")</f>
        <v>170.25</v>
      </c>
    </row>
    <row r="2019" spans="1:14">
      <c r="A2019">
        <v>52018</v>
      </c>
      <c r="B2019">
        <v>31168</v>
      </c>
      <c r="C2019" s="2">
        <v>45765</v>
      </c>
      <c r="D2019">
        <v>2389</v>
      </c>
      <c r="E2019">
        <v>1016</v>
      </c>
      <c r="F2019">
        <v>1</v>
      </c>
      <c r="G2019">
        <v>65.260000000000005</v>
      </c>
      <c r="H2019" s="2">
        <v>45766</v>
      </c>
      <c r="I2019" s="2">
        <v>45773</v>
      </c>
      <c r="J2019" t="s">
        <v>9</v>
      </c>
      <c r="K2019" s="2" t="str">
        <f>IFERROR(INDEX(Product_lookup[Category],MATCH(RawWorking[[#This Row],[ProductID]],Product_lookup[ProductID],0)),"")</f>
        <v>Sports</v>
      </c>
      <c r="L2019" s="9">
        <f>IF(OR(RawWorking[[#This Row],[ShipDate]]="",RawWorking[[#This Row],[DeliveryDate]]=""),"",RawWorking[[#This Row],[DeliveryDate]]-RawWorking[[#This Row],[ShipDate]])</f>
        <v>7</v>
      </c>
      <c r="M2019" s="9">
        <f>IF(COUNTIF(INDEX(RawWorking[OrderID],1):RawWorking[[#This Row],[OrderID]],RawWorking[[#This Row],[OrderID]])=1,1,0)</f>
        <v>0</v>
      </c>
      <c r="N2019" s="4">
        <f>IFERROR(RawWorking[[#This Row],[LineAmount]]/RawWorking[[#This Row],[Quantity]],"")</f>
        <v>65.260000000000005</v>
      </c>
    </row>
    <row r="2020" spans="1:14">
      <c r="A2020">
        <v>52019</v>
      </c>
      <c r="B2020">
        <v>31168</v>
      </c>
      <c r="C2020" s="2">
        <v>45765</v>
      </c>
      <c r="D2020">
        <v>2389</v>
      </c>
      <c r="E2020">
        <v>1009</v>
      </c>
      <c r="F2020">
        <v>2</v>
      </c>
      <c r="G2020">
        <v>80.56</v>
      </c>
      <c r="H2020" s="2">
        <v>45766</v>
      </c>
      <c r="I2020" s="2">
        <v>45773</v>
      </c>
      <c r="J2020" t="s">
        <v>9</v>
      </c>
      <c r="K2020" s="2" t="str">
        <f>IFERROR(INDEX(Product_lookup[Category],MATCH(RawWorking[[#This Row],[ProductID]],Product_lookup[ProductID],0)),"")</f>
        <v>Home</v>
      </c>
      <c r="L2020" s="9">
        <f>IF(OR(RawWorking[[#This Row],[ShipDate]]="",RawWorking[[#This Row],[DeliveryDate]]=""),"",RawWorking[[#This Row],[DeliveryDate]]-RawWorking[[#This Row],[ShipDate]])</f>
        <v>7</v>
      </c>
      <c r="M2020" s="9">
        <f>IF(COUNTIF(INDEX(RawWorking[OrderID],1):RawWorking[[#This Row],[OrderID]],RawWorking[[#This Row],[OrderID]])=1,1,0)</f>
        <v>0</v>
      </c>
      <c r="N2020" s="4">
        <f>IFERROR(RawWorking[[#This Row],[LineAmount]]/RawWorking[[#This Row],[Quantity]],"")</f>
        <v>40.28</v>
      </c>
    </row>
    <row r="2021" spans="1:14">
      <c r="A2021">
        <v>52020</v>
      </c>
      <c r="B2021">
        <v>31169</v>
      </c>
      <c r="C2021" s="2">
        <v>45680</v>
      </c>
      <c r="D2021">
        <v>2149</v>
      </c>
      <c r="E2021">
        <v>1014</v>
      </c>
      <c r="F2021">
        <v>1</v>
      </c>
      <c r="G2021">
        <v>215.34</v>
      </c>
      <c r="H2021" s="2">
        <v>45683</v>
      </c>
      <c r="I2021" s="2">
        <v>45690</v>
      </c>
      <c r="J2021" t="s">
        <v>9</v>
      </c>
      <c r="K2021" s="2" t="str">
        <f>IFERROR(INDEX(Product_lookup[Category],MATCH(RawWorking[[#This Row],[ProductID]],Product_lookup[ProductID],0)),"")</f>
        <v>Sports</v>
      </c>
      <c r="L2021" s="9">
        <f>IF(OR(RawWorking[[#This Row],[ShipDate]]="",RawWorking[[#This Row],[DeliveryDate]]=""),"",RawWorking[[#This Row],[DeliveryDate]]-RawWorking[[#This Row],[ShipDate]])</f>
        <v>7</v>
      </c>
      <c r="M2021" s="9">
        <f>IF(COUNTIF(INDEX(RawWorking[OrderID],1):RawWorking[[#This Row],[OrderID]],RawWorking[[#This Row],[OrderID]])=1,1,0)</f>
        <v>1</v>
      </c>
      <c r="N2021" s="4">
        <f>IFERROR(RawWorking[[#This Row],[LineAmount]]/RawWorking[[#This Row],[Quantity]],"")</f>
        <v>215.34</v>
      </c>
    </row>
    <row r="2022" spans="1:14">
      <c r="A2022">
        <v>52021</v>
      </c>
      <c r="B2022">
        <v>31169</v>
      </c>
      <c r="C2022" s="2">
        <v>45680</v>
      </c>
      <c r="D2022">
        <v>2149</v>
      </c>
      <c r="E2022">
        <v>1001</v>
      </c>
      <c r="F2022">
        <v>1</v>
      </c>
      <c r="G2022">
        <v>203.04</v>
      </c>
      <c r="H2022" s="2">
        <v>45683</v>
      </c>
      <c r="I2022" s="2">
        <v>45686</v>
      </c>
      <c r="J2022" t="s">
        <v>9</v>
      </c>
      <c r="K2022" s="2" t="str">
        <f>IFERROR(INDEX(Product_lookup[Category],MATCH(RawWorking[[#This Row],[ProductID]],Product_lookup[ProductID],0)),"")</f>
        <v>Electronics</v>
      </c>
      <c r="L2022" s="9">
        <f>IF(OR(RawWorking[[#This Row],[ShipDate]]="",RawWorking[[#This Row],[DeliveryDate]]=""),"",RawWorking[[#This Row],[DeliveryDate]]-RawWorking[[#This Row],[ShipDate]])</f>
        <v>3</v>
      </c>
      <c r="M2022" s="9">
        <f>IF(COUNTIF(INDEX(RawWorking[OrderID],1):RawWorking[[#This Row],[OrderID]],RawWorking[[#This Row],[OrderID]])=1,1,0)</f>
        <v>0</v>
      </c>
      <c r="N2022" s="4">
        <f>IFERROR(RawWorking[[#This Row],[LineAmount]]/RawWorking[[#This Row],[Quantity]],"")</f>
        <v>203.04</v>
      </c>
    </row>
    <row r="2023" spans="1:14">
      <c r="A2023">
        <v>52022</v>
      </c>
      <c r="B2023">
        <v>31169</v>
      </c>
      <c r="C2023" s="2">
        <v>45680</v>
      </c>
      <c r="D2023">
        <v>2149</v>
      </c>
      <c r="E2023">
        <v>1010</v>
      </c>
      <c r="F2023">
        <v>1</v>
      </c>
      <c r="G2023">
        <v>121.5</v>
      </c>
      <c r="H2023" s="2">
        <v>45682</v>
      </c>
      <c r="I2023" s="2">
        <v>45688</v>
      </c>
      <c r="J2023" t="s">
        <v>9</v>
      </c>
      <c r="K2023" s="2" t="str">
        <f>IFERROR(INDEX(Product_lookup[Category],MATCH(RawWorking[[#This Row],[ProductID]],Product_lookup[ProductID],0)),"")</f>
        <v>Office</v>
      </c>
      <c r="L2023" s="9">
        <f>IF(OR(RawWorking[[#This Row],[ShipDate]]="",RawWorking[[#This Row],[DeliveryDate]]=""),"",RawWorking[[#This Row],[DeliveryDate]]-RawWorking[[#This Row],[ShipDate]])</f>
        <v>6</v>
      </c>
      <c r="M2023" s="9">
        <f>IF(COUNTIF(INDEX(RawWorking[OrderID],1):RawWorking[[#This Row],[OrderID]],RawWorking[[#This Row],[OrderID]])=1,1,0)</f>
        <v>0</v>
      </c>
      <c r="N2023" s="4">
        <f>IFERROR(RawWorking[[#This Row],[LineAmount]]/RawWorking[[#This Row],[Quantity]],"")</f>
        <v>121.5</v>
      </c>
    </row>
    <row r="2024" spans="1:14">
      <c r="A2024">
        <v>52023</v>
      </c>
      <c r="B2024">
        <v>31170</v>
      </c>
      <c r="C2024" s="2">
        <v>45898</v>
      </c>
      <c r="D2024">
        <v>2460</v>
      </c>
      <c r="E2024">
        <v>1011</v>
      </c>
      <c r="F2024">
        <v>1</v>
      </c>
      <c r="G2024">
        <v>101.44</v>
      </c>
      <c r="H2024" s="2">
        <v>45901</v>
      </c>
      <c r="I2024" s="2">
        <v>45905</v>
      </c>
      <c r="J2024" t="s">
        <v>9</v>
      </c>
      <c r="K2024" s="2" t="str">
        <f>IFERROR(INDEX(Product_lookup[Category],MATCH(RawWorking[[#This Row],[ProductID]],Product_lookup[ProductID],0)),"")</f>
        <v>Office</v>
      </c>
      <c r="L2024" s="9">
        <f>IF(OR(RawWorking[[#This Row],[ShipDate]]="",RawWorking[[#This Row],[DeliveryDate]]=""),"",RawWorking[[#This Row],[DeliveryDate]]-RawWorking[[#This Row],[ShipDate]])</f>
        <v>4</v>
      </c>
      <c r="M2024" s="9">
        <f>IF(COUNTIF(INDEX(RawWorking[OrderID],1):RawWorking[[#This Row],[OrderID]],RawWorking[[#This Row],[OrderID]])=1,1,0)</f>
        <v>1</v>
      </c>
      <c r="N2024" s="4">
        <f>IFERROR(RawWorking[[#This Row],[LineAmount]]/RawWorking[[#This Row],[Quantity]],"")</f>
        <v>101.44</v>
      </c>
    </row>
    <row r="2025" spans="1:14">
      <c r="A2025">
        <v>52024</v>
      </c>
      <c r="B2025">
        <v>31171</v>
      </c>
      <c r="C2025" s="2">
        <v>45785</v>
      </c>
      <c r="D2025">
        <v>2543</v>
      </c>
      <c r="E2025">
        <v>1002</v>
      </c>
      <c r="F2025">
        <v>3</v>
      </c>
      <c r="G2025">
        <v>355.8</v>
      </c>
      <c r="H2025" s="2">
        <v>45786</v>
      </c>
      <c r="I2025" s="2">
        <v>45796</v>
      </c>
      <c r="J2025" t="s">
        <v>9</v>
      </c>
      <c r="K2025" s="2" t="str">
        <f>IFERROR(INDEX(Product_lookup[Category],MATCH(RawWorking[[#This Row],[ProductID]],Product_lookup[ProductID],0)),"")</f>
        <v>Electronics</v>
      </c>
      <c r="L2025" s="9">
        <f>IF(OR(RawWorking[[#This Row],[ShipDate]]="",RawWorking[[#This Row],[DeliveryDate]]=""),"",RawWorking[[#This Row],[DeliveryDate]]-RawWorking[[#This Row],[ShipDate]])</f>
        <v>10</v>
      </c>
      <c r="M2025" s="9">
        <f>IF(COUNTIF(INDEX(RawWorking[OrderID],1):RawWorking[[#This Row],[OrderID]],RawWorking[[#This Row],[OrderID]])=1,1,0)</f>
        <v>1</v>
      </c>
      <c r="N2025" s="4">
        <f>IFERROR(RawWorking[[#This Row],[LineAmount]]/RawWorking[[#This Row],[Quantity]],"")</f>
        <v>118.60000000000001</v>
      </c>
    </row>
    <row r="2026" spans="1:14">
      <c r="A2026">
        <v>52025</v>
      </c>
      <c r="B2026">
        <v>31172</v>
      </c>
      <c r="C2026" s="2">
        <v>45940</v>
      </c>
      <c r="D2026">
        <v>2100</v>
      </c>
      <c r="E2026">
        <v>1012</v>
      </c>
      <c r="F2026">
        <v>1</v>
      </c>
      <c r="G2026">
        <v>241.54</v>
      </c>
      <c r="H2026" s="2" t="s">
        <v>1421</v>
      </c>
      <c r="I2026" s="2" t="s">
        <v>1421</v>
      </c>
      <c r="J2026" t="s">
        <v>12</v>
      </c>
      <c r="K2026" s="2" t="str">
        <f>IFERROR(INDEX(Product_lookup[Category],MATCH(RawWorking[[#This Row],[ProductID]],Product_lookup[ProductID],0)),"")</f>
        <v>Office</v>
      </c>
      <c r="L2026" s="9" t="str">
        <f>IF(OR(RawWorking[[#This Row],[ShipDate]]="",RawWorking[[#This Row],[DeliveryDate]]=""),"",RawWorking[[#This Row],[DeliveryDate]]-RawWorking[[#This Row],[ShipDate]])</f>
        <v/>
      </c>
      <c r="M2026" s="9">
        <f>IF(COUNTIF(INDEX(RawWorking[OrderID],1):RawWorking[[#This Row],[OrderID]],RawWorking[[#This Row],[OrderID]])=1,1,0)</f>
        <v>1</v>
      </c>
      <c r="N2026" s="4">
        <f>IFERROR(RawWorking[[#This Row],[LineAmount]]/RawWorking[[#This Row],[Quantity]],"")</f>
        <v>241.54</v>
      </c>
    </row>
    <row r="2027" spans="1:14">
      <c r="A2027">
        <v>52026</v>
      </c>
      <c r="B2027">
        <v>31173</v>
      </c>
      <c r="C2027" s="2">
        <v>45979</v>
      </c>
      <c r="D2027">
        <v>2443</v>
      </c>
      <c r="E2027">
        <v>1009</v>
      </c>
      <c r="F2027">
        <v>1</v>
      </c>
      <c r="G2027">
        <v>40.28</v>
      </c>
      <c r="H2027" s="2">
        <v>45982</v>
      </c>
      <c r="I2027" s="2">
        <v>45989</v>
      </c>
      <c r="J2027" t="s">
        <v>9</v>
      </c>
      <c r="K2027" s="2" t="str">
        <f>IFERROR(INDEX(Product_lookup[Category],MATCH(RawWorking[[#This Row],[ProductID]],Product_lookup[ProductID],0)),"")</f>
        <v>Home</v>
      </c>
      <c r="L2027" s="9">
        <f>IF(OR(RawWorking[[#This Row],[ShipDate]]="",RawWorking[[#This Row],[DeliveryDate]]=""),"",RawWorking[[#This Row],[DeliveryDate]]-RawWorking[[#This Row],[ShipDate]])</f>
        <v>7</v>
      </c>
      <c r="M2027" s="9">
        <f>IF(COUNTIF(INDEX(RawWorking[OrderID],1):RawWorking[[#This Row],[OrderID]],RawWorking[[#This Row],[OrderID]])=1,1,0)</f>
        <v>1</v>
      </c>
      <c r="N2027" s="4">
        <f>IFERROR(RawWorking[[#This Row],[LineAmount]]/RawWorking[[#This Row],[Quantity]],"")</f>
        <v>40.28</v>
      </c>
    </row>
    <row r="2028" spans="1:14">
      <c r="A2028">
        <v>52027</v>
      </c>
      <c r="B2028">
        <v>31173</v>
      </c>
      <c r="C2028" s="2">
        <v>45979</v>
      </c>
      <c r="D2028">
        <v>2443</v>
      </c>
      <c r="E2028">
        <v>1011</v>
      </c>
      <c r="F2028">
        <v>1</v>
      </c>
      <c r="G2028">
        <v>101.44</v>
      </c>
      <c r="H2028" s="2">
        <v>45982</v>
      </c>
      <c r="I2028" s="2">
        <v>45986</v>
      </c>
      <c r="J2028" t="s">
        <v>9</v>
      </c>
      <c r="K2028" s="2" t="str">
        <f>IFERROR(INDEX(Product_lookup[Category],MATCH(RawWorking[[#This Row],[ProductID]],Product_lookup[ProductID],0)),"")</f>
        <v>Office</v>
      </c>
      <c r="L2028" s="9">
        <f>IF(OR(RawWorking[[#This Row],[ShipDate]]="",RawWorking[[#This Row],[DeliveryDate]]=""),"",RawWorking[[#This Row],[DeliveryDate]]-RawWorking[[#This Row],[ShipDate]])</f>
        <v>4</v>
      </c>
      <c r="M2028" s="9">
        <f>IF(COUNTIF(INDEX(RawWorking[OrderID],1):RawWorking[[#This Row],[OrderID]],RawWorking[[#This Row],[OrderID]])=1,1,0)</f>
        <v>0</v>
      </c>
      <c r="N2028" s="4">
        <f>IFERROR(RawWorking[[#This Row],[LineAmount]]/RawWorking[[#This Row],[Quantity]],"")</f>
        <v>101.44</v>
      </c>
    </row>
    <row r="2029" spans="1:14">
      <c r="A2029">
        <v>52028</v>
      </c>
      <c r="B2029">
        <v>31174</v>
      </c>
      <c r="C2029" s="2">
        <v>45826</v>
      </c>
      <c r="D2029">
        <v>2277</v>
      </c>
      <c r="E2029">
        <v>1004</v>
      </c>
      <c r="F2029">
        <v>4</v>
      </c>
      <c r="G2029">
        <v>734.96</v>
      </c>
      <c r="H2029" s="2">
        <v>45829</v>
      </c>
      <c r="I2029" s="2">
        <v>45833</v>
      </c>
      <c r="J2029" t="s">
        <v>9</v>
      </c>
      <c r="K2029" s="2" t="str">
        <f>IFERROR(INDEX(Product_lookup[Category],MATCH(RawWorking[[#This Row],[ProductID]],Product_lookup[ProductID],0)),"")</f>
        <v>Electronics</v>
      </c>
      <c r="L2029" s="9">
        <f>IF(OR(RawWorking[[#This Row],[ShipDate]]="",RawWorking[[#This Row],[DeliveryDate]]=""),"",RawWorking[[#This Row],[DeliveryDate]]-RawWorking[[#This Row],[ShipDate]])</f>
        <v>4</v>
      </c>
      <c r="M2029" s="9">
        <f>IF(COUNTIF(INDEX(RawWorking[OrderID],1):RawWorking[[#This Row],[OrderID]],RawWorking[[#This Row],[OrderID]])=1,1,0)</f>
        <v>1</v>
      </c>
      <c r="N2029" s="4">
        <f>IFERROR(RawWorking[[#This Row],[LineAmount]]/RawWorking[[#This Row],[Quantity]],"")</f>
        <v>183.74</v>
      </c>
    </row>
    <row r="2030" spans="1:14">
      <c r="A2030">
        <v>52029</v>
      </c>
      <c r="B2030">
        <v>31175</v>
      </c>
      <c r="C2030" s="2">
        <v>45769</v>
      </c>
      <c r="D2030">
        <v>2262</v>
      </c>
      <c r="E2030">
        <v>1013</v>
      </c>
      <c r="F2030">
        <v>1</v>
      </c>
      <c r="G2030">
        <v>170.25</v>
      </c>
      <c r="H2030" s="2">
        <v>45772</v>
      </c>
      <c r="I2030" s="2">
        <v>45774</v>
      </c>
      <c r="J2030" t="s">
        <v>9</v>
      </c>
      <c r="K2030" s="2" t="str">
        <f>IFERROR(INDEX(Product_lookup[Category],MATCH(RawWorking[[#This Row],[ProductID]],Product_lookup[ProductID],0)),"")</f>
        <v>Office</v>
      </c>
      <c r="L2030" s="9">
        <f>IF(OR(RawWorking[[#This Row],[ShipDate]]="",RawWorking[[#This Row],[DeliveryDate]]=""),"",RawWorking[[#This Row],[DeliveryDate]]-RawWorking[[#This Row],[ShipDate]])</f>
        <v>2</v>
      </c>
      <c r="M2030" s="9">
        <f>IF(COUNTIF(INDEX(RawWorking[OrderID],1):RawWorking[[#This Row],[OrderID]],RawWorking[[#This Row],[OrderID]])=1,1,0)</f>
        <v>1</v>
      </c>
      <c r="N2030" s="4">
        <f>IFERROR(RawWorking[[#This Row],[LineAmount]]/RawWorking[[#This Row],[Quantity]],"")</f>
        <v>170.25</v>
      </c>
    </row>
    <row r="2031" spans="1:14">
      <c r="A2031">
        <v>52030</v>
      </c>
      <c r="B2031">
        <v>31176</v>
      </c>
      <c r="C2031" s="2">
        <v>45889</v>
      </c>
      <c r="D2031">
        <v>2473</v>
      </c>
      <c r="E2031">
        <v>1008</v>
      </c>
      <c r="F2031">
        <v>2</v>
      </c>
      <c r="G2031">
        <v>412.18</v>
      </c>
      <c r="H2031" s="2" t="s">
        <v>1421</v>
      </c>
      <c r="I2031" s="2" t="s">
        <v>1421</v>
      </c>
      <c r="J2031" t="s">
        <v>16</v>
      </c>
      <c r="K2031" s="2" t="str">
        <f>IFERROR(INDEX(Product_lookup[Category],MATCH(RawWorking[[#This Row],[ProductID]],Product_lookup[ProductID],0)),"")</f>
        <v>Home</v>
      </c>
      <c r="L2031" s="9" t="str">
        <f>IF(OR(RawWorking[[#This Row],[ShipDate]]="",RawWorking[[#This Row],[DeliveryDate]]=""),"",RawWorking[[#This Row],[DeliveryDate]]-RawWorking[[#This Row],[ShipDate]])</f>
        <v/>
      </c>
      <c r="M2031" s="9">
        <f>IF(COUNTIF(INDEX(RawWorking[OrderID],1):RawWorking[[#This Row],[OrderID]],RawWorking[[#This Row],[OrderID]])=1,1,0)</f>
        <v>1</v>
      </c>
      <c r="N2031" s="4">
        <f>IFERROR(RawWorking[[#This Row],[LineAmount]]/RawWorking[[#This Row],[Quantity]],"")</f>
        <v>206.09</v>
      </c>
    </row>
    <row r="2032" spans="1:14">
      <c r="A2032">
        <v>52031</v>
      </c>
      <c r="B2032">
        <v>31177</v>
      </c>
      <c r="C2032" s="2">
        <v>45842</v>
      </c>
      <c r="D2032">
        <v>2200</v>
      </c>
      <c r="E2032">
        <v>1006</v>
      </c>
      <c r="F2032">
        <v>1</v>
      </c>
      <c r="G2032">
        <v>253.86</v>
      </c>
      <c r="H2032" s="2">
        <v>45843</v>
      </c>
      <c r="I2032" s="2">
        <v>45845</v>
      </c>
      <c r="J2032" t="s">
        <v>9</v>
      </c>
      <c r="K2032" s="2" t="str">
        <f>IFERROR(INDEX(Product_lookup[Category],MATCH(RawWorking[[#This Row],[ProductID]],Product_lookup[ProductID],0)),"")</f>
        <v>Home</v>
      </c>
      <c r="L2032" s="9">
        <f>IF(OR(RawWorking[[#This Row],[ShipDate]]="",RawWorking[[#This Row],[DeliveryDate]]=""),"",RawWorking[[#This Row],[DeliveryDate]]-RawWorking[[#This Row],[ShipDate]])</f>
        <v>2</v>
      </c>
      <c r="M2032" s="9">
        <f>IF(COUNTIF(INDEX(RawWorking[OrderID],1):RawWorking[[#This Row],[OrderID]],RawWorking[[#This Row],[OrderID]])=1,1,0)</f>
        <v>1</v>
      </c>
      <c r="N2032" s="4">
        <f>IFERROR(RawWorking[[#This Row],[LineAmount]]/RawWorking[[#This Row],[Quantity]],"")</f>
        <v>253.86</v>
      </c>
    </row>
    <row r="2033" spans="1:14">
      <c r="A2033">
        <v>52032</v>
      </c>
      <c r="B2033">
        <v>31177</v>
      </c>
      <c r="C2033" s="2">
        <v>45842</v>
      </c>
      <c r="D2033">
        <v>2200</v>
      </c>
      <c r="E2033">
        <v>1011</v>
      </c>
      <c r="F2033">
        <v>1</v>
      </c>
      <c r="G2033">
        <v>101.44</v>
      </c>
      <c r="H2033" s="2">
        <v>45845</v>
      </c>
      <c r="I2033" s="2">
        <v>45853</v>
      </c>
      <c r="J2033" t="s">
        <v>9</v>
      </c>
      <c r="K2033" s="2" t="str">
        <f>IFERROR(INDEX(Product_lookup[Category],MATCH(RawWorking[[#This Row],[ProductID]],Product_lookup[ProductID],0)),"")</f>
        <v>Office</v>
      </c>
      <c r="L2033" s="9">
        <f>IF(OR(RawWorking[[#This Row],[ShipDate]]="",RawWorking[[#This Row],[DeliveryDate]]=""),"",RawWorking[[#This Row],[DeliveryDate]]-RawWorking[[#This Row],[ShipDate]])</f>
        <v>8</v>
      </c>
      <c r="M2033" s="9">
        <f>IF(COUNTIF(INDEX(RawWorking[OrderID],1):RawWorking[[#This Row],[OrderID]],RawWorking[[#This Row],[OrderID]])=1,1,0)</f>
        <v>0</v>
      </c>
      <c r="N2033" s="4">
        <f>IFERROR(RawWorking[[#This Row],[LineAmount]]/RawWorking[[#This Row],[Quantity]],"")</f>
        <v>101.44</v>
      </c>
    </row>
    <row r="2034" spans="1:14">
      <c r="A2034">
        <v>52033</v>
      </c>
      <c r="B2034">
        <v>31177</v>
      </c>
      <c r="C2034" s="2">
        <v>45754</v>
      </c>
      <c r="D2034">
        <v>2200</v>
      </c>
      <c r="E2034">
        <v>1001</v>
      </c>
      <c r="F2034">
        <v>2</v>
      </c>
      <c r="G2034">
        <v>406.08</v>
      </c>
      <c r="H2034" s="2">
        <v>45815</v>
      </c>
      <c r="I2034" s="2">
        <v>45846</v>
      </c>
      <c r="J2034" t="s">
        <v>9</v>
      </c>
      <c r="K2034" s="2" t="str">
        <f>IFERROR(INDEX(Product_lookup[Category],MATCH(RawWorking[[#This Row],[ProductID]],Product_lookup[ProductID],0)),"")</f>
        <v>Electronics</v>
      </c>
      <c r="L2034" s="9">
        <f>IF(OR(RawWorking[[#This Row],[ShipDate]]="",RawWorking[[#This Row],[DeliveryDate]]=""),"",RawWorking[[#This Row],[DeliveryDate]]-RawWorking[[#This Row],[ShipDate]])</f>
        <v>31</v>
      </c>
      <c r="M2034" s="9">
        <f>IF(COUNTIF(INDEX(RawWorking[OrderID],1):RawWorking[[#This Row],[OrderID]],RawWorking[[#This Row],[OrderID]])=1,1,0)</f>
        <v>0</v>
      </c>
      <c r="N2034" s="4">
        <f>IFERROR(RawWorking[[#This Row],[LineAmount]]/RawWorking[[#This Row],[Quantity]],"")</f>
        <v>203.04</v>
      </c>
    </row>
    <row r="2035" spans="1:14">
      <c r="A2035">
        <v>52034</v>
      </c>
      <c r="B2035">
        <v>31178</v>
      </c>
      <c r="C2035" s="2">
        <v>45901</v>
      </c>
      <c r="D2035">
        <v>2009</v>
      </c>
      <c r="E2035">
        <v>1001</v>
      </c>
      <c r="F2035">
        <v>1</v>
      </c>
      <c r="G2035">
        <v>203.04</v>
      </c>
      <c r="H2035" s="2" t="s">
        <v>1421</v>
      </c>
      <c r="I2035" s="2" t="s">
        <v>1421</v>
      </c>
      <c r="J2035" t="s">
        <v>16</v>
      </c>
      <c r="K2035" s="2" t="str">
        <f>IFERROR(INDEX(Product_lookup[Category],MATCH(RawWorking[[#This Row],[ProductID]],Product_lookup[ProductID],0)),"")</f>
        <v>Electronics</v>
      </c>
      <c r="L2035" s="9" t="str">
        <f>IF(OR(RawWorking[[#This Row],[ShipDate]]="",RawWorking[[#This Row],[DeliveryDate]]=""),"",RawWorking[[#This Row],[DeliveryDate]]-RawWorking[[#This Row],[ShipDate]])</f>
        <v/>
      </c>
      <c r="M2035" s="9">
        <f>IF(COUNTIF(INDEX(RawWorking[OrderID],1):RawWorking[[#This Row],[OrderID]],RawWorking[[#This Row],[OrderID]])=1,1,0)</f>
        <v>1</v>
      </c>
      <c r="N2035" s="4">
        <f>IFERROR(RawWorking[[#This Row],[LineAmount]]/RawWorking[[#This Row],[Quantity]],"")</f>
        <v>203.04</v>
      </c>
    </row>
    <row r="2036" spans="1:14">
      <c r="A2036">
        <v>52035</v>
      </c>
      <c r="B2036">
        <v>31179</v>
      </c>
      <c r="C2036" s="2">
        <v>45854</v>
      </c>
      <c r="D2036">
        <v>2538</v>
      </c>
      <c r="E2036">
        <v>1015</v>
      </c>
      <c r="F2036">
        <v>5</v>
      </c>
      <c r="G2036">
        <v>598.70000000000005</v>
      </c>
      <c r="H2036" s="2">
        <v>45856</v>
      </c>
      <c r="I2036" s="2">
        <v>45858</v>
      </c>
      <c r="J2036" t="s">
        <v>9</v>
      </c>
      <c r="K2036" s="2" t="str">
        <f>IFERROR(INDEX(Product_lookup[Category],MATCH(RawWorking[[#This Row],[ProductID]],Product_lookup[ProductID],0)),"")</f>
        <v>Sports</v>
      </c>
      <c r="L2036" s="9">
        <f>IF(OR(RawWorking[[#This Row],[ShipDate]]="",RawWorking[[#This Row],[DeliveryDate]]=""),"",RawWorking[[#This Row],[DeliveryDate]]-RawWorking[[#This Row],[ShipDate]])</f>
        <v>2</v>
      </c>
      <c r="M2036" s="9">
        <f>IF(COUNTIF(INDEX(RawWorking[OrderID],1):RawWorking[[#This Row],[OrderID]],RawWorking[[#This Row],[OrderID]])=1,1,0)</f>
        <v>1</v>
      </c>
      <c r="N2036" s="4">
        <f>IFERROR(RawWorking[[#This Row],[LineAmount]]/RawWorking[[#This Row],[Quantity]],"")</f>
        <v>119.74000000000001</v>
      </c>
    </row>
    <row r="2037" spans="1:14">
      <c r="A2037">
        <v>52036</v>
      </c>
      <c r="B2037">
        <v>31180</v>
      </c>
      <c r="C2037" s="2">
        <v>45834</v>
      </c>
      <c r="D2037">
        <v>2360</v>
      </c>
      <c r="E2037">
        <v>1010</v>
      </c>
      <c r="F2037">
        <v>1</v>
      </c>
      <c r="G2037">
        <v>121.5</v>
      </c>
      <c r="H2037" s="2">
        <v>45835</v>
      </c>
      <c r="I2037" s="2">
        <v>45842</v>
      </c>
      <c r="J2037" t="s">
        <v>9</v>
      </c>
      <c r="K2037" s="2" t="str">
        <f>IFERROR(INDEX(Product_lookup[Category],MATCH(RawWorking[[#This Row],[ProductID]],Product_lookup[ProductID],0)),"")</f>
        <v>Office</v>
      </c>
      <c r="L2037" s="9">
        <f>IF(OR(RawWorking[[#This Row],[ShipDate]]="",RawWorking[[#This Row],[DeliveryDate]]=""),"",RawWorking[[#This Row],[DeliveryDate]]-RawWorking[[#This Row],[ShipDate]])</f>
        <v>7</v>
      </c>
      <c r="M2037" s="9">
        <f>IF(COUNTIF(INDEX(RawWorking[OrderID],1):RawWorking[[#This Row],[OrderID]],RawWorking[[#This Row],[OrderID]])=1,1,0)</f>
        <v>1</v>
      </c>
      <c r="N2037" s="4">
        <f>IFERROR(RawWorking[[#This Row],[LineAmount]]/RawWorking[[#This Row],[Quantity]],"")</f>
        <v>121.5</v>
      </c>
    </row>
    <row r="2038" spans="1:14">
      <c r="A2038">
        <v>52037</v>
      </c>
      <c r="B2038">
        <v>31181</v>
      </c>
      <c r="C2038" s="2">
        <v>45819</v>
      </c>
      <c r="D2038">
        <v>2258</v>
      </c>
      <c r="E2038">
        <v>1001</v>
      </c>
      <c r="F2038">
        <v>1</v>
      </c>
      <c r="G2038">
        <v>203.04</v>
      </c>
      <c r="H2038" s="2">
        <v>45821</v>
      </c>
      <c r="I2038" s="2">
        <v>45828</v>
      </c>
      <c r="J2038" t="s">
        <v>9</v>
      </c>
      <c r="K2038" s="2" t="str">
        <f>IFERROR(INDEX(Product_lookup[Category],MATCH(RawWorking[[#This Row],[ProductID]],Product_lookup[ProductID],0)),"")</f>
        <v>Electronics</v>
      </c>
      <c r="L2038" s="9">
        <f>IF(OR(RawWorking[[#This Row],[ShipDate]]="",RawWorking[[#This Row],[DeliveryDate]]=""),"",RawWorking[[#This Row],[DeliveryDate]]-RawWorking[[#This Row],[ShipDate]])</f>
        <v>7</v>
      </c>
      <c r="M2038" s="9">
        <f>IF(COUNTIF(INDEX(RawWorking[OrderID],1):RawWorking[[#This Row],[OrderID]],RawWorking[[#This Row],[OrderID]])=1,1,0)</f>
        <v>1</v>
      </c>
      <c r="N2038" s="4">
        <f>IFERROR(RawWorking[[#This Row],[LineAmount]]/RawWorking[[#This Row],[Quantity]],"")</f>
        <v>203.04</v>
      </c>
    </row>
    <row r="2039" spans="1:14">
      <c r="A2039">
        <v>52038</v>
      </c>
      <c r="B2039">
        <v>31182</v>
      </c>
      <c r="C2039" s="2">
        <v>45677</v>
      </c>
      <c r="D2039">
        <v>2095</v>
      </c>
      <c r="E2039">
        <v>1007</v>
      </c>
      <c r="F2039">
        <v>1</v>
      </c>
      <c r="G2039">
        <v>199.81</v>
      </c>
      <c r="H2039" s="2">
        <v>45678</v>
      </c>
      <c r="I2039" s="2">
        <v>45680</v>
      </c>
      <c r="J2039" t="s">
        <v>9</v>
      </c>
      <c r="K2039" s="2" t="str">
        <f>IFERROR(INDEX(Product_lookup[Category],MATCH(RawWorking[[#This Row],[ProductID]],Product_lookup[ProductID],0)),"")</f>
        <v>Home</v>
      </c>
      <c r="L2039" s="9">
        <f>IF(OR(RawWorking[[#This Row],[ShipDate]]="",RawWorking[[#This Row],[DeliveryDate]]=""),"",RawWorking[[#This Row],[DeliveryDate]]-RawWorking[[#This Row],[ShipDate]])</f>
        <v>2</v>
      </c>
      <c r="M2039" s="9">
        <f>IF(COUNTIF(INDEX(RawWorking[OrderID],1):RawWorking[[#This Row],[OrderID]],RawWorking[[#This Row],[OrderID]])=1,1,0)</f>
        <v>1</v>
      </c>
      <c r="N2039" s="4">
        <f>IFERROR(RawWorking[[#This Row],[LineAmount]]/RawWorking[[#This Row],[Quantity]],"")</f>
        <v>199.81</v>
      </c>
    </row>
    <row r="2040" spans="1:14">
      <c r="A2040">
        <v>52039</v>
      </c>
      <c r="B2040">
        <v>31182</v>
      </c>
      <c r="C2040" s="2">
        <v>45677</v>
      </c>
      <c r="D2040">
        <v>2095</v>
      </c>
      <c r="E2040">
        <v>1004</v>
      </c>
      <c r="F2040">
        <v>4</v>
      </c>
      <c r="G2040">
        <v>734.96</v>
      </c>
      <c r="H2040" s="2">
        <v>45678</v>
      </c>
      <c r="I2040" s="2">
        <v>45687</v>
      </c>
      <c r="J2040" t="s">
        <v>9</v>
      </c>
      <c r="K2040" s="2" t="str">
        <f>IFERROR(INDEX(Product_lookup[Category],MATCH(RawWorking[[#This Row],[ProductID]],Product_lookup[ProductID],0)),"")</f>
        <v>Electronics</v>
      </c>
      <c r="L2040" s="9">
        <f>IF(OR(RawWorking[[#This Row],[ShipDate]]="",RawWorking[[#This Row],[DeliveryDate]]=""),"",RawWorking[[#This Row],[DeliveryDate]]-RawWorking[[#This Row],[ShipDate]])</f>
        <v>9</v>
      </c>
      <c r="M2040" s="9">
        <f>IF(COUNTIF(INDEX(RawWorking[OrderID],1):RawWorking[[#This Row],[OrderID]],RawWorking[[#This Row],[OrderID]])=1,1,0)</f>
        <v>0</v>
      </c>
      <c r="N2040" s="4">
        <f>IFERROR(RawWorking[[#This Row],[LineAmount]]/RawWorking[[#This Row],[Quantity]],"")</f>
        <v>183.74</v>
      </c>
    </row>
    <row r="2041" spans="1:14">
      <c r="A2041">
        <v>52040</v>
      </c>
      <c r="B2041">
        <v>31182</v>
      </c>
      <c r="C2041" s="2">
        <v>45677</v>
      </c>
      <c r="D2041">
        <v>2095</v>
      </c>
      <c r="E2041">
        <v>1004</v>
      </c>
      <c r="F2041">
        <v>1</v>
      </c>
      <c r="G2041">
        <v>183.74</v>
      </c>
      <c r="H2041" s="2">
        <v>45680</v>
      </c>
      <c r="I2041" s="2">
        <v>45685</v>
      </c>
      <c r="J2041" t="s">
        <v>9</v>
      </c>
      <c r="K2041" s="2" t="str">
        <f>IFERROR(INDEX(Product_lookup[Category],MATCH(RawWorking[[#This Row],[ProductID]],Product_lookup[ProductID],0)),"")</f>
        <v>Electronics</v>
      </c>
      <c r="L2041" s="9">
        <f>IF(OR(RawWorking[[#This Row],[ShipDate]]="",RawWorking[[#This Row],[DeliveryDate]]=""),"",RawWorking[[#This Row],[DeliveryDate]]-RawWorking[[#This Row],[ShipDate]])</f>
        <v>5</v>
      </c>
      <c r="M2041" s="9">
        <f>IF(COUNTIF(INDEX(RawWorking[OrderID],1):RawWorking[[#This Row],[OrderID]],RawWorking[[#This Row],[OrderID]])=1,1,0)</f>
        <v>0</v>
      </c>
      <c r="N2041" s="4">
        <f>IFERROR(RawWorking[[#This Row],[LineAmount]]/RawWorking[[#This Row],[Quantity]],"")</f>
        <v>183.74</v>
      </c>
    </row>
    <row r="2042" spans="1:14">
      <c r="A2042">
        <v>52041</v>
      </c>
      <c r="B2042">
        <v>31183</v>
      </c>
      <c r="C2042" s="2">
        <v>45965</v>
      </c>
      <c r="D2042">
        <v>2089</v>
      </c>
      <c r="E2042">
        <v>1005</v>
      </c>
      <c r="F2042">
        <v>1</v>
      </c>
      <c r="G2042">
        <v>31.73</v>
      </c>
      <c r="H2042" s="2" t="s">
        <v>1421</v>
      </c>
      <c r="I2042" s="2" t="s">
        <v>1421</v>
      </c>
      <c r="J2042" t="s">
        <v>16</v>
      </c>
      <c r="K2042" s="2" t="str">
        <f>IFERROR(INDEX(Product_lookup[Category],MATCH(RawWorking[[#This Row],[ProductID]],Product_lookup[ProductID],0)),"")</f>
        <v>Electronics</v>
      </c>
      <c r="L2042" s="9" t="str">
        <f>IF(OR(RawWorking[[#This Row],[ShipDate]]="",RawWorking[[#This Row],[DeliveryDate]]=""),"",RawWorking[[#This Row],[DeliveryDate]]-RawWorking[[#This Row],[ShipDate]])</f>
        <v/>
      </c>
      <c r="M2042" s="9">
        <f>IF(COUNTIF(INDEX(RawWorking[OrderID],1):RawWorking[[#This Row],[OrderID]],RawWorking[[#This Row],[OrderID]])=1,1,0)</f>
        <v>1</v>
      </c>
      <c r="N2042" s="4">
        <f>IFERROR(RawWorking[[#This Row],[LineAmount]]/RawWorking[[#This Row],[Quantity]],"")</f>
        <v>31.73</v>
      </c>
    </row>
    <row r="2043" spans="1:14">
      <c r="A2043">
        <v>52042</v>
      </c>
      <c r="B2043">
        <v>31184</v>
      </c>
      <c r="C2043" s="2">
        <v>45808</v>
      </c>
      <c r="D2043">
        <v>2580</v>
      </c>
      <c r="E2043">
        <v>1006</v>
      </c>
      <c r="F2043">
        <v>1</v>
      </c>
      <c r="G2043">
        <v>253.86</v>
      </c>
      <c r="H2043" s="2" t="s">
        <v>1421</v>
      </c>
      <c r="I2043" s="2" t="s">
        <v>1421</v>
      </c>
      <c r="J2043" t="s">
        <v>16</v>
      </c>
      <c r="K2043" s="2" t="str">
        <f>IFERROR(INDEX(Product_lookup[Category],MATCH(RawWorking[[#This Row],[ProductID]],Product_lookup[ProductID],0)),"")</f>
        <v>Home</v>
      </c>
      <c r="L2043" s="9" t="str">
        <f>IF(OR(RawWorking[[#This Row],[ShipDate]]="",RawWorking[[#This Row],[DeliveryDate]]=""),"",RawWorking[[#This Row],[DeliveryDate]]-RawWorking[[#This Row],[ShipDate]])</f>
        <v/>
      </c>
      <c r="M2043" s="9">
        <f>IF(COUNTIF(INDEX(RawWorking[OrderID],1):RawWorking[[#This Row],[OrderID]],RawWorking[[#This Row],[OrderID]])=1,1,0)</f>
        <v>1</v>
      </c>
      <c r="N2043" s="4">
        <f>IFERROR(RawWorking[[#This Row],[LineAmount]]/RawWorking[[#This Row],[Quantity]],"")</f>
        <v>253.86</v>
      </c>
    </row>
    <row r="2044" spans="1:14">
      <c r="A2044">
        <v>52043</v>
      </c>
      <c r="B2044">
        <v>31184</v>
      </c>
      <c r="C2044" s="2">
        <v>45808</v>
      </c>
      <c r="D2044">
        <v>2580</v>
      </c>
      <c r="E2044">
        <v>1006</v>
      </c>
      <c r="F2044">
        <v>2</v>
      </c>
      <c r="G2044">
        <v>507.72</v>
      </c>
      <c r="H2044" s="2" t="s">
        <v>1421</v>
      </c>
      <c r="I2044" s="2" t="s">
        <v>1421</v>
      </c>
      <c r="J2044" t="s">
        <v>16</v>
      </c>
      <c r="K2044" s="2" t="str">
        <f>IFERROR(INDEX(Product_lookup[Category],MATCH(RawWorking[[#This Row],[ProductID]],Product_lookup[ProductID],0)),"")</f>
        <v>Home</v>
      </c>
      <c r="L2044" s="9" t="str">
        <f>IF(OR(RawWorking[[#This Row],[ShipDate]]="",RawWorking[[#This Row],[DeliveryDate]]=""),"",RawWorking[[#This Row],[DeliveryDate]]-RawWorking[[#This Row],[ShipDate]])</f>
        <v/>
      </c>
      <c r="M2044" s="9">
        <f>IF(COUNTIF(INDEX(RawWorking[OrderID],1):RawWorking[[#This Row],[OrderID]],RawWorking[[#This Row],[OrderID]])=1,1,0)</f>
        <v>0</v>
      </c>
      <c r="N2044" s="4">
        <f>IFERROR(RawWorking[[#This Row],[LineAmount]]/RawWorking[[#This Row],[Quantity]],"")</f>
        <v>253.86</v>
      </c>
    </row>
    <row r="2045" spans="1:14">
      <c r="A2045">
        <v>52044</v>
      </c>
      <c r="B2045">
        <v>31185</v>
      </c>
      <c r="C2045" s="2">
        <v>45727</v>
      </c>
      <c r="D2045">
        <v>2479</v>
      </c>
      <c r="E2045">
        <v>1003</v>
      </c>
      <c r="F2045">
        <v>1</v>
      </c>
      <c r="G2045">
        <v>224.37</v>
      </c>
      <c r="H2045" s="2">
        <v>45965</v>
      </c>
      <c r="I2045" s="2">
        <v>45975</v>
      </c>
      <c r="J2045" t="s">
        <v>9</v>
      </c>
      <c r="K2045" s="2" t="str">
        <f>IFERROR(INDEX(Product_lookup[Category],MATCH(RawWorking[[#This Row],[ProductID]],Product_lookup[ProductID],0)),"")</f>
        <v>Electronics</v>
      </c>
      <c r="L2045" s="9">
        <f>IF(OR(RawWorking[[#This Row],[ShipDate]]="",RawWorking[[#This Row],[DeliveryDate]]=""),"",RawWorking[[#This Row],[DeliveryDate]]-RawWorking[[#This Row],[ShipDate]])</f>
        <v>10</v>
      </c>
      <c r="M2045" s="9">
        <f>IF(COUNTIF(INDEX(RawWorking[OrderID],1):RawWorking[[#This Row],[OrderID]],RawWorking[[#This Row],[OrderID]])=1,1,0)</f>
        <v>1</v>
      </c>
      <c r="N2045" s="4">
        <f>IFERROR(RawWorking[[#This Row],[LineAmount]]/RawWorking[[#This Row],[Quantity]],"")</f>
        <v>224.37</v>
      </c>
    </row>
    <row r="2046" spans="1:14">
      <c r="A2046">
        <v>52045</v>
      </c>
      <c r="B2046">
        <v>31186</v>
      </c>
      <c r="C2046" s="2">
        <v>45900</v>
      </c>
      <c r="D2046">
        <v>2465</v>
      </c>
      <c r="E2046">
        <v>1009</v>
      </c>
      <c r="F2046">
        <v>2</v>
      </c>
      <c r="G2046">
        <v>80.56</v>
      </c>
      <c r="H2046" s="2" t="s">
        <v>1421</v>
      </c>
      <c r="I2046" s="2" t="s">
        <v>1421</v>
      </c>
      <c r="J2046" t="s">
        <v>12</v>
      </c>
      <c r="K2046" s="2" t="str">
        <f>IFERROR(INDEX(Product_lookup[Category],MATCH(RawWorking[[#This Row],[ProductID]],Product_lookup[ProductID],0)),"")</f>
        <v>Home</v>
      </c>
      <c r="L2046" s="9" t="str">
        <f>IF(OR(RawWorking[[#This Row],[ShipDate]]="",RawWorking[[#This Row],[DeliveryDate]]=""),"",RawWorking[[#This Row],[DeliveryDate]]-RawWorking[[#This Row],[ShipDate]])</f>
        <v/>
      </c>
      <c r="M2046" s="9">
        <f>IF(COUNTIF(INDEX(RawWorking[OrderID],1):RawWorking[[#This Row],[OrderID]],RawWorking[[#This Row],[OrderID]])=1,1,0)</f>
        <v>1</v>
      </c>
      <c r="N2046" s="4">
        <f>IFERROR(RawWorking[[#This Row],[LineAmount]]/RawWorking[[#This Row],[Quantity]],"")</f>
        <v>40.28</v>
      </c>
    </row>
    <row r="2047" spans="1:14">
      <c r="A2047">
        <v>52046</v>
      </c>
      <c r="B2047">
        <v>31186</v>
      </c>
      <c r="C2047" s="2">
        <v>45900</v>
      </c>
      <c r="D2047">
        <v>2465</v>
      </c>
      <c r="E2047">
        <v>1014</v>
      </c>
      <c r="F2047">
        <v>1</v>
      </c>
      <c r="G2047">
        <v>215.34</v>
      </c>
      <c r="H2047" s="2" t="s">
        <v>1421</v>
      </c>
      <c r="I2047" s="2" t="s">
        <v>1421</v>
      </c>
      <c r="J2047" t="s">
        <v>12</v>
      </c>
      <c r="K2047" s="2" t="str">
        <f>IFERROR(INDEX(Product_lookup[Category],MATCH(RawWorking[[#This Row],[ProductID]],Product_lookup[ProductID],0)),"")</f>
        <v>Sports</v>
      </c>
      <c r="L2047" s="9" t="str">
        <f>IF(OR(RawWorking[[#This Row],[ShipDate]]="",RawWorking[[#This Row],[DeliveryDate]]=""),"",RawWorking[[#This Row],[DeliveryDate]]-RawWorking[[#This Row],[ShipDate]])</f>
        <v/>
      </c>
      <c r="M2047" s="9">
        <f>IF(COUNTIF(INDEX(RawWorking[OrderID],1):RawWorking[[#This Row],[OrderID]],RawWorking[[#This Row],[OrderID]])=1,1,0)</f>
        <v>0</v>
      </c>
      <c r="N2047" s="4">
        <f>IFERROR(RawWorking[[#This Row],[LineAmount]]/RawWorking[[#This Row],[Quantity]],"")</f>
        <v>215.34</v>
      </c>
    </row>
    <row r="2048" spans="1:14">
      <c r="A2048">
        <v>52047</v>
      </c>
      <c r="B2048">
        <v>31187</v>
      </c>
      <c r="C2048" s="2">
        <v>45858</v>
      </c>
      <c r="D2048">
        <v>2332</v>
      </c>
      <c r="E2048">
        <v>1003</v>
      </c>
      <c r="F2048">
        <v>4</v>
      </c>
      <c r="G2048">
        <v>897.48</v>
      </c>
      <c r="H2048" s="2">
        <v>45861</v>
      </c>
      <c r="I2048" s="2">
        <v>45868</v>
      </c>
      <c r="J2048" t="s">
        <v>9</v>
      </c>
      <c r="K2048" s="2" t="str">
        <f>IFERROR(INDEX(Product_lookup[Category],MATCH(RawWorking[[#This Row],[ProductID]],Product_lookup[ProductID],0)),"")</f>
        <v>Electronics</v>
      </c>
      <c r="L2048" s="9">
        <f>IF(OR(RawWorking[[#This Row],[ShipDate]]="",RawWorking[[#This Row],[DeliveryDate]]=""),"",RawWorking[[#This Row],[DeliveryDate]]-RawWorking[[#This Row],[ShipDate]])</f>
        <v>7</v>
      </c>
      <c r="M2048" s="9">
        <f>IF(COUNTIF(INDEX(RawWorking[OrderID],1):RawWorking[[#This Row],[OrderID]],RawWorking[[#This Row],[OrderID]])=1,1,0)</f>
        <v>1</v>
      </c>
      <c r="N2048" s="4">
        <f>IFERROR(RawWorking[[#This Row],[LineAmount]]/RawWorking[[#This Row],[Quantity]],"")</f>
        <v>224.37</v>
      </c>
    </row>
    <row r="2049" spans="1:14">
      <c r="A2049">
        <v>52048</v>
      </c>
      <c r="B2049">
        <v>31188</v>
      </c>
      <c r="C2049" s="2">
        <v>45937</v>
      </c>
      <c r="D2049">
        <v>2284</v>
      </c>
      <c r="E2049">
        <v>1013</v>
      </c>
      <c r="F2049">
        <v>1</v>
      </c>
      <c r="G2049">
        <v>170.25</v>
      </c>
      <c r="H2049" s="2" t="s">
        <v>1421</v>
      </c>
      <c r="I2049" s="2" t="s">
        <v>1421</v>
      </c>
      <c r="J2049" t="s">
        <v>16</v>
      </c>
      <c r="K2049" s="2" t="str">
        <f>IFERROR(INDEX(Product_lookup[Category],MATCH(RawWorking[[#This Row],[ProductID]],Product_lookup[ProductID],0)),"")</f>
        <v>Office</v>
      </c>
      <c r="L2049" s="9" t="str">
        <f>IF(OR(RawWorking[[#This Row],[ShipDate]]="",RawWorking[[#This Row],[DeliveryDate]]=""),"",RawWorking[[#This Row],[DeliveryDate]]-RawWorking[[#This Row],[ShipDate]])</f>
        <v/>
      </c>
      <c r="M2049" s="9">
        <f>IF(COUNTIF(INDEX(RawWorking[OrderID],1):RawWorking[[#This Row],[OrderID]],RawWorking[[#This Row],[OrderID]])=1,1,0)</f>
        <v>1</v>
      </c>
      <c r="N2049" s="4">
        <f>IFERROR(RawWorking[[#This Row],[LineAmount]]/RawWorking[[#This Row],[Quantity]],"")</f>
        <v>170.25</v>
      </c>
    </row>
    <row r="2050" spans="1:14">
      <c r="A2050">
        <v>52049</v>
      </c>
      <c r="B2050">
        <v>31189</v>
      </c>
      <c r="C2050" s="2">
        <v>45697</v>
      </c>
      <c r="D2050">
        <v>2062</v>
      </c>
      <c r="E2050">
        <v>1009</v>
      </c>
      <c r="F2050">
        <v>1</v>
      </c>
      <c r="G2050">
        <v>40.28</v>
      </c>
      <c r="H2050" s="2">
        <v>45756</v>
      </c>
      <c r="I2050" s="2">
        <v>45906</v>
      </c>
      <c r="J2050" t="s">
        <v>9</v>
      </c>
      <c r="K2050" s="2" t="str">
        <f>IFERROR(INDEX(Product_lookup[Category],MATCH(RawWorking[[#This Row],[ProductID]],Product_lookup[ProductID],0)),"")</f>
        <v>Home</v>
      </c>
      <c r="L2050" s="9">
        <f>IF(OR(RawWorking[[#This Row],[ShipDate]]="",RawWorking[[#This Row],[DeliveryDate]]=""),"",RawWorking[[#This Row],[DeliveryDate]]-RawWorking[[#This Row],[ShipDate]])</f>
        <v>150</v>
      </c>
      <c r="M2050" s="9">
        <f>IF(COUNTIF(INDEX(RawWorking[OrderID],1):RawWorking[[#This Row],[OrderID]],RawWorking[[#This Row],[OrderID]])=1,1,0)</f>
        <v>1</v>
      </c>
      <c r="N2050" s="4">
        <f>IFERROR(RawWorking[[#This Row],[LineAmount]]/RawWorking[[#This Row],[Quantity]],"")</f>
        <v>40.28</v>
      </c>
    </row>
    <row r="2051" spans="1:14">
      <c r="A2051">
        <v>52050</v>
      </c>
      <c r="B2051">
        <v>31190</v>
      </c>
      <c r="C2051" s="2">
        <v>45741</v>
      </c>
      <c r="D2051">
        <v>2183</v>
      </c>
      <c r="E2051">
        <v>1016</v>
      </c>
      <c r="F2051">
        <v>1</v>
      </c>
      <c r="G2051">
        <v>65.260000000000005</v>
      </c>
      <c r="H2051" s="2">
        <v>45743</v>
      </c>
      <c r="I2051" s="2">
        <v>45749</v>
      </c>
      <c r="J2051" t="s">
        <v>9</v>
      </c>
      <c r="K2051" s="2" t="str">
        <f>IFERROR(INDEX(Product_lookup[Category],MATCH(RawWorking[[#This Row],[ProductID]],Product_lookup[ProductID],0)),"")</f>
        <v>Sports</v>
      </c>
      <c r="L2051" s="9">
        <f>IF(OR(RawWorking[[#This Row],[ShipDate]]="",RawWorking[[#This Row],[DeliveryDate]]=""),"",RawWorking[[#This Row],[DeliveryDate]]-RawWorking[[#This Row],[ShipDate]])</f>
        <v>6</v>
      </c>
      <c r="M2051" s="9">
        <f>IF(COUNTIF(INDEX(RawWorking[OrderID],1):RawWorking[[#This Row],[OrderID]],RawWorking[[#This Row],[OrderID]])=1,1,0)</f>
        <v>1</v>
      </c>
      <c r="N2051" s="4">
        <f>IFERROR(RawWorking[[#This Row],[LineAmount]]/RawWorking[[#This Row],[Quantity]],"")</f>
        <v>65.260000000000005</v>
      </c>
    </row>
    <row r="2052" spans="1:14">
      <c r="A2052">
        <v>52051</v>
      </c>
      <c r="B2052">
        <v>31190</v>
      </c>
      <c r="C2052" s="2">
        <v>45741</v>
      </c>
      <c r="D2052">
        <v>2183</v>
      </c>
      <c r="E2052">
        <v>1007</v>
      </c>
      <c r="F2052">
        <v>2</v>
      </c>
      <c r="G2052">
        <v>399.62</v>
      </c>
      <c r="H2052" s="2">
        <v>45742</v>
      </c>
      <c r="I2052" s="2">
        <v>45745</v>
      </c>
      <c r="J2052" t="s">
        <v>9</v>
      </c>
      <c r="K2052" s="2" t="str">
        <f>IFERROR(INDEX(Product_lookup[Category],MATCH(RawWorking[[#This Row],[ProductID]],Product_lookup[ProductID],0)),"")</f>
        <v>Home</v>
      </c>
      <c r="L2052" s="9">
        <f>IF(OR(RawWorking[[#This Row],[ShipDate]]="",RawWorking[[#This Row],[DeliveryDate]]=""),"",RawWorking[[#This Row],[DeliveryDate]]-RawWorking[[#This Row],[ShipDate]])</f>
        <v>3</v>
      </c>
      <c r="M2052" s="9">
        <f>IF(COUNTIF(INDEX(RawWorking[OrderID],1):RawWorking[[#This Row],[OrderID]],RawWorking[[#This Row],[OrderID]])=1,1,0)</f>
        <v>0</v>
      </c>
      <c r="N2052" s="4">
        <f>IFERROR(RawWorking[[#This Row],[LineAmount]]/RawWorking[[#This Row],[Quantity]],"")</f>
        <v>199.81</v>
      </c>
    </row>
    <row r="2053" spans="1:14">
      <c r="A2053">
        <v>52052</v>
      </c>
      <c r="B2053">
        <v>31190</v>
      </c>
      <c r="C2053" s="2">
        <v>45741</v>
      </c>
      <c r="D2053">
        <v>2183</v>
      </c>
      <c r="E2053">
        <v>1013</v>
      </c>
      <c r="F2053">
        <v>4</v>
      </c>
      <c r="G2053">
        <v>681</v>
      </c>
      <c r="H2053" s="2">
        <v>45742</v>
      </c>
      <c r="I2053" s="2">
        <v>45745</v>
      </c>
      <c r="J2053" t="s">
        <v>9</v>
      </c>
      <c r="K2053" s="2" t="str">
        <f>IFERROR(INDEX(Product_lookup[Category],MATCH(RawWorking[[#This Row],[ProductID]],Product_lookup[ProductID],0)),"")</f>
        <v>Office</v>
      </c>
      <c r="L2053" s="9">
        <f>IF(OR(RawWorking[[#This Row],[ShipDate]]="",RawWorking[[#This Row],[DeliveryDate]]=""),"",RawWorking[[#This Row],[DeliveryDate]]-RawWorking[[#This Row],[ShipDate]])</f>
        <v>3</v>
      </c>
      <c r="M2053" s="9">
        <f>IF(COUNTIF(INDEX(RawWorking[OrderID],1):RawWorking[[#This Row],[OrderID]],RawWorking[[#This Row],[OrderID]])=1,1,0)</f>
        <v>0</v>
      </c>
      <c r="N2053" s="4">
        <f>IFERROR(RawWorking[[#This Row],[LineAmount]]/RawWorking[[#This Row],[Quantity]],"")</f>
        <v>170.25</v>
      </c>
    </row>
    <row r="2054" spans="1:14">
      <c r="A2054">
        <v>52053</v>
      </c>
      <c r="B2054">
        <v>31191</v>
      </c>
      <c r="C2054" s="2">
        <v>45790</v>
      </c>
      <c r="D2054">
        <v>2183</v>
      </c>
      <c r="E2054">
        <v>1004</v>
      </c>
      <c r="F2054">
        <v>1</v>
      </c>
      <c r="G2054">
        <v>183.74</v>
      </c>
      <c r="H2054" s="2">
        <v>45793</v>
      </c>
      <c r="I2054" s="2">
        <v>45803</v>
      </c>
      <c r="J2054" t="s">
        <v>9</v>
      </c>
      <c r="K2054" s="2" t="str">
        <f>IFERROR(INDEX(Product_lookup[Category],MATCH(RawWorking[[#This Row],[ProductID]],Product_lookup[ProductID],0)),"")</f>
        <v>Electronics</v>
      </c>
      <c r="L2054" s="9">
        <f>IF(OR(RawWorking[[#This Row],[ShipDate]]="",RawWorking[[#This Row],[DeliveryDate]]=""),"",RawWorking[[#This Row],[DeliveryDate]]-RawWorking[[#This Row],[ShipDate]])</f>
        <v>10</v>
      </c>
      <c r="M2054" s="9">
        <f>IF(COUNTIF(INDEX(RawWorking[OrderID],1):RawWorking[[#This Row],[OrderID]],RawWorking[[#This Row],[OrderID]])=1,1,0)</f>
        <v>1</v>
      </c>
      <c r="N2054" s="4">
        <f>IFERROR(RawWorking[[#This Row],[LineAmount]]/RawWorking[[#This Row],[Quantity]],"")</f>
        <v>183.74</v>
      </c>
    </row>
    <row r="2055" spans="1:14">
      <c r="A2055">
        <v>52054</v>
      </c>
      <c r="B2055">
        <v>31192</v>
      </c>
      <c r="C2055" s="2">
        <v>45933</v>
      </c>
      <c r="D2055">
        <v>2148</v>
      </c>
      <c r="E2055">
        <v>1014</v>
      </c>
      <c r="F2055">
        <v>1</v>
      </c>
      <c r="G2055">
        <v>215.34</v>
      </c>
      <c r="H2055" s="2">
        <v>45934</v>
      </c>
      <c r="I2055" s="2">
        <v>45942</v>
      </c>
      <c r="J2055" t="s">
        <v>9</v>
      </c>
      <c r="K2055" s="2" t="str">
        <f>IFERROR(INDEX(Product_lookup[Category],MATCH(RawWorking[[#This Row],[ProductID]],Product_lookup[ProductID],0)),"")</f>
        <v>Sports</v>
      </c>
      <c r="L2055" s="9">
        <f>IF(OR(RawWorking[[#This Row],[ShipDate]]="",RawWorking[[#This Row],[DeliveryDate]]=""),"",RawWorking[[#This Row],[DeliveryDate]]-RawWorking[[#This Row],[ShipDate]])</f>
        <v>8</v>
      </c>
      <c r="M2055" s="9">
        <f>IF(COUNTIF(INDEX(RawWorking[OrderID],1):RawWorking[[#This Row],[OrderID]],RawWorking[[#This Row],[OrderID]])=1,1,0)</f>
        <v>1</v>
      </c>
      <c r="N2055" s="4">
        <f>IFERROR(RawWorking[[#This Row],[LineAmount]]/RawWorking[[#This Row],[Quantity]],"")</f>
        <v>215.34</v>
      </c>
    </row>
    <row r="2056" spans="1:14">
      <c r="A2056">
        <v>52055</v>
      </c>
      <c r="B2056">
        <v>31192</v>
      </c>
      <c r="C2056" s="2">
        <v>45933</v>
      </c>
      <c r="D2056">
        <v>2148</v>
      </c>
      <c r="E2056">
        <v>1007</v>
      </c>
      <c r="F2056">
        <v>3</v>
      </c>
      <c r="G2056">
        <v>599.42999999999995</v>
      </c>
      <c r="H2056" s="2">
        <v>45934</v>
      </c>
      <c r="I2056" s="2">
        <v>45935</v>
      </c>
      <c r="J2056" t="s">
        <v>9</v>
      </c>
      <c r="K2056" s="2" t="str">
        <f>IFERROR(INDEX(Product_lookup[Category],MATCH(RawWorking[[#This Row],[ProductID]],Product_lookup[ProductID],0)),"")</f>
        <v>Home</v>
      </c>
      <c r="L2056" s="9">
        <f>IF(OR(RawWorking[[#This Row],[ShipDate]]="",RawWorking[[#This Row],[DeliveryDate]]=""),"",RawWorking[[#This Row],[DeliveryDate]]-RawWorking[[#This Row],[ShipDate]])</f>
        <v>1</v>
      </c>
      <c r="M2056" s="9">
        <f>IF(COUNTIF(INDEX(RawWorking[OrderID],1):RawWorking[[#This Row],[OrderID]],RawWorking[[#This Row],[OrderID]])=1,1,0)</f>
        <v>0</v>
      </c>
      <c r="N2056" s="4">
        <f>IFERROR(RawWorking[[#This Row],[LineAmount]]/RawWorking[[#This Row],[Quantity]],"")</f>
        <v>199.80999999999997</v>
      </c>
    </row>
    <row r="2057" spans="1:14">
      <c r="A2057">
        <v>52056</v>
      </c>
      <c r="B2057">
        <v>31193</v>
      </c>
      <c r="C2057" s="2">
        <v>45712</v>
      </c>
      <c r="D2057">
        <v>2109</v>
      </c>
      <c r="E2057">
        <v>1009</v>
      </c>
      <c r="F2057">
        <v>1</v>
      </c>
      <c r="G2057">
        <v>40.28</v>
      </c>
      <c r="H2057" s="2" t="s">
        <v>1421</v>
      </c>
      <c r="I2057" s="2" t="s">
        <v>1421</v>
      </c>
      <c r="J2057" t="s">
        <v>12</v>
      </c>
      <c r="K2057" s="2" t="str">
        <f>IFERROR(INDEX(Product_lookup[Category],MATCH(RawWorking[[#This Row],[ProductID]],Product_lookup[ProductID],0)),"")</f>
        <v>Home</v>
      </c>
      <c r="L2057" s="9" t="str">
        <f>IF(OR(RawWorking[[#This Row],[ShipDate]]="",RawWorking[[#This Row],[DeliveryDate]]=""),"",RawWorking[[#This Row],[DeliveryDate]]-RawWorking[[#This Row],[ShipDate]])</f>
        <v/>
      </c>
      <c r="M2057" s="9">
        <f>IF(COUNTIF(INDEX(RawWorking[OrderID],1):RawWorking[[#This Row],[OrderID]],RawWorking[[#This Row],[OrderID]])=1,1,0)</f>
        <v>1</v>
      </c>
      <c r="N2057" s="4">
        <f>IFERROR(RawWorking[[#This Row],[LineAmount]]/RawWorking[[#This Row],[Quantity]],"")</f>
        <v>40.28</v>
      </c>
    </row>
    <row r="2058" spans="1:14">
      <c r="A2058">
        <v>52057</v>
      </c>
      <c r="B2058">
        <v>31194</v>
      </c>
      <c r="C2058" s="2">
        <v>45784</v>
      </c>
      <c r="D2058">
        <v>2106</v>
      </c>
      <c r="E2058">
        <v>1003</v>
      </c>
      <c r="F2058">
        <v>1</v>
      </c>
      <c r="G2058">
        <v>224.37</v>
      </c>
      <c r="H2058" s="2">
        <v>45787</v>
      </c>
      <c r="I2058" s="2">
        <v>45996</v>
      </c>
      <c r="J2058" t="s">
        <v>9</v>
      </c>
      <c r="K2058" s="2" t="str">
        <f>IFERROR(INDEX(Product_lookup[Category],MATCH(RawWorking[[#This Row],[ProductID]],Product_lookup[ProductID],0)),"")</f>
        <v>Electronics</v>
      </c>
      <c r="L2058" s="9">
        <f>IF(OR(RawWorking[[#This Row],[ShipDate]]="",RawWorking[[#This Row],[DeliveryDate]]=""),"",RawWorking[[#This Row],[DeliveryDate]]-RawWorking[[#This Row],[ShipDate]])</f>
        <v>209</v>
      </c>
      <c r="M2058" s="9">
        <f>IF(COUNTIF(INDEX(RawWorking[OrderID],1):RawWorking[[#This Row],[OrderID]],RawWorking[[#This Row],[OrderID]])=1,1,0)</f>
        <v>1</v>
      </c>
      <c r="N2058" s="4">
        <f>IFERROR(RawWorking[[#This Row],[LineAmount]]/RawWorking[[#This Row],[Quantity]],"")</f>
        <v>224.37</v>
      </c>
    </row>
    <row r="2059" spans="1:14">
      <c r="A2059">
        <v>52058</v>
      </c>
      <c r="B2059">
        <v>31195</v>
      </c>
      <c r="C2059" s="2">
        <v>46016</v>
      </c>
      <c r="D2059">
        <v>2586</v>
      </c>
      <c r="E2059">
        <v>1015</v>
      </c>
      <c r="F2059">
        <v>3</v>
      </c>
      <c r="G2059">
        <v>359.22</v>
      </c>
      <c r="H2059" s="2">
        <v>46019</v>
      </c>
      <c r="I2059" s="2">
        <v>46027</v>
      </c>
      <c r="J2059" t="s">
        <v>9</v>
      </c>
      <c r="K2059" s="2" t="str">
        <f>IFERROR(INDEX(Product_lookup[Category],MATCH(RawWorking[[#This Row],[ProductID]],Product_lookup[ProductID],0)),"")</f>
        <v>Sports</v>
      </c>
      <c r="L2059" s="9">
        <f>IF(OR(RawWorking[[#This Row],[ShipDate]]="",RawWorking[[#This Row],[DeliveryDate]]=""),"",RawWorking[[#This Row],[DeliveryDate]]-RawWorking[[#This Row],[ShipDate]])</f>
        <v>8</v>
      </c>
      <c r="M2059" s="9">
        <f>IF(COUNTIF(INDEX(RawWorking[OrderID],1):RawWorking[[#This Row],[OrderID]],RawWorking[[#This Row],[OrderID]])=1,1,0)</f>
        <v>1</v>
      </c>
      <c r="N2059" s="4">
        <f>IFERROR(RawWorking[[#This Row],[LineAmount]]/RawWorking[[#This Row],[Quantity]],"")</f>
        <v>119.74000000000001</v>
      </c>
    </row>
    <row r="2060" spans="1:14">
      <c r="A2060">
        <v>52059</v>
      </c>
      <c r="B2060">
        <v>31195</v>
      </c>
      <c r="C2060" s="2">
        <v>46016</v>
      </c>
      <c r="D2060">
        <v>2586</v>
      </c>
      <c r="E2060">
        <v>1001</v>
      </c>
      <c r="F2060">
        <v>2</v>
      </c>
      <c r="G2060">
        <v>406.08</v>
      </c>
      <c r="H2060" s="2">
        <v>46018</v>
      </c>
      <c r="I2060" s="2">
        <v>46022</v>
      </c>
      <c r="J2060" t="s">
        <v>9</v>
      </c>
      <c r="K2060" s="2" t="str">
        <f>IFERROR(INDEX(Product_lookup[Category],MATCH(RawWorking[[#This Row],[ProductID]],Product_lookup[ProductID],0)),"")</f>
        <v>Electronics</v>
      </c>
      <c r="L2060" s="9">
        <f>IF(OR(RawWorking[[#This Row],[ShipDate]]="",RawWorking[[#This Row],[DeliveryDate]]=""),"",RawWorking[[#This Row],[DeliveryDate]]-RawWorking[[#This Row],[ShipDate]])</f>
        <v>4</v>
      </c>
      <c r="M2060" s="9">
        <f>IF(COUNTIF(INDEX(RawWorking[OrderID],1):RawWorking[[#This Row],[OrderID]],RawWorking[[#This Row],[OrderID]])=1,1,0)</f>
        <v>0</v>
      </c>
      <c r="N2060" s="4">
        <f>IFERROR(RawWorking[[#This Row],[LineAmount]]/RawWorking[[#This Row],[Quantity]],"")</f>
        <v>203.04</v>
      </c>
    </row>
    <row r="2061" spans="1:14">
      <c r="A2061">
        <v>52060</v>
      </c>
      <c r="B2061">
        <v>31196</v>
      </c>
      <c r="C2061" s="2">
        <v>45874</v>
      </c>
      <c r="D2061">
        <v>2510</v>
      </c>
      <c r="E2061">
        <v>1001</v>
      </c>
      <c r="F2061">
        <v>2</v>
      </c>
      <c r="G2061">
        <v>406.08</v>
      </c>
      <c r="H2061" s="2">
        <v>45875</v>
      </c>
      <c r="I2061" s="2">
        <v>45880</v>
      </c>
      <c r="J2061" t="s">
        <v>9</v>
      </c>
      <c r="K2061" s="2" t="str">
        <f>IFERROR(INDEX(Product_lookup[Category],MATCH(RawWorking[[#This Row],[ProductID]],Product_lookup[ProductID],0)),"")</f>
        <v>Electronics</v>
      </c>
      <c r="L2061" s="9">
        <f>IF(OR(RawWorking[[#This Row],[ShipDate]]="",RawWorking[[#This Row],[DeliveryDate]]=""),"",RawWorking[[#This Row],[DeliveryDate]]-RawWorking[[#This Row],[ShipDate]])</f>
        <v>5</v>
      </c>
      <c r="M2061" s="9">
        <f>IF(COUNTIF(INDEX(RawWorking[OrderID],1):RawWorking[[#This Row],[OrderID]],RawWorking[[#This Row],[OrderID]])=1,1,0)</f>
        <v>1</v>
      </c>
      <c r="N2061" s="4">
        <f>IFERROR(RawWorking[[#This Row],[LineAmount]]/RawWorking[[#This Row],[Quantity]],"")</f>
        <v>203.04</v>
      </c>
    </row>
    <row r="2062" spans="1:14">
      <c r="A2062">
        <v>52061</v>
      </c>
      <c r="B2062">
        <v>31196</v>
      </c>
      <c r="C2062" s="2">
        <v>45874</v>
      </c>
      <c r="D2062">
        <v>2510</v>
      </c>
      <c r="E2062">
        <v>1002</v>
      </c>
      <c r="F2062">
        <v>1</v>
      </c>
      <c r="G2062">
        <v>118.6</v>
      </c>
      <c r="H2062" s="2">
        <v>45877</v>
      </c>
      <c r="I2062" s="2">
        <v>45878</v>
      </c>
      <c r="J2062" t="s">
        <v>9</v>
      </c>
      <c r="K2062" s="2" t="str">
        <f>IFERROR(INDEX(Product_lookup[Category],MATCH(RawWorking[[#This Row],[ProductID]],Product_lookup[ProductID],0)),"")</f>
        <v>Electronics</v>
      </c>
      <c r="L2062" s="9">
        <f>IF(OR(RawWorking[[#This Row],[ShipDate]]="",RawWorking[[#This Row],[DeliveryDate]]=""),"",RawWorking[[#This Row],[DeliveryDate]]-RawWorking[[#This Row],[ShipDate]])</f>
        <v>1</v>
      </c>
      <c r="M2062" s="9">
        <f>IF(COUNTIF(INDEX(RawWorking[OrderID],1):RawWorking[[#This Row],[OrderID]],RawWorking[[#This Row],[OrderID]])=1,1,0)</f>
        <v>0</v>
      </c>
      <c r="N2062" s="4">
        <f>IFERROR(RawWorking[[#This Row],[LineAmount]]/RawWorking[[#This Row],[Quantity]],"")</f>
        <v>118.6</v>
      </c>
    </row>
    <row r="2063" spans="1:14">
      <c r="A2063">
        <v>52062</v>
      </c>
      <c r="B2063">
        <v>31197</v>
      </c>
      <c r="C2063" s="2">
        <v>45765</v>
      </c>
      <c r="D2063">
        <v>2400</v>
      </c>
      <c r="E2063">
        <v>1011</v>
      </c>
      <c r="F2063">
        <v>2</v>
      </c>
      <c r="G2063">
        <v>202.88</v>
      </c>
      <c r="H2063" s="2">
        <v>45767</v>
      </c>
      <c r="I2063" s="2">
        <v>45772</v>
      </c>
      <c r="J2063" t="s">
        <v>9</v>
      </c>
      <c r="K2063" s="2" t="str">
        <f>IFERROR(INDEX(Product_lookup[Category],MATCH(RawWorking[[#This Row],[ProductID]],Product_lookup[ProductID],0)),"")</f>
        <v>Office</v>
      </c>
      <c r="L2063" s="9">
        <f>IF(OR(RawWorking[[#This Row],[ShipDate]]="",RawWorking[[#This Row],[DeliveryDate]]=""),"",RawWorking[[#This Row],[DeliveryDate]]-RawWorking[[#This Row],[ShipDate]])</f>
        <v>5</v>
      </c>
      <c r="M2063" s="9">
        <f>IF(COUNTIF(INDEX(RawWorking[OrderID],1):RawWorking[[#This Row],[OrderID]],RawWorking[[#This Row],[OrderID]])=1,1,0)</f>
        <v>1</v>
      </c>
      <c r="N2063" s="4">
        <f>IFERROR(RawWorking[[#This Row],[LineAmount]]/RawWorking[[#This Row],[Quantity]],"")</f>
        <v>101.44</v>
      </c>
    </row>
    <row r="2064" spans="1:14">
      <c r="A2064">
        <v>52063</v>
      </c>
      <c r="B2064">
        <v>31198</v>
      </c>
      <c r="C2064" s="2">
        <v>45881</v>
      </c>
      <c r="D2064">
        <v>2401</v>
      </c>
      <c r="E2064">
        <v>1016</v>
      </c>
      <c r="F2064">
        <v>1</v>
      </c>
      <c r="G2064">
        <v>65.260000000000005</v>
      </c>
      <c r="H2064" s="2">
        <v>45884</v>
      </c>
      <c r="I2064" s="2">
        <v>45894</v>
      </c>
      <c r="J2064" t="s">
        <v>9</v>
      </c>
      <c r="K2064" s="2" t="str">
        <f>IFERROR(INDEX(Product_lookup[Category],MATCH(RawWorking[[#This Row],[ProductID]],Product_lookup[ProductID],0)),"")</f>
        <v>Sports</v>
      </c>
      <c r="L2064" s="9">
        <f>IF(OR(RawWorking[[#This Row],[ShipDate]]="",RawWorking[[#This Row],[DeliveryDate]]=""),"",RawWorking[[#This Row],[DeliveryDate]]-RawWorking[[#This Row],[ShipDate]])</f>
        <v>10</v>
      </c>
      <c r="M2064" s="9">
        <f>IF(COUNTIF(INDEX(RawWorking[OrderID],1):RawWorking[[#This Row],[OrderID]],RawWorking[[#This Row],[OrderID]])=1,1,0)</f>
        <v>1</v>
      </c>
      <c r="N2064" s="4">
        <f>IFERROR(RawWorking[[#This Row],[LineAmount]]/RawWorking[[#This Row],[Quantity]],"")</f>
        <v>65.260000000000005</v>
      </c>
    </row>
    <row r="2065" spans="1:14">
      <c r="A2065">
        <v>52064</v>
      </c>
      <c r="B2065">
        <v>31198</v>
      </c>
      <c r="C2065" s="2">
        <v>45881</v>
      </c>
      <c r="D2065">
        <v>2401</v>
      </c>
      <c r="E2065">
        <v>1016</v>
      </c>
      <c r="F2065">
        <v>2</v>
      </c>
      <c r="G2065">
        <v>130.52000000000001</v>
      </c>
      <c r="H2065" s="2">
        <v>45883</v>
      </c>
      <c r="I2065" s="2">
        <v>45890</v>
      </c>
      <c r="J2065" t="s">
        <v>9</v>
      </c>
      <c r="K2065" s="2" t="str">
        <f>IFERROR(INDEX(Product_lookup[Category],MATCH(RawWorking[[#This Row],[ProductID]],Product_lookup[ProductID],0)),"")</f>
        <v>Sports</v>
      </c>
      <c r="L2065" s="9">
        <f>IF(OR(RawWorking[[#This Row],[ShipDate]]="",RawWorking[[#This Row],[DeliveryDate]]=""),"",RawWorking[[#This Row],[DeliveryDate]]-RawWorking[[#This Row],[ShipDate]])</f>
        <v>7</v>
      </c>
      <c r="M2065" s="9">
        <f>IF(COUNTIF(INDEX(RawWorking[OrderID],1):RawWorking[[#This Row],[OrderID]],RawWorking[[#This Row],[OrderID]])=1,1,0)</f>
        <v>0</v>
      </c>
      <c r="N2065" s="4">
        <f>IFERROR(RawWorking[[#This Row],[LineAmount]]/RawWorking[[#This Row],[Quantity]],"")</f>
        <v>65.260000000000005</v>
      </c>
    </row>
    <row r="2066" spans="1:14">
      <c r="A2066">
        <v>52065</v>
      </c>
      <c r="B2066">
        <v>31199</v>
      </c>
      <c r="C2066" s="2">
        <v>45669</v>
      </c>
      <c r="D2066">
        <v>2447</v>
      </c>
      <c r="E2066">
        <v>1003</v>
      </c>
      <c r="F2066">
        <v>1</v>
      </c>
      <c r="G2066">
        <v>224.37</v>
      </c>
      <c r="H2066" s="2">
        <v>45728</v>
      </c>
      <c r="I2066" s="2">
        <v>45999</v>
      </c>
      <c r="J2066" t="s">
        <v>9</v>
      </c>
      <c r="K2066" s="2" t="str">
        <f>IFERROR(INDEX(Product_lookup[Category],MATCH(RawWorking[[#This Row],[ProductID]],Product_lookup[ProductID],0)),"")</f>
        <v>Electronics</v>
      </c>
      <c r="L2066" s="9">
        <f>IF(OR(RawWorking[[#This Row],[ShipDate]]="",RawWorking[[#This Row],[DeliveryDate]]=""),"",RawWorking[[#This Row],[DeliveryDate]]-RawWorking[[#This Row],[ShipDate]])</f>
        <v>271</v>
      </c>
      <c r="M2066" s="9">
        <f>IF(COUNTIF(INDEX(RawWorking[OrderID],1):RawWorking[[#This Row],[OrderID]],RawWorking[[#This Row],[OrderID]])=1,1,0)</f>
        <v>1</v>
      </c>
      <c r="N2066" s="4">
        <f>IFERROR(RawWorking[[#This Row],[LineAmount]]/RawWorking[[#This Row],[Quantity]],"")</f>
        <v>224.37</v>
      </c>
    </row>
    <row r="2067" spans="1:14">
      <c r="A2067">
        <v>52066</v>
      </c>
      <c r="B2067">
        <v>31200</v>
      </c>
      <c r="C2067" s="2">
        <v>46016</v>
      </c>
      <c r="D2067">
        <v>2554</v>
      </c>
      <c r="E2067">
        <v>1013</v>
      </c>
      <c r="F2067">
        <v>3</v>
      </c>
      <c r="G2067">
        <v>510.75</v>
      </c>
      <c r="H2067" s="2">
        <v>46018</v>
      </c>
      <c r="I2067" s="2">
        <v>46023</v>
      </c>
      <c r="J2067" t="s">
        <v>9</v>
      </c>
      <c r="K2067" s="2" t="str">
        <f>IFERROR(INDEX(Product_lookup[Category],MATCH(RawWorking[[#This Row],[ProductID]],Product_lookup[ProductID],0)),"")</f>
        <v>Office</v>
      </c>
      <c r="L2067" s="9">
        <f>IF(OR(RawWorking[[#This Row],[ShipDate]]="",RawWorking[[#This Row],[DeliveryDate]]=""),"",RawWorking[[#This Row],[DeliveryDate]]-RawWorking[[#This Row],[ShipDate]])</f>
        <v>5</v>
      </c>
      <c r="M2067" s="9">
        <f>IF(COUNTIF(INDEX(RawWorking[OrderID],1):RawWorking[[#This Row],[OrderID]],RawWorking[[#This Row],[OrderID]])=1,1,0)</f>
        <v>1</v>
      </c>
      <c r="N2067" s="4">
        <f>IFERROR(RawWorking[[#This Row],[LineAmount]]/RawWorking[[#This Row],[Quantity]],"")</f>
        <v>170.25</v>
      </c>
    </row>
    <row r="2068" spans="1:14">
      <c r="A2068">
        <v>52067</v>
      </c>
      <c r="B2068">
        <v>31201</v>
      </c>
      <c r="C2068" s="2">
        <v>45990</v>
      </c>
      <c r="D2068">
        <v>2494</v>
      </c>
      <c r="E2068">
        <v>1012</v>
      </c>
      <c r="F2068">
        <v>1</v>
      </c>
      <c r="G2068">
        <v>241.54</v>
      </c>
      <c r="H2068" s="2">
        <v>45991</v>
      </c>
      <c r="I2068" s="2">
        <v>45992</v>
      </c>
      <c r="J2068" t="s">
        <v>9</v>
      </c>
      <c r="K2068" s="2" t="str">
        <f>IFERROR(INDEX(Product_lookup[Category],MATCH(RawWorking[[#This Row],[ProductID]],Product_lookup[ProductID],0)),"")</f>
        <v>Office</v>
      </c>
      <c r="L2068" s="9">
        <f>IF(OR(RawWorking[[#This Row],[ShipDate]]="",RawWorking[[#This Row],[DeliveryDate]]=""),"",RawWorking[[#This Row],[DeliveryDate]]-RawWorking[[#This Row],[ShipDate]])</f>
        <v>1</v>
      </c>
      <c r="M2068" s="9">
        <f>IF(COUNTIF(INDEX(RawWorking[OrderID],1):RawWorking[[#This Row],[OrderID]],RawWorking[[#This Row],[OrderID]])=1,1,0)</f>
        <v>1</v>
      </c>
      <c r="N2068" s="4">
        <f>IFERROR(RawWorking[[#This Row],[LineAmount]]/RawWorking[[#This Row],[Quantity]],"")</f>
        <v>241.54</v>
      </c>
    </row>
    <row r="2069" spans="1:14">
      <c r="A2069">
        <v>52068</v>
      </c>
      <c r="B2069">
        <v>31201</v>
      </c>
      <c r="C2069" s="2">
        <v>45990</v>
      </c>
      <c r="E2069">
        <v>1011</v>
      </c>
      <c r="F2069">
        <v>2</v>
      </c>
      <c r="G2069">
        <v>202.88</v>
      </c>
      <c r="H2069" s="2">
        <v>45992</v>
      </c>
      <c r="I2069" s="2">
        <v>45997</v>
      </c>
      <c r="J2069" t="s">
        <v>9</v>
      </c>
      <c r="K2069" s="2" t="str">
        <f>IFERROR(INDEX(Product_lookup[Category],MATCH(RawWorking[[#This Row],[ProductID]],Product_lookup[ProductID],0)),"")</f>
        <v>Office</v>
      </c>
      <c r="L2069" s="9">
        <f>IF(OR(RawWorking[[#This Row],[ShipDate]]="",RawWorking[[#This Row],[DeliveryDate]]=""),"",RawWorking[[#This Row],[DeliveryDate]]-RawWorking[[#This Row],[ShipDate]])</f>
        <v>5</v>
      </c>
      <c r="M2069" s="9">
        <f>IF(COUNTIF(INDEX(RawWorking[OrderID],1):RawWorking[[#This Row],[OrderID]],RawWorking[[#This Row],[OrderID]])=1,1,0)</f>
        <v>0</v>
      </c>
      <c r="N2069" s="4">
        <f>IFERROR(RawWorking[[#This Row],[LineAmount]]/RawWorking[[#This Row],[Quantity]],"")</f>
        <v>101.44</v>
      </c>
    </row>
    <row r="2070" spans="1:14">
      <c r="A2070">
        <v>52069</v>
      </c>
      <c r="B2070">
        <v>31202</v>
      </c>
      <c r="C2070" s="2">
        <v>45765</v>
      </c>
      <c r="D2070">
        <v>2311</v>
      </c>
      <c r="E2070">
        <v>1003</v>
      </c>
      <c r="F2070">
        <v>2</v>
      </c>
      <c r="G2070">
        <v>448.74</v>
      </c>
      <c r="H2070" s="2">
        <v>45768</v>
      </c>
      <c r="I2070" s="2">
        <v>45776</v>
      </c>
      <c r="J2070" t="s">
        <v>9</v>
      </c>
      <c r="K2070" s="2" t="str">
        <f>IFERROR(INDEX(Product_lookup[Category],MATCH(RawWorking[[#This Row],[ProductID]],Product_lookup[ProductID],0)),"")</f>
        <v>Electronics</v>
      </c>
      <c r="L2070" s="9">
        <f>IF(OR(RawWorking[[#This Row],[ShipDate]]="",RawWorking[[#This Row],[DeliveryDate]]=""),"",RawWorking[[#This Row],[DeliveryDate]]-RawWorking[[#This Row],[ShipDate]])</f>
        <v>8</v>
      </c>
      <c r="M2070" s="9">
        <f>IF(COUNTIF(INDEX(RawWorking[OrderID],1):RawWorking[[#This Row],[OrderID]],RawWorking[[#This Row],[OrderID]])=1,1,0)</f>
        <v>1</v>
      </c>
      <c r="N2070" s="4">
        <f>IFERROR(RawWorking[[#This Row],[LineAmount]]/RawWorking[[#This Row],[Quantity]],"")</f>
        <v>224.37</v>
      </c>
    </row>
    <row r="2071" spans="1:14">
      <c r="A2071">
        <v>52070</v>
      </c>
      <c r="B2071">
        <v>31203</v>
      </c>
      <c r="C2071" s="2">
        <v>45762</v>
      </c>
      <c r="D2071">
        <v>2375</v>
      </c>
      <c r="E2071">
        <v>1011</v>
      </c>
      <c r="F2071">
        <v>2</v>
      </c>
      <c r="G2071">
        <v>202.88</v>
      </c>
      <c r="H2071" s="2">
        <v>45765</v>
      </c>
      <c r="I2071" s="2">
        <v>45768</v>
      </c>
      <c r="J2071" t="s">
        <v>9</v>
      </c>
      <c r="K2071" s="2" t="str">
        <f>IFERROR(INDEX(Product_lookup[Category],MATCH(RawWorking[[#This Row],[ProductID]],Product_lookup[ProductID],0)),"")</f>
        <v>Office</v>
      </c>
      <c r="L2071" s="9">
        <f>IF(OR(RawWorking[[#This Row],[ShipDate]]="",RawWorking[[#This Row],[DeliveryDate]]=""),"",RawWorking[[#This Row],[DeliveryDate]]-RawWorking[[#This Row],[ShipDate]])</f>
        <v>3</v>
      </c>
      <c r="M2071" s="9">
        <f>IF(COUNTIF(INDEX(RawWorking[OrderID],1):RawWorking[[#This Row],[OrderID]],RawWorking[[#This Row],[OrderID]])=1,1,0)</f>
        <v>1</v>
      </c>
      <c r="N2071" s="4">
        <f>IFERROR(RawWorking[[#This Row],[LineAmount]]/RawWorking[[#This Row],[Quantity]],"")</f>
        <v>101.44</v>
      </c>
    </row>
    <row r="2072" spans="1:14">
      <c r="A2072">
        <v>52071</v>
      </c>
      <c r="B2072">
        <v>31203</v>
      </c>
      <c r="C2072" s="2">
        <v>45762</v>
      </c>
      <c r="D2072">
        <v>2375</v>
      </c>
      <c r="E2072">
        <v>1003</v>
      </c>
      <c r="F2072">
        <v>1</v>
      </c>
      <c r="G2072">
        <v>224.37</v>
      </c>
      <c r="H2072" s="2">
        <v>45763</v>
      </c>
      <c r="I2072" s="2">
        <v>45772</v>
      </c>
      <c r="J2072" t="s">
        <v>9</v>
      </c>
      <c r="K2072" s="2" t="str">
        <f>IFERROR(INDEX(Product_lookup[Category],MATCH(RawWorking[[#This Row],[ProductID]],Product_lookup[ProductID],0)),"")</f>
        <v>Electronics</v>
      </c>
      <c r="L2072" s="9">
        <f>IF(OR(RawWorking[[#This Row],[ShipDate]]="",RawWorking[[#This Row],[DeliveryDate]]=""),"",RawWorking[[#This Row],[DeliveryDate]]-RawWorking[[#This Row],[ShipDate]])</f>
        <v>9</v>
      </c>
      <c r="M2072" s="9">
        <f>IF(COUNTIF(INDEX(RawWorking[OrderID],1):RawWorking[[#This Row],[OrderID]],RawWorking[[#This Row],[OrderID]])=1,1,0)</f>
        <v>0</v>
      </c>
      <c r="N2072" s="4">
        <f>IFERROR(RawWorking[[#This Row],[LineAmount]]/RawWorking[[#This Row],[Quantity]],"")</f>
        <v>224.37</v>
      </c>
    </row>
    <row r="2073" spans="1:14">
      <c r="A2073">
        <v>52072</v>
      </c>
      <c r="B2073">
        <v>31204</v>
      </c>
      <c r="C2073" s="2">
        <v>46012</v>
      </c>
      <c r="D2073">
        <v>2471</v>
      </c>
      <c r="E2073">
        <v>1010</v>
      </c>
      <c r="F2073">
        <v>1</v>
      </c>
      <c r="G2073">
        <v>121.5</v>
      </c>
      <c r="H2073" s="2" t="s">
        <v>1421</v>
      </c>
      <c r="I2073" s="2" t="s">
        <v>1421</v>
      </c>
      <c r="J2073" t="s">
        <v>16</v>
      </c>
      <c r="K2073" s="2" t="str">
        <f>IFERROR(INDEX(Product_lookup[Category],MATCH(RawWorking[[#This Row],[ProductID]],Product_lookup[ProductID],0)),"")</f>
        <v>Office</v>
      </c>
      <c r="L2073" s="9" t="str">
        <f>IF(OR(RawWorking[[#This Row],[ShipDate]]="",RawWorking[[#This Row],[DeliveryDate]]=""),"",RawWorking[[#This Row],[DeliveryDate]]-RawWorking[[#This Row],[ShipDate]])</f>
        <v/>
      </c>
      <c r="M2073" s="9">
        <f>IF(COUNTIF(INDEX(RawWorking[OrderID],1):RawWorking[[#This Row],[OrderID]],RawWorking[[#This Row],[OrderID]])=1,1,0)</f>
        <v>1</v>
      </c>
      <c r="N2073" s="4">
        <f>IFERROR(RawWorking[[#This Row],[LineAmount]]/RawWorking[[#This Row],[Quantity]],"")</f>
        <v>121.5</v>
      </c>
    </row>
    <row r="2074" spans="1:14">
      <c r="A2074">
        <v>52073</v>
      </c>
      <c r="B2074">
        <v>31205</v>
      </c>
      <c r="C2074" s="2">
        <v>45879</v>
      </c>
      <c r="D2074">
        <v>2181</v>
      </c>
      <c r="E2074">
        <v>1013</v>
      </c>
      <c r="F2074">
        <v>2</v>
      </c>
      <c r="G2074">
        <v>340.5</v>
      </c>
      <c r="H2074" s="2">
        <v>45880</v>
      </c>
      <c r="I2074" s="2">
        <v>45887</v>
      </c>
      <c r="J2074" t="s">
        <v>9</v>
      </c>
      <c r="K2074" s="2" t="str">
        <f>IFERROR(INDEX(Product_lookup[Category],MATCH(RawWorking[[#This Row],[ProductID]],Product_lookup[ProductID],0)),"")</f>
        <v>Office</v>
      </c>
      <c r="L2074" s="9">
        <f>IF(OR(RawWorking[[#This Row],[ShipDate]]="",RawWorking[[#This Row],[DeliveryDate]]=""),"",RawWorking[[#This Row],[DeliveryDate]]-RawWorking[[#This Row],[ShipDate]])</f>
        <v>7</v>
      </c>
      <c r="M2074" s="9">
        <f>IF(COUNTIF(INDEX(RawWorking[OrderID],1):RawWorking[[#This Row],[OrderID]],RawWorking[[#This Row],[OrderID]])=1,1,0)</f>
        <v>1</v>
      </c>
      <c r="N2074" s="4">
        <f>IFERROR(RawWorking[[#This Row],[LineAmount]]/RawWorking[[#This Row],[Quantity]],"")</f>
        <v>170.25</v>
      </c>
    </row>
    <row r="2075" spans="1:14">
      <c r="A2075">
        <v>52074</v>
      </c>
      <c r="B2075">
        <v>31206</v>
      </c>
      <c r="C2075" s="2">
        <v>45789</v>
      </c>
      <c r="D2075">
        <v>2196</v>
      </c>
      <c r="E2075">
        <v>1013</v>
      </c>
      <c r="F2075">
        <v>2</v>
      </c>
      <c r="G2075">
        <v>340.5</v>
      </c>
      <c r="H2075" s="2">
        <v>45820</v>
      </c>
      <c r="I2075" s="2">
        <v>46004</v>
      </c>
      <c r="J2075" t="s">
        <v>9</v>
      </c>
      <c r="K2075" s="2" t="str">
        <f>IFERROR(INDEX(Product_lookup[Category],MATCH(RawWorking[[#This Row],[ProductID]],Product_lookup[ProductID],0)),"")</f>
        <v>Office</v>
      </c>
      <c r="L2075" s="9">
        <f>IF(OR(RawWorking[[#This Row],[ShipDate]]="",RawWorking[[#This Row],[DeliveryDate]]=""),"",RawWorking[[#This Row],[DeliveryDate]]-RawWorking[[#This Row],[ShipDate]])</f>
        <v>184</v>
      </c>
      <c r="M2075" s="9">
        <f>IF(COUNTIF(INDEX(RawWorking[OrderID],1):RawWorking[[#This Row],[OrderID]],RawWorking[[#This Row],[OrderID]])=1,1,0)</f>
        <v>1</v>
      </c>
      <c r="N2075" s="4">
        <f>IFERROR(RawWorking[[#This Row],[LineAmount]]/RawWorking[[#This Row],[Quantity]],"")</f>
        <v>170.25</v>
      </c>
    </row>
    <row r="2076" spans="1:14">
      <c r="A2076">
        <v>52075</v>
      </c>
      <c r="B2076">
        <v>31206</v>
      </c>
      <c r="C2076" s="2">
        <v>45996</v>
      </c>
      <c r="D2076">
        <v>2196</v>
      </c>
      <c r="E2076">
        <v>1004</v>
      </c>
      <c r="F2076">
        <v>1</v>
      </c>
      <c r="G2076">
        <v>183.74</v>
      </c>
      <c r="H2076" s="2">
        <v>45999</v>
      </c>
      <c r="I2076" s="2">
        <v>46006</v>
      </c>
      <c r="J2076" t="s">
        <v>9</v>
      </c>
      <c r="K2076" s="2" t="str">
        <f>IFERROR(INDEX(Product_lookup[Category],MATCH(RawWorking[[#This Row],[ProductID]],Product_lookup[ProductID],0)),"")</f>
        <v>Electronics</v>
      </c>
      <c r="L2076" s="9">
        <f>IF(OR(RawWorking[[#This Row],[ShipDate]]="",RawWorking[[#This Row],[DeliveryDate]]=""),"",RawWorking[[#This Row],[DeliveryDate]]-RawWorking[[#This Row],[ShipDate]])</f>
        <v>7</v>
      </c>
      <c r="M2076" s="9">
        <f>IF(COUNTIF(INDEX(RawWorking[OrderID],1):RawWorking[[#This Row],[OrderID]],RawWorking[[#This Row],[OrderID]])=1,1,0)</f>
        <v>0</v>
      </c>
      <c r="N2076" s="4">
        <f>IFERROR(RawWorking[[#This Row],[LineAmount]]/RawWorking[[#This Row],[Quantity]],"")</f>
        <v>183.74</v>
      </c>
    </row>
    <row r="2077" spans="1:14">
      <c r="A2077">
        <v>52076</v>
      </c>
      <c r="B2077">
        <v>31207</v>
      </c>
      <c r="C2077" s="2">
        <v>45768</v>
      </c>
      <c r="D2077">
        <v>2368</v>
      </c>
      <c r="E2077">
        <v>1015</v>
      </c>
      <c r="F2077">
        <v>1</v>
      </c>
      <c r="G2077">
        <v>119.74</v>
      </c>
      <c r="H2077" s="2">
        <v>45771</v>
      </c>
      <c r="I2077" s="2">
        <v>45776</v>
      </c>
      <c r="J2077" t="s">
        <v>9</v>
      </c>
      <c r="K2077" s="2" t="str">
        <f>IFERROR(INDEX(Product_lookup[Category],MATCH(RawWorking[[#This Row],[ProductID]],Product_lookup[ProductID],0)),"")</f>
        <v>Sports</v>
      </c>
      <c r="L2077" s="9">
        <f>IF(OR(RawWorking[[#This Row],[ShipDate]]="",RawWorking[[#This Row],[DeliveryDate]]=""),"",RawWorking[[#This Row],[DeliveryDate]]-RawWorking[[#This Row],[ShipDate]])</f>
        <v>5</v>
      </c>
      <c r="M2077" s="9">
        <f>IF(COUNTIF(INDEX(RawWorking[OrderID],1):RawWorking[[#This Row],[OrderID]],RawWorking[[#This Row],[OrderID]])=1,1,0)</f>
        <v>1</v>
      </c>
      <c r="N2077" s="4">
        <f>IFERROR(RawWorking[[#This Row],[LineAmount]]/RawWorking[[#This Row],[Quantity]],"")</f>
        <v>119.74</v>
      </c>
    </row>
    <row r="2078" spans="1:14">
      <c r="A2078">
        <v>52077</v>
      </c>
      <c r="B2078">
        <v>31208</v>
      </c>
      <c r="C2078" s="2">
        <v>45712</v>
      </c>
      <c r="D2078">
        <v>2195</v>
      </c>
      <c r="E2078">
        <v>1007</v>
      </c>
      <c r="F2078">
        <v>2</v>
      </c>
      <c r="G2078">
        <v>399.62</v>
      </c>
      <c r="H2078" s="2">
        <v>45713</v>
      </c>
      <c r="I2078" s="2">
        <v>45719</v>
      </c>
      <c r="J2078" t="s">
        <v>9</v>
      </c>
      <c r="K2078" s="2" t="str">
        <f>IFERROR(INDEX(Product_lookup[Category],MATCH(RawWorking[[#This Row],[ProductID]],Product_lookup[ProductID],0)),"")</f>
        <v>Home</v>
      </c>
      <c r="L2078" s="9">
        <f>IF(OR(RawWorking[[#This Row],[ShipDate]]="",RawWorking[[#This Row],[DeliveryDate]]=""),"",RawWorking[[#This Row],[DeliveryDate]]-RawWorking[[#This Row],[ShipDate]])</f>
        <v>6</v>
      </c>
      <c r="M2078" s="9">
        <f>IF(COUNTIF(INDEX(RawWorking[OrderID],1):RawWorking[[#This Row],[OrderID]],RawWorking[[#This Row],[OrderID]])=1,1,0)</f>
        <v>1</v>
      </c>
      <c r="N2078" s="4">
        <f>IFERROR(RawWorking[[#This Row],[LineAmount]]/RawWorking[[#This Row],[Quantity]],"")</f>
        <v>199.81</v>
      </c>
    </row>
    <row r="2079" spans="1:14">
      <c r="A2079">
        <v>52078</v>
      </c>
      <c r="B2079">
        <v>31209</v>
      </c>
      <c r="C2079" s="2">
        <v>45753</v>
      </c>
      <c r="D2079">
        <v>2026</v>
      </c>
      <c r="E2079">
        <v>1008</v>
      </c>
      <c r="F2079">
        <v>1</v>
      </c>
      <c r="G2079">
        <v>206.09</v>
      </c>
      <c r="H2079" s="2">
        <v>45754</v>
      </c>
      <c r="I2079" s="2">
        <v>45760</v>
      </c>
      <c r="J2079" t="s">
        <v>9</v>
      </c>
      <c r="K2079" s="2" t="str">
        <f>IFERROR(INDEX(Product_lookup[Category],MATCH(RawWorking[[#This Row],[ProductID]],Product_lookup[ProductID],0)),"")</f>
        <v>Home</v>
      </c>
      <c r="L2079" s="9">
        <f>IF(OR(RawWorking[[#This Row],[ShipDate]]="",RawWorking[[#This Row],[DeliveryDate]]=""),"",RawWorking[[#This Row],[DeliveryDate]]-RawWorking[[#This Row],[ShipDate]])</f>
        <v>6</v>
      </c>
      <c r="M2079" s="9">
        <f>IF(COUNTIF(INDEX(RawWorking[OrderID],1):RawWorking[[#This Row],[OrderID]],RawWorking[[#This Row],[OrderID]])=1,1,0)</f>
        <v>1</v>
      </c>
      <c r="N2079" s="4">
        <f>IFERROR(RawWorking[[#This Row],[LineAmount]]/RawWorking[[#This Row],[Quantity]],"")</f>
        <v>206.09</v>
      </c>
    </row>
    <row r="2080" spans="1:14">
      <c r="A2080">
        <v>52079</v>
      </c>
      <c r="B2080">
        <v>31209</v>
      </c>
      <c r="C2080" s="2">
        <v>45753</v>
      </c>
      <c r="D2080">
        <v>2026</v>
      </c>
      <c r="E2080">
        <v>1016</v>
      </c>
      <c r="F2080">
        <v>1</v>
      </c>
      <c r="G2080">
        <v>65.260000000000005</v>
      </c>
      <c r="H2080" s="2">
        <v>45754</v>
      </c>
      <c r="I2080" s="2">
        <v>45762</v>
      </c>
      <c r="J2080" t="s">
        <v>9</v>
      </c>
      <c r="K2080" s="2" t="str">
        <f>IFERROR(INDEX(Product_lookup[Category],MATCH(RawWorking[[#This Row],[ProductID]],Product_lookup[ProductID],0)),"")</f>
        <v>Sports</v>
      </c>
      <c r="L2080" s="9">
        <f>IF(OR(RawWorking[[#This Row],[ShipDate]]="",RawWorking[[#This Row],[DeliveryDate]]=""),"",RawWorking[[#This Row],[DeliveryDate]]-RawWorking[[#This Row],[ShipDate]])</f>
        <v>8</v>
      </c>
      <c r="M2080" s="9">
        <f>IF(COUNTIF(INDEX(RawWorking[OrderID],1):RawWorking[[#This Row],[OrderID]],RawWorking[[#This Row],[OrderID]])=1,1,0)</f>
        <v>0</v>
      </c>
      <c r="N2080" s="4">
        <f>IFERROR(RawWorking[[#This Row],[LineAmount]]/RawWorking[[#This Row],[Quantity]],"")</f>
        <v>65.260000000000005</v>
      </c>
    </row>
    <row r="2081" spans="1:14">
      <c r="A2081">
        <v>52080</v>
      </c>
      <c r="B2081">
        <v>31210</v>
      </c>
      <c r="C2081" s="2">
        <v>45888</v>
      </c>
      <c r="D2081">
        <v>2399</v>
      </c>
      <c r="E2081">
        <v>1010</v>
      </c>
      <c r="F2081">
        <v>2</v>
      </c>
      <c r="G2081">
        <v>243</v>
      </c>
      <c r="H2081" s="2">
        <v>45891</v>
      </c>
      <c r="I2081" s="2">
        <v>45900</v>
      </c>
      <c r="J2081" t="s">
        <v>9</v>
      </c>
      <c r="K2081" s="2" t="str">
        <f>IFERROR(INDEX(Product_lookup[Category],MATCH(RawWorking[[#This Row],[ProductID]],Product_lookup[ProductID],0)),"")</f>
        <v>Office</v>
      </c>
      <c r="L2081" s="9">
        <f>IF(OR(RawWorking[[#This Row],[ShipDate]]="",RawWorking[[#This Row],[DeliveryDate]]=""),"",RawWorking[[#This Row],[DeliveryDate]]-RawWorking[[#This Row],[ShipDate]])</f>
        <v>9</v>
      </c>
      <c r="M2081" s="9">
        <f>IF(COUNTIF(INDEX(RawWorking[OrderID],1):RawWorking[[#This Row],[OrderID]],RawWorking[[#This Row],[OrderID]])=1,1,0)</f>
        <v>1</v>
      </c>
      <c r="N2081" s="4">
        <f>IFERROR(RawWorking[[#This Row],[LineAmount]]/RawWorking[[#This Row],[Quantity]],"")</f>
        <v>121.5</v>
      </c>
    </row>
    <row r="2082" spans="1:14">
      <c r="A2082">
        <v>52081</v>
      </c>
      <c r="B2082">
        <v>31211</v>
      </c>
      <c r="C2082" s="2">
        <v>45741</v>
      </c>
      <c r="D2082">
        <v>2512</v>
      </c>
      <c r="E2082">
        <v>1015</v>
      </c>
      <c r="F2082">
        <v>1</v>
      </c>
      <c r="G2082">
        <v>119.74</v>
      </c>
      <c r="H2082" s="2">
        <v>45744</v>
      </c>
      <c r="I2082" s="2">
        <v>45749</v>
      </c>
      <c r="J2082" t="s">
        <v>9</v>
      </c>
      <c r="K2082" s="2" t="str">
        <f>IFERROR(INDEX(Product_lookup[Category],MATCH(RawWorking[[#This Row],[ProductID]],Product_lookup[ProductID],0)),"")</f>
        <v>Sports</v>
      </c>
      <c r="L2082" s="9">
        <f>IF(OR(RawWorking[[#This Row],[ShipDate]]="",RawWorking[[#This Row],[DeliveryDate]]=""),"",RawWorking[[#This Row],[DeliveryDate]]-RawWorking[[#This Row],[ShipDate]])</f>
        <v>5</v>
      </c>
      <c r="M2082" s="9">
        <f>IF(COUNTIF(INDEX(RawWorking[OrderID],1):RawWorking[[#This Row],[OrderID]],RawWorking[[#This Row],[OrderID]])=1,1,0)</f>
        <v>1</v>
      </c>
      <c r="N2082" s="4">
        <f>IFERROR(RawWorking[[#This Row],[LineAmount]]/RawWorking[[#This Row],[Quantity]],"")</f>
        <v>119.74</v>
      </c>
    </row>
    <row r="2083" spans="1:14">
      <c r="A2083">
        <v>52082</v>
      </c>
      <c r="B2083">
        <v>31211</v>
      </c>
      <c r="C2083" s="2">
        <v>45741</v>
      </c>
      <c r="D2083">
        <v>2512</v>
      </c>
      <c r="E2083">
        <v>1001</v>
      </c>
      <c r="F2083">
        <v>1</v>
      </c>
      <c r="G2083">
        <v>203.04</v>
      </c>
      <c r="H2083" s="2">
        <v>45744</v>
      </c>
      <c r="I2083" s="2">
        <v>45812</v>
      </c>
      <c r="J2083" t="s">
        <v>9</v>
      </c>
      <c r="K2083" s="2" t="str">
        <f>IFERROR(INDEX(Product_lookup[Category],MATCH(RawWorking[[#This Row],[ProductID]],Product_lookup[ProductID],0)),"")</f>
        <v>Electronics</v>
      </c>
      <c r="L2083" s="9">
        <f>IF(OR(RawWorking[[#This Row],[ShipDate]]="",RawWorking[[#This Row],[DeliveryDate]]=""),"",RawWorking[[#This Row],[DeliveryDate]]-RawWorking[[#This Row],[ShipDate]])</f>
        <v>68</v>
      </c>
      <c r="M2083" s="9">
        <f>IF(COUNTIF(INDEX(RawWorking[OrderID],1):RawWorking[[#This Row],[OrderID]],RawWorking[[#This Row],[OrderID]])=1,1,0)</f>
        <v>0</v>
      </c>
      <c r="N2083" s="4">
        <f>IFERROR(RawWorking[[#This Row],[LineAmount]]/RawWorking[[#This Row],[Quantity]],"")</f>
        <v>203.04</v>
      </c>
    </row>
    <row r="2084" spans="1:14">
      <c r="A2084">
        <v>52083</v>
      </c>
      <c r="B2084">
        <v>31212</v>
      </c>
      <c r="C2084" s="2">
        <v>45705</v>
      </c>
      <c r="D2084">
        <v>2038</v>
      </c>
      <c r="E2084">
        <v>1011</v>
      </c>
      <c r="F2084">
        <v>1</v>
      </c>
      <c r="G2084">
        <v>101.44</v>
      </c>
      <c r="H2084" s="2">
        <v>45707</v>
      </c>
      <c r="I2084" s="2">
        <v>45711</v>
      </c>
      <c r="J2084" t="s">
        <v>9</v>
      </c>
      <c r="K2084" s="2" t="str">
        <f>IFERROR(INDEX(Product_lookup[Category],MATCH(RawWorking[[#This Row],[ProductID]],Product_lookup[ProductID],0)),"")</f>
        <v>Office</v>
      </c>
      <c r="L2084" s="9">
        <f>IF(OR(RawWorking[[#This Row],[ShipDate]]="",RawWorking[[#This Row],[DeliveryDate]]=""),"",RawWorking[[#This Row],[DeliveryDate]]-RawWorking[[#This Row],[ShipDate]])</f>
        <v>4</v>
      </c>
      <c r="M2084" s="9">
        <f>IF(COUNTIF(INDEX(RawWorking[OrderID],1):RawWorking[[#This Row],[OrderID]],RawWorking[[#This Row],[OrderID]])=1,1,0)</f>
        <v>1</v>
      </c>
      <c r="N2084" s="4">
        <f>IFERROR(RawWorking[[#This Row],[LineAmount]]/RawWorking[[#This Row],[Quantity]],"")</f>
        <v>101.44</v>
      </c>
    </row>
    <row r="2085" spans="1:14">
      <c r="A2085">
        <v>52084</v>
      </c>
      <c r="B2085">
        <v>31212</v>
      </c>
      <c r="C2085" s="2">
        <v>45705</v>
      </c>
      <c r="D2085">
        <v>2038</v>
      </c>
      <c r="E2085">
        <v>1002</v>
      </c>
      <c r="F2085">
        <v>1</v>
      </c>
      <c r="G2085">
        <v>118.6</v>
      </c>
      <c r="H2085" s="2">
        <v>45706</v>
      </c>
      <c r="I2085" s="2">
        <v>45714</v>
      </c>
      <c r="J2085" t="s">
        <v>9</v>
      </c>
      <c r="K2085" s="2" t="str">
        <f>IFERROR(INDEX(Product_lookup[Category],MATCH(RawWorking[[#This Row],[ProductID]],Product_lookup[ProductID],0)),"")</f>
        <v>Electronics</v>
      </c>
      <c r="L2085" s="9">
        <f>IF(OR(RawWorking[[#This Row],[ShipDate]]="",RawWorking[[#This Row],[DeliveryDate]]=""),"",RawWorking[[#This Row],[DeliveryDate]]-RawWorking[[#This Row],[ShipDate]])</f>
        <v>8</v>
      </c>
      <c r="M2085" s="9">
        <f>IF(COUNTIF(INDEX(RawWorking[OrderID],1):RawWorking[[#This Row],[OrderID]],RawWorking[[#This Row],[OrderID]])=1,1,0)</f>
        <v>0</v>
      </c>
      <c r="N2085" s="4">
        <f>IFERROR(RawWorking[[#This Row],[LineAmount]]/RawWorking[[#This Row],[Quantity]],"")</f>
        <v>118.6</v>
      </c>
    </row>
    <row r="2086" spans="1:14">
      <c r="A2086">
        <v>52085</v>
      </c>
      <c r="B2086">
        <v>31213</v>
      </c>
      <c r="C2086" s="2">
        <v>45990</v>
      </c>
      <c r="D2086">
        <v>2416</v>
      </c>
      <c r="E2086">
        <v>1015</v>
      </c>
      <c r="F2086">
        <v>1</v>
      </c>
      <c r="G2086">
        <v>119.74</v>
      </c>
      <c r="H2086" s="2">
        <v>45993</v>
      </c>
      <c r="I2086" s="2">
        <v>46001</v>
      </c>
      <c r="J2086" t="s">
        <v>9</v>
      </c>
      <c r="K2086" s="2" t="str">
        <f>IFERROR(INDEX(Product_lookup[Category],MATCH(RawWorking[[#This Row],[ProductID]],Product_lookup[ProductID],0)),"")</f>
        <v>Sports</v>
      </c>
      <c r="L2086" s="9">
        <f>IF(OR(RawWorking[[#This Row],[ShipDate]]="",RawWorking[[#This Row],[DeliveryDate]]=""),"",RawWorking[[#This Row],[DeliveryDate]]-RawWorking[[#This Row],[ShipDate]])</f>
        <v>8</v>
      </c>
      <c r="M2086" s="9">
        <f>IF(COUNTIF(INDEX(RawWorking[OrderID],1):RawWorking[[#This Row],[OrderID]],RawWorking[[#This Row],[OrderID]])=1,1,0)</f>
        <v>1</v>
      </c>
      <c r="N2086" s="4">
        <f>IFERROR(RawWorking[[#This Row],[LineAmount]]/RawWorking[[#This Row],[Quantity]],"")</f>
        <v>119.74</v>
      </c>
    </row>
    <row r="2087" spans="1:14">
      <c r="A2087">
        <v>52086</v>
      </c>
      <c r="B2087">
        <v>31213</v>
      </c>
      <c r="C2087" s="2">
        <v>45990</v>
      </c>
      <c r="D2087">
        <v>2416</v>
      </c>
      <c r="E2087">
        <v>1005</v>
      </c>
      <c r="F2087">
        <v>1</v>
      </c>
      <c r="G2087">
        <v>31.73</v>
      </c>
      <c r="H2087" s="2">
        <v>45992</v>
      </c>
      <c r="I2087" s="2">
        <v>45993</v>
      </c>
      <c r="J2087" t="s">
        <v>9</v>
      </c>
      <c r="K2087" s="2" t="str">
        <f>IFERROR(INDEX(Product_lookup[Category],MATCH(RawWorking[[#This Row],[ProductID]],Product_lookup[ProductID],0)),"")</f>
        <v>Electronics</v>
      </c>
      <c r="L2087" s="9">
        <f>IF(OR(RawWorking[[#This Row],[ShipDate]]="",RawWorking[[#This Row],[DeliveryDate]]=""),"",RawWorking[[#This Row],[DeliveryDate]]-RawWorking[[#This Row],[ShipDate]])</f>
        <v>1</v>
      </c>
      <c r="M2087" s="9">
        <f>IF(COUNTIF(INDEX(RawWorking[OrderID],1):RawWorking[[#This Row],[OrderID]],RawWorking[[#This Row],[OrderID]])=1,1,0)</f>
        <v>0</v>
      </c>
      <c r="N2087" s="4">
        <f>IFERROR(RawWorking[[#This Row],[LineAmount]]/RawWorking[[#This Row],[Quantity]],"")</f>
        <v>31.73</v>
      </c>
    </row>
    <row r="2088" spans="1:14">
      <c r="A2088">
        <v>52087</v>
      </c>
      <c r="B2088">
        <v>31214</v>
      </c>
      <c r="C2088" s="2">
        <v>45764</v>
      </c>
      <c r="D2088">
        <v>2594</v>
      </c>
      <c r="E2088">
        <v>1003</v>
      </c>
      <c r="F2088">
        <v>1</v>
      </c>
      <c r="G2088">
        <v>224.37</v>
      </c>
      <c r="H2088" s="2">
        <v>45766</v>
      </c>
      <c r="I2088" s="2">
        <v>45776</v>
      </c>
      <c r="J2088" t="s">
        <v>9</v>
      </c>
      <c r="K2088" s="2" t="str">
        <f>IFERROR(INDEX(Product_lookup[Category],MATCH(RawWorking[[#This Row],[ProductID]],Product_lookup[ProductID],0)),"")</f>
        <v>Electronics</v>
      </c>
      <c r="L2088" s="9">
        <f>IF(OR(RawWorking[[#This Row],[ShipDate]]="",RawWorking[[#This Row],[DeliveryDate]]=""),"",RawWorking[[#This Row],[DeliveryDate]]-RawWorking[[#This Row],[ShipDate]])</f>
        <v>10</v>
      </c>
      <c r="M2088" s="9">
        <f>IF(COUNTIF(INDEX(RawWorking[OrderID],1):RawWorking[[#This Row],[OrderID]],RawWorking[[#This Row],[OrderID]])=1,1,0)</f>
        <v>1</v>
      </c>
      <c r="N2088" s="4">
        <f>IFERROR(RawWorking[[#This Row],[LineAmount]]/RawWorking[[#This Row],[Quantity]],"")</f>
        <v>224.37</v>
      </c>
    </row>
    <row r="2089" spans="1:14">
      <c r="A2089">
        <v>52088</v>
      </c>
      <c r="B2089">
        <v>31215</v>
      </c>
      <c r="C2089" s="2">
        <v>45912</v>
      </c>
      <c r="D2089">
        <v>2038</v>
      </c>
      <c r="E2089">
        <v>1016</v>
      </c>
      <c r="F2089">
        <v>3</v>
      </c>
      <c r="G2089">
        <v>195.78</v>
      </c>
      <c r="H2089" s="2">
        <v>45914</v>
      </c>
      <c r="I2089" s="2">
        <v>45921</v>
      </c>
      <c r="J2089" t="s">
        <v>9</v>
      </c>
      <c r="K2089" s="2" t="str">
        <f>IFERROR(INDEX(Product_lookup[Category],MATCH(RawWorking[[#This Row],[ProductID]],Product_lookup[ProductID],0)),"")</f>
        <v>Sports</v>
      </c>
      <c r="L2089" s="9">
        <f>IF(OR(RawWorking[[#This Row],[ShipDate]]="",RawWorking[[#This Row],[DeliveryDate]]=""),"",RawWorking[[#This Row],[DeliveryDate]]-RawWorking[[#This Row],[ShipDate]])</f>
        <v>7</v>
      </c>
      <c r="M2089" s="9">
        <f>IF(COUNTIF(INDEX(RawWorking[OrderID],1):RawWorking[[#This Row],[OrderID]],RawWorking[[#This Row],[OrderID]])=1,1,0)</f>
        <v>1</v>
      </c>
      <c r="N2089" s="4">
        <f>IFERROR(RawWorking[[#This Row],[LineAmount]]/RawWorking[[#This Row],[Quantity]],"")</f>
        <v>65.260000000000005</v>
      </c>
    </row>
    <row r="2090" spans="1:14">
      <c r="A2090">
        <v>52089</v>
      </c>
      <c r="B2090">
        <v>31216</v>
      </c>
      <c r="C2090" s="2">
        <v>45910</v>
      </c>
      <c r="D2090">
        <v>2020</v>
      </c>
      <c r="E2090">
        <v>1002</v>
      </c>
      <c r="F2090">
        <v>3</v>
      </c>
      <c r="G2090">
        <v>355.8</v>
      </c>
      <c r="H2090" s="2">
        <v>45913</v>
      </c>
      <c r="I2090" s="2">
        <v>45920</v>
      </c>
      <c r="J2090" t="s">
        <v>9</v>
      </c>
      <c r="K2090" s="2" t="str">
        <f>IFERROR(INDEX(Product_lookup[Category],MATCH(RawWorking[[#This Row],[ProductID]],Product_lookup[ProductID],0)),"")</f>
        <v>Electronics</v>
      </c>
      <c r="L2090" s="9">
        <f>IF(OR(RawWorking[[#This Row],[ShipDate]]="",RawWorking[[#This Row],[DeliveryDate]]=""),"",RawWorking[[#This Row],[DeliveryDate]]-RawWorking[[#This Row],[ShipDate]])</f>
        <v>7</v>
      </c>
      <c r="M2090" s="9">
        <f>IF(COUNTIF(INDEX(RawWorking[OrderID],1):RawWorking[[#This Row],[OrderID]],RawWorking[[#This Row],[OrderID]])=1,1,0)</f>
        <v>1</v>
      </c>
      <c r="N2090" s="4">
        <f>IFERROR(RawWorking[[#This Row],[LineAmount]]/RawWorking[[#This Row],[Quantity]],"")</f>
        <v>118.60000000000001</v>
      </c>
    </row>
    <row r="2091" spans="1:14">
      <c r="A2091">
        <v>52090</v>
      </c>
      <c r="B2091">
        <v>31216</v>
      </c>
      <c r="C2091" s="2">
        <v>45910</v>
      </c>
      <c r="D2091">
        <v>2020</v>
      </c>
      <c r="E2091">
        <v>1008</v>
      </c>
      <c r="F2091">
        <v>1</v>
      </c>
      <c r="G2091">
        <v>206.09</v>
      </c>
      <c r="H2091" s="2">
        <v>45912</v>
      </c>
      <c r="I2091" s="2">
        <v>45915</v>
      </c>
      <c r="J2091" t="s">
        <v>9</v>
      </c>
      <c r="K2091" s="2" t="str">
        <f>IFERROR(INDEX(Product_lookup[Category],MATCH(RawWorking[[#This Row],[ProductID]],Product_lookup[ProductID],0)),"")</f>
        <v>Home</v>
      </c>
      <c r="L2091" s="9">
        <f>IF(OR(RawWorking[[#This Row],[ShipDate]]="",RawWorking[[#This Row],[DeliveryDate]]=""),"",RawWorking[[#This Row],[DeliveryDate]]-RawWorking[[#This Row],[ShipDate]])</f>
        <v>3</v>
      </c>
      <c r="M2091" s="9">
        <f>IF(COUNTIF(INDEX(RawWorking[OrderID],1):RawWorking[[#This Row],[OrderID]],RawWorking[[#This Row],[OrderID]])=1,1,0)</f>
        <v>0</v>
      </c>
      <c r="N2091" s="4">
        <f>IFERROR(RawWorking[[#This Row],[LineAmount]]/RawWorking[[#This Row],[Quantity]],"")</f>
        <v>206.09</v>
      </c>
    </row>
    <row r="2092" spans="1:14">
      <c r="A2092">
        <v>52091</v>
      </c>
      <c r="B2092">
        <v>31217</v>
      </c>
      <c r="C2092" s="2">
        <v>45846</v>
      </c>
      <c r="D2092">
        <v>2134</v>
      </c>
      <c r="E2092">
        <v>1002</v>
      </c>
      <c r="F2092">
        <v>1</v>
      </c>
      <c r="G2092">
        <v>118.6</v>
      </c>
      <c r="H2092" s="2">
        <v>45849</v>
      </c>
      <c r="I2092" s="2">
        <v>45855</v>
      </c>
      <c r="J2092" t="s">
        <v>9</v>
      </c>
      <c r="K2092" s="2" t="str">
        <f>IFERROR(INDEX(Product_lookup[Category],MATCH(RawWorking[[#This Row],[ProductID]],Product_lookup[ProductID],0)),"")</f>
        <v>Electronics</v>
      </c>
      <c r="L2092" s="9">
        <f>IF(OR(RawWorking[[#This Row],[ShipDate]]="",RawWorking[[#This Row],[DeliveryDate]]=""),"",RawWorking[[#This Row],[DeliveryDate]]-RawWorking[[#This Row],[ShipDate]])</f>
        <v>6</v>
      </c>
      <c r="M2092" s="9">
        <f>IF(COUNTIF(INDEX(RawWorking[OrderID],1):RawWorking[[#This Row],[OrderID]],RawWorking[[#This Row],[OrderID]])=1,1,0)</f>
        <v>1</v>
      </c>
      <c r="N2092" s="4">
        <f>IFERROR(RawWorking[[#This Row],[LineAmount]]/RawWorking[[#This Row],[Quantity]],"")</f>
        <v>118.6</v>
      </c>
    </row>
    <row r="2093" spans="1:14">
      <c r="A2093">
        <v>52092</v>
      </c>
      <c r="B2093">
        <v>31217</v>
      </c>
      <c r="C2093" s="2">
        <v>45846</v>
      </c>
      <c r="D2093">
        <v>2134</v>
      </c>
      <c r="E2093">
        <v>1010</v>
      </c>
      <c r="F2093">
        <v>2</v>
      </c>
      <c r="G2093">
        <v>243</v>
      </c>
      <c r="H2093" s="2">
        <v>45848</v>
      </c>
      <c r="I2093" s="2">
        <v>45852</v>
      </c>
      <c r="J2093" t="s">
        <v>9</v>
      </c>
      <c r="K2093" s="2" t="str">
        <f>IFERROR(INDEX(Product_lookup[Category],MATCH(RawWorking[[#This Row],[ProductID]],Product_lookup[ProductID],0)),"")</f>
        <v>Office</v>
      </c>
      <c r="L2093" s="9">
        <f>IF(OR(RawWorking[[#This Row],[ShipDate]]="",RawWorking[[#This Row],[DeliveryDate]]=""),"",RawWorking[[#This Row],[DeliveryDate]]-RawWorking[[#This Row],[ShipDate]])</f>
        <v>4</v>
      </c>
      <c r="M2093" s="9">
        <f>IF(COUNTIF(INDEX(RawWorking[OrderID],1):RawWorking[[#This Row],[OrderID]],RawWorking[[#This Row],[OrderID]])=1,1,0)</f>
        <v>0</v>
      </c>
      <c r="N2093" s="4">
        <f>IFERROR(RawWorking[[#This Row],[LineAmount]]/RawWorking[[#This Row],[Quantity]],"")</f>
        <v>121.5</v>
      </c>
    </row>
    <row r="2094" spans="1:14">
      <c r="A2094">
        <v>52093</v>
      </c>
      <c r="B2094">
        <v>31217</v>
      </c>
      <c r="C2094" s="2">
        <v>45846</v>
      </c>
      <c r="D2094">
        <v>2134</v>
      </c>
      <c r="E2094">
        <v>1004</v>
      </c>
      <c r="F2094">
        <v>3</v>
      </c>
      <c r="G2094">
        <v>551.22</v>
      </c>
      <c r="H2094" s="2">
        <v>45848</v>
      </c>
      <c r="I2094" s="2">
        <v>45852</v>
      </c>
      <c r="J2094" t="s">
        <v>9</v>
      </c>
      <c r="K2094" s="2" t="str">
        <f>IFERROR(INDEX(Product_lookup[Category],MATCH(RawWorking[[#This Row],[ProductID]],Product_lookup[ProductID],0)),"")</f>
        <v>Electronics</v>
      </c>
      <c r="L2094" s="9">
        <f>IF(OR(RawWorking[[#This Row],[ShipDate]]="",RawWorking[[#This Row],[DeliveryDate]]=""),"",RawWorking[[#This Row],[DeliveryDate]]-RawWorking[[#This Row],[ShipDate]])</f>
        <v>4</v>
      </c>
      <c r="M2094" s="9">
        <f>IF(COUNTIF(INDEX(RawWorking[OrderID],1):RawWorking[[#This Row],[OrderID]],RawWorking[[#This Row],[OrderID]])=1,1,0)</f>
        <v>0</v>
      </c>
      <c r="N2094" s="4">
        <f>IFERROR(RawWorking[[#This Row],[LineAmount]]/RawWorking[[#This Row],[Quantity]],"")</f>
        <v>183.74</v>
      </c>
    </row>
    <row r="2095" spans="1:14">
      <c r="A2095">
        <v>52094</v>
      </c>
      <c r="B2095">
        <v>31218</v>
      </c>
      <c r="C2095" s="2">
        <v>45973</v>
      </c>
      <c r="D2095">
        <v>2468</v>
      </c>
      <c r="E2095">
        <v>1003</v>
      </c>
      <c r="F2095">
        <v>1</v>
      </c>
      <c r="G2095">
        <v>224.37</v>
      </c>
      <c r="H2095" s="2">
        <v>45974</v>
      </c>
      <c r="I2095" s="2">
        <v>45983</v>
      </c>
      <c r="J2095" t="s">
        <v>9</v>
      </c>
      <c r="K2095" s="2" t="str">
        <f>IFERROR(INDEX(Product_lookup[Category],MATCH(RawWorking[[#This Row],[ProductID]],Product_lookup[ProductID],0)),"")</f>
        <v>Electronics</v>
      </c>
      <c r="L2095" s="9">
        <f>IF(OR(RawWorking[[#This Row],[ShipDate]]="",RawWorking[[#This Row],[DeliveryDate]]=""),"",RawWorking[[#This Row],[DeliveryDate]]-RawWorking[[#This Row],[ShipDate]])</f>
        <v>9</v>
      </c>
      <c r="M2095" s="9">
        <f>IF(COUNTIF(INDEX(RawWorking[OrderID],1):RawWorking[[#This Row],[OrderID]],RawWorking[[#This Row],[OrderID]])=1,1,0)</f>
        <v>1</v>
      </c>
      <c r="N2095" s="4">
        <f>IFERROR(RawWorking[[#This Row],[LineAmount]]/RawWorking[[#This Row],[Quantity]],"")</f>
        <v>224.37</v>
      </c>
    </row>
    <row r="2096" spans="1:14">
      <c r="A2096">
        <v>52095</v>
      </c>
      <c r="B2096">
        <v>31218</v>
      </c>
      <c r="C2096" s="2">
        <v>45973</v>
      </c>
      <c r="D2096">
        <v>2468</v>
      </c>
      <c r="E2096">
        <v>1004</v>
      </c>
      <c r="F2096">
        <v>1</v>
      </c>
      <c r="G2096">
        <v>183.74</v>
      </c>
      <c r="H2096" s="2">
        <v>45974</v>
      </c>
      <c r="I2096" s="2">
        <v>45981</v>
      </c>
      <c r="J2096" t="s">
        <v>9</v>
      </c>
      <c r="K2096" s="2" t="str">
        <f>IFERROR(INDEX(Product_lookup[Category],MATCH(RawWorking[[#This Row],[ProductID]],Product_lookup[ProductID],0)),"")</f>
        <v>Electronics</v>
      </c>
      <c r="L2096" s="9">
        <f>IF(OR(RawWorking[[#This Row],[ShipDate]]="",RawWorking[[#This Row],[DeliveryDate]]=""),"",RawWorking[[#This Row],[DeliveryDate]]-RawWorking[[#This Row],[ShipDate]])</f>
        <v>7</v>
      </c>
      <c r="M2096" s="9">
        <f>IF(COUNTIF(INDEX(RawWorking[OrderID],1):RawWorking[[#This Row],[OrderID]],RawWorking[[#This Row],[OrderID]])=1,1,0)</f>
        <v>0</v>
      </c>
      <c r="N2096" s="4">
        <f>IFERROR(RawWorking[[#This Row],[LineAmount]]/RawWorking[[#This Row],[Quantity]],"")</f>
        <v>183.74</v>
      </c>
    </row>
    <row r="2097" spans="1:14">
      <c r="A2097">
        <v>52096</v>
      </c>
      <c r="B2097">
        <v>31219</v>
      </c>
      <c r="C2097" s="2">
        <v>45729</v>
      </c>
      <c r="D2097">
        <v>2117</v>
      </c>
      <c r="E2097">
        <v>1008</v>
      </c>
      <c r="F2097">
        <v>3</v>
      </c>
      <c r="G2097">
        <v>618.27</v>
      </c>
      <c r="H2097" s="2">
        <v>45730</v>
      </c>
      <c r="I2097" s="2">
        <v>45736</v>
      </c>
      <c r="J2097" t="s">
        <v>9</v>
      </c>
      <c r="K2097" s="2" t="str">
        <f>IFERROR(INDEX(Product_lookup[Category],MATCH(RawWorking[[#This Row],[ProductID]],Product_lookup[ProductID],0)),"")</f>
        <v>Home</v>
      </c>
      <c r="L2097" s="9">
        <f>IF(OR(RawWorking[[#This Row],[ShipDate]]="",RawWorking[[#This Row],[DeliveryDate]]=""),"",RawWorking[[#This Row],[DeliveryDate]]-RawWorking[[#This Row],[ShipDate]])</f>
        <v>6</v>
      </c>
      <c r="M2097" s="9">
        <f>IF(COUNTIF(INDEX(RawWorking[OrderID],1):RawWorking[[#This Row],[OrderID]],RawWorking[[#This Row],[OrderID]])=1,1,0)</f>
        <v>1</v>
      </c>
      <c r="N2097" s="4">
        <f>IFERROR(RawWorking[[#This Row],[LineAmount]]/RawWorking[[#This Row],[Quantity]],"")</f>
        <v>206.09</v>
      </c>
    </row>
    <row r="2098" spans="1:14">
      <c r="A2098">
        <v>52097</v>
      </c>
      <c r="B2098">
        <v>31219</v>
      </c>
      <c r="C2098" s="2">
        <v>45729</v>
      </c>
      <c r="D2098">
        <v>2117</v>
      </c>
      <c r="E2098">
        <v>1003</v>
      </c>
      <c r="F2098">
        <v>1</v>
      </c>
      <c r="G2098">
        <v>224.37</v>
      </c>
      <c r="H2098" s="2">
        <v>45730</v>
      </c>
      <c r="I2098" s="2">
        <v>45736</v>
      </c>
      <c r="J2098" t="s">
        <v>9</v>
      </c>
      <c r="K2098" s="2" t="str">
        <f>IFERROR(INDEX(Product_lookup[Category],MATCH(RawWorking[[#This Row],[ProductID]],Product_lookup[ProductID],0)),"")</f>
        <v>Electronics</v>
      </c>
      <c r="L2098" s="9">
        <f>IF(OR(RawWorking[[#This Row],[ShipDate]]="",RawWorking[[#This Row],[DeliveryDate]]=""),"",RawWorking[[#This Row],[DeliveryDate]]-RawWorking[[#This Row],[ShipDate]])</f>
        <v>6</v>
      </c>
      <c r="M2098" s="9">
        <f>IF(COUNTIF(INDEX(RawWorking[OrderID],1):RawWorking[[#This Row],[OrderID]],RawWorking[[#This Row],[OrderID]])=1,1,0)</f>
        <v>0</v>
      </c>
      <c r="N2098" s="4">
        <f>IFERROR(RawWorking[[#This Row],[LineAmount]]/RawWorking[[#This Row],[Quantity]],"")</f>
        <v>224.37</v>
      </c>
    </row>
    <row r="2099" spans="1:14">
      <c r="A2099">
        <v>52098</v>
      </c>
      <c r="B2099">
        <v>31220</v>
      </c>
      <c r="C2099" s="2">
        <v>45856</v>
      </c>
      <c r="D2099">
        <v>2208</v>
      </c>
      <c r="E2099">
        <v>1013</v>
      </c>
      <c r="F2099">
        <v>1</v>
      </c>
      <c r="G2099">
        <v>170.25</v>
      </c>
      <c r="H2099" s="2">
        <v>45859</v>
      </c>
      <c r="I2099" s="2">
        <v>45861</v>
      </c>
      <c r="J2099" t="s">
        <v>9</v>
      </c>
      <c r="K2099" s="2" t="str">
        <f>IFERROR(INDEX(Product_lookup[Category],MATCH(RawWorking[[#This Row],[ProductID]],Product_lookup[ProductID],0)),"")</f>
        <v>Office</v>
      </c>
      <c r="L2099" s="9">
        <f>IF(OR(RawWorking[[#This Row],[ShipDate]]="",RawWorking[[#This Row],[DeliveryDate]]=""),"",RawWorking[[#This Row],[DeliveryDate]]-RawWorking[[#This Row],[ShipDate]])</f>
        <v>2</v>
      </c>
      <c r="M2099" s="9">
        <f>IF(COUNTIF(INDEX(RawWorking[OrderID],1):RawWorking[[#This Row],[OrderID]],RawWorking[[#This Row],[OrderID]])=1,1,0)</f>
        <v>1</v>
      </c>
      <c r="N2099" s="4">
        <f>IFERROR(RawWorking[[#This Row],[LineAmount]]/RawWorking[[#This Row],[Quantity]],"")</f>
        <v>170.25</v>
      </c>
    </row>
    <row r="2100" spans="1:14">
      <c r="A2100">
        <v>52099</v>
      </c>
      <c r="B2100">
        <v>31220</v>
      </c>
      <c r="C2100" s="2">
        <v>45856</v>
      </c>
      <c r="D2100">
        <v>2208</v>
      </c>
      <c r="E2100">
        <v>1011</v>
      </c>
      <c r="F2100">
        <v>3</v>
      </c>
      <c r="G2100">
        <v>304.32</v>
      </c>
      <c r="H2100" s="2">
        <v>45857</v>
      </c>
      <c r="I2100" s="2">
        <v>45864</v>
      </c>
      <c r="J2100" t="s">
        <v>9</v>
      </c>
      <c r="K2100" s="2" t="str">
        <f>IFERROR(INDEX(Product_lookup[Category],MATCH(RawWorking[[#This Row],[ProductID]],Product_lookup[ProductID],0)),"")</f>
        <v>Office</v>
      </c>
      <c r="L2100" s="9">
        <f>IF(OR(RawWorking[[#This Row],[ShipDate]]="",RawWorking[[#This Row],[DeliveryDate]]=""),"",RawWorking[[#This Row],[DeliveryDate]]-RawWorking[[#This Row],[ShipDate]])</f>
        <v>7</v>
      </c>
      <c r="M2100" s="9">
        <f>IF(COUNTIF(INDEX(RawWorking[OrderID],1):RawWorking[[#This Row],[OrderID]],RawWorking[[#This Row],[OrderID]])=1,1,0)</f>
        <v>0</v>
      </c>
      <c r="N2100" s="4">
        <f>IFERROR(RawWorking[[#This Row],[LineAmount]]/RawWorking[[#This Row],[Quantity]],"")</f>
        <v>101.44</v>
      </c>
    </row>
    <row r="2101" spans="1:14">
      <c r="A2101">
        <v>52100</v>
      </c>
      <c r="B2101">
        <v>31221</v>
      </c>
      <c r="C2101" s="2">
        <v>45969</v>
      </c>
      <c r="D2101">
        <v>2124</v>
      </c>
      <c r="E2101">
        <v>1005</v>
      </c>
      <c r="F2101">
        <v>3</v>
      </c>
      <c r="G2101">
        <v>95.19</v>
      </c>
      <c r="H2101" s="2">
        <v>45970</v>
      </c>
      <c r="I2101" s="2">
        <v>45971</v>
      </c>
      <c r="J2101" t="s">
        <v>11</v>
      </c>
      <c r="K2101" s="2" t="str">
        <f>IFERROR(INDEX(Product_lookup[Category],MATCH(RawWorking[[#This Row],[ProductID]],Product_lookup[ProductID],0)),"")</f>
        <v>Electronics</v>
      </c>
      <c r="L2101" s="9">
        <f>IF(OR(RawWorking[[#This Row],[ShipDate]]="",RawWorking[[#This Row],[DeliveryDate]]=""),"",RawWorking[[#This Row],[DeliveryDate]]-RawWorking[[#This Row],[ShipDate]])</f>
        <v>1</v>
      </c>
      <c r="M2101" s="9">
        <f>IF(COUNTIF(INDEX(RawWorking[OrderID],1):RawWorking[[#This Row],[OrderID]],RawWorking[[#This Row],[OrderID]])=1,1,0)</f>
        <v>1</v>
      </c>
      <c r="N2101" s="4">
        <f>IFERROR(RawWorking[[#This Row],[LineAmount]]/RawWorking[[#This Row],[Quantity]],"")</f>
        <v>31.73</v>
      </c>
    </row>
    <row r="2102" spans="1:14">
      <c r="A2102">
        <v>52101</v>
      </c>
      <c r="B2102">
        <v>31222</v>
      </c>
      <c r="C2102" s="2">
        <v>45962</v>
      </c>
      <c r="D2102">
        <v>2330</v>
      </c>
      <c r="E2102">
        <v>1007</v>
      </c>
      <c r="F2102">
        <v>1</v>
      </c>
      <c r="G2102">
        <v>199.81</v>
      </c>
      <c r="H2102" s="2" t="s">
        <v>1421</v>
      </c>
      <c r="I2102" s="2" t="s">
        <v>1421</v>
      </c>
      <c r="J2102" t="s">
        <v>16</v>
      </c>
      <c r="K2102" s="2" t="str">
        <f>IFERROR(INDEX(Product_lookup[Category],MATCH(RawWorking[[#This Row],[ProductID]],Product_lookup[ProductID],0)),"")</f>
        <v>Home</v>
      </c>
      <c r="L2102" s="9" t="str">
        <f>IF(OR(RawWorking[[#This Row],[ShipDate]]="",RawWorking[[#This Row],[DeliveryDate]]=""),"",RawWorking[[#This Row],[DeliveryDate]]-RawWorking[[#This Row],[ShipDate]])</f>
        <v/>
      </c>
      <c r="M2102" s="9">
        <f>IF(COUNTIF(INDEX(RawWorking[OrderID],1):RawWorking[[#This Row],[OrderID]],RawWorking[[#This Row],[OrderID]])=1,1,0)</f>
        <v>1</v>
      </c>
      <c r="N2102" s="4">
        <f>IFERROR(RawWorking[[#This Row],[LineAmount]]/RawWorking[[#This Row],[Quantity]],"")</f>
        <v>199.81</v>
      </c>
    </row>
    <row r="2103" spans="1:14">
      <c r="A2103">
        <v>52102</v>
      </c>
      <c r="B2103">
        <v>31222</v>
      </c>
      <c r="C2103" s="2">
        <v>45962</v>
      </c>
      <c r="D2103">
        <v>2330</v>
      </c>
      <c r="E2103">
        <v>1006</v>
      </c>
      <c r="F2103">
        <v>1</v>
      </c>
      <c r="G2103">
        <v>253.86</v>
      </c>
      <c r="H2103" s="2" t="s">
        <v>1421</v>
      </c>
      <c r="I2103" s="2" t="s">
        <v>1421</v>
      </c>
      <c r="J2103" t="s">
        <v>16</v>
      </c>
      <c r="K2103" s="2" t="str">
        <f>IFERROR(INDEX(Product_lookup[Category],MATCH(RawWorking[[#This Row],[ProductID]],Product_lookup[ProductID],0)),"")</f>
        <v>Home</v>
      </c>
      <c r="L2103" s="9" t="str">
        <f>IF(OR(RawWorking[[#This Row],[ShipDate]]="",RawWorking[[#This Row],[DeliveryDate]]=""),"",RawWorking[[#This Row],[DeliveryDate]]-RawWorking[[#This Row],[ShipDate]])</f>
        <v/>
      </c>
      <c r="M2103" s="9">
        <f>IF(COUNTIF(INDEX(RawWorking[OrderID],1):RawWorking[[#This Row],[OrderID]],RawWorking[[#This Row],[OrderID]])=1,1,0)</f>
        <v>0</v>
      </c>
      <c r="N2103" s="4">
        <f>IFERROR(RawWorking[[#This Row],[LineAmount]]/RawWorking[[#This Row],[Quantity]],"")</f>
        <v>253.86</v>
      </c>
    </row>
    <row r="2104" spans="1:14">
      <c r="A2104">
        <v>52103</v>
      </c>
      <c r="B2104">
        <v>31223</v>
      </c>
      <c r="C2104" s="2">
        <v>45681</v>
      </c>
      <c r="D2104">
        <v>2124</v>
      </c>
      <c r="E2104">
        <v>1014</v>
      </c>
      <c r="F2104">
        <v>3</v>
      </c>
      <c r="G2104">
        <v>646.02</v>
      </c>
      <c r="H2104" s="2">
        <v>45684</v>
      </c>
      <c r="I2104" s="2">
        <v>45685</v>
      </c>
      <c r="J2104" t="s">
        <v>9</v>
      </c>
      <c r="K2104" s="2" t="str">
        <f>IFERROR(INDEX(Product_lookup[Category],MATCH(RawWorking[[#This Row],[ProductID]],Product_lookup[ProductID],0)),"")</f>
        <v>Sports</v>
      </c>
      <c r="L2104" s="9">
        <f>IF(OR(RawWorking[[#This Row],[ShipDate]]="",RawWorking[[#This Row],[DeliveryDate]]=""),"",RawWorking[[#This Row],[DeliveryDate]]-RawWorking[[#This Row],[ShipDate]])</f>
        <v>1</v>
      </c>
      <c r="M2104" s="9">
        <f>IF(COUNTIF(INDEX(RawWorking[OrderID],1):RawWorking[[#This Row],[OrderID]],RawWorking[[#This Row],[OrderID]])=1,1,0)</f>
        <v>1</v>
      </c>
      <c r="N2104" s="4">
        <f>IFERROR(RawWorking[[#This Row],[LineAmount]]/RawWorking[[#This Row],[Quantity]],"")</f>
        <v>215.34</v>
      </c>
    </row>
    <row r="2105" spans="1:14">
      <c r="A2105">
        <v>52104</v>
      </c>
      <c r="B2105">
        <v>31223</v>
      </c>
      <c r="C2105" s="2">
        <v>45681</v>
      </c>
      <c r="D2105">
        <v>2124</v>
      </c>
      <c r="E2105">
        <v>1006</v>
      </c>
      <c r="F2105">
        <v>2</v>
      </c>
      <c r="G2105">
        <v>507.72</v>
      </c>
      <c r="H2105" s="2">
        <v>45683</v>
      </c>
      <c r="I2105" s="2">
        <v>45691</v>
      </c>
      <c r="J2105" t="s">
        <v>9</v>
      </c>
      <c r="K2105" s="2" t="str">
        <f>IFERROR(INDEX(Product_lookup[Category],MATCH(RawWorking[[#This Row],[ProductID]],Product_lookup[ProductID],0)),"")</f>
        <v>Home</v>
      </c>
      <c r="L2105" s="9">
        <f>IF(OR(RawWorking[[#This Row],[ShipDate]]="",RawWorking[[#This Row],[DeliveryDate]]=""),"",RawWorking[[#This Row],[DeliveryDate]]-RawWorking[[#This Row],[ShipDate]])</f>
        <v>8</v>
      </c>
      <c r="M2105" s="9">
        <f>IF(COUNTIF(INDEX(RawWorking[OrderID],1):RawWorking[[#This Row],[OrderID]],RawWorking[[#This Row],[OrderID]])=1,1,0)</f>
        <v>0</v>
      </c>
      <c r="N2105" s="4">
        <f>IFERROR(RawWorking[[#This Row],[LineAmount]]/RawWorking[[#This Row],[Quantity]],"")</f>
        <v>253.86</v>
      </c>
    </row>
    <row r="2106" spans="1:14">
      <c r="A2106">
        <v>52105</v>
      </c>
      <c r="B2106">
        <v>31223</v>
      </c>
      <c r="C2106" s="2">
        <v>45681</v>
      </c>
      <c r="D2106">
        <v>2124</v>
      </c>
      <c r="E2106">
        <v>1012</v>
      </c>
      <c r="F2106">
        <v>1</v>
      </c>
      <c r="G2106">
        <v>241.54</v>
      </c>
      <c r="H2106" s="2">
        <v>45682</v>
      </c>
      <c r="I2106" s="2">
        <v>45692</v>
      </c>
      <c r="J2106" t="s">
        <v>9</v>
      </c>
      <c r="K2106" s="2" t="str">
        <f>IFERROR(INDEX(Product_lookup[Category],MATCH(RawWorking[[#This Row],[ProductID]],Product_lookup[ProductID],0)),"")</f>
        <v>Office</v>
      </c>
      <c r="L2106" s="9">
        <f>IF(OR(RawWorking[[#This Row],[ShipDate]]="",RawWorking[[#This Row],[DeliveryDate]]=""),"",RawWorking[[#This Row],[DeliveryDate]]-RawWorking[[#This Row],[ShipDate]])</f>
        <v>10</v>
      </c>
      <c r="M2106" s="9">
        <f>IF(COUNTIF(INDEX(RawWorking[OrderID],1):RawWorking[[#This Row],[OrderID]],RawWorking[[#This Row],[OrderID]])=1,1,0)</f>
        <v>0</v>
      </c>
      <c r="N2106" s="4">
        <f>IFERROR(RawWorking[[#This Row],[LineAmount]]/RawWorking[[#This Row],[Quantity]],"")</f>
        <v>241.54</v>
      </c>
    </row>
    <row r="2107" spans="1:14">
      <c r="A2107">
        <v>52106</v>
      </c>
      <c r="B2107">
        <v>31224</v>
      </c>
      <c r="C2107" s="2">
        <v>46009</v>
      </c>
      <c r="D2107">
        <v>2567</v>
      </c>
      <c r="E2107">
        <v>1008</v>
      </c>
      <c r="F2107">
        <v>1</v>
      </c>
      <c r="G2107">
        <v>206.09</v>
      </c>
      <c r="H2107" s="2">
        <v>46012</v>
      </c>
      <c r="I2107" s="2">
        <v>46018</v>
      </c>
      <c r="J2107" t="s">
        <v>9</v>
      </c>
      <c r="K2107" s="2" t="str">
        <f>IFERROR(INDEX(Product_lookup[Category],MATCH(RawWorking[[#This Row],[ProductID]],Product_lookup[ProductID],0)),"")</f>
        <v>Home</v>
      </c>
      <c r="L2107" s="9">
        <f>IF(OR(RawWorking[[#This Row],[ShipDate]]="",RawWorking[[#This Row],[DeliveryDate]]=""),"",RawWorking[[#This Row],[DeliveryDate]]-RawWorking[[#This Row],[ShipDate]])</f>
        <v>6</v>
      </c>
      <c r="M2107" s="9">
        <f>IF(COUNTIF(INDEX(RawWorking[OrderID],1):RawWorking[[#This Row],[OrderID]],RawWorking[[#This Row],[OrderID]])=1,1,0)</f>
        <v>1</v>
      </c>
      <c r="N2107" s="4">
        <f>IFERROR(RawWorking[[#This Row],[LineAmount]]/RawWorking[[#This Row],[Quantity]],"")</f>
        <v>206.09</v>
      </c>
    </row>
    <row r="2108" spans="1:14">
      <c r="A2108">
        <v>52107</v>
      </c>
      <c r="B2108">
        <v>31225</v>
      </c>
      <c r="C2108" s="2">
        <v>45959</v>
      </c>
      <c r="D2108">
        <v>2596</v>
      </c>
      <c r="E2108">
        <v>1004</v>
      </c>
      <c r="F2108">
        <v>1</v>
      </c>
      <c r="G2108">
        <v>183.74</v>
      </c>
      <c r="H2108" s="2">
        <v>45962</v>
      </c>
      <c r="I2108" s="2">
        <v>45964</v>
      </c>
      <c r="J2108" t="s">
        <v>9</v>
      </c>
      <c r="K2108" s="2" t="str">
        <f>IFERROR(INDEX(Product_lookup[Category],MATCH(RawWorking[[#This Row],[ProductID]],Product_lookup[ProductID],0)),"")</f>
        <v>Electronics</v>
      </c>
      <c r="L2108" s="9">
        <f>IF(OR(RawWorking[[#This Row],[ShipDate]]="",RawWorking[[#This Row],[DeliveryDate]]=""),"",RawWorking[[#This Row],[DeliveryDate]]-RawWorking[[#This Row],[ShipDate]])</f>
        <v>2</v>
      </c>
      <c r="M2108" s="9">
        <f>IF(COUNTIF(INDEX(RawWorking[OrderID],1):RawWorking[[#This Row],[OrderID]],RawWorking[[#This Row],[OrderID]])=1,1,0)</f>
        <v>1</v>
      </c>
      <c r="N2108" s="4">
        <f>IFERROR(RawWorking[[#This Row],[LineAmount]]/RawWorking[[#This Row],[Quantity]],"")</f>
        <v>183.74</v>
      </c>
    </row>
    <row r="2109" spans="1:14">
      <c r="A2109">
        <v>52108</v>
      </c>
      <c r="B2109">
        <v>31225</v>
      </c>
      <c r="C2109" s="2">
        <v>45959</v>
      </c>
      <c r="D2109">
        <v>2596</v>
      </c>
      <c r="E2109">
        <v>1013</v>
      </c>
      <c r="F2109">
        <v>2</v>
      </c>
      <c r="G2109">
        <v>340.5</v>
      </c>
      <c r="H2109" s="2">
        <v>45960</v>
      </c>
      <c r="I2109" s="2">
        <v>45961</v>
      </c>
      <c r="J2109" t="s">
        <v>9</v>
      </c>
      <c r="K2109" s="2" t="str">
        <f>IFERROR(INDEX(Product_lookup[Category],MATCH(RawWorking[[#This Row],[ProductID]],Product_lookup[ProductID],0)),"")</f>
        <v>Office</v>
      </c>
      <c r="L2109" s="9">
        <f>IF(OR(RawWorking[[#This Row],[ShipDate]]="",RawWorking[[#This Row],[DeliveryDate]]=""),"",RawWorking[[#This Row],[DeliveryDate]]-RawWorking[[#This Row],[ShipDate]])</f>
        <v>1</v>
      </c>
      <c r="M2109" s="9">
        <f>IF(COUNTIF(INDEX(RawWorking[OrderID],1):RawWorking[[#This Row],[OrderID]],RawWorking[[#This Row],[OrderID]])=1,1,0)</f>
        <v>0</v>
      </c>
      <c r="N2109" s="4">
        <f>IFERROR(RawWorking[[#This Row],[LineAmount]]/RawWorking[[#This Row],[Quantity]],"")</f>
        <v>170.25</v>
      </c>
    </row>
    <row r="2110" spans="1:14">
      <c r="A2110">
        <v>52109</v>
      </c>
      <c r="B2110">
        <v>31225</v>
      </c>
      <c r="C2110" s="2">
        <v>45959</v>
      </c>
      <c r="D2110">
        <v>2596</v>
      </c>
      <c r="E2110">
        <v>1006</v>
      </c>
      <c r="F2110">
        <v>1</v>
      </c>
      <c r="G2110">
        <v>253.86</v>
      </c>
      <c r="H2110" s="2">
        <v>45962</v>
      </c>
      <c r="I2110" s="2">
        <v>45971</v>
      </c>
      <c r="J2110" t="s">
        <v>9</v>
      </c>
      <c r="K2110" s="2" t="str">
        <f>IFERROR(INDEX(Product_lookup[Category],MATCH(RawWorking[[#This Row],[ProductID]],Product_lookup[ProductID],0)),"")</f>
        <v>Home</v>
      </c>
      <c r="L2110" s="9">
        <f>IF(OR(RawWorking[[#This Row],[ShipDate]]="",RawWorking[[#This Row],[DeliveryDate]]=""),"",RawWorking[[#This Row],[DeliveryDate]]-RawWorking[[#This Row],[ShipDate]])</f>
        <v>9</v>
      </c>
      <c r="M2110" s="9">
        <f>IF(COUNTIF(INDEX(RawWorking[OrderID],1):RawWorking[[#This Row],[OrderID]],RawWorking[[#This Row],[OrderID]])=1,1,0)</f>
        <v>0</v>
      </c>
      <c r="N2110" s="4">
        <f>IFERROR(RawWorking[[#This Row],[LineAmount]]/RawWorking[[#This Row],[Quantity]],"")</f>
        <v>253.86</v>
      </c>
    </row>
    <row r="2111" spans="1:14">
      <c r="A2111">
        <v>52110</v>
      </c>
      <c r="B2111">
        <v>31225</v>
      </c>
      <c r="C2111" s="2">
        <v>45959</v>
      </c>
      <c r="D2111">
        <v>2596</v>
      </c>
      <c r="E2111">
        <v>1001</v>
      </c>
      <c r="F2111">
        <v>2</v>
      </c>
      <c r="G2111">
        <v>406.08</v>
      </c>
      <c r="H2111" s="2">
        <v>45962</v>
      </c>
      <c r="I2111" s="2">
        <v>45971</v>
      </c>
      <c r="J2111" t="s">
        <v>9</v>
      </c>
      <c r="K2111" s="2" t="str">
        <f>IFERROR(INDEX(Product_lookup[Category],MATCH(RawWorking[[#This Row],[ProductID]],Product_lookup[ProductID],0)),"")</f>
        <v>Electronics</v>
      </c>
      <c r="L2111" s="9">
        <f>IF(OR(RawWorking[[#This Row],[ShipDate]]="",RawWorking[[#This Row],[DeliveryDate]]=""),"",RawWorking[[#This Row],[DeliveryDate]]-RawWorking[[#This Row],[ShipDate]])</f>
        <v>9</v>
      </c>
      <c r="M2111" s="9">
        <f>IF(COUNTIF(INDEX(RawWorking[OrderID],1):RawWorking[[#This Row],[OrderID]],RawWorking[[#This Row],[OrderID]])=1,1,0)</f>
        <v>0</v>
      </c>
      <c r="N2111" s="4">
        <f>IFERROR(RawWorking[[#This Row],[LineAmount]]/RawWorking[[#This Row],[Quantity]],"")</f>
        <v>203.04</v>
      </c>
    </row>
    <row r="2112" spans="1:14">
      <c r="A2112">
        <v>52111</v>
      </c>
      <c r="B2112">
        <v>31226</v>
      </c>
      <c r="C2112" s="2">
        <v>45939</v>
      </c>
      <c r="D2112">
        <v>2499</v>
      </c>
      <c r="E2112">
        <v>1001</v>
      </c>
      <c r="F2112">
        <v>3</v>
      </c>
      <c r="G2112">
        <v>609.12</v>
      </c>
      <c r="H2112" s="2">
        <v>45941</v>
      </c>
      <c r="I2112" s="2">
        <v>45945</v>
      </c>
      <c r="J2112" t="s">
        <v>9</v>
      </c>
      <c r="K2112" s="2" t="str">
        <f>IFERROR(INDEX(Product_lookup[Category],MATCH(RawWorking[[#This Row],[ProductID]],Product_lookup[ProductID],0)),"")</f>
        <v>Electronics</v>
      </c>
      <c r="L2112" s="9">
        <f>IF(OR(RawWorking[[#This Row],[ShipDate]]="",RawWorking[[#This Row],[DeliveryDate]]=""),"",RawWorking[[#This Row],[DeliveryDate]]-RawWorking[[#This Row],[ShipDate]])</f>
        <v>4</v>
      </c>
      <c r="M2112" s="9">
        <f>IF(COUNTIF(INDEX(RawWorking[OrderID],1):RawWorking[[#This Row],[OrderID]],RawWorking[[#This Row],[OrderID]])=1,1,0)</f>
        <v>1</v>
      </c>
      <c r="N2112" s="4">
        <f>IFERROR(RawWorking[[#This Row],[LineAmount]]/RawWorking[[#This Row],[Quantity]],"")</f>
        <v>203.04</v>
      </c>
    </row>
    <row r="2113" spans="1:14">
      <c r="A2113">
        <v>52112</v>
      </c>
      <c r="B2113">
        <v>31227</v>
      </c>
      <c r="C2113" s="2">
        <v>45767</v>
      </c>
      <c r="D2113">
        <v>2184</v>
      </c>
      <c r="E2113">
        <v>1010</v>
      </c>
      <c r="F2113">
        <v>3</v>
      </c>
      <c r="G2113">
        <v>364.5</v>
      </c>
      <c r="H2113" s="2" t="s">
        <v>1421</v>
      </c>
      <c r="I2113" s="2" t="s">
        <v>1421</v>
      </c>
      <c r="J2113" t="s">
        <v>12</v>
      </c>
      <c r="K2113" s="2" t="str">
        <f>IFERROR(INDEX(Product_lookup[Category],MATCH(RawWorking[[#This Row],[ProductID]],Product_lookup[ProductID],0)),"")</f>
        <v>Office</v>
      </c>
      <c r="L2113" s="9" t="str">
        <f>IF(OR(RawWorking[[#This Row],[ShipDate]]="",RawWorking[[#This Row],[DeliveryDate]]=""),"",RawWorking[[#This Row],[DeliveryDate]]-RawWorking[[#This Row],[ShipDate]])</f>
        <v/>
      </c>
      <c r="M2113" s="9">
        <f>IF(COUNTIF(INDEX(RawWorking[OrderID],1):RawWorking[[#This Row],[OrderID]],RawWorking[[#This Row],[OrderID]])=1,1,0)</f>
        <v>1</v>
      </c>
      <c r="N2113" s="4">
        <f>IFERROR(RawWorking[[#This Row],[LineAmount]]/RawWorking[[#This Row],[Quantity]],"")</f>
        <v>121.5</v>
      </c>
    </row>
    <row r="2114" spans="1:14">
      <c r="A2114">
        <v>52113</v>
      </c>
      <c r="B2114">
        <v>31228</v>
      </c>
      <c r="C2114" s="2">
        <v>45707</v>
      </c>
      <c r="D2114">
        <v>2427</v>
      </c>
      <c r="E2114">
        <v>1016</v>
      </c>
      <c r="F2114">
        <v>1</v>
      </c>
      <c r="G2114">
        <v>65.260000000000005</v>
      </c>
      <c r="H2114" s="2">
        <v>45710</v>
      </c>
      <c r="I2114" s="2">
        <v>45715</v>
      </c>
      <c r="J2114" t="s">
        <v>9</v>
      </c>
      <c r="K2114" s="2" t="str">
        <f>IFERROR(INDEX(Product_lookup[Category],MATCH(RawWorking[[#This Row],[ProductID]],Product_lookup[ProductID],0)),"")</f>
        <v>Sports</v>
      </c>
      <c r="L2114" s="9">
        <f>IF(OR(RawWorking[[#This Row],[ShipDate]]="",RawWorking[[#This Row],[DeliveryDate]]=""),"",RawWorking[[#This Row],[DeliveryDate]]-RawWorking[[#This Row],[ShipDate]])</f>
        <v>5</v>
      </c>
      <c r="M2114" s="9">
        <f>IF(COUNTIF(INDEX(RawWorking[OrderID],1):RawWorking[[#This Row],[OrderID]],RawWorking[[#This Row],[OrderID]])=1,1,0)</f>
        <v>1</v>
      </c>
      <c r="N2114" s="4">
        <f>IFERROR(RawWorking[[#This Row],[LineAmount]]/RawWorking[[#This Row],[Quantity]],"")</f>
        <v>65.260000000000005</v>
      </c>
    </row>
    <row r="2115" spans="1:14">
      <c r="A2115">
        <v>52114</v>
      </c>
      <c r="B2115">
        <v>31228</v>
      </c>
      <c r="C2115" s="2">
        <v>45707</v>
      </c>
      <c r="D2115">
        <v>2427</v>
      </c>
      <c r="E2115">
        <v>1005</v>
      </c>
      <c r="F2115">
        <v>2</v>
      </c>
      <c r="G2115">
        <v>63.46</v>
      </c>
      <c r="H2115" s="2">
        <v>45710</v>
      </c>
      <c r="I2115" s="2">
        <v>45720</v>
      </c>
      <c r="J2115" t="s">
        <v>9</v>
      </c>
      <c r="K2115" s="2" t="str">
        <f>IFERROR(INDEX(Product_lookup[Category],MATCH(RawWorking[[#This Row],[ProductID]],Product_lookup[ProductID],0)),"")</f>
        <v>Electronics</v>
      </c>
      <c r="L2115" s="9">
        <f>IF(OR(RawWorking[[#This Row],[ShipDate]]="",RawWorking[[#This Row],[DeliveryDate]]=""),"",RawWorking[[#This Row],[DeliveryDate]]-RawWorking[[#This Row],[ShipDate]])</f>
        <v>10</v>
      </c>
      <c r="M2115" s="9">
        <f>IF(COUNTIF(INDEX(RawWorking[OrderID],1):RawWorking[[#This Row],[OrderID]],RawWorking[[#This Row],[OrderID]])=1,1,0)</f>
        <v>0</v>
      </c>
      <c r="N2115" s="4">
        <f>IFERROR(RawWorking[[#This Row],[LineAmount]]/RawWorking[[#This Row],[Quantity]],"")</f>
        <v>31.73</v>
      </c>
    </row>
    <row r="2116" spans="1:14">
      <c r="A2116">
        <v>52115</v>
      </c>
      <c r="B2116">
        <v>31228</v>
      </c>
      <c r="C2116" s="2">
        <v>45707</v>
      </c>
      <c r="D2116">
        <v>2427</v>
      </c>
      <c r="E2116">
        <v>1007</v>
      </c>
      <c r="F2116">
        <v>3</v>
      </c>
      <c r="G2116">
        <v>599.42999999999995</v>
      </c>
      <c r="H2116" s="2">
        <v>45710</v>
      </c>
      <c r="I2116" s="2">
        <v>45712</v>
      </c>
      <c r="J2116" t="s">
        <v>9</v>
      </c>
      <c r="K2116" s="2" t="str">
        <f>IFERROR(INDEX(Product_lookup[Category],MATCH(RawWorking[[#This Row],[ProductID]],Product_lookup[ProductID],0)),"")</f>
        <v>Home</v>
      </c>
      <c r="L2116" s="9">
        <f>IF(OR(RawWorking[[#This Row],[ShipDate]]="",RawWorking[[#This Row],[DeliveryDate]]=""),"",RawWorking[[#This Row],[DeliveryDate]]-RawWorking[[#This Row],[ShipDate]])</f>
        <v>2</v>
      </c>
      <c r="M2116" s="9">
        <f>IF(COUNTIF(INDEX(RawWorking[OrderID],1):RawWorking[[#This Row],[OrderID]],RawWorking[[#This Row],[OrderID]])=1,1,0)</f>
        <v>0</v>
      </c>
      <c r="N2116" s="4">
        <f>IFERROR(RawWorking[[#This Row],[LineAmount]]/RawWorking[[#This Row],[Quantity]],"")</f>
        <v>199.80999999999997</v>
      </c>
    </row>
    <row r="2117" spans="1:14">
      <c r="A2117">
        <v>52116</v>
      </c>
      <c r="B2117">
        <v>31229</v>
      </c>
      <c r="C2117" s="2">
        <v>45796</v>
      </c>
      <c r="D2117">
        <v>2147</v>
      </c>
      <c r="E2117">
        <v>1015</v>
      </c>
      <c r="F2117">
        <v>2</v>
      </c>
      <c r="G2117">
        <v>239.48</v>
      </c>
      <c r="H2117" s="2">
        <v>45799</v>
      </c>
      <c r="I2117" s="2">
        <v>45807</v>
      </c>
      <c r="J2117" t="s">
        <v>9</v>
      </c>
      <c r="K2117" s="2" t="str">
        <f>IFERROR(INDEX(Product_lookup[Category],MATCH(RawWorking[[#This Row],[ProductID]],Product_lookup[ProductID],0)),"")</f>
        <v>Sports</v>
      </c>
      <c r="L2117" s="9">
        <f>IF(OR(RawWorking[[#This Row],[ShipDate]]="",RawWorking[[#This Row],[DeliveryDate]]=""),"",RawWorking[[#This Row],[DeliveryDate]]-RawWorking[[#This Row],[ShipDate]])</f>
        <v>8</v>
      </c>
      <c r="M2117" s="9">
        <f>IF(COUNTIF(INDEX(RawWorking[OrderID],1):RawWorking[[#This Row],[OrderID]],RawWorking[[#This Row],[OrderID]])=1,1,0)</f>
        <v>1</v>
      </c>
      <c r="N2117" s="4">
        <f>IFERROR(RawWorking[[#This Row],[LineAmount]]/RawWorking[[#This Row],[Quantity]],"")</f>
        <v>119.74</v>
      </c>
    </row>
    <row r="2118" spans="1:14">
      <c r="A2118">
        <v>52117</v>
      </c>
      <c r="B2118">
        <v>31229</v>
      </c>
      <c r="C2118" s="2">
        <v>45796</v>
      </c>
      <c r="D2118">
        <v>2147</v>
      </c>
      <c r="E2118">
        <v>1014</v>
      </c>
      <c r="F2118">
        <v>3</v>
      </c>
      <c r="G2118">
        <v>646.02</v>
      </c>
      <c r="H2118" s="2">
        <v>45798</v>
      </c>
      <c r="I2118" s="2">
        <v>45805</v>
      </c>
      <c r="J2118" t="s">
        <v>9</v>
      </c>
      <c r="K2118" s="2" t="str">
        <f>IFERROR(INDEX(Product_lookup[Category],MATCH(RawWorking[[#This Row],[ProductID]],Product_lookup[ProductID],0)),"")</f>
        <v>Sports</v>
      </c>
      <c r="L2118" s="9">
        <f>IF(OR(RawWorking[[#This Row],[ShipDate]]="",RawWorking[[#This Row],[DeliveryDate]]=""),"",RawWorking[[#This Row],[DeliveryDate]]-RawWorking[[#This Row],[ShipDate]])</f>
        <v>7</v>
      </c>
      <c r="M2118" s="9">
        <f>IF(COUNTIF(INDEX(RawWorking[OrderID],1):RawWorking[[#This Row],[OrderID]],RawWorking[[#This Row],[OrderID]])=1,1,0)</f>
        <v>0</v>
      </c>
      <c r="N2118" s="4">
        <f>IFERROR(RawWorking[[#This Row],[LineAmount]]/RawWorking[[#This Row],[Quantity]],"")</f>
        <v>215.34</v>
      </c>
    </row>
    <row r="2119" spans="1:14">
      <c r="A2119">
        <v>52118</v>
      </c>
      <c r="B2119">
        <v>31230</v>
      </c>
      <c r="C2119" s="2">
        <v>45754</v>
      </c>
      <c r="D2119">
        <v>2245</v>
      </c>
      <c r="E2119">
        <v>1002</v>
      </c>
      <c r="F2119">
        <v>4</v>
      </c>
      <c r="G2119">
        <v>474.4</v>
      </c>
      <c r="H2119" s="2" t="s">
        <v>1421</v>
      </c>
      <c r="I2119" s="2" t="s">
        <v>1421</v>
      </c>
      <c r="J2119" t="s">
        <v>12</v>
      </c>
      <c r="K2119" s="2" t="str">
        <f>IFERROR(INDEX(Product_lookup[Category],MATCH(RawWorking[[#This Row],[ProductID]],Product_lookup[ProductID],0)),"")</f>
        <v>Electronics</v>
      </c>
      <c r="L2119" s="9" t="str">
        <f>IF(OR(RawWorking[[#This Row],[ShipDate]]="",RawWorking[[#This Row],[DeliveryDate]]=""),"",RawWorking[[#This Row],[DeliveryDate]]-RawWorking[[#This Row],[ShipDate]])</f>
        <v/>
      </c>
      <c r="M2119" s="9">
        <f>IF(COUNTIF(INDEX(RawWorking[OrderID],1):RawWorking[[#This Row],[OrderID]],RawWorking[[#This Row],[OrderID]])=1,1,0)</f>
        <v>1</v>
      </c>
      <c r="N2119" s="4">
        <f>IFERROR(RawWorking[[#This Row],[LineAmount]]/RawWorking[[#This Row],[Quantity]],"")</f>
        <v>118.6</v>
      </c>
    </row>
    <row r="2120" spans="1:14">
      <c r="A2120">
        <v>52119</v>
      </c>
      <c r="B2120">
        <v>31231</v>
      </c>
      <c r="C2120" s="2">
        <v>45682</v>
      </c>
      <c r="D2120">
        <v>2185</v>
      </c>
      <c r="E2120">
        <v>1003</v>
      </c>
      <c r="F2120">
        <v>4</v>
      </c>
      <c r="G2120">
        <v>897.48</v>
      </c>
      <c r="H2120" s="2">
        <v>45683</v>
      </c>
      <c r="I2120" s="2">
        <v>45684</v>
      </c>
      <c r="J2120" t="s">
        <v>9</v>
      </c>
      <c r="K2120" s="2" t="str">
        <f>IFERROR(INDEX(Product_lookup[Category],MATCH(RawWorking[[#This Row],[ProductID]],Product_lookup[ProductID],0)),"")</f>
        <v>Electronics</v>
      </c>
      <c r="L2120" s="9">
        <f>IF(OR(RawWorking[[#This Row],[ShipDate]]="",RawWorking[[#This Row],[DeliveryDate]]=""),"",RawWorking[[#This Row],[DeliveryDate]]-RawWorking[[#This Row],[ShipDate]])</f>
        <v>1</v>
      </c>
      <c r="M2120" s="9">
        <f>IF(COUNTIF(INDEX(RawWorking[OrderID],1):RawWorking[[#This Row],[OrderID]],RawWorking[[#This Row],[OrderID]])=1,1,0)</f>
        <v>1</v>
      </c>
      <c r="N2120" s="4">
        <f>IFERROR(RawWorking[[#This Row],[LineAmount]]/RawWorking[[#This Row],[Quantity]],"")</f>
        <v>224.37</v>
      </c>
    </row>
    <row r="2121" spans="1:14">
      <c r="A2121">
        <v>52120</v>
      </c>
      <c r="B2121">
        <v>31231</v>
      </c>
      <c r="C2121" s="2">
        <v>45682</v>
      </c>
      <c r="D2121">
        <v>2185</v>
      </c>
      <c r="E2121">
        <v>1010</v>
      </c>
      <c r="F2121">
        <v>1</v>
      </c>
      <c r="G2121">
        <v>121.5</v>
      </c>
      <c r="H2121" s="2">
        <v>45683</v>
      </c>
      <c r="I2121" s="2">
        <v>45691</v>
      </c>
      <c r="J2121" t="s">
        <v>9</v>
      </c>
      <c r="K2121" s="2" t="str">
        <f>IFERROR(INDEX(Product_lookup[Category],MATCH(RawWorking[[#This Row],[ProductID]],Product_lookup[ProductID],0)),"")</f>
        <v>Office</v>
      </c>
      <c r="L2121" s="9">
        <f>IF(OR(RawWorking[[#This Row],[ShipDate]]="",RawWorking[[#This Row],[DeliveryDate]]=""),"",RawWorking[[#This Row],[DeliveryDate]]-RawWorking[[#This Row],[ShipDate]])</f>
        <v>8</v>
      </c>
      <c r="M2121" s="9">
        <f>IF(COUNTIF(INDEX(RawWorking[OrderID],1):RawWorking[[#This Row],[OrderID]],RawWorking[[#This Row],[OrderID]])=1,1,0)</f>
        <v>0</v>
      </c>
      <c r="N2121" s="4">
        <f>IFERROR(RawWorking[[#This Row],[LineAmount]]/RawWorking[[#This Row],[Quantity]],"")</f>
        <v>121.5</v>
      </c>
    </row>
    <row r="2122" spans="1:14">
      <c r="A2122">
        <v>52121</v>
      </c>
      <c r="B2122">
        <v>31231</v>
      </c>
      <c r="C2122" s="2">
        <v>45682</v>
      </c>
      <c r="D2122">
        <v>2185</v>
      </c>
      <c r="E2122">
        <v>1012</v>
      </c>
      <c r="F2122">
        <v>2</v>
      </c>
      <c r="G2122">
        <v>483.08</v>
      </c>
      <c r="H2122" s="2">
        <v>45683</v>
      </c>
      <c r="I2122" s="2">
        <v>45684</v>
      </c>
      <c r="J2122" t="s">
        <v>9</v>
      </c>
      <c r="K2122" s="2" t="str">
        <f>IFERROR(INDEX(Product_lookup[Category],MATCH(RawWorking[[#This Row],[ProductID]],Product_lookup[ProductID],0)),"")</f>
        <v>Office</v>
      </c>
      <c r="L2122" s="9">
        <f>IF(OR(RawWorking[[#This Row],[ShipDate]]="",RawWorking[[#This Row],[DeliveryDate]]=""),"",RawWorking[[#This Row],[DeliveryDate]]-RawWorking[[#This Row],[ShipDate]])</f>
        <v>1</v>
      </c>
      <c r="M2122" s="9">
        <f>IF(COUNTIF(INDEX(RawWorking[OrderID],1):RawWorking[[#This Row],[OrderID]],RawWorking[[#This Row],[OrderID]])=1,1,0)</f>
        <v>0</v>
      </c>
      <c r="N2122" s="4">
        <f>IFERROR(RawWorking[[#This Row],[LineAmount]]/RawWorking[[#This Row],[Quantity]],"")</f>
        <v>241.54</v>
      </c>
    </row>
    <row r="2123" spans="1:14">
      <c r="A2123">
        <v>52122</v>
      </c>
      <c r="B2123">
        <v>31231</v>
      </c>
      <c r="C2123" s="2">
        <v>45682</v>
      </c>
      <c r="D2123">
        <v>2185</v>
      </c>
      <c r="E2123">
        <v>1014</v>
      </c>
      <c r="F2123">
        <v>2</v>
      </c>
      <c r="G2123">
        <v>430.68</v>
      </c>
      <c r="H2123" s="2">
        <v>45683</v>
      </c>
      <c r="I2123" s="2">
        <v>45685</v>
      </c>
      <c r="J2123" t="s">
        <v>9</v>
      </c>
      <c r="K2123" s="2" t="str">
        <f>IFERROR(INDEX(Product_lookup[Category],MATCH(RawWorking[[#This Row],[ProductID]],Product_lookup[ProductID],0)),"")</f>
        <v>Sports</v>
      </c>
      <c r="L2123" s="9">
        <f>IF(OR(RawWorking[[#This Row],[ShipDate]]="",RawWorking[[#This Row],[DeliveryDate]]=""),"",RawWorking[[#This Row],[DeliveryDate]]-RawWorking[[#This Row],[ShipDate]])</f>
        <v>2</v>
      </c>
      <c r="M2123" s="9">
        <f>IF(COUNTIF(INDEX(RawWorking[OrderID],1):RawWorking[[#This Row],[OrderID]],RawWorking[[#This Row],[OrderID]])=1,1,0)</f>
        <v>0</v>
      </c>
      <c r="N2123" s="4">
        <f>IFERROR(RawWorking[[#This Row],[LineAmount]]/RawWorking[[#This Row],[Quantity]],"")</f>
        <v>215.34</v>
      </c>
    </row>
    <row r="2124" spans="1:14">
      <c r="A2124">
        <v>52123</v>
      </c>
      <c r="B2124">
        <v>31232</v>
      </c>
      <c r="C2124" s="2">
        <v>45667</v>
      </c>
      <c r="D2124">
        <v>2005</v>
      </c>
      <c r="E2124">
        <v>1007</v>
      </c>
      <c r="F2124">
        <v>1</v>
      </c>
      <c r="G2124">
        <v>199.81</v>
      </c>
      <c r="H2124" s="2">
        <v>45933</v>
      </c>
      <c r="I2124" s="2">
        <v>45940</v>
      </c>
      <c r="J2124" t="s">
        <v>9</v>
      </c>
      <c r="K2124" s="2" t="str">
        <f>IFERROR(INDEX(Product_lookup[Category],MATCH(RawWorking[[#This Row],[ProductID]],Product_lookup[ProductID],0)),"")</f>
        <v>Home</v>
      </c>
      <c r="L2124" s="9">
        <f>IF(OR(RawWorking[[#This Row],[ShipDate]]="",RawWorking[[#This Row],[DeliveryDate]]=""),"",RawWorking[[#This Row],[DeliveryDate]]-RawWorking[[#This Row],[ShipDate]])</f>
        <v>7</v>
      </c>
      <c r="M2124" s="9">
        <f>IF(COUNTIF(INDEX(RawWorking[OrderID],1):RawWorking[[#This Row],[OrderID]],RawWorking[[#This Row],[OrderID]])=1,1,0)</f>
        <v>1</v>
      </c>
      <c r="N2124" s="4">
        <f>IFERROR(RawWorking[[#This Row],[LineAmount]]/RawWorking[[#This Row],[Quantity]],"")</f>
        <v>199.81</v>
      </c>
    </row>
    <row r="2125" spans="1:14">
      <c r="A2125">
        <v>52124</v>
      </c>
      <c r="B2125">
        <v>31233</v>
      </c>
      <c r="C2125" s="2">
        <v>45687</v>
      </c>
      <c r="D2125">
        <v>2121</v>
      </c>
      <c r="E2125">
        <v>1004</v>
      </c>
      <c r="F2125">
        <v>2</v>
      </c>
      <c r="G2125">
        <v>367.48</v>
      </c>
      <c r="H2125" s="2">
        <v>45689</v>
      </c>
      <c r="I2125" s="2">
        <v>45699</v>
      </c>
      <c r="J2125" t="s">
        <v>11</v>
      </c>
      <c r="K2125" s="2" t="str">
        <f>IFERROR(INDEX(Product_lookup[Category],MATCH(RawWorking[[#This Row],[ProductID]],Product_lookup[ProductID],0)),"")</f>
        <v>Electronics</v>
      </c>
      <c r="L2125" s="9">
        <f>IF(OR(RawWorking[[#This Row],[ShipDate]]="",RawWorking[[#This Row],[DeliveryDate]]=""),"",RawWorking[[#This Row],[DeliveryDate]]-RawWorking[[#This Row],[ShipDate]])</f>
        <v>10</v>
      </c>
      <c r="M2125" s="9">
        <f>IF(COUNTIF(INDEX(RawWorking[OrderID],1):RawWorking[[#This Row],[OrderID]],RawWorking[[#This Row],[OrderID]])=1,1,0)</f>
        <v>1</v>
      </c>
      <c r="N2125" s="4">
        <f>IFERROR(RawWorking[[#This Row],[LineAmount]]/RawWorking[[#This Row],[Quantity]],"")</f>
        <v>183.74</v>
      </c>
    </row>
    <row r="2126" spans="1:14">
      <c r="A2126">
        <v>52125</v>
      </c>
      <c r="B2126">
        <v>31233</v>
      </c>
      <c r="C2126" s="2">
        <v>45687</v>
      </c>
      <c r="D2126">
        <v>2121</v>
      </c>
      <c r="E2126">
        <v>1012</v>
      </c>
      <c r="F2126">
        <v>1</v>
      </c>
      <c r="G2126">
        <v>241.54</v>
      </c>
      <c r="H2126" s="2">
        <v>45690</v>
      </c>
      <c r="I2126" s="2">
        <v>45695</v>
      </c>
      <c r="J2126" t="s">
        <v>11</v>
      </c>
      <c r="K2126" s="2" t="str">
        <f>IFERROR(INDEX(Product_lookup[Category],MATCH(RawWorking[[#This Row],[ProductID]],Product_lookup[ProductID],0)),"")</f>
        <v>Office</v>
      </c>
      <c r="L2126" s="9">
        <f>IF(OR(RawWorking[[#This Row],[ShipDate]]="",RawWorking[[#This Row],[DeliveryDate]]=""),"",RawWorking[[#This Row],[DeliveryDate]]-RawWorking[[#This Row],[ShipDate]])</f>
        <v>5</v>
      </c>
      <c r="M2126" s="9">
        <f>IF(COUNTIF(INDEX(RawWorking[OrderID],1):RawWorking[[#This Row],[OrderID]],RawWorking[[#This Row],[OrderID]])=1,1,0)</f>
        <v>0</v>
      </c>
      <c r="N2126" s="4">
        <f>IFERROR(RawWorking[[#This Row],[LineAmount]]/RawWorking[[#This Row],[Quantity]],"")</f>
        <v>241.54</v>
      </c>
    </row>
    <row r="2127" spans="1:14">
      <c r="A2127">
        <v>52126</v>
      </c>
      <c r="B2127">
        <v>31233</v>
      </c>
      <c r="C2127" s="2">
        <v>45687</v>
      </c>
      <c r="D2127">
        <v>2121</v>
      </c>
      <c r="E2127">
        <v>1008</v>
      </c>
      <c r="F2127">
        <v>1</v>
      </c>
      <c r="G2127">
        <v>206.09</v>
      </c>
      <c r="H2127" s="2">
        <v>45690</v>
      </c>
      <c r="I2127" s="2">
        <v>45697</v>
      </c>
      <c r="J2127" t="s">
        <v>11</v>
      </c>
      <c r="K2127" s="2" t="str">
        <f>IFERROR(INDEX(Product_lookup[Category],MATCH(RawWorking[[#This Row],[ProductID]],Product_lookup[ProductID],0)),"")</f>
        <v>Home</v>
      </c>
      <c r="L2127" s="9">
        <f>IF(OR(RawWorking[[#This Row],[ShipDate]]="",RawWorking[[#This Row],[DeliveryDate]]=""),"",RawWorking[[#This Row],[DeliveryDate]]-RawWorking[[#This Row],[ShipDate]])</f>
        <v>7</v>
      </c>
      <c r="M2127" s="9">
        <f>IF(COUNTIF(INDEX(RawWorking[OrderID],1):RawWorking[[#This Row],[OrderID]],RawWorking[[#This Row],[OrderID]])=1,1,0)</f>
        <v>0</v>
      </c>
      <c r="N2127" s="4">
        <f>IFERROR(RawWorking[[#This Row],[LineAmount]]/RawWorking[[#This Row],[Quantity]],"")</f>
        <v>206.09</v>
      </c>
    </row>
    <row r="2128" spans="1:14">
      <c r="A2128">
        <v>52127</v>
      </c>
      <c r="B2128">
        <v>31234</v>
      </c>
      <c r="C2128" s="2">
        <v>45892</v>
      </c>
      <c r="D2128">
        <v>2476</v>
      </c>
      <c r="E2128">
        <v>1007</v>
      </c>
      <c r="F2128">
        <v>2</v>
      </c>
      <c r="G2128">
        <v>399.62</v>
      </c>
      <c r="H2128" s="2" t="s">
        <v>1421</v>
      </c>
      <c r="I2128" s="2" t="s">
        <v>1421</v>
      </c>
      <c r="J2128" t="s">
        <v>16</v>
      </c>
      <c r="K2128" s="2" t="str">
        <f>IFERROR(INDEX(Product_lookup[Category],MATCH(RawWorking[[#This Row],[ProductID]],Product_lookup[ProductID],0)),"")</f>
        <v>Home</v>
      </c>
      <c r="L2128" s="9" t="str">
        <f>IF(OR(RawWorking[[#This Row],[ShipDate]]="",RawWorking[[#This Row],[DeliveryDate]]=""),"",RawWorking[[#This Row],[DeliveryDate]]-RawWorking[[#This Row],[ShipDate]])</f>
        <v/>
      </c>
      <c r="M2128" s="9">
        <f>IF(COUNTIF(INDEX(RawWorking[OrderID],1):RawWorking[[#This Row],[OrderID]],RawWorking[[#This Row],[OrderID]])=1,1,0)</f>
        <v>1</v>
      </c>
      <c r="N2128" s="4">
        <f>IFERROR(RawWorking[[#This Row],[LineAmount]]/RawWorking[[#This Row],[Quantity]],"")</f>
        <v>199.81</v>
      </c>
    </row>
    <row r="2129" spans="1:14">
      <c r="A2129">
        <v>52128</v>
      </c>
      <c r="B2129">
        <v>31234</v>
      </c>
      <c r="C2129" s="2">
        <v>45892</v>
      </c>
      <c r="D2129">
        <v>2476</v>
      </c>
      <c r="E2129">
        <v>1007</v>
      </c>
      <c r="F2129">
        <v>3</v>
      </c>
      <c r="G2129">
        <v>599.42999999999995</v>
      </c>
      <c r="H2129" s="2">
        <v>45894</v>
      </c>
      <c r="I2129" s="2" t="s">
        <v>1421</v>
      </c>
      <c r="J2129" t="s">
        <v>16</v>
      </c>
      <c r="K2129" s="2" t="str">
        <f>IFERROR(INDEX(Product_lookup[Category],MATCH(RawWorking[[#This Row],[ProductID]],Product_lookup[ProductID],0)),"")</f>
        <v>Home</v>
      </c>
      <c r="L2129" s="9" t="str">
        <f>IF(OR(RawWorking[[#This Row],[ShipDate]]="",RawWorking[[#This Row],[DeliveryDate]]=""),"",RawWorking[[#This Row],[DeliveryDate]]-RawWorking[[#This Row],[ShipDate]])</f>
        <v/>
      </c>
      <c r="M2129" s="9">
        <f>IF(COUNTIF(INDEX(RawWorking[OrderID],1):RawWorking[[#This Row],[OrderID]],RawWorking[[#This Row],[OrderID]])=1,1,0)</f>
        <v>0</v>
      </c>
      <c r="N2129" s="4">
        <f>IFERROR(RawWorking[[#This Row],[LineAmount]]/RawWorking[[#This Row],[Quantity]],"")</f>
        <v>199.80999999999997</v>
      </c>
    </row>
    <row r="2130" spans="1:14">
      <c r="A2130">
        <v>52129</v>
      </c>
      <c r="B2130">
        <v>31235</v>
      </c>
      <c r="C2130" s="2">
        <v>45965</v>
      </c>
      <c r="D2130">
        <v>2153</v>
      </c>
      <c r="E2130">
        <v>1016</v>
      </c>
      <c r="F2130">
        <v>1</v>
      </c>
      <c r="G2130">
        <v>65.260000000000005</v>
      </c>
      <c r="H2130" s="2">
        <v>45966</v>
      </c>
      <c r="I2130" s="2">
        <v>45970</v>
      </c>
      <c r="J2130" t="s">
        <v>9</v>
      </c>
      <c r="K2130" s="2" t="str">
        <f>IFERROR(INDEX(Product_lookup[Category],MATCH(RawWorking[[#This Row],[ProductID]],Product_lookup[ProductID],0)),"")</f>
        <v>Sports</v>
      </c>
      <c r="L2130" s="9">
        <f>IF(OR(RawWorking[[#This Row],[ShipDate]]="",RawWorking[[#This Row],[DeliveryDate]]=""),"",RawWorking[[#This Row],[DeliveryDate]]-RawWorking[[#This Row],[ShipDate]])</f>
        <v>4</v>
      </c>
      <c r="M2130" s="9">
        <f>IF(COUNTIF(INDEX(RawWorking[OrderID],1):RawWorking[[#This Row],[OrderID]],RawWorking[[#This Row],[OrderID]])=1,1,0)</f>
        <v>1</v>
      </c>
      <c r="N2130" s="4">
        <f>IFERROR(RawWorking[[#This Row],[LineAmount]]/RawWorking[[#This Row],[Quantity]],"")</f>
        <v>65.260000000000005</v>
      </c>
    </row>
    <row r="2131" spans="1:14">
      <c r="A2131">
        <v>52130</v>
      </c>
      <c r="B2131">
        <v>31235</v>
      </c>
      <c r="C2131" s="2">
        <v>45965</v>
      </c>
      <c r="D2131">
        <v>2153</v>
      </c>
      <c r="E2131">
        <v>1016</v>
      </c>
      <c r="F2131">
        <v>2</v>
      </c>
      <c r="G2131">
        <v>130.52000000000001</v>
      </c>
      <c r="H2131" s="2">
        <v>45966</v>
      </c>
      <c r="I2131" s="2">
        <v>46002</v>
      </c>
      <c r="J2131" t="s">
        <v>9</v>
      </c>
      <c r="K2131" s="2" t="str">
        <f>IFERROR(INDEX(Product_lookup[Category],MATCH(RawWorking[[#This Row],[ProductID]],Product_lookup[ProductID],0)),"")</f>
        <v>Sports</v>
      </c>
      <c r="L2131" s="9">
        <f>IF(OR(RawWorking[[#This Row],[ShipDate]]="",RawWorking[[#This Row],[DeliveryDate]]=""),"",RawWorking[[#This Row],[DeliveryDate]]-RawWorking[[#This Row],[ShipDate]])</f>
        <v>36</v>
      </c>
      <c r="M2131" s="9">
        <f>IF(COUNTIF(INDEX(RawWorking[OrderID],1):RawWorking[[#This Row],[OrderID]],RawWorking[[#This Row],[OrderID]])=1,1,0)</f>
        <v>0</v>
      </c>
      <c r="N2131" s="4">
        <f>IFERROR(RawWorking[[#This Row],[LineAmount]]/RawWorking[[#This Row],[Quantity]],"")</f>
        <v>65.260000000000005</v>
      </c>
    </row>
    <row r="2132" spans="1:14">
      <c r="A2132">
        <v>52131</v>
      </c>
      <c r="B2132">
        <v>31236</v>
      </c>
      <c r="C2132" s="2">
        <v>45858</v>
      </c>
      <c r="D2132">
        <v>2181</v>
      </c>
      <c r="E2132">
        <v>1002</v>
      </c>
      <c r="F2132">
        <v>1</v>
      </c>
      <c r="G2132">
        <v>118.6</v>
      </c>
      <c r="H2132" s="2">
        <v>45860</v>
      </c>
      <c r="I2132" s="2">
        <v>45870</v>
      </c>
      <c r="J2132" t="s">
        <v>9</v>
      </c>
      <c r="K2132" s="2" t="str">
        <f>IFERROR(INDEX(Product_lookup[Category],MATCH(RawWorking[[#This Row],[ProductID]],Product_lookup[ProductID],0)),"")</f>
        <v>Electronics</v>
      </c>
      <c r="L2132" s="9">
        <f>IF(OR(RawWorking[[#This Row],[ShipDate]]="",RawWorking[[#This Row],[DeliveryDate]]=""),"",RawWorking[[#This Row],[DeliveryDate]]-RawWorking[[#This Row],[ShipDate]])</f>
        <v>10</v>
      </c>
      <c r="M2132" s="9">
        <f>IF(COUNTIF(INDEX(RawWorking[OrderID],1):RawWorking[[#This Row],[OrderID]],RawWorking[[#This Row],[OrderID]])=1,1,0)</f>
        <v>1</v>
      </c>
      <c r="N2132" s="4">
        <f>IFERROR(RawWorking[[#This Row],[LineAmount]]/RawWorking[[#This Row],[Quantity]],"")</f>
        <v>118.6</v>
      </c>
    </row>
    <row r="2133" spans="1:14">
      <c r="A2133">
        <v>52132</v>
      </c>
      <c r="B2133">
        <v>31236</v>
      </c>
      <c r="C2133" s="2">
        <v>45858</v>
      </c>
      <c r="D2133">
        <v>2181</v>
      </c>
      <c r="E2133">
        <v>1002</v>
      </c>
      <c r="F2133">
        <v>5</v>
      </c>
      <c r="G2133">
        <v>593</v>
      </c>
      <c r="H2133" s="2">
        <v>45859</v>
      </c>
      <c r="I2133" s="2">
        <v>45864</v>
      </c>
      <c r="J2133" t="s">
        <v>9</v>
      </c>
      <c r="K2133" s="2" t="str">
        <f>IFERROR(INDEX(Product_lookup[Category],MATCH(RawWorking[[#This Row],[ProductID]],Product_lookup[ProductID],0)),"")</f>
        <v>Electronics</v>
      </c>
      <c r="L2133" s="9">
        <f>IF(OR(RawWorking[[#This Row],[ShipDate]]="",RawWorking[[#This Row],[DeliveryDate]]=""),"",RawWorking[[#This Row],[DeliveryDate]]-RawWorking[[#This Row],[ShipDate]])</f>
        <v>5</v>
      </c>
      <c r="M2133" s="9">
        <f>IF(COUNTIF(INDEX(RawWorking[OrderID],1):RawWorking[[#This Row],[OrderID]],RawWorking[[#This Row],[OrderID]])=1,1,0)</f>
        <v>0</v>
      </c>
      <c r="N2133" s="4">
        <f>IFERROR(RawWorking[[#This Row],[LineAmount]]/RawWorking[[#This Row],[Quantity]],"")</f>
        <v>118.6</v>
      </c>
    </row>
    <row r="2134" spans="1:14">
      <c r="A2134">
        <v>52133</v>
      </c>
      <c r="B2134">
        <v>31237</v>
      </c>
      <c r="C2134" s="2">
        <v>45705</v>
      </c>
      <c r="D2134">
        <v>2373</v>
      </c>
      <c r="E2134">
        <v>1014</v>
      </c>
      <c r="F2134">
        <v>2</v>
      </c>
      <c r="G2134">
        <v>430.68</v>
      </c>
      <c r="H2134" s="2">
        <v>45708</v>
      </c>
      <c r="I2134" s="2">
        <v>45717</v>
      </c>
      <c r="J2134" t="s">
        <v>9</v>
      </c>
      <c r="K2134" s="2" t="str">
        <f>IFERROR(INDEX(Product_lookup[Category],MATCH(RawWorking[[#This Row],[ProductID]],Product_lookup[ProductID],0)),"")</f>
        <v>Sports</v>
      </c>
      <c r="L2134" s="9">
        <f>IF(OR(RawWorking[[#This Row],[ShipDate]]="",RawWorking[[#This Row],[DeliveryDate]]=""),"",RawWorking[[#This Row],[DeliveryDate]]-RawWorking[[#This Row],[ShipDate]])</f>
        <v>9</v>
      </c>
      <c r="M2134" s="9">
        <f>IF(COUNTIF(INDEX(RawWorking[OrderID],1):RawWorking[[#This Row],[OrderID]],RawWorking[[#This Row],[OrderID]])=1,1,0)</f>
        <v>1</v>
      </c>
      <c r="N2134" s="4">
        <f>IFERROR(RawWorking[[#This Row],[LineAmount]]/RawWorking[[#This Row],[Quantity]],"")</f>
        <v>215.34</v>
      </c>
    </row>
    <row r="2135" spans="1:14">
      <c r="A2135">
        <v>52134</v>
      </c>
      <c r="B2135">
        <v>31238</v>
      </c>
      <c r="C2135" s="2">
        <v>45978</v>
      </c>
      <c r="D2135">
        <v>2258</v>
      </c>
      <c r="E2135">
        <v>1015</v>
      </c>
      <c r="F2135">
        <v>3</v>
      </c>
      <c r="G2135">
        <v>359.22</v>
      </c>
      <c r="H2135" s="2">
        <v>45981</v>
      </c>
      <c r="I2135" s="2">
        <v>45986</v>
      </c>
      <c r="J2135" t="s">
        <v>9</v>
      </c>
      <c r="K2135" s="2" t="str">
        <f>IFERROR(INDEX(Product_lookup[Category],MATCH(RawWorking[[#This Row],[ProductID]],Product_lookup[ProductID],0)),"")</f>
        <v>Sports</v>
      </c>
      <c r="L2135" s="9">
        <f>IF(OR(RawWorking[[#This Row],[ShipDate]]="",RawWorking[[#This Row],[DeliveryDate]]=""),"",RawWorking[[#This Row],[DeliveryDate]]-RawWorking[[#This Row],[ShipDate]])</f>
        <v>5</v>
      </c>
      <c r="M2135" s="9">
        <f>IF(COUNTIF(INDEX(RawWorking[OrderID],1):RawWorking[[#This Row],[OrderID]],RawWorking[[#This Row],[OrderID]])=1,1,0)</f>
        <v>1</v>
      </c>
      <c r="N2135" s="4">
        <f>IFERROR(RawWorking[[#This Row],[LineAmount]]/RawWorking[[#This Row],[Quantity]],"")</f>
        <v>119.74000000000001</v>
      </c>
    </row>
    <row r="2136" spans="1:14">
      <c r="A2136">
        <v>52135</v>
      </c>
      <c r="B2136">
        <v>31238</v>
      </c>
      <c r="C2136" s="2">
        <v>45978</v>
      </c>
      <c r="D2136">
        <v>2258</v>
      </c>
      <c r="E2136">
        <v>1002</v>
      </c>
      <c r="F2136">
        <v>3</v>
      </c>
      <c r="G2136">
        <v>355.8</v>
      </c>
      <c r="H2136" s="2">
        <v>45979</v>
      </c>
      <c r="I2136" s="2">
        <v>45986</v>
      </c>
      <c r="J2136" t="s">
        <v>9</v>
      </c>
      <c r="K2136" s="2" t="str">
        <f>IFERROR(INDEX(Product_lookup[Category],MATCH(RawWorking[[#This Row],[ProductID]],Product_lookup[ProductID],0)),"")</f>
        <v>Electronics</v>
      </c>
      <c r="L2136" s="9">
        <f>IF(OR(RawWorking[[#This Row],[ShipDate]]="",RawWorking[[#This Row],[DeliveryDate]]=""),"",RawWorking[[#This Row],[DeliveryDate]]-RawWorking[[#This Row],[ShipDate]])</f>
        <v>7</v>
      </c>
      <c r="M2136" s="9">
        <f>IF(COUNTIF(INDEX(RawWorking[OrderID],1):RawWorking[[#This Row],[OrderID]],RawWorking[[#This Row],[OrderID]])=1,1,0)</f>
        <v>0</v>
      </c>
      <c r="N2136" s="4">
        <f>IFERROR(RawWorking[[#This Row],[LineAmount]]/RawWorking[[#This Row],[Quantity]],"")</f>
        <v>118.60000000000001</v>
      </c>
    </row>
    <row r="2137" spans="1:14">
      <c r="A2137">
        <v>52136</v>
      </c>
      <c r="B2137">
        <v>31238</v>
      </c>
      <c r="C2137" s="2">
        <v>45978</v>
      </c>
      <c r="D2137">
        <v>2258</v>
      </c>
      <c r="E2137">
        <v>1004</v>
      </c>
      <c r="F2137">
        <v>1</v>
      </c>
      <c r="G2137">
        <v>183.74</v>
      </c>
      <c r="H2137" s="2">
        <v>45979</v>
      </c>
      <c r="I2137" s="2">
        <v>45981</v>
      </c>
      <c r="J2137" t="s">
        <v>9</v>
      </c>
      <c r="K2137" s="2" t="str">
        <f>IFERROR(INDEX(Product_lookup[Category],MATCH(RawWorking[[#This Row],[ProductID]],Product_lookup[ProductID],0)),"")</f>
        <v>Electronics</v>
      </c>
      <c r="L2137" s="9">
        <f>IF(OR(RawWorking[[#This Row],[ShipDate]]="",RawWorking[[#This Row],[DeliveryDate]]=""),"",RawWorking[[#This Row],[DeliveryDate]]-RawWorking[[#This Row],[ShipDate]])</f>
        <v>2</v>
      </c>
      <c r="M2137" s="9">
        <f>IF(COUNTIF(INDEX(RawWorking[OrderID],1):RawWorking[[#This Row],[OrderID]],RawWorking[[#This Row],[OrderID]])=1,1,0)</f>
        <v>0</v>
      </c>
      <c r="N2137" s="4">
        <f>IFERROR(RawWorking[[#This Row],[LineAmount]]/RawWorking[[#This Row],[Quantity]],"")</f>
        <v>183.74</v>
      </c>
    </row>
    <row r="2138" spans="1:14">
      <c r="A2138">
        <v>52137</v>
      </c>
      <c r="B2138">
        <v>31239</v>
      </c>
      <c r="C2138" s="2">
        <v>45985</v>
      </c>
      <c r="D2138">
        <v>2054</v>
      </c>
      <c r="E2138">
        <v>1006</v>
      </c>
      <c r="F2138">
        <v>1</v>
      </c>
      <c r="G2138">
        <v>253.86</v>
      </c>
      <c r="H2138" s="2" t="s">
        <v>1421</v>
      </c>
      <c r="I2138" s="2" t="s">
        <v>1421</v>
      </c>
      <c r="J2138" t="s">
        <v>12</v>
      </c>
      <c r="K2138" s="2" t="str">
        <f>IFERROR(INDEX(Product_lookup[Category],MATCH(RawWorking[[#This Row],[ProductID]],Product_lookup[ProductID],0)),"")</f>
        <v>Home</v>
      </c>
      <c r="L2138" s="9" t="str">
        <f>IF(OR(RawWorking[[#This Row],[ShipDate]]="",RawWorking[[#This Row],[DeliveryDate]]=""),"",RawWorking[[#This Row],[DeliveryDate]]-RawWorking[[#This Row],[ShipDate]])</f>
        <v/>
      </c>
      <c r="M2138" s="9">
        <f>IF(COUNTIF(INDEX(RawWorking[OrderID],1):RawWorking[[#This Row],[OrderID]],RawWorking[[#This Row],[OrderID]])=1,1,0)</f>
        <v>1</v>
      </c>
      <c r="N2138" s="4">
        <f>IFERROR(RawWorking[[#This Row],[LineAmount]]/RawWorking[[#This Row],[Quantity]],"")</f>
        <v>253.86</v>
      </c>
    </row>
    <row r="2139" spans="1:14">
      <c r="A2139">
        <v>52138</v>
      </c>
      <c r="B2139">
        <v>31239</v>
      </c>
      <c r="C2139" s="2">
        <v>45985</v>
      </c>
      <c r="D2139">
        <v>2054</v>
      </c>
      <c r="E2139">
        <v>1006</v>
      </c>
      <c r="F2139">
        <v>3</v>
      </c>
      <c r="G2139">
        <v>761.58</v>
      </c>
      <c r="H2139" s="2" t="s">
        <v>1421</v>
      </c>
      <c r="I2139" s="2" t="s">
        <v>1421</v>
      </c>
      <c r="J2139" t="s">
        <v>12</v>
      </c>
      <c r="K2139" s="2" t="str">
        <f>IFERROR(INDEX(Product_lookup[Category],MATCH(RawWorking[[#This Row],[ProductID]],Product_lookup[ProductID],0)),"")</f>
        <v>Home</v>
      </c>
      <c r="L2139" s="9" t="str">
        <f>IF(OR(RawWorking[[#This Row],[ShipDate]]="",RawWorking[[#This Row],[DeliveryDate]]=""),"",RawWorking[[#This Row],[DeliveryDate]]-RawWorking[[#This Row],[ShipDate]])</f>
        <v/>
      </c>
      <c r="M2139" s="9">
        <f>IF(COUNTIF(INDEX(RawWorking[OrderID],1):RawWorking[[#This Row],[OrderID]],RawWorking[[#This Row],[OrderID]])=1,1,0)</f>
        <v>0</v>
      </c>
      <c r="N2139" s="4">
        <f>IFERROR(RawWorking[[#This Row],[LineAmount]]/RawWorking[[#This Row],[Quantity]],"")</f>
        <v>253.86</v>
      </c>
    </row>
    <row r="2140" spans="1:14">
      <c r="A2140">
        <v>52139</v>
      </c>
      <c r="B2140">
        <v>31240</v>
      </c>
      <c r="C2140" s="2">
        <v>45939</v>
      </c>
      <c r="D2140">
        <v>2030</v>
      </c>
      <c r="E2140">
        <v>1004</v>
      </c>
      <c r="F2140">
        <v>1</v>
      </c>
      <c r="G2140">
        <v>183.74</v>
      </c>
      <c r="H2140" s="2">
        <v>45942</v>
      </c>
      <c r="I2140" s="2">
        <v>45947</v>
      </c>
      <c r="J2140" t="s">
        <v>9</v>
      </c>
      <c r="K2140" s="2" t="str">
        <f>IFERROR(INDEX(Product_lookup[Category],MATCH(RawWorking[[#This Row],[ProductID]],Product_lookup[ProductID],0)),"")</f>
        <v>Electronics</v>
      </c>
      <c r="L2140" s="9">
        <f>IF(OR(RawWorking[[#This Row],[ShipDate]]="",RawWorking[[#This Row],[DeliveryDate]]=""),"",RawWorking[[#This Row],[DeliveryDate]]-RawWorking[[#This Row],[ShipDate]])</f>
        <v>5</v>
      </c>
      <c r="M2140" s="9">
        <f>IF(COUNTIF(INDEX(RawWorking[OrderID],1):RawWorking[[#This Row],[OrderID]],RawWorking[[#This Row],[OrderID]])=1,1,0)</f>
        <v>1</v>
      </c>
      <c r="N2140" s="4">
        <f>IFERROR(RawWorking[[#This Row],[LineAmount]]/RawWorking[[#This Row],[Quantity]],"")</f>
        <v>183.74</v>
      </c>
    </row>
    <row r="2141" spans="1:14">
      <c r="A2141">
        <v>52140</v>
      </c>
      <c r="B2141">
        <v>31240</v>
      </c>
      <c r="C2141" s="2">
        <v>45910</v>
      </c>
      <c r="D2141">
        <v>2030</v>
      </c>
      <c r="E2141">
        <v>1003</v>
      </c>
      <c r="F2141">
        <v>2</v>
      </c>
      <c r="G2141">
        <v>448.74</v>
      </c>
      <c r="H2141" s="2">
        <v>45942</v>
      </c>
      <c r="I2141" s="2">
        <v>45950</v>
      </c>
      <c r="J2141" t="s">
        <v>9</v>
      </c>
      <c r="K2141" s="2" t="str">
        <f>IFERROR(INDEX(Product_lookup[Category],MATCH(RawWorking[[#This Row],[ProductID]],Product_lookup[ProductID],0)),"")</f>
        <v>Electronics</v>
      </c>
      <c r="L2141" s="9">
        <f>IF(OR(RawWorking[[#This Row],[ShipDate]]="",RawWorking[[#This Row],[DeliveryDate]]=""),"",RawWorking[[#This Row],[DeliveryDate]]-RawWorking[[#This Row],[ShipDate]])</f>
        <v>8</v>
      </c>
      <c r="M2141" s="9">
        <f>IF(COUNTIF(INDEX(RawWorking[OrderID],1):RawWorking[[#This Row],[OrderID]],RawWorking[[#This Row],[OrderID]])=1,1,0)</f>
        <v>0</v>
      </c>
      <c r="N2141" s="4">
        <f>IFERROR(RawWorking[[#This Row],[LineAmount]]/RawWorking[[#This Row],[Quantity]],"")</f>
        <v>224.37</v>
      </c>
    </row>
    <row r="2142" spans="1:14">
      <c r="A2142">
        <v>52141</v>
      </c>
      <c r="B2142">
        <v>31241</v>
      </c>
      <c r="C2142" s="2">
        <v>45926</v>
      </c>
      <c r="D2142">
        <v>2241</v>
      </c>
      <c r="E2142">
        <v>1011</v>
      </c>
      <c r="F2142">
        <v>2</v>
      </c>
      <c r="G2142">
        <v>202.88</v>
      </c>
      <c r="H2142" s="2">
        <v>45928</v>
      </c>
      <c r="I2142" s="2">
        <v>45937</v>
      </c>
      <c r="J2142" t="s">
        <v>9</v>
      </c>
      <c r="K2142" s="2" t="str">
        <f>IFERROR(INDEX(Product_lookup[Category],MATCH(RawWorking[[#This Row],[ProductID]],Product_lookup[ProductID],0)),"")</f>
        <v>Office</v>
      </c>
      <c r="L2142" s="9">
        <f>IF(OR(RawWorking[[#This Row],[ShipDate]]="",RawWorking[[#This Row],[DeliveryDate]]=""),"",RawWorking[[#This Row],[DeliveryDate]]-RawWorking[[#This Row],[ShipDate]])</f>
        <v>9</v>
      </c>
      <c r="M2142" s="9">
        <f>IF(COUNTIF(INDEX(RawWorking[OrderID],1):RawWorking[[#This Row],[OrderID]],RawWorking[[#This Row],[OrderID]])=1,1,0)</f>
        <v>1</v>
      </c>
      <c r="N2142" s="4">
        <f>IFERROR(RawWorking[[#This Row],[LineAmount]]/RawWorking[[#This Row],[Quantity]],"")</f>
        <v>101.44</v>
      </c>
    </row>
    <row r="2143" spans="1:14">
      <c r="A2143">
        <v>52142</v>
      </c>
      <c r="B2143">
        <v>31242</v>
      </c>
      <c r="C2143" s="2">
        <v>45915</v>
      </c>
      <c r="D2143">
        <v>2430</v>
      </c>
      <c r="E2143">
        <v>1011</v>
      </c>
      <c r="F2143">
        <v>1</v>
      </c>
      <c r="G2143">
        <v>101.44</v>
      </c>
      <c r="H2143" s="2">
        <v>45917</v>
      </c>
      <c r="I2143" s="2">
        <v>45925</v>
      </c>
      <c r="J2143" t="s">
        <v>9</v>
      </c>
      <c r="K2143" s="2" t="str">
        <f>IFERROR(INDEX(Product_lookup[Category],MATCH(RawWorking[[#This Row],[ProductID]],Product_lookup[ProductID],0)),"")</f>
        <v>Office</v>
      </c>
      <c r="L2143" s="9">
        <f>IF(OR(RawWorking[[#This Row],[ShipDate]]="",RawWorking[[#This Row],[DeliveryDate]]=""),"",RawWorking[[#This Row],[DeliveryDate]]-RawWorking[[#This Row],[ShipDate]])</f>
        <v>8</v>
      </c>
      <c r="M2143" s="9">
        <f>IF(COUNTIF(INDEX(RawWorking[OrderID],1):RawWorking[[#This Row],[OrderID]],RawWorking[[#This Row],[OrderID]])=1,1,0)</f>
        <v>1</v>
      </c>
      <c r="N2143" s="4">
        <f>IFERROR(RawWorking[[#This Row],[LineAmount]]/RawWorking[[#This Row],[Quantity]],"")</f>
        <v>101.44</v>
      </c>
    </row>
    <row r="2144" spans="1:14">
      <c r="A2144">
        <v>52143</v>
      </c>
      <c r="B2144">
        <v>31242</v>
      </c>
      <c r="C2144" s="2">
        <v>45915</v>
      </c>
      <c r="D2144">
        <v>2430</v>
      </c>
      <c r="E2144">
        <v>1008</v>
      </c>
      <c r="F2144">
        <v>1</v>
      </c>
      <c r="G2144">
        <v>206.09</v>
      </c>
      <c r="H2144" s="2">
        <v>45918</v>
      </c>
      <c r="I2144" s="2">
        <v>45919</v>
      </c>
      <c r="J2144" t="s">
        <v>9</v>
      </c>
      <c r="K2144" s="2" t="str">
        <f>IFERROR(INDEX(Product_lookup[Category],MATCH(RawWorking[[#This Row],[ProductID]],Product_lookup[ProductID],0)),"")</f>
        <v>Home</v>
      </c>
      <c r="L2144" s="9">
        <f>IF(OR(RawWorking[[#This Row],[ShipDate]]="",RawWorking[[#This Row],[DeliveryDate]]=""),"",RawWorking[[#This Row],[DeliveryDate]]-RawWorking[[#This Row],[ShipDate]])</f>
        <v>1</v>
      </c>
      <c r="M2144" s="9">
        <f>IF(COUNTIF(INDEX(RawWorking[OrderID],1):RawWorking[[#This Row],[OrderID]],RawWorking[[#This Row],[OrderID]])=1,1,0)</f>
        <v>0</v>
      </c>
      <c r="N2144" s="4">
        <f>IFERROR(RawWorking[[#This Row],[LineAmount]]/RawWorking[[#This Row],[Quantity]],"")</f>
        <v>206.09</v>
      </c>
    </row>
    <row r="2145" spans="1:14">
      <c r="A2145">
        <v>52144</v>
      </c>
      <c r="B2145">
        <v>31242</v>
      </c>
      <c r="C2145" s="2">
        <v>45915</v>
      </c>
      <c r="D2145">
        <v>2430</v>
      </c>
      <c r="E2145">
        <v>1004</v>
      </c>
      <c r="F2145">
        <v>2</v>
      </c>
      <c r="G2145">
        <v>367.48</v>
      </c>
      <c r="H2145" s="2">
        <v>45917</v>
      </c>
      <c r="I2145" s="2">
        <v>45925</v>
      </c>
      <c r="J2145" t="s">
        <v>9</v>
      </c>
      <c r="K2145" s="2" t="str">
        <f>IFERROR(INDEX(Product_lookup[Category],MATCH(RawWorking[[#This Row],[ProductID]],Product_lookup[ProductID],0)),"")</f>
        <v>Electronics</v>
      </c>
      <c r="L2145" s="9">
        <f>IF(OR(RawWorking[[#This Row],[ShipDate]]="",RawWorking[[#This Row],[DeliveryDate]]=""),"",RawWorking[[#This Row],[DeliveryDate]]-RawWorking[[#This Row],[ShipDate]])</f>
        <v>8</v>
      </c>
      <c r="M2145" s="9">
        <f>IF(COUNTIF(INDEX(RawWorking[OrderID],1):RawWorking[[#This Row],[OrderID]],RawWorking[[#This Row],[OrderID]])=1,1,0)</f>
        <v>0</v>
      </c>
      <c r="N2145" s="4">
        <f>IFERROR(RawWorking[[#This Row],[LineAmount]]/RawWorking[[#This Row],[Quantity]],"")</f>
        <v>183.74</v>
      </c>
    </row>
    <row r="2146" spans="1:14">
      <c r="A2146">
        <v>52145</v>
      </c>
      <c r="B2146">
        <v>31243</v>
      </c>
      <c r="C2146" s="2">
        <v>45837</v>
      </c>
      <c r="D2146">
        <v>2334</v>
      </c>
      <c r="E2146">
        <v>1008</v>
      </c>
      <c r="F2146">
        <v>1</v>
      </c>
      <c r="G2146">
        <v>206.09</v>
      </c>
      <c r="H2146" s="2">
        <v>45839</v>
      </c>
      <c r="I2146" s="2">
        <v>45844</v>
      </c>
      <c r="J2146" t="s">
        <v>9</v>
      </c>
      <c r="K2146" s="2" t="str">
        <f>IFERROR(INDEX(Product_lookup[Category],MATCH(RawWorking[[#This Row],[ProductID]],Product_lookup[ProductID],0)),"")</f>
        <v>Home</v>
      </c>
      <c r="L2146" s="9">
        <f>IF(OR(RawWorking[[#This Row],[ShipDate]]="",RawWorking[[#This Row],[DeliveryDate]]=""),"",RawWorking[[#This Row],[DeliveryDate]]-RawWorking[[#This Row],[ShipDate]])</f>
        <v>5</v>
      </c>
      <c r="M2146" s="9">
        <f>IF(COUNTIF(INDEX(RawWorking[OrderID],1):RawWorking[[#This Row],[OrderID]],RawWorking[[#This Row],[OrderID]])=1,1,0)</f>
        <v>1</v>
      </c>
      <c r="N2146" s="4">
        <f>IFERROR(RawWorking[[#This Row],[LineAmount]]/RawWorking[[#This Row],[Quantity]],"")</f>
        <v>206.09</v>
      </c>
    </row>
    <row r="2147" spans="1:14">
      <c r="A2147">
        <v>52146</v>
      </c>
      <c r="B2147">
        <v>31243</v>
      </c>
      <c r="C2147" s="2">
        <v>45837</v>
      </c>
      <c r="D2147">
        <v>2334</v>
      </c>
      <c r="E2147">
        <v>1014</v>
      </c>
      <c r="F2147">
        <v>1</v>
      </c>
      <c r="G2147">
        <v>215.34</v>
      </c>
      <c r="H2147" s="2">
        <v>45838</v>
      </c>
      <c r="I2147" s="2">
        <v>45842</v>
      </c>
      <c r="J2147" t="s">
        <v>9</v>
      </c>
      <c r="K2147" s="2" t="str">
        <f>IFERROR(INDEX(Product_lookup[Category],MATCH(RawWorking[[#This Row],[ProductID]],Product_lookup[ProductID],0)),"")</f>
        <v>Sports</v>
      </c>
      <c r="L2147" s="9">
        <f>IF(OR(RawWorking[[#This Row],[ShipDate]]="",RawWorking[[#This Row],[DeliveryDate]]=""),"",RawWorking[[#This Row],[DeliveryDate]]-RawWorking[[#This Row],[ShipDate]])</f>
        <v>4</v>
      </c>
      <c r="M2147" s="9">
        <f>IF(COUNTIF(INDEX(RawWorking[OrderID],1):RawWorking[[#This Row],[OrderID]],RawWorking[[#This Row],[OrderID]])=1,1,0)</f>
        <v>0</v>
      </c>
      <c r="N2147" s="4">
        <f>IFERROR(RawWorking[[#This Row],[LineAmount]]/RawWorking[[#This Row],[Quantity]],"")</f>
        <v>215.34</v>
      </c>
    </row>
    <row r="2148" spans="1:14">
      <c r="A2148">
        <v>52147</v>
      </c>
      <c r="B2148">
        <v>31244</v>
      </c>
      <c r="C2148" s="2">
        <v>45807</v>
      </c>
      <c r="D2148">
        <v>2205</v>
      </c>
      <c r="E2148">
        <v>1008</v>
      </c>
      <c r="F2148">
        <v>3</v>
      </c>
      <c r="G2148">
        <v>618.27</v>
      </c>
      <c r="H2148" s="2">
        <v>45809</v>
      </c>
      <c r="I2148" s="2">
        <v>45906</v>
      </c>
      <c r="J2148" t="s">
        <v>9</v>
      </c>
      <c r="K2148" s="2" t="str">
        <f>IFERROR(INDEX(Product_lookup[Category],MATCH(RawWorking[[#This Row],[ProductID]],Product_lookup[ProductID],0)),"")</f>
        <v>Home</v>
      </c>
      <c r="L2148" s="9">
        <f>IF(OR(RawWorking[[#This Row],[ShipDate]]="",RawWorking[[#This Row],[DeliveryDate]]=""),"",RawWorking[[#This Row],[DeliveryDate]]-RawWorking[[#This Row],[ShipDate]])</f>
        <v>97</v>
      </c>
      <c r="M2148" s="9">
        <f>IF(COUNTIF(INDEX(RawWorking[OrderID],1):RawWorking[[#This Row],[OrderID]],RawWorking[[#This Row],[OrderID]])=1,1,0)</f>
        <v>1</v>
      </c>
      <c r="N2148" s="4">
        <f>IFERROR(RawWorking[[#This Row],[LineAmount]]/RawWorking[[#This Row],[Quantity]],"")</f>
        <v>206.09</v>
      </c>
    </row>
    <row r="2149" spans="1:14">
      <c r="A2149">
        <v>52148</v>
      </c>
      <c r="B2149">
        <v>31244</v>
      </c>
      <c r="C2149" s="2">
        <v>45807</v>
      </c>
      <c r="D2149">
        <v>2205</v>
      </c>
      <c r="E2149">
        <v>1003</v>
      </c>
      <c r="F2149">
        <v>1</v>
      </c>
      <c r="G2149">
        <v>224.37</v>
      </c>
      <c r="H2149" s="2">
        <v>45809</v>
      </c>
      <c r="I2149" s="2">
        <v>45813</v>
      </c>
      <c r="J2149" t="s">
        <v>9</v>
      </c>
      <c r="K2149" s="2" t="str">
        <f>IFERROR(INDEX(Product_lookup[Category],MATCH(RawWorking[[#This Row],[ProductID]],Product_lookup[ProductID],0)),"")</f>
        <v>Electronics</v>
      </c>
      <c r="L2149" s="9">
        <f>IF(OR(RawWorking[[#This Row],[ShipDate]]="",RawWorking[[#This Row],[DeliveryDate]]=""),"",RawWorking[[#This Row],[DeliveryDate]]-RawWorking[[#This Row],[ShipDate]])</f>
        <v>4</v>
      </c>
      <c r="M2149" s="9">
        <f>IF(COUNTIF(INDEX(RawWorking[OrderID],1):RawWorking[[#This Row],[OrderID]],RawWorking[[#This Row],[OrderID]])=1,1,0)</f>
        <v>0</v>
      </c>
      <c r="N2149" s="4">
        <f>IFERROR(RawWorking[[#This Row],[LineAmount]]/RawWorking[[#This Row],[Quantity]],"")</f>
        <v>224.37</v>
      </c>
    </row>
    <row r="2150" spans="1:14">
      <c r="A2150">
        <v>52149</v>
      </c>
      <c r="B2150">
        <v>31245</v>
      </c>
      <c r="C2150" s="2">
        <v>45839</v>
      </c>
      <c r="D2150">
        <v>2483</v>
      </c>
      <c r="E2150">
        <v>1002</v>
      </c>
      <c r="F2150">
        <v>1</v>
      </c>
      <c r="G2150">
        <v>118.6</v>
      </c>
      <c r="H2150" s="2">
        <v>45840</v>
      </c>
      <c r="I2150" s="2">
        <v>45844</v>
      </c>
      <c r="J2150" t="s">
        <v>9</v>
      </c>
      <c r="K2150" s="2" t="str">
        <f>IFERROR(INDEX(Product_lookup[Category],MATCH(RawWorking[[#This Row],[ProductID]],Product_lookup[ProductID],0)),"")</f>
        <v>Electronics</v>
      </c>
      <c r="L2150" s="9">
        <f>IF(OR(RawWorking[[#This Row],[ShipDate]]="",RawWorking[[#This Row],[DeliveryDate]]=""),"",RawWorking[[#This Row],[DeliveryDate]]-RawWorking[[#This Row],[ShipDate]])</f>
        <v>4</v>
      </c>
      <c r="M2150" s="9">
        <f>IF(COUNTIF(INDEX(RawWorking[OrderID],1):RawWorking[[#This Row],[OrderID]],RawWorking[[#This Row],[OrderID]])=1,1,0)</f>
        <v>1</v>
      </c>
      <c r="N2150" s="4">
        <f>IFERROR(RawWorking[[#This Row],[LineAmount]]/RawWorking[[#This Row],[Quantity]],"")</f>
        <v>118.6</v>
      </c>
    </row>
    <row r="2151" spans="1:14">
      <c r="A2151">
        <v>52150</v>
      </c>
      <c r="B2151">
        <v>31245</v>
      </c>
      <c r="C2151" s="2">
        <v>45664</v>
      </c>
      <c r="D2151">
        <v>2483</v>
      </c>
      <c r="E2151">
        <v>1014</v>
      </c>
      <c r="F2151">
        <v>2</v>
      </c>
      <c r="G2151">
        <v>430.68</v>
      </c>
      <c r="H2151" s="2">
        <v>45841</v>
      </c>
      <c r="I2151" s="2">
        <v>45845</v>
      </c>
      <c r="J2151" t="s">
        <v>9</v>
      </c>
      <c r="K2151" s="2" t="str">
        <f>IFERROR(INDEX(Product_lookup[Category],MATCH(RawWorking[[#This Row],[ProductID]],Product_lookup[ProductID],0)),"")</f>
        <v>Sports</v>
      </c>
      <c r="L2151" s="9">
        <f>IF(OR(RawWorking[[#This Row],[ShipDate]]="",RawWorking[[#This Row],[DeliveryDate]]=""),"",RawWorking[[#This Row],[DeliveryDate]]-RawWorking[[#This Row],[ShipDate]])</f>
        <v>4</v>
      </c>
      <c r="M2151" s="9">
        <f>IF(COUNTIF(INDEX(RawWorking[OrderID],1):RawWorking[[#This Row],[OrderID]],RawWorking[[#This Row],[OrderID]])=1,1,0)</f>
        <v>0</v>
      </c>
      <c r="N2151" s="4">
        <f>IFERROR(RawWorking[[#This Row],[LineAmount]]/RawWorking[[#This Row],[Quantity]],"")</f>
        <v>215.34</v>
      </c>
    </row>
    <row r="2152" spans="1:14">
      <c r="A2152">
        <v>52151</v>
      </c>
      <c r="B2152">
        <v>31246</v>
      </c>
      <c r="C2152" s="2">
        <v>45902</v>
      </c>
      <c r="D2152">
        <v>2149</v>
      </c>
      <c r="E2152">
        <v>1015</v>
      </c>
      <c r="F2152">
        <v>1</v>
      </c>
      <c r="G2152">
        <f>IFERROR(RawWorking[[#This Row],[Quantity]]*INDEX(Product_lookup[UnitPrice],MATCH(RawWorking[[#This Row],[ProductID]],Product_lookup[ProductID],0)),"")</f>
        <v>119.74</v>
      </c>
      <c r="H2152" s="2">
        <v>45904</v>
      </c>
      <c r="I2152" s="2">
        <v>45911</v>
      </c>
      <c r="J2152" t="s">
        <v>9</v>
      </c>
      <c r="K2152" s="2" t="str">
        <f>IFERROR(INDEX(Product_lookup[Category],MATCH(RawWorking[[#This Row],[ProductID]],Product_lookup[ProductID],0)),"")</f>
        <v>Sports</v>
      </c>
      <c r="L2152" s="9">
        <f>IF(OR(RawWorking[[#This Row],[ShipDate]]="",RawWorking[[#This Row],[DeliveryDate]]=""),"",RawWorking[[#This Row],[DeliveryDate]]-RawWorking[[#This Row],[ShipDate]])</f>
        <v>7</v>
      </c>
      <c r="M2152" s="9">
        <f>IF(COUNTIF(INDEX(RawWorking[OrderID],1):RawWorking[[#This Row],[OrderID]],RawWorking[[#This Row],[OrderID]])=1,1,0)</f>
        <v>1</v>
      </c>
      <c r="N2152" s="4">
        <f>IFERROR(RawWorking[[#This Row],[LineAmount]]/RawWorking[[#This Row],[Quantity]],"")</f>
        <v>119.74</v>
      </c>
    </row>
    <row r="2153" spans="1:14">
      <c r="A2153">
        <v>52152</v>
      </c>
      <c r="B2153">
        <v>31247</v>
      </c>
      <c r="C2153" s="2">
        <v>45884</v>
      </c>
      <c r="D2153">
        <v>2183</v>
      </c>
      <c r="E2153">
        <v>1005</v>
      </c>
      <c r="F2153">
        <v>3</v>
      </c>
      <c r="G2153">
        <v>95.19</v>
      </c>
      <c r="H2153" s="2">
        <v>45886</v>
      </c>
      <c r="I2153" s="2">
        <v>45895</v>
      </c>
      <c r="J2153" t="s">
        <v>9</v>
      </c>
      <c r="K2153" s="2" t="str">
        <f>IFERROR(INDEX(Product_lookup[Category],MATCH(RawWorking[[#This Row],[ProductID]],Product_lookup[ProductID],0)),"")</f>
        <v>Electronics</v>
      </c>
      <c r="L2153" s="9">
        <f>IF(OR(RawWorking[[#This Row],[ShipDate]]="",RawWorking[[#This Row],[DeliveryDate]]=""),"",RawWorking[[#This Row],[DeliveryDate]]-RawWorking[[#This Row],[ShipDate]])</f>
        <v>9</v>
      </c>
      <c r="M2153" s="9">
        <f>IF(COUNTIF(INDEX(RawWorking[OrderID],1):RawWorking[[#This Row],[OrderID]],RawWorking[[#This Row],[OrderID]])=1,1,0)</f>
        <v>1</v>
      </c>
      <c r="N2153" s="4">
        <f>IFERROR(RawWorking[[#This Row],[LineAmount]]/RawWorking[[#This Row],[Quantity]],"")</f>
        <v>31.73</v>
      </c>
    </row>
    <row r="2154" spans="1:14">
      <c r="A2154">
        <v>52153</v>
      </c>
      <c r="B2154">
        <v>31248</v>
      </c>
      <c r="C2154" s="2">
        <v>45845</v>
      </c>
      <c r="D2154">
        <v>2469</v>
      </c>
      <c r="E2154">
        <v>1012</v>
      </c>
      <c r="F2154">
        <v>1</v>
      </c>
      <c r="G2154">
        <v>241.54</v>
      </c>
      <c r="H2154" s="2">
        <v>45846</v>
      </c>
      <c r="I2154" s="2">
        <v>45850</v>
      </c>
      <c r="J2154" t="s">
        <v>9</v>
      </c>
      <c r="K2154" s="2" t="str">
        <f>IFERROR(INDEX(Product_lookup[Category],MATCH(RawWorking[[#This Row],[ProductID]],Product_lookup[ProductID],0)),"")</f>
        <v>Office</v>
      </c>
      <c r="L2154" s="9">
        <f>IF(OR(RawWorking[[#This Row],[ShipDate]]="",RawWorking[[#This Row],[DeliveryDate]]=""),"",RawWorking[[#This Row],[DeliveryDate]]-RawWorking[[#This Row],[ShipDate]])</f>
        <v>4</v>
      </c>
      <c r="M2154" s="9">
        <f>IF(COUNTIF(INDEX(RawWorking[OrderID],1):RawWorking[[#This Row],[OrderID]],RawWorking[[#This Row],[OrderID]])=1,1,0)</f>
        <v>1</v>
      </c>
      <c r="N2154" s="4">
        <f>IFERROR(RawWorking[[#This Row],[LineAmount]]/RawWorking[[#This Row],[Quantity]],"")</f>
        <v>241.54</v>
      </c>
    </row>
    <row r="2155" spans="1:14">
      <c r="A2155">
        <v>52154</v>
      </c>
      <c r="B2155">
        <v>31249</v>
      </c>
      <c r="C2155" s="2">
        <v>46000</v>
      </c>
      <c r="D2155">
        <v>2277</v>
      </c>
      <c r="E2155">
        <v>1005</v>
      </c>
      <c r="F2155">
        <v>1</v>
      </c>
      <c r="G2155">
        <v>31.73</v>
      </c>
      <c r="H2155" s="2">
        <v>46001</v>
      </c>
      <c r="I2155" s="2">
        <v>46003</v>
      </c>
      <c r="J2155" t="s">
        <v>9</v>
      </c>
      <c r="K2155" s="2" t="str">
        <f>IFERROR(INDEX(Product_lookup[Category],MATCH(RawWorking[[#This Row],[ProductID]],Product_lookup[ProductID],0)),"")</f>
        <v>Electronics</v>
      </c>
      <c r="L2155" s="9">
        <f>IF(OR(RawWorking[[#This Row],[ShipDate]]="",RawWorking[[#This Row],[DeliveryDate]]=""),"",RawWorking[[#This Row],[DeliveryDate]]-RawWorking[[#This Row],[ShipDate]])</f>
        <v>2</v>
      </c>
      <c r="M2155" s="9">
        <f>IF(COUNTIF(INDEX(RawWorking[OrderID],1):RawWorking[[#This Row],[OrderID]],RawWorking[[#This Row],[OrderID]])=1,1,0)</f>
        <v>1</v>
      </c>
      <c r="N2155" s="4">
        <f>IFERROR(RawWorking[[#This Row],[LineAmount]]/RawWorking[[#This Row],[Quantity]],"")</f>
        <v>31.73</v>
      </c>
    </row>
    <row r="2156" spans="1:14">
      <c r="A2156">
        <v>52155</v>
      </c>
      <c r="B2156">
        <v>31250</v>
      </c>
      <c r="C2156" s="2">
        <v>45826</v>
      </c>
      <c r="D2156">
        <v>2033</v>
      </c>
      <c r="E2156">
        <v>1002</v>
      </c>
      <c r="F2156">
        <v>4</v>
      </c>
      <c r="G2156">
        <v>474.4</v>
      </c>
      <c r="H2156" s="2">
        <v>45829</v>
      </c>
      <c r="I2156" s="2">
        <v>45832</v>
      </c>
      <c r="J2156" t="s">
        <v>9</v>
      </c>
      <c r="K2156" s="2" t="str">
        <f>IFERROR(INDEX(Product_lookup[Category],MATCH(RawWorking[[#This Row],[ProductID]],Product_lookup[ProductID],0)),"")</f>
        <v>Electronics</v>
      </c>
      <c r="L2156" s="9">
        <f>IF(OR(RawWorking[[#This Row],[ShipDate]]="",RawWorking[[#This Row],[DeliveryDate]]=""),"",RawWorking[[#This Row],[DeliveryDate]]-RawWorking[[#This Row],[ShipDate]])</f>
        <v>3</v>
      </c>
      <c r="M2156" s="9">
        <f>IF(COUNTIF(INDEX(RawWorking[OrderID],1):RawWorking[[#This Row],[OrderID]],RawWorking[[#This Row],[OrderID]])=1,1,0)</f>
        <v>1</v>
      </c>
      <c r="N2156" s="4">
        <f>IFERROR(RawWorking[[#This Row],[LineAmount]]/RawWorking[[#This Row],[Quantity]],"")</f>
        <v>118.6</v>
      </c>
    </row>
    <row r="2157" spans="1:14">
      <c r="A2157">
        <v>52156</v>
      </c>
      <c r="B2157">
        <v>31250</v>
      </c>
      <c r="C2157" s="2">
        <v>45826</v>
      </c>
      <c r="D2157">
        <v>2033</v>
      </c>
      <c r="E2157">
        <v>1009</v>
      </c>
      <c r="F2157">
        <v>1</v>
      </c>
      <c r="G2157">
        <v>40.28</v>
      </c>
      <c r="H2157" s="2">
        <v>45829</v>
      </c>
      <c r="I2157" s="2">
        <v>45837</v>
      </c>
      <c r="J2157" t="s">
        <v>9</v>
      </c>
      <c r="K2157" s="2" t="str">
        <f>IFERROR(INDEX(Product_lookup[Category],MATCH(RawWorking[[#This Row],[ProductID]],Product_lookup[ProductID],0)),"")</f>
        <v>Home</v>
      </c>
      <c r="L2157" s="9">
        <f>IF(OR(RawWorking[[#This Row],[ShipDate]]="",RawWorking[[#This Row],[DeliveryDate]]=""),"",RawWorking[[#This Row],[DeliveryDate]]-RawWorking[[#This Row],[ShipDate]])</f>
        <v>8</v>
      </c>
      <c r="M2157" s="9">
        <f>IF(COUNTIF(INDEX(RawWorking[OrderID],1):RawWorking[[#This Row],[OrderID]],RawWorking[[#This Row],[OrderID]])=1,1,0)</f>
        <v>0</v>
      </c>
      <c r="N2157" s="4">
        <f>IFERROR(RawWorking[[#This Row],[LineAmount]]/RawWorking[[#This Row],[Quantity]],"")</f>
        <v>40.28</v>
      </c>
    </row>
    <row r="2158" spans="1:14">
      <c r="A2158">
        <v>52157</v>
      </c>
      <c r="B2158">
        <v>31250</v>
      </c>
      <c r="C2158" s="2">
        <v>45826</v>
      </c>
      <c r="D2158">
        <v>2033</v>
      </c>
      <c r="E2158">
        <v>1005</v>
      </c>
      <c r="F2158">
        <v>5</v>
      </c>
      <c r="G2158">
        <v>158.65</v>
      </c>
      <c r="H2158" s="2">
        <v>45829</v>
      </c>
      <c r="I2158" s="2">
        <v>45838</v>
      </c>
      <c r="J2158" t="s">
        <v>9</v>
      </c>
      <c r="K2158" s="2" t="str">
        <f>IFERROR(INDEX(Product_lookup[Category],MATCH(RawWorking[[#This Row],[ProductID]],Product_lookup[ProductID],0)),"")</f>
        <v>Electronics</v>
      </c>
      <c r="L2158" s="9">
        <f>IF(OR(RawWorking[[#This Row],[ShipDate]]="",RawWorking[[#This Row],[DeliveryDate]]=""),"",RawWorking[[#This Row],[DeliveryDate]]-RawWorking[[#This Row],[ShipDate]])</f>
        <v>9</v>
      </c>
      <c r="M2158" s="9">
        <f>IF(COUNTIF(INDEX(RawWorking[OrderID],1):RawWorking[[#This Row],[OrderID]],RawWorking[[#This Row],[OrderID]])=1,1,0)</f>
        <v>0</v>
      </c>
      <c r="N2158" s="4">
        <f>IFERROR(RawWorking[[#This Row],[LineAmount]]/RawWorking[[#This Row],[Quantity]],"")</f>
        <v>31.73</v>
      </c>
    </row>
    <row r="2159" spans="1:14">
      <c r="A2159">
        <v>52158</v>
      </c>
      <c r="B2159">
        <v>31251</v>
      </c>
      <c r="C2159" s="2">
        <v>45694</v>
      </c>
      <c r="D2159">
        <v>2114</v>
      </c>
      <c r="E2159">
        <v>1015</v>
      </c>
      <c r="F2159">
        <v>1</v>
      </c>
      <c r="G2159">
        <v>119.74</v>
      </c>
      <c r="H2159" s="2" t="s">
        <v>1421</v>
      </c>
      <c r="I2159" s="2" t="s">
        <v>1421</v>
      </c>
      <c r="J2159" t="s">
        <v>16</v>
      </c>
      <c r="K2159" s="2" t="str">
        <f>IFERROR(INDEX(Product_lookup[Category],MATCH(RawWorking[[#This Row],[ProductID]],Product_lookup[ProductID],0)),"")</f>
        <v>Sports</v>
      </c>
      <c r="L2159" s="9" t="str">
        <f>IF(OR(RawWorking[[#This Row],[ShipDate]]="",RawWorking[[#This Row],[DeliveryDate]]=""),"",RawWorking[[#This Row],[DeliveryDate]]-RawWorking[[#This Row],[ShipDate]])</f>
        <v/>
      </c>
      <c r="M2159" s="9">
        <f>IF(COUNTIF(INDEX(RawWorking[OrderID],1):RawWorking[[#This Row],[OrderID]],RawWorking[[#This Row],[OrderID]])=1,1,0)</f>
        <v>1</v>
      </c>
      <c r="N2159" s="4">
        <f>IFERROR(RawWorking[[#This Row],[LineAmount]]/RawWorking[[#This Row],[Quantity]],"")</f>
        <v>119.74</v>
      </c>
    </row>
    <row r="2160" spans="1:14">
      <c r="A2160">
        <v>52159</v>
      </c>
      <c r="B2160">
        <v>31252</v>
      </c>
      <c r="C2160" s="2">
        <v>45666</v>
      </c>
      <c r="D2160">
        <v>2352</v>
      </c>
      <c r="E2160">
        <v>1010</v>
      </c>
      <c r="F2160">
        <v>2</v>
      </c>
      <c r="G2160">
        <v>243</v>
      </c>
      <c r="H2160" s="2">
        <v>45668</v>
      </c>
      <c r="I2160" s="2">
        <v>45674</v>
      </c>
      <c r="J2160" t="s">
        <v>9</v>
      </c>
      <c r="K2160" s="2" t="str">
        <f>IFERROR(INDEX(Product_lookup[Category],MATCH(RawWorking[[#This Row],[ProductID]],Product_lookup[ProductID],0)),"")</f>
        <v>Office</v>
      </c>
      <c r="L2160" s="9">
        <f>IF(OR(RawWorking[[#This Row],[ShipDate]]="",RawWorking[[#This Row],[DeliveryDate]]=""),"",RawWorking[[#This Row],[DeliveryDate]]-RawWorking[[#This Row],[ShipDate]])</f>
        <v>6</v>
      </c>
      <c r="M2160" s="9">
        <f>IF(COUNTIF(INDEX(RawWorking[OrderID],1):RawWorking[[#This Row],[OrderID]],RawWorking[[#This Row],[OrderID]])=1,1,0)</f>
        <v>1</v>
      </c>
      <c r="N2160" s="4">
        <f>IFERROR(RawWorking[[#This Row],[LineAmount]]/RawWorking[[#This Row],[Quantity]],"")</f>
        <v>121.5</v>
      </c>
    </row>
    <row r="2161" spans="1:14">
      <c r="A2161">
        <v>52160</v>
      </c>
      <c r="B2161">
        <v>31252</v>
      </c>
      <c r="C2161" s="2">
        <v>45666</v>
      </c>
      <c r="D2161">
        <v>2352</v>
      </c>
      <c r="E2161">
        <v>1006</v>
      </c>
      <c r="F2161">
        <v>1</v>
      </c>
      <c r="G2161">
        <v>253.86</v>
      </c>
      <c r="H2161" s="2">
        <v>45669</v>
      </c>
      <c r="I2161" s="2">
        <v>45672</v>
      </c>
      <c r="J2161" t="s">
        <v>9</v>
      </c>
      <c r="K2161" s="2" t="str">
        <f>IFERROR(INDEX(Product_lookup[Category],MATCH(RawWorking[[#This Row],[ProductID]],Product_lookup[ProductID],0)),"")</f>
        <v>Home</v>
      </c>
      <c r="L2161" s="9">
        <f>IF(OR(RawWorking[[#This Row],[ShipDate]]="",RawWorking[[#This Row],[DeliveryDate]]=""),"",RawWorking[[#This Row],[DeliveryDate]]-RawWorking[[#This Row],[ShipDate]])</f>
        <v>3</v>
      </c>
      <c r="M2161" s="9">
        <f>IF(COUNTIF(INDEX(RawWorking[OrderID],1):RawWorking[[#This Row],[OrderID]],RawWorking[[#This Row],[OrderID]])=1,1,0)</f>
        <v>0</v>
      </c>
      <c r="N2161" s="4">
        <f>IFERROR(RawWorking[[#This Row],[LineAmount]]/RawWorking[[#This Row],[Quantity]],"")</f>
        <v>253.86</v>
      </c>
    </row>
    <row r="2162" spans="1:14">
      <c r="A2162">
        <v>52161</v>
      </c>
      <c r="B2162">
        <v>31252</v>
      </c>
      <c r="C2162" s="2">
        <v>45666</v>
      </c>
      <c r="D2162">
        <v>2352</v>
      </c>
      <c r="E2162">
        <v>1006</v>
      </c>
      <c r="F2162">
        <v>2</v>
      </c>
      <c r="G2162">
        <v>507.72</v>
      </c>
      <c r="H2162" s="2">
        <v>45668</v>
      </c>
      <c r="I2162" s="2">
        <v>45669</v>
      </c>
      <c r="J2162" t="s">
        <v>9</v>
      </c>
      <c r="K2162" s="2" t="str">
        <f>IFERROR(INDEX(Product_lookup[Category],MATCH(RawWorking[[#This Row],[ProductID]],Product_lookup[ProductID],0)),"")</f>
        <v>Home</v>
      </c>
      <c r="L2162" s="9">
        <f>IF(OR(RawWorking[[#This Row],[ShipDate]]="",RawWorking[[#This Row],[DeliveryDate]]=""),"",RawWorking[[#This Row],[DeliveryDate]]-RawWorking[[#This Row],[ShipDate]])</f>
        <v>1</v>
      </c>
      <c r="M2162" s="9">
        <f>IF(COUNTIF(INDEX(RawWorking[OrderID],1):RawWorking[[#This Row],[OrderID]],RawWorking[[#This Row],[OrderID]])=1,1,0)</f>
        <v>0</v>
      </c>
      <c r="N2162" s="4">
        <f>IFERROR(RawWorking[[#This Row],[LineAmount]]/RawWorking[[#This Row],[Quantity]],"")</f>
        <v>253.86</v>
      </c>
    </row>
    <row r="2163" spans="1:14">
      <c r="A2163">
        <v>52162</v>
      </c>
      <c r="B2163">
        <v>31253</v>
      </c>
      <c r="C2163" s="2">
        <v>45762</v>
      </c>
      <c r="D2163">
        <v>2592</v>
      </c>
      <c r="E2163">
        <v>1008</v>
      </c>
      <c r="F2163">
        <v>2</v>
      </c>
      <c r="G2163">
        <v>412.18</v>
      </c>
      <c r="H2163" s="2">
        <v>45764</v>
      </c>
      <c r="I2163" s="2">
        <v>45770</v>
      </c>
      <c r="J2163" t="s">
        <v>11</v>
      </c>
      <c r="K2163" s="2" t="str">
        <f>IFERROR(INDEX(Product_lookup[Category],MATCH(RawWorking[[#This Row],[ProductID]],Product_lookup[ProductID],0)),"")</f>
        <v>Home</v>
      </c>
      <c r="L2163" s="9">
        <f>IF(OR(RawWorking[[#This Row],[ShipDate]]="",RawWorking[[#This Row],[DeliveryDate]]=""),"",RawWorking[[#This Row],[DeliveryDate]]-RawWorking[[#This Row],[ShipDate]])</f>
        <v>6</v>
      </c>
      <c r="M2163" s="9">
        <f>IF(COUNTIF(INDEX(RawWorking[OrderID],1):RawWorking[[#This Row],[OrderID]],RawWorking[[#This Row],[OrderID]])=1,1,0)</f>
        <v>1</v>
      </c>
      <c r="N2163" s="4">
        <f>IFERROR(RawWorking[[#This Row],[LineAmount]]/RawWorking[[#This Row],[Quantity]],"")</f>
        <v>206.09</v>
      </c>
    </row>
    <row r="2164" spans="1:14">
      <c r="A2164">
        <v>52163</v>
      </c>
      <c r="B2164">
        <v>31253</v>
      </c>
      <c r="C2164" s="2">
        <v>45762</v>
      </c>
      <c r="D2164">
        <v>2592</v>
      </c>
      <c r="E2164">
        <v>1003</v>
      </c>
      <c r="F2164">
        <v>3</v>
      </c>
      <c r="G2164">
        <v>673.11</v>
      </c>
      <c r="H2164" s="2">
        <v>45763</v>
      </c>
      <c r="I2164" s="2">
        <v>45768</v>
      </c>
      <c r="J2164" t="s">
        <v>11</v>
      </c>
      <c r="K2164" s="2" t="str">
        <f>IFERROR(INDEX(Product_lookup[Category],MATCH(RawWorking[[#This Row],[ProductID]],Product_lookup[ProductID],0)),"")</f>
        <v>Electronics</v>
      </c>
      <c r="L2164" s="9">
        <f>IF(OR(RawWorking[[#This Row],[ShipDate]]="",RawWorking[[#This Row],[DeliveryDate]]=""),"",RawWorking[[#This Row],[DeliveryDate]]-RawWorking[[#This Row],[ShipDate]])</f>
        <v>5</v>
      </c>
      <c r="M2164" s="9">
        <f>IF(COUNTIF(INDEX(RawWorking[OrderID],1):RawWorking[[#This Row],[OrderID]],RawWorking[[#This Row],[OrderID]])=1,1,0)</f>
        <v>0</v>
      </c>
      <c r="N2164" s="4">
        <f>IFERROR(RawWorking[[#This Row],[LineAmount]]/RawWorking[[#This Row],[Quantity]],"")</f>
        <v>224.37</v>
      </c>
    </row>
    <row r="2165" spans="1:14">
      <c r="A2165">
        <v>52164</v>
      </c>
      <c r="B2165">
        <v>31254</v>
      </c>
      <c r="C2165" s="2">
        <v>45919</v>
      </c>
      <c r="D2165">
        <v>2422</v>
      </c>
      <c r="E2165">
        <v>1016</v>
      </c>
      <c r="F2165">
        <v>1</v>
      </c>
      <c r="G2165">
        <v>65.260000000000005</v>
      </c>
      <c r="H2165" s="2" t="s">
        <v>1421</v>
      </c>
      <c r="I2165" s="2" t="s">
        <v>1421</v>
      </c>
      <c r="J2165" t="s">
        <v>16</v>
      </c>
      <c r="K2165" s="2" t="str">
        <f>IFERROR(INDEX(Product_lookup[Category],MATCH(RawWorking[[#This Row],[ProductID]],Product_lookup[ProductID],0)),"")</f>
        <v>Sports</v>
      </c>
      <c r="L2165" s="9" t="str">
        <f>IF(OR(RawWorking[[#This Row],[ShipDate]]="",RawWorking[[#This Row],[DeliveryDate]]=""),"",RawWorking[[#This Row],[DeliveryDate]]-RawWorking[[#This Row],[ShipDate]])</f>
        <v/>
      </c>
      <c r="M2165" s="9">
        <f>IF(COUNTIF(INDEX(RawWorking[OrderID],1):RawWorking[[#This Row],[OrderID]],RawWorking[[#This Row],[OrderID]])=1,1,0)</f>
        <v>1</v>
      </c>
      <c r="N2165" s="4">
        <f>IFERROR(RawWorking[[#This Row],[LineAmount]]/RawWorking[[#This Row],[Quantity]],"")</f>
        <v>65.260000000000005</v>
      </c>
    </row>
    <row r="2166" spans="1:14">
      <c r="A2166">
        <v>52165</v>
      </c>
      <c r="B2166">
        <v>31255</v>
      </c>
      <c r="C2166" s="2">
        <v>45879</v>
      </c>
      <c r="D2166">
        <v>2222</v>
      </c>
      <c r="E2166">
        <v>1015</v>
      </c>
      <c r="F2166">
        <v>1</v>
      </c>
      <c r="G2166">
        <v>119.74</v>
      </c>
      <c r="H2166" s="2">
        <v>45881</v>
      </c>
      <c r="I2166" s="2">
        <v>45886</v>
      </c>
      <c r="J2166" t="s">
        <v>9</v>
      </c>
      <c r="K2166" s="2" t="str">
        <f>IFERROR(INDEX(Product_lookup[Category],MATCH(RawWorking[[#This Row],[ProductID]],Product_lookup[ProductID],0)),"")</f>
        <v>Sports</v>
      </c>
      <c r="L2166" s="9">
        <f>IF(OR(RawWorking[[#This Row],[ShipDate]]="",RawWorking[[#This Row],[DeliveryDate]]=""),"",RawWorking[[#This Row],[DeliveryDate]]-RawWorking[[#This Row],[ShipDate]])</f>
        <v>5</v>
      </c>
      <c r="M2166" s="9">
        <f>IF(COUNTIF(INDEX(RawWorking[OrderID],1):RawWorking[[#This Row],[OrderID]],RawWorking[[#This Row],[OrderID]])=1,1,0)</f>
        <v>1</v>
      </c>
      <c r="N2166" s="4">
        <f>IFERROR(RawWorking[[#This Row],[LineAmount]]/RawWorking[[#This Row],[Quantity]],"")</f>
        <v>119.74</v>
      </c>
    </row>
    <row r="2167" spans="1:14">
      <c r="A2167">
        <v>52166</v>
      </c>
      <c r="B2167">
        <v>31256</v>
      </c>
      <c r="C2167" s="2">
        <v>45714</v>
      </c>
      <c r="D2167">
        <v>2286</v>
      </c>
      <c r="E2167">
        <v>1014</v>
      </c>
      <c r="F2167">
        <v>1</v>
      </c>
      <c r="G2167">
        <v>215.34</v>
      </c>
      <c r="H2167" s="2">
        <v>45716</v>
      </c>
      <c r="I2167" s="2">
        <v>45723</v>
      </c>
      <c r="J2167" t="s">
        <v>9</v>
      </c>
      <c r="K2167" s="2" t="str">
        <f>IFERROR(INDEX(Product_lookup[Category],MATCH(RawWorking[[#This Row],[ProductID]],Product_lookup[ProductID],0)),"")</f>
        <v>Sports</v>
      </c>
      <c r="L2167" s="9">
        <f>IF(OR(RawWorking[[#This Row],[ShipDate]]="",RawWorking[[#This Row],[DeliveryDate]]=""),"",RawWorking[[#This Row],[DeliveryDate]]-RawWorking[[#This Row],[ShipDate]])</f>
        <v>7</v>
      </c>
      <c r="M2167" s="9">
        <f>IF(COUNTIF(INDEX(RawWorking[OrderID],1):RawWorking[[#This Row],[OrderID]],RawWorking[[#This Row],[OrderID]])=1,1,0)</f>
        <v>1</v>
      </c>
      <c r="N2167" s="4">
        <f>IFERROR(RawWorking[[#This Row],[LineAmount]]/RawWorking[[#This Row],[Quantity]],"")</f>
        <v>215.34</v>
      </c>
    </row>
    <row r="2168" spans="1:14">
      <c r="A2168">
        <v>52167</v>
      </c>
      <c r="B2168">
        <v>31257</v>
      </c>
      <c r="C2168" s="2">
        <v>45818</v>
      </c>
      <c r="D2168">
        <v>2253</v>
      </c>
      <c r="E2168">
        <v>1014</v>
      </c>
      <c r="F2168">
        <v>1</v>
      </c>
      <c r="G2168">
        <v>215.34</v>
      </c>
      <c r="H2168" s="2">
        <v>45819</v>
      </c>
      <c r="I2168" s="2">
        <v>45822</v>
      </c>
      <c r="J2168" t="s">
        <v>9</v>
      </c>
      <c r="K2168" s="2" t="str">
        <f>IFERROR(INDEX(Product_lookup[Category],MATCH(RawWorking[[#This Row],[ProductID]],Product_lookup[ProductID],0)),"")</f>
        <v>Sports</v>
      </c>
      <c r="L2168" s="9">
        <f>IF(OR(RawWorking[[#This Row],[ShipDate]]="",RawWorking[[#This Row],[DeliveryDate]]=""),"",RawWorking[[#This Row],[DeliveryDate]]-RawWorking[[#This Row],[ShipDate]])</f>
        <v>3</v>
      </c>
      <c r="M2168" s="9">
        <f>IF(COUNTIF(INDEX(RawWorking[OrderID],1):RawWorking[[#This Row],[OrderID]],RawWorking[[#This Row],[OrderID]])=1,1,0)</f>
        <v>1</v>
      </c>
      <c r="N2168" s="4">
        <f>IFERROR(RawWorking[[#This Row],[LineAmount]]/RawWorking[[#This Row],[Quantity]],"")</f>
        <v>215.34</v>
      </c>
    </row>
    <row r="2169" spans="1:14">
      <c r="A2169">
        <v>52168</v>
      </c>
      <c r="B2169">
        <v>31257</v>
      </c>
      <c r="C2169" s="2">
        <v>45818</v>
      </c>
      <c r="D2169">
        <v>2253</v>
      </c>
      <c r="E2169">
        <v>1008</v>
      </c>
      <c r="F2169">
        <v>1</v>
      </c>
      <c r="G2169">
        <v>206.09</v>
      </c>
      <c r="H2169" s="2">
        <v>45819</v>
      </c>
      <c r="I2169" s="2">
        <v>45824</v>
      </c>
      <c r="J2169" t="s">
        <v>9</v>
      </c>
      <c r="K2169" s="2" t="str">
        <f>IFERROR(INDEX(Product_lookup[Category],MATCH(RawWorking[[#This Row],[ProductID]],Product_lookup[ProductID],0)),"")</f>
        <v>Home</v>
      </c>
      <c r="L2169" s="9">
        <f>IF(OR(RawWorking[[#This Row],[ShipDate]]="",RawWorking[[#This Row],[DeliveryDate]]=""),"",RawWorking[[#This Row],[DeliveryDate]]-RawWorking[[#This Row],[ShipDate]])</f>
        <v>5</v>
      </c>
      <c r="M2169" s="9">
        <f>IF(COUNTIF(INDEX(RawWorking[OrderID],1):RawWorking[[#This Row],[OrderID]],RawWorking[[#This Row],[OrderID]])=1,1,0)</f>
        <v>0</v>
      </c>
      <c r="N2169" s="4">
        <f>IFERROR(RawWorking[[#This Row],[LineAmount]]/RawWorking[[#This Row],[Quantity]],"")</f>
        <v>206.09</v>
      </c>
    </row>
    <row r="2170" spans="1:14">
      <c r="A2170">
        <v>52169</v>
      </c>
      <c r="B2170">
        <v>31258</v>
      </c>
      <c r="C2170" s="2">
        <v>45944</v>
      </c>
      <c r="D2170">
        <v>2153</v>
      </c>
      <c r="E2170">
        <v>1001</v>
      </c>
      <c r="F2170">
        <v>1</v>
      </c>
      <c r="G2170">
        <v>203.04</v>
      </c>
      <c r="H2170" s="2" t="s">
        <v>1421</v>
      </c>
      <c r="I2170" s="2" t="s">
        <v>1421</v>
      </c>
      <c r="J2170" t="s">
        <v>12</v>
      </c>
      <c r="K2170" s="2" t="str">
        <f>IFERROR(INDEX(Product_lookup[Category],MATCH(RawWorking[[#This Row],[ProductID]],Product_lookup[ProductID],0)),"")</f>
        <v>Electronics</v>
      </c>
      <c r="L2170" s="9" t="str">
        <f>IF(OR(RawWorking[[#This Row],[ShipDate]]="",RawWorking[[#This Row],[DeliveryDate]]=""),"",RawWorking[[#This Row],[DeliveryDate]]-RawWorking[[#This Row],[ShipDate]])</f>
        <v/>
      </c>
      <c r="M2170" s="9">
        <f>IF(COUNTIF(INDEX(RawWorking[OrderID],1):RawWorking[[#This Row],[OrderID]],RawWorking[[#This Row],[OrderID]])=1,1,0)</f>
        <v>1</v>
      </c>
      <c r="N2170" s="4">
        <f>IFERROR(RawWorking[[#This Row],[LineAmount]]/RawWorking[[#This Row],[Quantity]],"")</f>
        <v>203.04</v>
      </c>
    </row>
    <row r="2171" spans="1:14">
      <c r="A2171">
        <v>52170</v>
      </c>
      <c r="B2171">
        <v>31258</v>
      </c>
      <c r="C2171" s="2">
        <v>45944</v>
      </c>
      <c r="D2171">
        <v>2153</v>
      </c>
      <c r="E2171">
        <v>1014</v>
      </c>
      <c r="F2171">
        <v>1</v>
      </c>
      <c r="G2171">
        <v>215.34</v>
      </c>
      <c r="H2171" s="2" t="s">
        <v>1421</v>
      </c>
      <c r="I2171" s="2" t="s">
        <v>1421</v>
      </c>
      <c r="J2171" t="s">
        <v>12</v>
      </c>
      <c r="K2171" s="2" t="str">
        <f>IFERROR(INDEX(Product_lookup[Category],MATCH(RawWorking[[#This Row],[ProductID]],Product_lookup[ProductID],0)),"")</f>
        <v>Sports</v>
      </c>
      <c r="L2171" s="9" t="str">
        <f>IF(OR(RawWorking[[#This Row],[ShipDate]]="",RawWorking[[#This Row],[DeliveryDate]]=""),"",RawWorking[[#This Row],[DeliveryDate]]-RawWorking[[#This Row],[ShipDate]])</f>
        <v/>
      </c>
      <c r="M2171" s="9">
        <f>IF(COUNTIF(INDEX(RawWorking[OrderID],1):RawWorking[[#This Row],[OrderID]],RawWorking[[#This Row],[OrderID]])=1,1,0)</f>
        <v>0</v>
      </c>
      <c r="N2171" s="4">
        <f>IFERROR(RawWorking[[#This Row],[LineAmount]]/RawWorking[[#This Row],[Quantity]],"")</f>
        <v>215.34</v>
      </c>
    </row>
    <row r="2172" spans="1:14">
      <c r="A2172">
        <v>52171</v>
      </c>
      <c r="B2172">
        <v>31258</v>
      </c>
      <c r="C2172" s="2">
        <v>45944</v>
      </c>
      <c r="D2172">
        <v>2153</v>
      </c>
      <c r="E2172">
        <v>1002</v>
      </c>
      <c r="F2172">
        <v>1</v>
      </c>
      <c r="G2172">
        <v>118.6</v>
      </c>
      <c r="H2172" s="2" t="s">
        <v>1421</v>
      </c>
      <c r="I2172" s="2" t="s">
        <v>1421</v>
      </c>
      <c r="J2172" t="s">
        <v>12</v>
      </c>
      <c r="K2172" s="2" t="str">
        <f>IFERROR(INDEX(Product_lookup[Category],MATCH(RawWorking[[#This Row],[ProductID]],Product_lookup[ProductID],0)),"")</f>
        <v>Electronics</v>
      </c>
      <c r="L2172" s="9" t="str">
        <f>IF(OR(RawWorking[[#This Row],[ShipDate]]="",RawWorking[[#This Row],[DeliveryDate]]=""),"",RawWorking[[#This Row],[DeliveryDate]]-RawWorking[[#This Row],[ShipDate]])</f>
        <v/>
      </c>
      <c r="M2172" s="9">
        <f>IF(COUNTIF(INDEX(RawWorking[OrderID],1):RawWorking[[#This Row],[OrderID]],RawWorking[[#This Row],[OrderID]])=1,1,0)</f>
        <v>0</v>
      </c>
      <c r="N2172" s="4">
        <f>IFERROR(RawWorking[[#This Row],[LineAmount]]/RawWorking[[#This Row],[Quantity]],"")</f>
        <v>118.6</v>
      </c>
    </row>
    <row r="2173" spans="1:14">
      <c r="A2173">
        <v>52172</v>
      </c>
      <c r="B2173">
        <v>31258</v>
      </c>
      <c r="C2173" s="2">
        <v>45944</v>
      </c>
      <c r="D2173">
        <v>2153</v>
      </c>
      <c r="E2173">
        <v>1002</v>
      </c>
      <c r="F2173">
        <v>1</v>
      </c>
      <c r="G2173">
        <v>118.6</v>
      </c>
      <c r="H2173" s="2" t="s">
        <v>1421</v>
      </c>
      <c r="I2173" s="2" t="s">
        <v>1421</v>
      </c>
      <c r="J2173" t="s">
        <v>12</v>
      </c>
      <c r="K2173" s="2" t="str">
        <f>IFERROR(INDEX(Product_lookup[Category],MATCH(RawWorking[[#This Row],[ProductID]],Product_lookup[ProductID],0)),"")</f>
        <v>Electronics</v>
      </c>
      <c r="L2173" s="9" t="str">
        <f>IF(OR(RawWorking[[#This Row],[ShipDate]]="",RawWorking[[#This Row],[DeliveryDate]]=""),"",RawWorking[[#This Row],[DeliveryDate]]-RawWorking[[#This Row],[ShipDate]])</f>
        <v/>
      </c>
      <c r="M2173" s="9">
        <f>IF(COUNTIF(INDEX(RawWorking[OrderID],1):RawWorking[[#This Row],[OrderID]],RawWorking[[#This Row],[OrderID]])=1,1,0)</f>
        <v>0</v>
      </c>
      <c r="N2173" s="4">
        <f>IFERROR(RawWorking[[#This Row],[LineAmount]]/RawWorking[[#This Row],[Quantity]],"")</f>
        <v>118.6</v>
      </c>
    </row>
    <row r="2174" spans="1:14">
      <c r="A2174">
        <v>52173</v>
      </c>
      <c r="B2174">
        <v>31259</v>
      </c>
      <c r="C2174" s="2">
        <v>45928</v>
      </c>
      <c r="D2174">
        <v>2482</v>
      </c>
      <c r="E2174">
        <v>1002</v>
      </c>
      <c r="F2174">
        <v>4</v>
      </c>
      <c r="G2174">
        <v>474.4</v>
      </c>
      <c r="H2174" s="2">
        <v>45931</v>
      </c>
      <c r="I2174" s="2">
        <v>45940</v>
      </c>
      <c r="J2174" t="s">
        <v>9</v>
      </c>
      <c r="K2174" s="2" t="str">
        <f>IFERROR(INDEX(Product_lookup[Category],MATCH(RawWorking[[#This Row],[ProductID]],Product_lookup[ProductID],0)),"")</f>
        <v>Electronics</v>
      </c>
      <c r="L2174" s="9">
        <f>IF(OR(RawWorking[[#This Row],[ShipDate]]="",RawWorking[[#This Row],[DeliveryDate]]=""),"",RawWorking[[#This Row],[DeliveryDate]]-RawWorking[[#This Row],[ShipDate]])</f>
        <v>9</v>
      </c>
      <c r="M2174" s="9">
        <f>IF(COUNTIF(INDEX(RawWorking[OrderID],1):RawWorking[[#This Row],[OrderID]],RawWorking[[#This Row],[OrderID]])=1,1,0)</f>
        <v>1</v>
      </c>
      <c r="N2174" s="4">
        <f>IFERROR(RawWorking[[#This Row],[LineAmount]]/RawWorking[[#This Row],[Quantity]],"")</f>
        <v>118.6</v>
      </c>
    </row>
    <row r="2175" spans="1:14">
      <c r="A2175">
        <v>52174</v>
      </c>
      <c r="B2175">
        <v>31260</v>
      </c>
      <c r="C2175" s="2">
        <v>45724</v>
      </c>
      <c r="D2175">
        <v>2436</v>
      </c>
      <c r="E2175">
        <v>1016</v>
      </c>
      <c r="F2175">
        <v>3</v>
      </c>
      <c r="G2175">
        <v>195.78</v>
      </c>
      <c r="H2175" s="2">
        <v>45785</v>
      </c>
      <c r="I2175" s="2">
        <v>45875</v>
      </c>
      <c r="J2175" t="s">
        <v>9</v>
      </c>
      <c r="K2175" s="2" t="str">
        <f>IFERROR(INDEX(Product_lookup[Category],MATCH(RawWorking[[#This Row],[ProductID]],Product_lookup[ProductID],0)),"")</f>
        <v>Sports</v>
      </c>
      <c r="L2175" s="9">
        <f>IF(OR(RawWorking[[#This Row],[ShipDate]]="",RawWorking[[#This Row],[DeliveryDate]]=""),"",RawWorking[[#This Row],[DeliveryDate]]-RawWorking[[#This Row],[ShipDate]])</f>
        <v>90</v>
      </c>
      <c r="M2175" s="9">
        <f>IF(COUNTIF(INDEX(RawWorking[OrderID],1):RawWorking[[#This Row],[OrderID]],RawWorking[[#This Row],[OrderID]])=1,1,0)</f>
        <v>1</v>
      </c>
      <c r="N2175" s="4">
        <f>IFERROR(RawWorking[[#This Row],[LineAmount]]/RawWorking[[#This Row],[Quantity]],"")</f>
        <v>65.260000000000005</v>
      </c>
    </row>
    <row r="2176" spans="1:14">
      <c r="A2176">
        <v>52175</v>
      </c>
      <c r="B2176">
        <v>31261</v>
      </c>
      <c r="C2176" s="2">
        <v>45913</v>
      </c>
      <c r="D2176">
        <v>2101</v>
      </c>
      <c r="E2176">
        <v>1008</v>
      </c>
      <c r="F2176">
        <v>3</v>
      </c>
      <c r="G2176">
        <v>618.27</v>
      </c>
      <c r="H2176" s="2">
        <v>45916</v>
      </c>
      <c r="I2176" s="2">
        <v>45921</v>
      </c>
      <c r="J2176" t="s">
        <v>9</v>
      </c>
      <c r="K2176" s="2" t="str">
        <f>IFERROR(INDEX(Product_lookup[Category],MATCH(RawWorking[[#This Row],[ProductID]],Product_lookup[ProductID],0)),"")</f>
        <v>Home</v>
      </c>
      <c r="L2176" s="9">
        <f>IF(OR(RawWorking[[#This Row],[ShipDate]]="",RawWorking[[#This Row],[DeliveryDate]]=""),"",RawWorking[[#This Row],[DeliveryDate]]-RawWorking[[#This Row],[ShipDate]])</f>
        <v>5</v>
      </c>
      <c r="M2176" s="9">
        <f>IF(COUNTIF(INDEX(RawWorking[OrderID],1):RawWorking[[#This Row],[OrderID]],RawWorking[[#This Row],[OrderID]])=1,1,0)</f>
        <v>1</v>
      </c>
      <c r="N2176" s="4">
        <f>IFERROR(RawWorking[[#This Row],[LineAmount]]/RawWorking[[#This Row],[Quantity]],"")</f>
        <v>206.09</v>
      </c>
    </row>
    <row r="2177" spans="1:14">
      <c r="A2177">
        <v>52176</v>
      </c>
      <c r="B2177">
        <v>31262</v>
      </c>
      <c r="C2177" s="2">
        <v>45851</v>
      </c>
      <c r="D2177">
        <v>2086</v>
      </c>
      <c r="E2177">
        <v>1001</v>
      </c>
      <c r="F2177">
        <v>3</v>
      </c>
      <c r="G2177">
        <v>609.12</v>
      </c>
      <c r="H2177" s="2">
        <v>45853</v>
      </c>
      <c r="I2177" s="2">
        <v>45854</v>
      </c>
      <c r="J2177" t="s">
        <v>9</v>
      </c>
      <c r="K2177" s="2" t="str">
        <f>IFERROR(INDEX(Product_lookup[Category],MATCH(RawWorking[[#This Row],[ProductID]],Product_lookup[ProductID],0)),"")</f>
        <v>Electronics</v>
      </c>
      <c r="L2177" s="9">
        <f>IF(OR(RawWorking[[#This Row],[ShipDate]]="",RawWorking[[#This Row],[DeliveryDate]]=""),"",RawWorking[[#This Row],[DeliveryDate]]-RawWorking[[#This Row],[ShipDate]])</f>
        <v>1</v>
      </c>
      <c r="M2177" s="9">
        <f>IF(COUNTIF(INDEX(RawWorking[OrderID],1):RawWorking[[#This Row],[OrderID]],RawWorking[[#This Row],[OrderID]])=1,1,0)</f>
        <v>1</v>
      </c>
      <c r="N2177" s="4">
        <f>IFERROR(RawWorking[[#This Row],[LineAmount]]/RawWorking[[#This Row],[Quantity]],"")</f>
        <v>203.04</v>
      </c>
    </row>
    <row r="2178" spans="1:14">
      <c r="A2178">
        <v>52177</v>
      </c>
      <c r="B2178">
        <v>31263</v>
      </c>
      <c r="C2178" s="2">
        <v>45914</v>
      </c>
      <c r="D2178">
        <v>2417</v>
      </c>
      <c r="E2178">
        <v>1005</v>
      </c>
      <c r="F2178">
        <v>1</v>
      </c>
      <c r="G2178">
        <v>31.73</v>
      </c>
      <c r="H2178" s="2">
        <v>45915</v>
      </c>
      <c r="I2178" s="2">
        <v>45918</v>
      </c>
      <c r="J2178" t="s">
        <v>11</v>
      </c>
      <c r="K2178" s="2" t="str">
        <f>IFERROR(INDEX(Product_lookup[Category],MATCH(RawWorking[[#This Row],[ProductID]],Product_lookup[ProductID],0)),"")</f>
        <v>Electronics</v>
      </c>
      <c r="L2178" s="9">
        <f>IF(OR(RawWorking[[#This Row],[ShipDate]]="",RawWorking[[#This Row],[DeliveryDate]]=""),"",RawWorking[[#This Row],[DeliveryDate]]-RawWorking[[#This Row],[ShipDate]])</f>
        <v>3</v>
      </c>
      <c r="M2178" s="9">
        <f>IF(COUNTIF(INDEX(RawWorking[OrderID],1):RawWorking[[#This Row],[OrderID]],RawWorking[[#This Row],[OrderID]])=1,1,0)</f>
        <v>1</v>
      </c>
      <c r="N2178" s="4">
        <f>IFERROR(RawWorking[[#This Row],[LineAmount]]/RawWorking[[#This Row],[Quantity]],"")</f>
        <v>31.73</v>
      </c>
    </row>
    <row r="2179" spans="1:14">
      <c r="A2179">
        <v>52178</v>
      </c>
      <c r="B2179">
        <v>31263</v>
      </c>
      <c r="C2179" s="2">
        <v>45914</v>
      </c>
      <c r="D2179">
        <v>2417</v>
      </c>
      <c r="E2179">
        <v>1012</v>
      </c>
      <c r="F2179">
        <v>2</v>
      </c>
      <c r="G2179">
        <v>483.08</v>
      </c>
      <c r="H2179" s="2">
        <v>45917</v>
      </c>
      <c r="I2179" s="2">
        <v>45919</v>
      </c>
      <c r="J2179" t="s">
        <v>11</v>
      </c>
      <c r="K2179" s="2" t="str">
        <f>IFERROR(INDEX(Product_lookup[Category],MATCH(RawWorking[[#This Row],[ProductID]],Product_lookup[ProductID],0)),"")</f>
        <v>Office</v>
      </c>
      <c r="L2179" s="9">
        <f>IF(OR(RawWorking[[#This Row],[ShipDate]]="",RawWorking[[#This Row],[DeliveryDate]]=""),"",RawWorking[[#This Row],[DeliveryDate]]-RawWorking[[#This Row],[ShipDate]])</f>
        <v>2</v>
      </c>
      <c r="M2179" s="9">
        <f>IF(COUNTIF(INDEX(RawWorking[OrderID],1):RawWorking[[#This Row],[OrderID]],RawWorking[[#This Row],[OrderID]])=1,1,0)</f>
        <v>0</v>
      </c>
      <c r="N2179" s="4">
        <f>IFERROR(RawWorking[[#This Row],[LineAmount]]/RawWorking[[#This Row],[Quantity]],"")</f>
        <v>241.54</v>
      </c>
    </row>
    <row r="2180" spans="1:14">
      <c r="A2180">
        <v>52179</v>
      </c>
      <c r="B2180">
        <v>31264</v>
      </c>
      <c r="C2180" s="2">
        <v>45885</v>
      </c>
      <c r="D2180">
        <v>2303</v>
      </c>
      <c r="E2180">
        <v>1003</v>
      </c>
      <c r="F2180">
        <v>1</v>
      </c>
      <c r="G2180">
        <v>224.37</v>
      </c>
      <c r="H2180" s="2">
        <v>45888</v>
      </c>
      <c r="I2180" s="2">
        <v>45898</v>
      </c>
      <c r="J2180" t="s">
        <v>9</v>
      </c>
      <c r="K2180" s="2" t="str">
        <f>IFERROR(INDEX(Product_lookup[Category],MATCH(RawWorking[[#This Row],[ProductID]],Product_lookup[ProductID],0)),"")</f>
        <v>Electronics</v>
      </c>
      <c r="L2180" s="9">
        <f>IF(OR(RawWorking[[#This Row],[ShipDate]]="",RawWorking[[#This Row],[DeliveryDate]]=""),"",RawWorking[[#This Row],[DeliveryDate]]-RawWorking[[#This Row],[ShipDate]])</f>
        <v>10</v>
      </c>
      <c r="M2180" s="9">
        <f>IF(COUNTIF(INDEX(RawWorking[OrderID],1):RawWorking[[#This Row],[OrderID]],RawWorking[[#This Row],[OrderID]])=1,1,0)</f>
        <v>1</v>
      </c>
      <c r="N2180" s="4">
        <f>IFERROR(RawWorking[[#This Row],[LineAmount]]/RawWorking[[#This Row],[Quantity]],"")</f>
        <v>224.37</v>
      </c>
    </row>
    <row r="2181" spans="1:14">
      <c r="A2181">
        <v>52180</v>
      </c>
      <c r="B2181">
        <v>31265</v>
      </c>
      <c r="C2181" s="2">
        <v>45865</v>
      </c>
      <c r="D2181">
        <v>2017</v>
      </c>
      <c r="E2181">
        <v>1010</v>
      </c>
      <c r="F2181">
        <v>1</v>
      </c>
      <c r="G2181">
        <v>121.5</v>
      </c>
      <c r="H2181" s="2">
        <v>45866</v>
      </c>
      <c r="I2181" s="2">
        <v>45873</v>
      </c>
      <c r="J2181" t="s">
        <v>9</v>
      </c>
      <c r="K2181" s="2" t="str">
        <f>IFERROR(INDEX(Product_lookup[Category],MATCH(RawWorking[[#This Row],[ProductID]],Product_lookup[ProductID],0)),"")</f>
        <v>Office</v>
      </c>
      <c r="L2181" s="9">
        <f>IF(OR(RawWorking[[#This Row],[ShipDate]]="",RawWorking[[#This Row],[DeliveryDate]]=""),"",RawWorking[[#This Row],[DeliveryDate]]-RawWorking[[#This Row],[ShipDate]])</f>
        <v>7</v>
      </c>
      <c r="M2181" s="9">
        <f>IF(COUNTIF(INDEX(RawWorking[OrderID],1):RawWorking[[#This Row],[OrderID]],RawWorking[[#This Row],[OrderID]])=1,1,0)</f>
        <v>1</v>
      </c>
      <c r="N2181" s="4">
        <f>IFERROR(RawWorking[[#This Row],[LineAmount]]/RawWorking[[#This Row],[Quantity]],"")</f>
        <v>121.5</v>
      </c>
    </row>
    <row r="2182" spans="1:14">
      <c r="A2182">
        <v>52181</v>
      </c>
      <c r="B2182">
        <v>31265</v>
      </c>
      <c r="C2182" s="2">
        <v>45865</v>
      </c>
      <c r="D2182">
        <v>2017</v>
      </c>
      <c r="E2182">
        <v>1006</v>
      </c>
      <c r="F2182">
        <v>2</v>
      </c>
      <c r="G2182">
        <v>507.72</v>
      </c>
      <c r="H2182" s="2">
        <v>45866</v>
      </c>
      <c r="I2182" s="2">
        <v>45873</v>
      </c>
      <c r="J2182" t="s">
        <v>9</v>
      </c>
      <c r="K2182" s="2" t="str">
        <f>IFERROR(INDEX(Product_lookup[Category],MATCH(RawWorking[[#This Row],[ProductID]],Product_lookup[ProductID],0)),"")</f>
        <v>Home</v>
      </c>
      <c r="L2182" s="9">
        <f>IF(OR(RawWorking[[#This Row],[ShipDate]]="",RawWorking[[#This Row],[DeliveryDate]]=""),"",RawWorking[[#This Row],[DeliveryDate]]-RawWorking[[#This Row],[ShipDate]])</f>
        <v>7</v>
      </c>
      <c r="M2182" s="9">
        <f>IF(COUNTIF(INDEX(RawWorking[OrderID],1):RawWorking[[#This Row],[OrderID]],RawWorking[[#This Row],[OrderID]])=1,1,0)</f>
        <v>0</v>
      </c>
      <c r="N2182" s="4">
        <f>IFERROR(RawWorking[[#This Row],[LineAmount]]/RawWorking[[#This Row],[Quantity]],"")</f>
        <v>253.86</v>
      </c>
    </row>
    <row r="2183" spans="1:14">
      <c r="A2183">
        <v>52182</v>
      </c>
      <c r="B2183">
        <v>31266</v>
      </c>
      <c r="C2183" s="2">
        <v>45949</v>
      </c>
      <c r="D2183">
        <v>2471</v>
      </c>
      <c r="E2183">
        <v>1001</v>
      </c>
      <c r="F2183">
        <v>3</v>
      </c>
      <c r="G2183">
        <v>609.12</v>
      </c>
      <c r="H2183" s="2" t="s">
        <v>1421</v>
      </c>
      <c r="I2183" s="2" t="s">
        <v>1421</v>
      </c>
      <c r="J2183" t="s">
        <v>16</v>
      </c>
      <c r="K2183" s="2" t="str">
        <f>IFERROR(INDEX(Product_lookup[Category],MATCH(RawWorking[[#This Row],[ProductID]],Product_lookup[ProductID],0)),"")</f>
        <v>Electronics</v>
      </c>
      <c r="L2183" s="9" t="str">
        <f>IF(OR(RawWorking[[#This Row],[ShipDate]]="",RawWorking[[#This Row],[DeliveryDate]]=""),"",RawWorking[[#This Row],[DeliveryDate]]-RawWorking[[#This Row],[ShipDate]])</f>
        <v/>
      </c>
      <c r="M2183" s="9">
        <f>IF(COUNTIF(INDEX(RawWorking[OrderID],1):RawWorking[[#This Row],[OrderID]],RawWorking[[#This Row],[OrderID]])=1,1,0)</f>
        <v>1</v>
      </c>
      <c r="N2183" s="4">
        <f>IFERROR(RawWorking[[#This Row],[LineAmount]]/RawWorking[[#This Row],[Quantity]],"")</f>
        <v>203.04</v>
      </c>
    </row>
    <row r="2184" spans="1:14">
      <c r="A2184">
        <v>52183</v>
      </c>
      <c r="B2184">
        <v>31266</v>
      </c>
      <c r="C2184" s="2">
        <v>45949</v>
      </c>
      <c r="D2184">
        <v>2471</v>
      </c>
      <c r="E2184">
        <v>1015</v>
      </c>
      <c r="F2184">
        <v>1</v>
      </c>
      <c r="G2184">
        <v>119.74</v>
      </c>
      <c r="H2184" s="2" t="s">
        <v>1421</v>
      </c>
      <c r="I2184" s="2" t="s">
        <v>1421</v>
      </c>
      <c r="J2184" t="s">
        <v>16</v>
      </c>
      <c r="K2184" s="2" t="str">
        <f>IFERROR(INDEX(Product_lookup[Category],MATCH(RawWorking[[#This Row],[ProductID]],Product_lookup[ProductID],0)),"")</f>
        <v>Sports</v>
      </c>
      <c r="L2184" s="9" t="str">
        <f>IF(OR(RawWorking[[#This Row],[ShipDate]]="",RawWorking[[#This Row],[DeliveryDate]]=""),"",RawWorking[[#This Row],[DeliveryDate]]-RawWorking[[#This Row],[ShipDate]])</f>
        <v/>
      </c>
      <c r="M2184" s="9">
        <f>IF(COUNTIF(INDEX(RawWorking[OrderID],1):RawWorking[[#This Row],[OrderID]],RawWorking[[#This Row],[OrderID]])=1,1,0)</f>
        <v>0</v>
      </c>
      <c r="N2184" s="4">
        <f>IFERROR(RawWorking[[#This Row],[LineAmount]]/RawWorking[[#This Row],[Quantity]],"")</f>
        <v>119.74</v>
      </c>
    </row>
    <row r="2185" spans="1:14">
      <c r="A2185">
        <v>52184</v>
      </c>
      <c r="B2185">
        <v>31267</v>
      </c>
      <c r="C2185" s="2">
        <v>45852</v>
      </c>
      <c r="D2185">
        <v>2416</v>
      </c>
      <c r="E2185">
        <v>1012</v>
      </c>
      <c r="F2185">
        <v>2</v>
      </c>
      <c r="G2185">
        <v>483.08</v>
      </c>
      <c r="H2185" s="2">
        <v>45854</v>
      </c>
      <c r="I2185" s="2">
        <v>45863</v>
      </c>
      <c r="J2185" t="s">
        <v>9</v>
      </c>
      <c r="K2185" s="2" t="str">
        <f>IFERROR(INDEX(Product_lookup[Category],MATCH(RawWorking[[#This Row],[ProductID]],Product_lookup[ProductID],0)),"")</f>
        <v>Office</v>
      </c>
      <c r="L2185" s="9">
        <f>IF(OR(RawWorking[[#This Row],[ShipDate]]="",RawWorking[[#This Row],[DeliveryDate]]=""),"",RawWorking[[#This Row],[DeliveryDate]]-RawWorking[[#This Row],[ShipDate]])</f>
        <v>9</v>
      </c>
      <c r="M2185" s="9">
        <f>IF(COUNTIF(INDEX(RawWorking[OrderID],1):RawWorking[[#This Row],[OrderID]],RawWorking[[#This Row],[OrderID]])=1,1,0)</f>
        <v>1</v>
      </c>
      <c r="N2185" s="4">
        <f>IFERROR(RawWorking[[#This Row],[LineAmount]]/RawWorking[[#This Row],[Quantity]],"")</f>
        <v>241.54</v>
      </c>
    </row>
    <row r="2186" spans="1:14">
      <c r="A2186">
        <v>52185</v>
      </c>
      <c r="B2186">
        <v>31268</v>
      </c>
      <c r="C2186" s="2">
        <v>45768</v>
      </c>
      <c r="D2186">
        <v>2476</v>
      </c>
      <c r="E2186">
        <v>1001</v>
      </c>
      <c r="F2186">
        <v>1</v>
      </c>
      <c r="G2186">
        <v>203.04</v>
      </c>
      <c r="H2186" s="2">
        <v>45770</v>
      </c>
      <c r="I2186" s="2">
        <v>45779</v>
      </c>
      <c r="J2186" t="s">
        <v>9</v>
      </c>
      <c r="K2186" s="2" t="str">
        <f>IFERROR(INDEX(Product_lookup[Category],MATCH(RawWorking[[#This Row],[ProductID]],Product_lookup[ProductID],0)),"")</f>
        <v>Electronics</v>
      </c>
      <c r="L2186" s="9">
        <f>IF(OR(RawWorking[[#This Row],[ShipDate]]="",RawWorking[[#This Row],[DeliveryDate]]=""),"",RawWorking[[#This Row],[DeliveryDate]]-RawWorking[[#This Row],[ShipDate]])</f>
        <v>9</v>
      </c>
      <c r="M2186" s="9">
        <f>IF(COUNTIF(INDEX(RawWorking[OrderID],1):RawWorking[[#This Row],[OrderID]],RawWorking[[#This Row],[OrderID]])=1,1,0)</f>
        <v>1</v>
      </c>
      <c r="N2186" s="4">
        <f>IFERROR(RawWorking[[#This Row],[LineAmount]]/RawWorking[[#This Row],[Quantity]],"")</f>
        <v>203.04</v>
      </c>
    </row>
    <row r="2187" spans="1:14">
      <c r="A2187">
        <v>52186</v>
      </c>
      <c r="B2187">
        <v>31268</v>
      </c>
      <c r="C2187" s="2">
        <v>45768</v>
      </c>
      <c r="D2187">
        <v>2476</v>
      </c>
      <c r="E2187">
        <v>1003</v>
      </c>
      <c r="F2187">
        <v>3</v>
      </c>
      <c r="G2187">
        <v>673.11</v>
      </c>
      <c r="H2187" s="2">
        <v>45770</v>
      </c>
      <c r="I2187" s="2">
        <v>45779</v>
      </c>
      <c r="J2187" t="s">
        <v>9</v>
      </c>
      <c r="K2187" s="2" t="str">
        <f>IFERROR(INDEX(Product_lookup[Category],MATCH(RawWorking[[#This Row],[ProductID]],Product_lookup[ProductID],0)),"")</f>
        <v>Electronics</v>
      </c>
      <c r="L2187" s="9">
        <f>IF(OR(RawWorking[[#This Row],[ShipDate]]="",RawWorking[[#This Row],[DeliveryDate]]=""),"",RawWorking[[#This Row],[DeliveryDate]]-RawWorking[[#This Row],[ShipDate]])</f>
        <v>9</v>
      </c>
      <c r="M2187" s="9">
        <f>IF(COUNTIF(INDEX(RawWorking[OrderID],1):RawWorking[[#This Row],[OrderID]],RawWorking[[#This Row],[OrderID]])=1,1,0)</f>
        <v>0</v>
      </c>
      <c r="N2187" s="4">
        <f>IFERROR(RawWorking[[#This Row],[LineAmount]]/RawWorking[[#This Row],[Quantity]],"")</f>
        <v>224.37</v>
      </c>
    </row>
    <row r="2188" spans="1:14">
      <c r="A2188">
        <v>52187</v>
      </c>
      <c r="B2188">
        <v>31269</v>
      </c>
      <c r="C2188" s="2">
        <v>45749</v>
      </c>
      <c r="D2188">
        <v>2395</v>
      </c>
      <c r="E2188">
        <v>1011</v>
      </c>
      <c r="F2188">
        <v>1</v>
      </c>
      <c r="G2188">
        <v>101.44</v>
      </c>
      <c r="H2188" s="2" t="s">
        <v>1421</v>
      </c>
      <c r="I2188" s="2" t="s">
        <v>1421</v>
      </c>
      <c r="J2188" t="s">
        <v>12</v>
      </c>
      <c r="K2188" s="2" t="str">
        <f>IFERROR(INDEX(Product_lookup[Category],MATCH(RawWorking[[#This Row],[ProductID]],Product_lookup[ProductID],0)),"")</f>
        <v>Office</v>
      </c>
      <c r="L2188" s="9" t="str">
        <f>IF(OR(RawWorking[[#This Row],[ShipDate]]="",RawWorking[[#This Row],[DeliveryDate]]=""),"",RawWorking[[#This Row],[DeliveryDate]]-RawWorking[[#This Row],[ShipDate]])</f>
        <v/>
      </c>
      <c r="M2188" s="9">
        <f>IF(COUNTIF(INDEX(RawWorking[OrderID],1):RawWorking[[#This Row],[OrderID]],RawWorking[[#This Row],[OrderID]])=1,1,0)</f>
        <v>1</v>
      </c>
      <c r="N2188" s="4">
        <f>IFERROR(RawWorking[[#This Row],[LineAmount]]/RawWorking[[#This Row],[Quantity]],"")</f>
        <v>101.44</v>
      </c>
    </row>
    <row r="2189" spans="1:14">
      <c r="A2189">
        <v>52188</v>
      </c>
      <c r="B2189">
        <v>31269</v>
      </c>
      <c r="C2189" s="2">
        <v>45749</v>
      </c>
      <c r="D2189">
        <v>2395</v>
      </c>
      <c r="E2189">
        <v>1002</v>
      </c>
      <c r="F2189">
        <v>1</v>
      </c>
      <c r="G2189">
        <v>118.6</v>
      </c>
      <c r="H2189" s="2" t="s">
        <v>1421</v>
      </c>
      <c r="I2189" s="2" t="s">
        <v>1421</v>
      </c>
      <c r="J2189" t="s">
        <v>12</v>
      </c>
      <c r="K2189" s="2" t="str">
        <f>IFERROR(INDEX(Product_lookup[Category],MATCH(RawWorking[[#This Row],[ProductID]],Product_lookup[ProductID],0)),"")</f>
        <v>Electronics</v>
      </c>
      <c r="L2189" s="9" t="str">
        <f>IF(OR(RawWorking[[#This Row],[ShipDate]]="",RawWorking[[#This Row],[DeliveryDate]]=""),"",RawWorking[[#This Row],[DeliveryDate]]-RawWorking[[#This Row],[ShipDate]])</f>
        <v/>
      </c>
      <c r="M2189" s="9">
        <f>IF(COUNTIF(INDEX(RawWorking[OrderID],1):RawWorking[[#This Row],[OrderID]],RawWorking[[#This Row],[OrderID]])=1,1,0)</f>
        <v>0</v>
      </c>
      <c r="N2189" s="4">
        <f>IFERROR(RawWorking[[#This Row],[LineAmount]]/RawWorking[[#This Row],[Quantity]],"")</f>
        <v>118.6</v>
      </c>
    </row>
    <row r="2190" spans="1:14">
      <c r="A2190">
        <v>52189</v>
      </c>
      <c r="B2190">
        <v>31269</v>
      </c>
      <c r="C2190" s="2">
        <v>45749</v>
      </c>
      <c r="D2190">
        <v>2395</v>
      </c>
      <c r="E2190">
        <v>1010</v>
      </c>
      <c r="F2190">
        <v>1</v>
      </c>
      <c r="G2190">
        <v>121.5</v>
      </c>
      <c r="H2190" s="2" t="s">
        <v>1421</v>
      </c>
      <c r="I2190" s="2" t="s">
        <v>1421</v>
      </c>
      <c r="J2190" t="s">
        <v>12</v>
      </c>
      <c r="K2190" s="2" t="str">
        <f>IFERROR(INDEX(Product_lookup[Category],MATCH(RawWorking[[#This Row],[ProductID]],Product_lookup[ProductID],0)),"")</f>
        <v>Office</v>
      </c>
      <c r="L2190" s="9" t="str">
        <f>IF(OR(RawWorking[[#This Row],[ShipDate]]="",RawWorking[[#This Row],[DeliveryDate]]=""),"",RawWorking[[#This Row],[DeliveryDate]]-RawWorking[[#This Row],[ShipDate]])</f>
        <v/>
      </c>
      <c r="M2190" s="9">
        <f>IF(COUNTIF(INDEX(RawWorking[OrderID],1):RawWorking[[#This Row],[OrderID]],RawWorking[[#This Row],[OrderID]])=1,1,0)</f>
        <v>0</v>
      </c>
      <c r="N2190" s="4">
        <f>IFERROR(RawWorking[[#This Row],[LineAmount]]/RawWorking[[#This Row],[Quantity]],"")</f>
        <v>121.5</v>
      </c>
    </row>
    <row r="2191" spans="1:14">
      <c r="A2191">
        <v>52190</v>
      </c>
      <c r="B2191">
        <v>31269</v>
      </c>
      <c r="C2191" s="2">
        <v>45692</v>
      </c>
      <c r="D2191">
        <v>2395</v>
      </c>
      <c r="E2191">
        <v>1014</v>
      </c>
      <c r="F2191">
        <v>1</v>
      </c>
      <c r="G2191">
        <v>215.34</v>
      </c>
      <c r="H2191" s="2" t="s">
        <v>1421</v>
      </c>
      <c r="I2191" s="2" t="s">
        <v>1421</v>
      </c>
      <c r="J2191" t="s">
        <v>12</v>
      </c>
      <c r="K2191" s="2" t="str">
        <f>IFERROR(INDEX(Product_lookup[Category],MATCH(RawWorking[[#This Row],[ProductID]],Product_lookup[ProductID],0)),"")</f>
        <v>Sports</v>
      </c>
      <c r="L2191" s="9" t="str">
        <f>IF(OR(RawWorking[[#This Row],[ShipDate]]="",RawWorking[[#This Row],[DeliveryDate]]=""),"",RawWorking[[#This Row],[DeliveryDate]]-RawWorking[[#This Row],[ShipDate]])</f>
        <v/>
      </c>
      <c r="M2191" s="9">
        <f>IF(COUNTIF(INDEX(RawWorking[OrderID],1):RawWorking[[#This Row],[OrderID]],RawWorking[[#This Row],[OrderID]])=1,1,0)</f>
        <v>0</v>
      </c>
      <c r="N2191" s="4">
        <f>IFERROR(RawWorking[[#This Row],[LineAmount]]/RawWorking[[#This Row],[Quantity]],"")</f>
        <v>215.34</v>
      </c>
    </row>
    <row r="2192" spans="1:14">
      <c r="A2192">
        <v>52191</v>
      </c>
      <c r="B2192">
        <v>31270</v>
      </c>
      <c r="C2192" s="2">
        <v>45674</v>
      </c>
      <c r="D2192">
        <v>2277</v>
      </c>
      <c r="E2192">
        <v>1007</v>
      </c>
      <c r="F2192">
        <v>1</v>
      </c>
      <c r="G2192">
        <v>199.81</v>
      </c>
      <c r="H2192" s="2">
        <v>45676</v>
      </c>
      <c r="I2192" s="2">
        <v>45680</v>
      </c>
      <c r="J2192" t="s">
        <v>9</v>
      </c>
      <c r="K2192" s="2" t="str">
        <f>IFERROR(INDEX(Product_lookup[Category],MATCH(RawWorking[[#This Row],[ProductID]],Product_lookup[ProductID],0)),"")</f>
        <v>Home</v>
      </c>
      <c r="L2192" s="9">
        <f>IF(OR(RawWorking[[#This Row],[ShipDate]]="",RawWorking[[#This Row],[DeliveryDate]]=""),"",RawWorking[[#This Row],[DeliveryDate]]-RawWorking[[#This Row],[ShipDate]])</f>
        <v>4</v>
      </c>
      <c r="M2192" s="9">
        <f>IF(COUNTIF(INDEX(RawWorking[OrderID],1):RawWorking[[#This Row],[OrderID]],RawWorking[[#This Row],[OrderID]])=1,1,0)</f>
        <v>1</v>
      </c>
      <c r="N2192" s="4">
        <f>IFERROR(RawWorking[[#This Row],[LineAmount]]/RawWorking[[#This Row],[Quantity]],"")</f>
        <v>199.81</v>
      </c>
    </row>
    <row r="2193" spans="1:14">
      <c r="A2193">
        <v>52192</v>
      </c>
      <c r="B2193">
        <v>31270</v>
      </c>
      <c r="C2193" s="2">
        <v>45674</v>
      </c>
      <c r="D2193">
        <v>2277</v>
      </c>
      <c r="E2193">
        <v>1003</v>
      </c>
      <c r="F2193">
        <v>2</v>
      </c>
      <c r="G2193">
        <v>448.74</v>
      </c>
      <c r="H2193" s="2">
        <v>45677</v>
      </c>
      <c r="I2193" s="2">
        <v>45686</v>
      </c>
      <c r="J2193" t="s">
        <v>9</v>
      </c>
      <c r="K2193" s="2" t="str">
        <f>IFERROR(INDEX(Product_lookup[Category],MATCH(RawWorking[[#This Row],[ProductID]],Product_lookup[ProductID],0)),"")</f>
        <v>Electronics</v>
      </c>
      <c r="L2193" s="9">
        <f>IF(OR(RawWorking[[#This Row],[ShipDate]]="",RawWorking[[#This Row],[DeliveryDate]]=""),"",RawWorking[[#This Row],[DeliveryDate]]-RawWorking[[#This Row],[ShipDate]])</f>
        <v>9</v>
      </c>
      <c r="M2193" s="9">
        <f>IF(COUNTIF(INDEX(RawWorking[OrderID],1):RawWorking[[#This Row],[OrderID]],RawWorking[[#This Row],[OrderID]])=1,1,0)</f>
        <v>0</v>
      </c>
      <c r="N2193" s="4">
        <f>IFERROR(RawWorking[[#This Row],[LineAmount]]/RawWorking[[#This Row],[Quantity]],"")</f>
        <v>224.37</v>
      </c>
    </row>
    <row r="2194" spans="1:14">
      <c r="A2194">
        <v>52193</v>
      </c>
      <c r="B2194">
        <v>31271</v>
      </c>
      <c r="C2194" s="2">
        <v>45741</v>
      </c>
      <c r="D2194">
        <v>2344</v>
      </c>
      <c r="E2194">
        <v>1002</v>
      </c>
      <c r="F2194">
        <v>1</v>
      </c>
      <c r="G2194">
        <v>118.6</v>
      </c>
      <c r="H2194" s="2">
        <v>45744</v>
      </c>
      <c r="I2194" s="2">
        <v>45748</v>
      </c>
      <c r="J2194" t="s">
        <v>9</v>
      </c>
      <c r="K2194" s="2" t="str">
        <f>IFERROR(INDEX(Product_lookup[Category],MATCH(RawWorking[[#This Row],[ProductID]],Product_lookup[ProductID],0)),"")</f>
        <v>Electronics</v>
      </c>
      <c r="L2194" s="9">
        <f>IF(OR(RawWorking[[#This Row],[ShipDate]]="",RawWorking[[#This Row],[DeliveryDate]]=""),"",RawWorking[[#This Row],[DeliveryDate]]-RawWorking[[#This Row],[ShipDate]])</f>
        <v>4</v>
      </c>
      <c r="M2194" s="9">
        <f>IF(COUNTIF(INDEX(RawWorking[OrderID],1):RawWorking[[#This Row],[OrderID]],RawWorking[[#This Row],[OrderID]])=1,1,0)</f>
        <v>1</v>
      </c>
      <c r="N2194" s="4">
        <f>IFERROR(RawWorking[[#This Row],[LineAmount]]/RawWorking[[#This Row],[Quantity]],"")</f>
        <v>118.6</v>
      </c>
    </row>
    <row r="2195" spans="1:14">
      <c r="A2195">
        <v>52194</v>
      </c>
      <c r="B2195">
        <v>31271</v>
      </c>
      <c r="C2195" s="2">
        <v>45741</v>
      </c>
      <c r="D2195">
        <v>2344</v>
      </c>
      <c r="E2195">
        <v>1012</v>
      </c>
      <c r="F2195">
        <v>1</v>
      </c>
      <c r="G2195">
        <v>241.54</v>
      </c>
      <c r="H2195" s="2">
        <v>45744</v>
      </c>
      <c r="I2195" s="2">
        <v>45749</v>
      </c>
      <c r="J2195" t="s">
        <v>9</v>
      </c>
      <c r="K2195" s="2" t="str">
        <f>IFERROR(INDEX(Product_lookup[Category],MATCH(RawWorking[[#This Row],[ProductID]],Product_lookup[ProductID],0)),"")</f>
        <v>Office</v>
      </c>
      <c r="L2195" s="9">
        <f>IF(OR(RawWorking[[#This Row],[ShipDate]]="",RawWorking[[#This Row],[DeliveryDate]]=""),"",RawWorking[[#This Row],[DeliveryDate]]-RawWorking[[#This Row],[ShipDate]])</f>
        <v>5</v>
      </c>
      <c r="M2195" s="9">
        <f>IF(COUNTIF(INDEX(RawWorking[OrderID],1):RawWorking[[#This Row],[OrderID]],RawWorking[[#This Row],[OrderID]])=1,1,0)</f>
        <v>0</v>
      </c>
      <c r="N2195" s="4">
        <f>IFERROR(RawWorking[[#This Row],[LineAmount]]/RawWorking[[#This Row],[Quantity]],"")</f>
        <v>241.54</v>
      </c>
    </row>
    <row r="2196" spans="1:14">
      <c r="A2196">
        <v>52195</v>
      </c>
      <c r="B2196">
        <v>31272</v>
      </c>
      <c r="C2196" s="2">
        <v>45754</v>
      </c>
      <c r="D2196">
        <v>2053</v>
      </c>
      <c r="E2196">
        <v>1012</v>
      </c>
      <c r="F2196">
        <v>2</v>
      </c>
      <c r="G2196">
        <v>483.08</v>
      </c>
      <c r="H2196" s="2">
        <v>45756</v>
      </c>
      <c r="I2196" s="2">
        <v>45760</v>
      </c>
      <c r="J2196" t="s">
        <v>9</v>
      </c>
      <c r="K2196" s="2" t="str">
        <f>IFERROR(INDEX(Product_lookup[Category],MATCH(RawWorking[[#This Row],[ProductID]],Product_lookup[ProductID],0)),"")</f>
        <v>Office</v>
      </c>
      <c r="L2196" s="9">
        <f>IF(OR(RawWorking[[#This Row],[ShipDate]]="",RawWorking[[#This Row],[DeliveryDate]]=""),"",RawWorking[[#This Row],[DeliveryDate]]-RawWorking[[#This Row],[ShipDate]])</f>
        <v>4</v>
      </c>
      <c r="M2196" s="9">
        <f>IF(COUNTIF(INDEX(RawWorking[OrderID],1):RawWorking[[#This Row],[OrderID]],RawWorking[[#This Row],[OrderID]])=1,1,0)</f>
        <v>1</v>
      </c>
      <c r="N2196" s="4">
        <f>IFERROR(RawWorking[[#This Row],[LineAmount]]/RawWorking[[#This Row],[Quantity]],"")</f>
        <v>241.54</v>
      </c>
    </row>
    <row r="2197" spans="1:14">
      <c r="A2197">
        <v>52196</v>
      </c>
      <c r="B2197">
        <v>31273</v>
      </c>
      <c r="C2197" s="2">
        <v>45939</v>
      </c>
      <c r="D2197">
        <v>2477</v>
      </c>
      <c r="E2197">
        <v>1012</v>
      </c>
      <c r="F2197">
        <v>1</v>
      </c>
      <c r="G2197">
        <v>241.54</v>
      </c>
      <c r="H2197" s="2">
        <v>45941</v>
      </c>
      <c r="I2197" s="2">
        <v>45947</v>
      </c>
      <c r="J2197" t="s">
        <v>9</v>
      </c>
      <c r="K2197" s="2" t="str">
        <f>IFERROR(INDEX(Product_lookup[Category],MATCH(RawWorking[[#This Row],[ProductID]],Product_lookup[ProductID],0)),"")</f>
        <v>Office</v>
      </c>
      <c r="L2197" s="9">
        <f>IF(OR(RawWorking[[#This Row],[ShipDate]]="",RawWorking[[#This Row],[DeliveryDate]]=""),"",RawWorking[[#This Row],[DeliveryDate]]-RawWorking[[#This Row],[ShipDate]])</f>
        <v>6</v>
      </c>
      <c r="M2197" s="9">
        <f>IF(COUNTIF(INDEX(RawWorking[OrderID],1):RawWorking[[#This Row],[OrderID]],RawWorking[[#This Row],[OrderID]])=1,1,0)</f>
        <v>1</v>
      </c>
      <c r="N2197" s="4">
        <f>IFERROR(RawWorking[[#This Row],[LineAmount]]/RawWorking[[#This Row],[Quantity]],"")</f>
        <v>241.54</v>
      </c>
    </row>
    <row r="2198" spans="1:14">
      <c r="A2198">
        <v>52197</v>
      </c>
      <c r="B2198">
        <v>31274</v>
      </c>
      <c r="C2198" s="2">
        <v>45825</v>
      </c>
      <c r="D2198">
        <v>2376</v>
      </c>
      <c r="E2198">
        <v>1003</v>
      </c>
      <c r="F2198">
        <v>1</v>
      </c>
      <c r="G2198">
        <v>224.37</v>
      </c>
      <c r="H2198" s="2">
        <v>45826</v>
      </c>
      <c r="I2198" s="2">
        <v>45833</v>
      </c>
      <c r="J2198" t="s">
        <v>9</v>
      </c>
      <c r="K2198" s="2" t="str">
        <f>IFERROR(INDEX(Product_lookup[Category],MATCH(RawWorking[[#This Row],[ProductID]],Product_lookup[ProductID],0)),"")</f>
        <v>Electronics</v>
      </c>
      <c r="L2198" s="9">
        <f>IF(OR(RawWorking[[#This Row],[ShipDate]]="",RawWorking[[#This Row],[DeliveryDate]]=""),"",RawWorking[[#This Row],[DeliveryDate]]-RawWorking[[#This Row],[ShipDate]])</f>
        <v>7</v>
      </c>
      <c r="M2198" s="9">
        <f>IF(COUNTIF(INDEX(RawWorking[OrderID],1):RawWorking[[#This Row],[OrderID]],RawWorking[[#This Row],[OrderID]])=1,1,0)</f>
        <v>1</v>
      </c>
      <c r="N2198" s="4">
        <f>IFERROR(RawWorking[[#This Row],[LineAmount]]/RawWorking[[#This Row],[Quantity]],"")</f>
        <v>224.37</v>
      </c>
    </row>
    <row r="2199" spans="1:14">
      <c r="A2199">
        <v>52198</v>
      </c>
      <c r="B2199">
        <v>31275</v>
      </c>
      <c r="C2199" s="2">
        <v>45950</v>
      </c>
      <c r="D2199">
        <v>2575</v>
      </c>
      <c r="E2199">
        <v>1007</v>
      </c>
      <c r="F2199">
        <v>2</v>
      </c>
      <c r="G2199">
        <v>399.62</v>
      </c>
      <c r="H2199" s="2">
        <v>45952</v>
      </c>
      <c r="I2199" s="2">
        <v>45956</v>
      </c>
      <c r="J2199" t="s">
        <v>9</v>
      </c>
      <c r="K2199" s="2" t="str">
        <f>IFERROR(INDEX(Product_lookup[Category],MATCH(RawWorking[[#This Row],[ProductID]],Product_lookup[ProductID],0)),"")</f>
        <v>Home</v>
      </c>
      <c r="L2199" s="9">
        <f>IF(OR(RawWorking[[#This Row],[ShipDate]]="",RawWorking[[#This Row],[DeliveryDate]]=""),"",RawWorking[[#This Row],[DeliveryDate]]-RawWorking[[#This Row],[ShipDate]])</f>
        <v>4</v>
      </c>
      <c r="M2199" s="9">
        <f>IF(COUNTIF(INDEX(RawWorking[OrderID],1):RawWorking[[#This Row],[OrderID]],RawWorking[[#This Row],[OrderID]])=1,1,0)</f>
        <v>1</v>
      </c>
      <c r="N2199" s="4">
        <f>IFERROR(RawWorking[[#This Row],[LineAmount]]/RawWorking[[#This Row],[Quantity]],"")</f>
        <v>199.81</v>
      </c>
    </row>
    <row r="2200" spans="1:14">
      <c r="A2200">
        <v>52199</v>
      </c>
      <c r="B2200">
        <v>31276</v>
      </c>
      <c r="C2200" s="2">
        <v>45770</v>
      </c>
      <c r="D2200">
        <v>2142</v>
      </c>
      <c r="E2200">
        <v>1008</v>
      </c>
      <c r="F2200">
        <v>1</v>
      </c>
      <c r="G2200">
        <v>206.09</v>
      </c>
      <c r="H2200" s="2">
        <v>45773</v>
      </c>
      <c r="I2200" s="2">
        <v>45778</v>
      </c>
      <c r="J2200" t="s">
        <v>11</v>
      </c>
      <c r="K2200" s="2" t="str">
        <f>IFERROR(INDEX(Product_lookup[Category],MATCH(RawWorking[[#This Row],[ProductID]],Product_lookup[ProductID],0)),"")</f>
        <v>Home</v>
      </c>
      <c r="L2200" s="9">
        <f>IF(OR(RawWorking[[#This Row],[ShipDate]]="",RawWorking[[#This Row],[DeliveryDate]]=""),"",RawWorking[[#This Row],[DeliveryDate]]-RawWorking[[#This Row],[ShipDate]])</f>
        <v>5</v>
      </c>
      <c r="M2200" s="9">
        <f>IF(COUNTIF(INDEX(RawWorking[OrderID],1):RawWorking[[#This Row],[OrderID]],RawWorking[[#This Row],[OrderID]])=1,1,0)</f>
        <v>1</v>
      </c>
      <c r="N2200" s="4">
        <f>IFERROR(RawWorking[[#This Row],[LineAmount]]/RawWorking[[#This Row],[Quantity]],"")</f>
        <v>206.09</v>
      </c>
    </row>
    <row r="2201" spans="1:14">
      <c r="A2201">
        <v>52200</v>
      </c>
      <c r="B2201">
        <v>31277</v>
      </c>
      <c r="C2201" s="2">
        <v>45715</v>
      </c>
      <c r="D2201">
        <v>2553</v>
      </c>
      <c r="E2201">
        <v>1016</v>
      </c>
      <c r="F2201">
        <v>1</v>
      </c>
      <c r="G2201">
        <v>65.260000000000005</v>
      </c>
      <c r="H2201" s="2">
        <v>45716</v>
      </c>
      <c r="I2201" s="2">
        <v>45717</v>
      </c>
      <c r="J2201" t="s">
        <v>9</v>
      </c>
      <c r="K2201" s="2" t="str">
        <f>IFERROR(INDEX(Product_lookup[Category],MATCH(RawWorking[[#This Row],[ProductID]],Product_lookup[ProductID],0)),"")</f>
        <v>Sports</v>
      </c>
      <c r="L2201" s="9">
        <f>IF(OR(RawWorking[[#This Row],[ShipDate]]="",RawWorking[[#This Row],[DeliveryDate]]=""),"",RawWorking[[#This Row],[DeliveryDate]]-RawWorking[[#This Row],[ShipDate]])</f>
        <v>1</v>
      </c>
      <c r="M2201" s="9">
        <f>IF(COUNTIF(INDEX(RawWorking[OrderID],1):RawWorking[[#This Row],[OrderID]],RawWorking[[#This Row],[OrderID]])=1,1,0)</f>
        <v>1</v>
      </c>
      <c r="N2201" s="4">
        <f>IFERROR(RawWorking[[#This Row],[LineAmount]]/RawWorking[[#This Row],[Quantity]],"")</f>
        <v>65.260000000000005</v>
      </c>
    </row>
    <row r="2202" spans="1:14">
      <c r="A2202">
        <v>52201</v>
      </c>
      <c r="B2202">
        <v>31277</v>
      </c>
      <c r="C2202" s="2">
        <v>45715</v>
      </c>
      <c r="D2202">
        <v>2553</v>
      </c>
      <c r="E2202">
        <v>1007</v>
      </c>
      <c r="F2202">
        <v>1</v>
      </c>
      <c r="G2202">
        <v>199.81</v>
      </c>
      <c r="H2202" s="2">
        <v>45718</v>
      </c>
      <c r="I2202" s="2">
        <v>45722</v>
      </c>
      <c r="J2202" t="s">
        <v>9</v>
      </c>
      <c r="K2202" s="2" t="str">
        <f>IFERROR(INDEX(Product_lookup[Category],MATCH(RawWorking[[#This Row],[ProductID]],Product_lookup[ProductID],0)),"")</f>
        <v>Home</v>
      </c>
      <c r="L2202" s="9">
        <f>IF(OR(RawWorking[[#This Row],[ShipDate]]="",RawWorking[[#This Row],[DeliveryDate]]=""),"",RawWorking[[#This Row],[DeliveryDate]]-RawWorking[[#This Row],[ShipDate]])</f>
        <v>4</v>
      </c>
      <c r="M2202" s="9">
        <f>IF(COUNTIF(INDEX(RawWorking[OrderID],1):RawWorking[[#This Row],[OrderID]],RawWorking[[#This Row],[OrderID]])=1,1,0)</f>
        <v>0</v>
      </c>
      <c r="N2202" s="4">
        <f>IFERROR(RawWorking[[#This Row],[LineAmount]]/RawWorking[[#This Row],[Quantity]],"")</f>
        <v>199.81</v>
      </c>
    </row>
    <row r="2203" spans="1:14">
      <c r="A2203">
        <v>52202</v>
      </c>
      <c r="B2203">
        <v>31278</v>
      </c>
      <c r="C2203" s="2">
        <v>45884</v>
      </c>
      <c r="D2203">
        <v>2231</v>
      </c>
      <c r="E2203">
        <v>1009</v>
      </c>
      <c r="F2203">
        <v>1</v>
      </c>
      <c r="G2203">
        <v>40.28</v>
      </c>
      <c r="H2203" s="2">
        <v>45886</v>
      </c>
      <c r="I2203" s="2">
        <v>45887</v>
      </c>
      <c r="J2203" t="s">
        <v>9</v>
      </c>
      <c r="K2203" s="2" t="str">
        <f>IFERROR(INDEX(Product_lookup[Category],MATCH(RawWorking[[#This Row],[ProductID]],Product_lookup[ProductID],0)),"")</f>
        <v>Home</v>
      </c>
      <c r="L2203" s="9">
        <f>IF(OR(RawWorking[[#This Row],[ShipDate]]="",RawWorking[[#This Row],[DeliveryDate]]=""),"",RawWorking[[#This Row],[DeliveryDate]]-RawWorking[[#This Row],[ShipDate]])</f>
        <v>1</v>
      </c>
      <c r="M2203" s="9">
        <f>IF(COUNTIF(INDEX(RawWorking[OrderID],1):RawWorking[[#This Row],[OrderID]],RawWorking[[#This Row],[OrderID]])=1,1,0)</f>
        <v>1</v>
      </c>
      <c r="N2203" s="4">
        <f>IFERROR(RawWorking[[#This Row],[LineAmount]]/RawWorking[[#This Row],[Quantity]],"")</f>
        <v>40.28</v>
      </c>
    </row>
    <row r="2204" spans="1:14">
      <c r="A2204">
        <v>52203</v>
      </c>
      <c r="B2204">
        <v>31278</v>
      </c>
      <c r="C2204" s="2">
        <v>45884</v>
      </c>
      <c r="D2204">
        <v>2231</v>
      </c>
      <c r="E2204">
        <v>1014</v>
      </c>
      <c r="F2204">
        <v>1</v>
      </c>
      <c r="G2204">
        <v>215.34</v>
      </c>
      <c r="H2204" s="2">
        <v>45886</v>
      </c>
      <c r="I2204" s="2">
        <v>45896</v>
      </c>
      <c r="J2204" t="s">
        <v>9</v>
      </c>
      <c r="K2204" s="2" t="str">
        <f>IFERROR(INDEX(Product_lookup[Category],MATCH(RawWorking[[#This Row],[ProductID]],Product_lookup[ProductID],0)),"")</f>
        <v>Sports</v>
      </c>
      <c r="L2204" s="9">
        <f>IF(OR(RawWorking[[#This Row],[ShipDate]]="",RawWorking[[#This Row],[DeliveryDate]]=""),"",RawWorking[[#This Row],[DeliveryDate]]-RawWorking[[#This Row],[ShipDate]])</f>
        <v>10</v>
      </c>
      <c r="M2204" s="9">
        <f>IF(COUNTIF(INDEX(RawWorking[OrderID],1):RawWorking[[#This Row],[OrderID]],RawWorking[[#This Row],[OrderID]])=1,1,0)</f>
        <v>0</v>
      </c>
      <c r="N2204" s="4">
        <f>IFERROR(RawWorking[[#This Row],[LineAmount]]/RawWorking[[#This Row],[Quantity]],"")</f>
        <v>215.34</v>
      </c>
    </row>
    <row r="2205" spans="1:14">
      <c r="A2205">
        <v>52204</v>
      </c>
      <c r="B2205">
        <v>31279</v>
      </c>
      <c r="C2205" s="2">
        <v>45723</v>
      </c>
      <c r="D2205">
        <v>2284</v>
      </c>
      <c r="E2205">
        <v>1012</v>
      </c>
      <c r="F2205">
        <v>2</v>
      </c>
      <c r="G2205">
        <v>483.08</v>
      </c>
      <c r="H2205" s="2">
        <v>45726</v>
      </c>
      <c r="I2205" s="2">
        <v>45730</v>
      </c>
      <c r="J2205" t="s">
        <v>9</v>
      </c>
      <c r="K2205" s="2" t="str">
        <f>IFERROR(INDEX(Product_lookup[Category],MATCH(RawWorking[[#This Row],[ProductID]],Product_lookup[ProductID],0)),"")</f>
        <v>Office</v>
      </c>
      <c r="L2205" s="9">
        <f>IF(OR(RawWorking[[#This Row],[ShipDate]]="",RawWorking[[#This Row],[DeliveryDate]]=""),"",RawWorking[[#This Row],[DeliveryDate]]-RawWorking[[#This Row],[ShipDate]])</f>
        <v>4</v>
      </c>
      <c r="M2205" s="9">
        <f>IF(COUNTIF(INDEX(RawWorking[OrderID],1):RawWorking[[#This Row],[OrderID]],RawWorking[[#This Row],[OrderID]])=1,1,0)</f>
        <v>1</v>
      </c>
      <c r="N2205" s="4">
        <f>IFERROR(RawWorking[[#This Row],[LineAmount]]/RawWorking[[#This Row],[Quantity]],"")</f>
        <v>241.54</v>
      </c>
    </row>
    <row r="2206" spans="1:14">
      <c r="A2206">
        <v>52205</v>
      </c>
      <c r="B2206">
        <v>31280</v>
      </c>
      <c r="C2206" s="2">
        <v>45783</v>
      </c>
      <c r="D2206">
        <v>2354</v>
      </c>
      <c r="E2206">
        <v>1004</v>
      </c>
      <c r="F2206">
        <v>2</v>
      </c>
      <c r="G2206">
        <v>367.48</v>
      </c>
      <c r="H2206" s="2">
        <v>45786</v>
      </c>
      <c r="I2206" s="2">
        <v>45792</v>
      </c>
      <c r="J2206" t="s">
        <v>9</v>
      </c>
      <c r="K2206" s="2" t="str">
        <f>IFERROR(INDEX(Product_lookup[Category],MATCH(RawWorking[[#This Row],[ProductID]],Product_lookup[ProductID],0)),"")</f>
        <v>Electronics</v>
      </c>
      <c r="L2206" s="9">
        <f>IF(OR(RawWorking[[#This Row],[ShipDate]]="",RawWorking[[#This Row],[DeliveryDate]]=""),"",RawWorking[[#This Row],[DeliveryDate]]-RawWorking[[#This Row],[ShipDate]])</f>
        <v>6</v>
      </c>
      <c r="M2206" s="9">
        <f>IF(COUNTIF(INDEX(RawWorking[OrderID],1):RawWorking[[#This Row],[OrderID]],RawWorking[[#This Row],[OrderID]])=1,1,0)</f>
        <v>1</v>
      </c>
      <c r="N2206" s="4">
        <f>IFERROR(RawWorking[[#This Row],[LineAmount]]/RawWorking[[#This Row],[Quantity]],"")</f>
        <v>183.74</v>
      </c>
    </row>
    <row r="2207" spans="1:14">
      <c r="A2207">
        <v>52206</v>
      </c>
      <c r="B2207">
        <v>31281</v>
      </c>
      <c r="C2207" s="2">
        <v>45707</v>
      </c>
      <c r="D2207">
        <v>2482</v>
      </c>
      <c r="E2207">
        <v>1010</v>
      </c>
      <c r="F2207">
        <v>1</v>
      </c>
      <c r="G2207">
        <v>121.5</v>
      </c>
      <c r="H2207" s="2">
        <v>45709</v>
      </c>
      <c r="I2207" s="2">
        <v>45716</v>
      </c>
      <c r="J2207" t="s">
        <v>9</v>
      </c>
      <c r="K2207" s="2" t="str">
        <f>IFERROR(INDEX(Product_lookup[Category],MATCH(RawWorking[[#This Row],[ProductID]],Product_lookup[ProductID],0)),"")</f>
        <v>Office</v>
      </c>
      <c r="L2207" s="9">
        <f>IF(OR(RawWorking[[#This Row],[ShipDate]]="",RawWorking[[#This Row],[DeliveryDate]]=""),"",RawWorking[[#This Row],[DeliveryDate]]-RawWorking[[#This Row],[ShipDate]])</f>
        <v>7</v>
      </c>
      <c r="M2207" s="9">
        <f>IF(COUNTIF(INDEX(RawWorking[OrderID],1):RawWorking[[#This Row],[OrderID]],RawWorking[[#This Row],[OrderID]])=1,1,0)</f>
        <v>1</v>
      </c>
      <c r="N2207" s="4">
        <f>IFERROR(RawWorking[[#This Row],[LineAmount]]/RawWorking[[#This Row],[Quantity]],"")</f>
        <v>121.5</v>
      </c>
    </row>
    <row r="2208" spans="1:14">
      <c r="A2208">
        <v>52207</v>
      </c>
      <c r="B2208">
        <v>31281</v>
      </c>
      <c r="C2208" s="2">
        <v>45707</v>
      </c>
      <c r="D2208">
        <v>2482</v>
      </c>
      <c r="E2208">
        <v>1015</v>
      </c>
      <c r="F2208">
        <v>1</v>
      </c>
      <c r="G2208">
        <v>119.74</v>
      </c>
      <c r="H2208" s="2">
        <v>45710</v>
      </c>
      <c r="I2208" s="2">
        <v>45716</v>
      </c>
      <c r="J2208" t="s">
        <v>9</v>
      </c>
      <c r="K2208" s="2" t="str">
        <f>IFERROR(INDEX(Product_lookup[Category],MATCH(RawWorking[[#This Row],[ProductID]],Product_lookup[ProductID],0)),"")</f>
        <v>Sports</v>
      </c>
      <c r="L2208" s="9">
        <f>IF(OR(RawWorking[[#This Row],[ShipDate]]="",RawWorking[[#This Row],[DeliveryDate]]=""),"",RawWorking[[#This Row],[DeliveryDate]]-RawWorking[[#This Row],[ShipDate]])</f>
        <v>6</v>
      </c>
      <c r="M2208" s="9">
        <f>IF(COUNTIF(INDEX(RawWorking[OrderID],1):RawWorking[[#This Row],[OrderID]],RawWorking[[#This Row],[OrderID]])=1,1,0)</f>
        <v>0</v>
      </c>
      <c r="N2208" s="4">
        <f>IFERROR(RawWorking[[#This Row],[LineAmount]]/RawWorking[[#This Row],[Quantity]],"")</f>
        <v>119.74</v>
      </c>
    </row>
    <row r="2209" spans="1:14">
      <c r="A2209">
        <v>52208</v>
      </c>
      <c r="B2209">
        <v>31281</v>
      </c>
      <c r="C2209" s="2">
        <v>45707</v>
      </c>
      <c r="D2209">
        <v>2482</v>
      </c>
      <c r="E2209">
        <v>1012</v>
      </c>
      <c r="F2209">
        <v>1</v>
      </c>
      <c r="G2209">
        <v>241.54</v>
      </c>
      <c r="H2209" s="2">
        <v>45708</v>
      </c>
      <c r="I2209" s="2">
        <v>45714</v>
      </c>
      <c r="J2209" t="s">
        <v>9</v>
      </c>
      <c r="K2209" s="2" t="str">
        <f>IFERROR(INDEX(Product_lookup[Category],MATCH(RawWorking[[#This Row],[ProductID]],Product_lookup[ProductID],0)),"")</f>
        <v>Office</v>
      </c>
      <c r="L2209" s="9">
        <f>IF(OR(RawWorking[[#This Row],[ShipDate]]="",RawWorking[[#This Row],[DeliveryDate]]=""),"",RawWorking[[#This Row],[DeliveryDate]]-RawWorking[[#This Row],[ShipDate]])</f>
        <v>6</v>
      </c>
      <c r="M2209" s="9">
        <f>IF(COUNTIF(INDEX(RawWorking[OrderID],1):RawWorking[[#This Row],[OrderID]],RawWorking[[#This Row],[OrderID]])=1,1,0)</f>
        <v>0</v>
      </c>
      <c r="N2209" s="4">
        <f>IFERROR(RawWorking[[#This Row],[LineAmount]]/RawWorking[[#This Row],[Quantity]],"")</f>
        <v>241.54</v>
      </c>
    </row>
    <row r="2210" spans="1:14">
      <c r="A2210">
        <v>52209</v>
      </c>
      <c r="B2210">
        <v>31282</v>
      </c>
      <c r="C2210" s="2">
        <v>46004</v>
      </c>
      <c r="D2210">
        <v>2068</v>
      </c>
      <c r="E2210">
        <v>1015</v>
      </c>
      <c r="F2210">
        <v>1</v>
      </c>
      <c r="G2210">
        <v>119.74</v>
      </c>
      <c r="H2210" s="2">
        <v>46006</v>
      </c>
      <c r="I2210" s="2">
        <v>46013</v>
      </c>
      <c r="J2210" t="s">
        <v>9</v>
      </c>
      <c r="K2210" s="2" t="str">
        <f>IFERROR(INDEX(Product_lookup[Category],MATCH(RawWorking[[#This Row],[ProductID]],Product_lookup[ProductID],0)),"")</f>
        <v>Sports</v>
      </c>
      <c r="L2210" s="9">
        <f>IF(OR(RawWorking[[#This Row],[ShipDate]]="",RawWorking[[#This Row],[DeliveryDate]]=""),"",RawWorking[[#This Row],[DeliveryDate]]-RawWorking[[#This Row],[ShipDate]])</f>
        <v>7</v>
      </c>
      <c r="M2210" s="9">
        <f>IF(COUNTIF(INDEX(RawWorking[OrderID],1):RawWorking[[#This Row],[OrderID]],RawWorking[[#This Row],[OrderID]])=1,1,0)</f>
        <v>1</v>
      </c>
      <c r="N2210" s="4">
        <f>IFERROR(RawWorking[[#This Row],[LineAmount]]/RawWorking[[#This Row],[Quantity]],"")</f>
        <v>119.74</v>
      </c>
    </row>
    <row r="2211" spans="1:14">
      <c r="A2211">
        <v>52210</v>
      </c>
      <c r="B2211">
        <v>31283</v>
      </c>
      <c r="C2211" s="2">
        <v>45907</v>
      </c>
      <c r="D2211">
        <v>2090</v>
      </c>
      <c r="E2211">
        <v>1006</v>
      </c>
      <c r="F2211">
        <v>1</v>
      </c>
      <c r="G2211">
        <v>253.86</v>
      </c>
      <c r="H2211" s="2">
        <v>45910</v>
      </c>
      <c r="I2211" s="2">
        <v>45911</v>
      </c>
      <c r="J2211" t="s">
        <v>9</v>
      </c>
      <c r="K2211" s="2" t="str">
        <f>IFERROR(INDEX(Product_lookup[Category],MATCH(RawWorking[[#This Row],[ProductID]],Product_lookup[ProductID],0)),"")</f>
        <v>Home</v>
      </c>
      <c r="L2211" s="9">
        <f>IF(OR(RawWorking[[#This Row],[ShipDate]]="",RawWorking[[#This Row],[DeliveryDate]]=""),"",RawWorking[[#This Row],[DeliveryDate]]-RawWorking[[#This Row],[ShipDate]])</f>
        <v>1</v>
      </c>
      <c r="M2211" s="9">
        <f>IF(COUNTIF(INDEX(RawWorking[OrderID],1):RawWorking[[#This Row],[OrderID]],RawWorking[[#This Row],[OrderID]])=1,1,0)</f>
        <v>1</v>
      </c>
      <c r="N2211" s="4">
        <f>IFERROR(RawWorking[[#This Row],[LineAmount]]/RawWorking[[#This Row],[Quantity]],"")</f>
        <v>253.86</v>
      </c>
    </row>
    <row r="2212" spans="1:14">
      <c r="A2212">
        <v>52211</v>
      </c>
      <c r="B2212">
        <v>31283</v>
      </c>
      <c r="C2212" s="2">
        <v>45907</v>
      </c>
      <c r="D2212">
        <v>2090</v>
      </c>
      <c r="E2212">
        <v>1010</v>
      </c>
      <c r="F2212">
        <v>2</v>
      </c>
      <c r="G2212">
        <v>243</v>
      </c>
      <c r="H2212" s="2">
        <v>45909</v>
      </c>
      <c r="I2212" s="2">
        <v>45919</v>
      </c>
      <c r="J2212" t="s">
        <v>9</v>
      </c>
      <c r="K2212" s="2" t="str">
        <f>IFERROR(INDEX(Product_lookup[Category],MATCH(RawWorking[[#This Row],[ProductID]],Product_lookup[ProductID],0)),"")</f>
        <v>Office</v>
      </c>
      <c r="L2212" s="9">
        <f>IF(OR(RawWorking[[#This Row],[ShipDate]]="",RawWorking[[#This Row],[DeliveryDate]]=""),"",RawWorking[[#This Row],[DeliveryDate]]-RawWorking[[#This Row],[ShipDate]])</f>
        <v>10</v>
      </c>
      <c r="M2212" s="9">
        <f>IF(COUNTIF(INDEX(RawWorking[OrderID],1):RawWorking[[#This Row],[OrderID]],RawWorking[[#This Row],[OrderID]])=1,1,0)</f>
        <v>0</v>
      </c>
      <c r="N2212" s="4">
        <f>IFERROR(RawWorking[[#This Row],[LineAmount]]/RawWorking[[#This Row],[Quantity]],"")</f>
        <v>121.5</v>
      </c>
    </row>
    <row r="2213" spans="1:14">
      <c r="A2213">
        <v>52212</v>
      </c>
      <c r="B2213">
        <v>31283</v>
      </c>
      <c r="C2213" s="2">
        <v>45907</v>
      </c>
      <c r="D2213">
        <v>2090</v>
      </c>
      <c r="E2213">
        <v>1003</v>
      </c>
      <c r="F2213">
        <v>3</v>
      </c>
      <c r="G2213">
        <v>673.11</v>
      </c>
      <c r="H2213" s="2">
        <v>45910</v>
      </c>
      <c r="I2213" s="2">
        <v>45914</v>
      </c>
      <c r="J2213" t="s">
        <v>9</v>
      </c>
      <c r="K2213" s="2" t="str">
        <f>IFERROR(INDEX(Product_lookup[Category],MATCH(RawWorking[[#This Row],[ProductID]],Product_lookup[ProductID],0)),"")</f>
        <v>Electronics</v>
      </c>
      <c r="L2213" s="9">
        <f>IF(OR(RawWorking[[#This Row],[ShipDate]]="",RawWorking[[#This Row],[DeliveryDate]]=""),"",RawWorking[[#This Row],[DeliveryDate]]-RawWorking[[#This Row],[ShipDate]])</f>
        <v>4</v>
      </c>
      <c r="M2213" s="9">
        <f>IF(COUNTIF(INDEX(RawWorking[OrderID],1):RawWorking[[#This Row],[OrderID]],RawWorking[[#This Row],[OrderID]])=1,1,0)</f>
        <v>0</v>
      </c>
      <c r="N2213" s="4">
        <f>IFERROR(RawWorking[[#This Row],[LineAmount]]/RawWorking[[#This Row],[Quantity]],"")</f>
        <v>224.37</v>
      </c>
    </row>
    <row r="2214" spans="1:14">
      <c r="A2214">
        <v>52213</v>
      </c>
      <c r="B2214">
        <v>31284</v>
      </c>
      <c r="C2214" s="2">
        <v>45956</v>
      </c>
      <c r="D2214">
        <v>2112</v>
      </c>
      <c r="E2214">
        <v>1004</v>
      </c>
      <c r="F2214">
        <v>1</v>
      </c>
      <c r="G2214">
        <v>183.74</v>
      </c>
      <c r="H2214" s="2">
        <v>45958</v>
      </c>
      <c r="I2214" s="2">
        <v>45964</v>
      </c>
      <c r="J2214" t="s">
        <v>9</v>
      </c>
      <c r="K2214" s="2" t="str">
        <f>IFERROR(INDEX(Product_lookup[Category],MATCH(RawWorking[[#This Row],[ProductID]],Product_lookup[ProductID],0)),"")</f>
        <v>Electronics</v>
      </c>
      <c r="L2214" s="9">
        <f>IF(OR(RawWorking[[#This Row],[ShipDate]]="",RawWorking[[#This Row],[DeliveryDate]]=""),"",RawWorking[[#This Row],[DeliveryDate]]-RawWorking[[#This Row],[ShipDate]])</f>
        <v>6</v>
      </c>
      <c r="M2214" s="9">
        <f>IF(COUNTIF(INDEX(RawWorking[OrderID],1):RawWorking[[#This Row],[OrderID]],RawWorking[[#This Row],[OrderID]])=1,1,0)</f>
        <v>1</v>
      </c>
      <c r="N2214" s="4">
        <f>IFERROR(RawWorking[[#This Row],[LineAmount]]/RawWorking[[#This Row],[Quantity]],"")</f>
        <v>183.74</v>
      </c>
    </row>
    <row r="2215" spans="1:14">
      <c r="A2215">
        <v>52214</v>
      </c>
      <c r="B2215">
        <v>31285</v>
      </c>
      <c r="C2215" s="2">
        <v>45860</v>
      </c>
      <c r="D2215">
        <v>2152</v>
      </c>
      <c r="E2215">
        <v>1007</v>
      </c>
      <c r="F2215">
        <v>1</v>
      </c>
      <c r="G2215">
        <v>199.81</v>
      </c>
      <c r="H2215" s="2">
        <v>45861</v>
      </c>
      <c r="I2215" s="2">
        <v>45868</v>
      </c>
      <c r="J2215" t="s">
        <v>9</v>
      </c>
      <c r="K2215" s="2" t="str">
        <f>IFERROR(INDEX(Product_lookup[Category],MATCH(RawWorking[[#This Row],[ProductID]],Product_lookup[ProductID],0)),"")</f>
        <v>Home</v>
      </c>
      <c r="L2215" s="9">
        <f>IF(OR(RawWorking[[#This Row],[ShipDate]]="",RawWorking[[#This Row],[DeliveryDate]]=""),"",RawWorking[[#This Row],[DeliveryDate]]-RawWorking[[#This Row],[ShipDate]])</f>
        <v>7</v>
      </c>
      <c r="M2215" s="9">
        <f>IF(COUNTIF(INDEX(RawWorking[OrderID],1):RawWorking[[#This Row],[OrderID]],RawWorking[[#This Row],[OrderID]])=1,1,0)</f>
        <v>1</v>
      </c>
      <c r="N2215" s="4">
        <f>IFERROR(RawWorking[[#This Row],[LineAmount]]/RawWorking[[#This Row],[Quantity]],"")</f>
        <v>199.81</v>
      </c>
    </row>
    <row r="2216" spans="1:14">
      <c r="A2216">
        <v>52215</v>
      </c>
      <c r="B2216">
        <v>31286</v>
      </c>
      <c r="C2216" s="2">
        <v>45897</v>
      </c>
      <c r="D2216">
        <v>2534</v>
      </c>
      <c r="E2216">
        <v>1001</v>
      </c>
      <c r="F2216">
        <v>2</v>
      </c>
      <c r="G2216">
        <v>406.08</v>
      </c>
      <c r="H2216" s="2">
        <v>45898</v>
      </c>
      <c r="I2216" s="2">
        <v>45907</v>
      </c>
      <c r="J2216" t="s">
        <v>11</v>
      </c>
      <c r="K2216" s="2" t="str">
        <f>IFERROR(INDEX(Product_lookup[Category],MATCH(RawWorking[[#This Row],[ProductID]],Product_lookup[ProductID],0)),"")</f>
        <v>Electronics</v>
      </c>
      <c r="L2216" s="9">
        <f>IF(OR(RawWorking[[#This Row],[ShipDate]]="",RawWorking[[#This Row],[DeliveryDate]]=""),"",RawWorking[[#This Row],[DeliveryDate]]-RawWorking[[#This Row],[ShipDate]])</f>
        <v>9</v>
      </c>
      <c r="M2216" s="9">
        <f>IF(COUNTIF(INDEX(RawWorking[OrderID],1):RawWorking[[#This Row],[OrderID]],RawWorking[[#This Row],[OrderID]])=1,1,0)</f>
        <v>1</v>
      </c>
      <c r="N2216" s="4">
        <f>IFERROR(RawWorking[[#This Row],[LineAmount]]/RawWorking[[#This Row],[Quantity]],"")</f>
        <v>203.04</v>
      </c>
    </row>
    <row r="2217" spans="1:14">
      <c r="A2217">
        <v>52216</v>
      </c>
      <c r="B2217">
        <v>31286</v>
      </c>
      <c r="C2217" s="2">
        <v>45897</v>
      </c>
      <c r="D2217">
        <v>2534</v>
      </c>
      <c r="E2217">
        <v>1010</v>
      </c>
      <c r="F2217">
        <v>2</v>
      </c>
      <c r="G2217">
        <v>243</v>
      </c>
      <c r="H2217" s="2">
        <v>45900</v>
      </c>
      <c r="I2217" s="2">
        <v>45908</v>
      </c>
      <c r="J2217" t="s">
        <v>11</v>
      </c>
      <c r="K2217" s="2" t="str">
        <f>IFERROR(INDEX(Product_lookup[Category],MATCH(RawWorking[[#This Row],[ProductID]],Product_lookup[ProductID],0)),"")</f>
        <v>Office</v>
      </c>
      <c r="L2217" s="9">
        <f>IF(OR(RawWorking[[#This Row],[ShipDate]]="",RawWorking[[#This Row],[DeliveryDate]]=""),"",RawWorking[[#This Row],[DeliveryDate]]-RawWorking[[#This Row],[ShipDate]])</f>
        <v>8</v>
      </c>
      <c r="M2217" s="9">
        <f>IF(COUNTIF(INDEX(RawWorking[OrderID],1):RawWorking[[#This Row],[OrderID]],RawWorking[[#This Row],[OrderID]])=1,1,0)</f>
        <v>0</v>
      </c>
      <c r="N2217" s="4">
        <f>IFERROR(RawWorking[[#This Row],[LineAmount]]/RawWorking[[#This Row],[Quantity]],"")</f>
        <v>121.5</v>
      </c>
    </row>
    <row r="2218" spans="1:14">
      <c r="A2218">
        <v>52217</v>
      </c>
      <c r="B2218">
        <v>31286</v>
      </c>
      <c r="C2218" s="2">
        <v>45897</v>
      </c>
      <c r="D2218">
        <v>2534</v>
      </c>
      <c r="E2218">
        <v>1014</v>
      </c>
      <c r="F2218">
        <v>1</v>
      </c>
      <c r="G2218">
        <v>215.34</v>
      </c>
      <c r="H2218" s="2">
        <v>45898</v>
      </c>
      <c r="I2218" s="2">
        <v>45905</v>
      </c>
      <c r="J2218" t="s">
        <v>11</v>
      </c>
      <c r="K2218" s="2" t="str">
        <f>IFERROR(INDEX(Product_lookup[Category],MATCH(RawWorking[[#This Row],[ProductID]],Product_lookup[ProductID],0)),"")</f>
        <v>Sports</v>
      </c>
      <c r="L2218" s="9">
        <f>IF(OR(RawWorking[[#This Row],[ShipDate]]="",RawWorking[[#This Row],[DeliveryDate]]=""),"",RawWorking[[#This Row],[DeliveryDate]]-RawWorking[[#This Row],[ShipDate]])</f>
        <v>7</v>
      </c>
      <c r="M2218" s="9">
        <f>IF(COUNTIF(INDEX(RawWorking[OrderID],1):RawWorking[[#This Row],[OrderID]],RawWorking[[#This Row],[OrderID]])=1,1,0)</f>
        <v>0</v>
      </c>
      <c r="N2218" s="4">
        <f>IFERROR(RawWorking[[#This Row],[LineAmount]]/RawWorking[[#This Row],[Quantity]],"")</f>
        <v>215.34</v>
      </c>
    </row>
    <row r="2219" spans="1:14">
      <c r="A2219">
        <v>52218</v>
      </c>
      <c r="B2219">
        <v>31287</v>
      </c>
      <c r="C2219" s="2">
        <v>45855</v>
      </c>
      <c r="D2219">
        <v>2555</v>
      </c>
      <c r="E2219">
        <v>1016</v>
      </c>
      <c r="F2219">
        <v>1</v>
      </c>
      <c r="G2219">
        <v>65.260000000000005</v>
      </c>
      <c r="H2219" s="2" t="s">
        <v>1421</v>
      </c>
      <c r="I2219" s="2" t="s">
        <v>1421</v>
      </c>
      <c r="J2219" t="s">
        <v>12</v>
      </c>
      <c r="K2219" s="2" t="str">
        <f>IFERROR(INDEX(Product_lookup[Category],MATCH(RawWorking[[#This Row],[ProductID]],Product_lookup[ProductID],0)),"")</f>
        <v>Sports</v>
      </c>
      <c r="L2219" s="9" t="str">
        <f>IF(OR(RawWorking[[#This Row],[ShipDate]]="",RawWorking[[#This Row],[DeliveryDate]]=""),"",RawWorking[[#This Row],[DeliveryDate]]-RawWorking[[#This Row],[ShipDate]])</f>
        <v/>
      </c>
      <c r="M2219" s="9">
        <f>IF(COUNTIF(INDEX(RawWorking[OrderID],1):RawWorking[[#This Row],[OrderID]],RawWorking[[#This Row],[OrderID]])=1,1,0)</f>
        <v>1</v>
      </c>
      <c r="N2219" s="4">
        <f>IFERROR(RawWorking[[#This Row],[LineAmount]]/RawWorking[[#This Row],[Quantity]],"")</f>
        <v>65.260000000000005</v>
      </c>
    </row>
    <row r="2220" spans="1:14">
      <c r="A2220">
        <v>52219</v>
      </c>
      <c r="B2220">
        <v>31288</v>
      </c>
      <c r="C2220" s="2">
        <v>45701</v>
      </c>
      <c r="D2220">
        <v>2356</v>
      </c>
      <c r="E2220">
        <v>1001</v>
      </c>
      <c r="F2220">
        <v>2</v>
      </c>
      <c r="G2220">
        <v>406.08</v>
      </c>
      <c r="H2220" s="2">
        <v>45704</v>
      </c>
      <c r="I2220" s="2">
        <v>45714</v>
      </c>
      <c r="J2220" t="s">
        <v>9</v>
      </c>
      <c r="K2220" s="2" t="str">
        <f>IFERROR(INDEX(Product_lookup[Category],MATCH(RawWorking[[#This Row],[ProductID]],Product_lookup[ProductID],0)),"")</f>
        <v>Electronics</v>
      </c>
      <c r="L2220" s="9">
        <f>IF(OR(RawWorking[[#This Row],[ShipDate]]="",RawWorking[[#This Row],[DeliveryDate]]=""),"",RawWorking[[#This Row],[DeliveryDate]]-RawWorking[[#This Row],[ShipDate]])</f>
        <v>10</v>
      </c>
      <c r="M2220" s="9">
        <f>IF(COUNTIF(INDEX(RawWorking[OrderID],1):RawWorking[[#This Row],[OrderID]],RawWorking[[#This Row],[OrderID]])=1,1,0)</f>
        <v>1</v>
      </c>
      <c r="N2220" s="4">
        <f>IFERROR(RawWorking[[#This Row],[LineAmount]]/RawWorking[[#This Row],[Quantity]],"")</f>
        <v>203.04</v>
      </c>
    </row>
    <row r="2221" spans="1:14">
      <c r="A2221">
        <v>52220</v>
      </c>
      <c r="B2221">
        <v>31288</v>
      </c>
      <c r="C2221" s="2">
        <v>45701</v>
      </c>
      <c r="D2221">
        <v>2356</v>
      </c>
      <c r="E2221">
        <v>1010</v>
      </c>
      <c r="F2221">
        <v>4</v>
      </c>
      <c r="G2221">
        <v>486</v>
      </c>
      <c r="H2221" s="2">
        <v>45703</v>
      </c>
      <c r="I2221" s="2">
        <v>45712</v>
      </c>
      <c r="J2221" t="s">
        <v>9</v>
      </c>
      <c r="K2221" s="2" t="str">
        <f>IFERROR(INDEX(Product_lookup[Category],MATCH(RawWorking[[#This Row],[ProductID]],Product_lookup[ProductID],0)),"")</f>
        <v>Office</v>
      </c>
      <c r="L2221" s="9">
        <f>IF(OR(RawWorking[[#This Row],[ShipDate]]="",RawWorking[[#This Row],[DeliveryDate]]=""),"",RawWorking[[#This Row],[DeliveryDate]]-RawWorking[[#This Row],[ShipDate]])</f>
        <v>9</v>
      </c>
      <c r="M2221" s="9">
        <f>IF(COUNTIF(INDEX(RawWorking[OrderID],1):RawWorking[[#This Row],[OrderID]],RawWorking[[#This Row],[OrderID]])=1,1,0)</f>
        <v>0</v>
      </c>
      <c r="N2221" s="4">
        <f>IFERROR(RawWorking[[#This Row],[LineAmount]]/RawWorking[[#This Row],[Quantity]],"")</f>
        <v>121.5</v>
      </c>
    </row>
    <row r="2222" spans="1:14">
      <c r="A2222">
        <v>52221</v>
      </c>
      <c r="B2222">
        <v>31288</v>
      </c>
      <c r="C2222" s="2">
        <v>45701</v>
      </c>
      <c r="D2222">
        <v>2356</v>
      </c>
      <c r="E2222">
        <v>1007</v>
      </c>
      <c r="F2222">
        <v>1</v>
      </c>
      <c r="G2222">
        <v>199.81</v>
      </c>
      <c r="H2222" s="2">
        <v>45703</v>
      </c>
      <c r="I2222" s="2">
        <v>45712</v>
      </c>
      <c r="J2222" t="s">
        <v>9</v>
      </c>
      <c r="K2222" s="2" t="str">
        <f>IFERROR(INDEX(Product_lookup[Category],MATCH(RawWorking[[#This Row],[ProductID]],Product_lookup[ProductID],0)),"")</f>
        <v>Home</v>
      </c>
      <c r="L2222" s="9">
        <f>IF(OR(RawWorking[[#This Row],[ShipDate]]="",RawWorking[[#This Row],[DeliveryDate]]=""),"",RawWorking[[#This Row],[DeliveryDate]]-RawWorking[[#This Row],[ShipDate]])</f>
        <v>9</v>
      </c>
      <c r="M2222" s="9">
        <f>IF(COUNTIF(INDEX(RawWorking[OrderID],1):RawWorking[[#This Row],[OrderID]],RawWorking[[#This Row],[OrderID]])=1,1,0)</f>
        <v>0</v>
      </c>
      <c r="N2222" s="4">
        <f>IFERROR(RawWorking[[#This Row],[LineAmount]]/RawWorking[[#This Row],[Quantity]],"")</f>
        <v>199.81</v>
      </c>
    </row>
    <row r="2223" spans="1:14">
      <c r="A2223">
        <v>52222</v>
      </c>
      <c r="B2223">
        <v>31289</v>
      </c>
      <c r="C2223" s="2">
        <v>45704</v>
      </c>
      <c r="D2223">
        <v>2065</v>
      </c>
      <c r="E2223">
        <v>1008</v>
      </c>
      <c r="F2223">
        <v>1</v>
      </c>
      <c r="G2223">
        <v>206.09</v>
      </c>
      <c r="H2223" s="2">
        <v>45707</v>
      </c>
      <c r="I2223" s="2">
        <v>45715</v>
      </c>
      <c r="J2223" t="s">
        <v>9</v>
      </c>
      <c r="K2223" s="2" t="str">
        <f>IFERROR(INDEX(Product_lookup[Category],MATCH(RawWorking[[#This Row],[ProductID]],Product_lookup[ProductID],0)),"")</f>
        <v>Home</v>
      </c>
      <c r="L2223" s="9">
        <f>IF(OR(RawWorking[[#This Row],[ShipDate]]="",RawWorking[[#This Row],[DeliveryDate]]=""),"",RawWorking[[#This Row],[DeliveryDate]]-RawWorking[[#This Row],[ShipDate]])</f>
        <v>8</v>
      </c>
      <c r="M2223" s="9">
        <f>IF(COUNTIF(INDEX(RawWorking[OrderID],1):RawWorking[[#This Row],[OrderID]],RawWorking[[#This Row],[OrderID]])=1,1,0)</f>
        <v>1</v>
      </c>
      <c r="N2223" s="4">
        <f>IFERROR(RawWorking[[#This Row],[LineAmount]]/RawWorking[[#This Row],[Quantity]],"")</f>
        <v>206.09</v>
      </c>
    </row>
    <row r="2224" spans="1:14">
      <c r="A2224">
        <v>52223</v>
      </c>
      <c r="B2224">
        <v>31289</v>
      </c>
      <c r="C2224" s="2">
        <v>45704</v>
      </c>
      <c r="D2224">
        <v>2065</v>
      </c>
      <c r="E2224">
        <v>1011</v>
      </c>
      <c r="F2224">
        <v>4</v>
      </c>
      <c r="G2224">
        <v>405.76</v>
      </c>
      <c r="H2224" s="2">
        <v>45705</v>
      </c>
      <c r="I2224" s="2">
        <v>45708</v>
      </c>
      <c r="J2224" t="s">
        <v>9</v>
      </c>
      <c r="K2224" s="2" t="str">
        <f>IFERROR(INDEX(Product_lookup[Category],MATCH(RawWorking[[#This Row],[ProductID]],Product_lookup[ProductID],0)),"")</f>
        <v>Office</v>
      </c>
      <c r="L2224" s="9">
        <f>IF(OR(RawWorking[[#This Row],[ShipDate]]="",RawWorking[[#This Row],[DeliveryDate]]=""),"",RawWorking[[#This Row],[DeliveryDate]]-RawWorking[[#This Row],[ShipDate]])</f>
        <v>3</v>
      </c>
      <c r="M2224" s="9">
        <f>IF(COUNTIF(INDEX(RawWorking[OrderID],1):RawWorking[[#This Row],[OrderID]],RawWorking[[#This Row],[OrderID]])=1,1,0)</f>
        <v>0</v>
      </c>
      <c r="N2224" s="4">
        <f>IFERROR(RawWorking[[#This Row],[LineAmount]]/RawWorking[[#This Row],[Quantity]],"")</f>
        <v>101.44</v>
      </c>
    </row>
    <row r="2225" spans="1:14">
      <c r="A2225">
        <v>52224</v>
      </c>
      <c r="B2225">
        <v>31289</v>
      </c>
      <c r="C2225" s="2">
        <v>45704</v>
      </c>
      <c r="D2225">
        <v>2065</v>
      </c>
      <c r="E2225">
        <v>1014</v>
      </c>
      <c r="F2225">
        <v>1</v>
      </c>
      <c r="G2225">
        <v>215.34</v>
      </c>
      <c r="H2225" s="2">
        <v>45705</v>
      </c>
      <c r="I2225" s="2">
        <v>45706</v>
      </c>
      <c r="J2225" t="s">
        <v>9</v>
      </c>
      <c r="K2225" s="2" t="str">
        <f>IFERROR(INDEX(Product_lookup[Category],MATCH(RawWorking[[#This Row],[ProductID]],Product_lookup[ProductID],0)),"")</f>
        <v>Sports</v>
      </c>
      <c r="L2225" s="9">
        <f>IF(OR(RawWorking[[#This Row],[ShipDate]]="",RawWorking[[#This Row],[DeliveryDate]]=""),"",RawWorking[[#This Row],[DeliveryDate]]-RawWorking[[#This Row],[ShipDate]])</f>
        <v>1</v>
      </c>
      <c r="M2225" s="9">
        <f>IF(COUNTIF(INDEX(RawWorking[OrderID],1):RawWorking[[#This Row],[OrderID]],RawWorking[[#This Row],[OrderID]])=1,1,0)</f>
        <v>0</v>
      </c>
      <c r="N2225" s="4">
        <f>IFERROR(RawWorking[[#This Row],[LineAmount]]/RawWorking[[#This Row],[Quantity]],"")</f>
        <v>215.34</v>
      </c>
    </row>
    <row r="2226" spans="1:14">
      <c r="A2226">
        <v>52225</v>
      </c>
      <c r="B2226">
        <v>31290</v>
      </c>
      <c r="C2226" s="2">
        <v>45824</v>
      </c>
      <c r="D2226">
        <v>2593</v>
      </c>
      <c r="E2226">
        <v>1011</v>
      </c>
      <c r="F2226">
        <v>1</v>
      </c>
      <c r="G2226">
        <v>101.44</v>
      </c>
      <c r="H2226" s="2">
        <v>45827</v>
      </c>
      <c r="I2226" s="2">
        <v>45837</v>
      </c>
      <c r="J2226" t="s">
        <v>9</v>
      </c>
      <c r="K2226" s="2" t="str">
        <f>IFERROR(INDEX(Product_lookup[Category],MATCH(RawWorking[[#This Row],[ProductID]],Product_lookup[ProductID],0)),"")</f>
        <v>Office</v>
      </c>
      <c r="L2226" s="9">
        <f>IF(OR(RawWorking[[#This Row],[ShipDate]]="",RawWorking[[#This Row],[DeliveryDate]]=""),"",RawWorking[[#This Row],[DeliveryDate]]-RawWorking[[#This Row],[ShipDate]])</f>
        <v>10</v>
      </c>
      <c r="M2226" s="9">
        <f>IF(COUNTIF(INDEX(RawWorking[OrderID],1):RawWorking[[#This Row],[OrderID]],RawWorking[[#This Row],[OrderID]])=1,1,0)</f>
        <v>1</v>
      </c>
      <c r="N2226" s="4">
        <f>IFERROR(RawWorking[[#This Row],[LineAmount]]/RawWorking[[#This Row],[Quantity]],"")</f>
        <v>101.44</v>
      </c>
    </row>
    <row r="2227" spans="1:14">
      <c r="A2227">
        <v>52226</v>
      </c>
      <c r="B2227">
        <v>31291</v>
      </c>
      <c r="C2227" s="2">
        <v>45792</v>
      </c>
      <c r="D2227">
        <v>2498</v>
      </c>
      <c r="E2227">
        <v>1015</v>
      </c>
      <c r="F2227">
        <v>1</v>
      </c>
      <c r="G2227">
        <v>119.74</v>
      </c>
      <c r="H2227" s="2">
        <v>45795</v>
      </c>
      <c r="I2227" s="2">
        <v>45803</v>
      </c>
      <c r="J2227" t="s">
        <v>9</v>
      </c>
      <c r="K2227" s="2" t="str">
        <f>IFERROR(INDEX(Product_lookup[Category],MATCH(RawWorking[[#This Row],[ProductID]],Product_lookup[ProductID],0)),"")</f>
        <v>Sports</v>
      </c>
      <c r="L2227" s="9">
        <f>IF(OR(RawWorking[[#This Row],[ShipDate]]="",RawWorking[[#This Row],[DeliveryDate]]=""),"",RawWorking[[#This Row],[DeliveryDate]]-RawWorking[[#This Row],[ShipDate]])</f>
        <v>8</v>
      </c>
      <c r="M2227" s="9">
        <f>IF(COUNTIF(INDEX(RawWorking[OrderID],1):RawWorking[[#This Row],[OrderID]],RawWorking[[#This Row],[OrderID]])=1,1,0)</f>
        <v>1</v>
      </c>
      <c r="N2227" s="4">
        <f>IFERROR(RawWorking[[#This Row],[LineAmount]]/RawWorking[[#This Row],[Quantity]],"")</f>
        <v>119.74</v>
      </c>
    </row>
    <row r="2228" spans="1:14">
      <c r="A2228">
        <v>52227</v>
      </c>
      <c r="B2228">
        <v>31291</v>
      </c>
      <c r="C2228" s="2">
        <v>45792</v>
      </c>
      <c r="D2228">
        <v>2498</v>
      </c>
      <c r="E2228">
        <v>1015</v>
      </c>
      <c r="F2228">
        <v>1</v>
      </c>
      <c r="G2228">
        <v>119.74</v>
      </c>
      <c r="H2228" s="2">
        <v>45793</v>
      </c>
      <c r="I2228" s="2">
        <v>45798</v>
      </c>
      <c r="J2228" t="s">
        <v>9</v>
      </c>
      <c r="K2228" s="2" t="str">
        <f>IFERROR(INDEX(Product_lookup[Category],MATCH(RawWorking[[#This Row],[ProductID]],Product_lookup[ProductID],0)),"")</f>
        <v>Sports</v>
      </c>
      <c r="L2228" s="9">
        <f>IF(OR(RawWorking[[#This Row],[ShipDate]]="",RawWorking[[#This Row],[DeliveryDate]]=""),"",RawWorking[[#This Row],[DeliveryDate]]-RawWorking[[#This Row],[ShipDate]])</f>
        <v>5</v>
      </c>
      <c r="M2228" s="9">
        <f>IF(COUNTIF(INDEX(RawWorking[OrderID],1):RawWorking[[#This Row],[OrderID]],RawWorking[[#This Row],[OrderID]])=1,1,0)</f>
        <v>0</v>
      </c>
      <c r="N2228" s="4">
        <f>IFERROR(RawWorking[[#This Row],[LineAmount]]/RawWorking[[#This Row],[Quantity]],"")</f>
        <v>119.74</v>
      </c>
    </row>
    <row r="2229" spans="1:14">
      <c r="A2229">
        <v>52228</v>
      </c>
      <c r="B2229">
        <v>31291</v>
      </c>
      <c r="C2229" s="2">
        <v>45792</v>
      </c>
      <c r="D2229">
        <v>2498</v>
      </c>
      <c r="E2229">
        <v>1010</v>
      </c>
      <c r="F2229">
        <v>1</v>
      </c>
      <c r="G2229">
        <v>121.5</v>
      </c>
      <c r="H2229" s="2">
        <v>45794</v>
      </c>
      <c r="I2229" s="2">
        <v>45802</v>
      </c>
      <c r="J2229" t="s">
        <v>9</v>
      </c>
      <c r="K2229" s="2" t="str">
        <f>IFERROR(INDEX(Product_lookup[Category],MATCH(RawWorking[[#This Row],[ProductID]],Product_lookup[ProductID],0)),"")</f>
        <v>Office</v>
      </c>
      <c r="L2229" s="9">
        <f>IF(OR(RawWorking[[#This Row],[ShipDate]]="",RawWorking[[#This Row],[DeliveryDate]]=""),"",RawWorking[[#This Row],[DeliveryDate]]-RawWorking[[#This Row],[ShipDate]])</f>
        <v>8</v>
      </c>
      <c r="M2229" s="9">
        <f>IF(COUNTIF(INDEX(RawWorking[OrderID],1):RawWorking[[#This Row],[OrderID]],RawWorking[[#This Row],[OrderID]])=1,1,0)</f>
        <v>0</v>
      </c>
      <c r="N2229" s="4">
        <f>IFERROR(RawWorking[[#This Row],[LineAmount]]/RawWorking[[#This Row],[Quantity]],"")</f>
        <v>121.5</v>
      </c>
    </row>
    <row r="2230" spans="1:14">
      <c r="A2230">
        <v>52229</v>
      </c>
      <c r="B2230">
        <v>31292</v>
      </c>
      <c r="C2230" s="2">
        <v>45942</v>
      </c>
      <c r="D2230">
        <v>2581</v>
      </c>
      <c r="E2230">
        <v>1010</v>
      </c>
      <c r="F2230">
        <v>1</v>
      </c>
      <c r="G2230">
        <v>121.5</v>
      </c>
      <c r="H2230" s="2">
        <v>45944</v>
      </c>
      <c r="I2230" s="2">
        <v>45948</v>
      </c>
      <c r="J2230" t="s">
        <v>9</v>
      </c>
      <c r="K2230" s="2" t="str">
        <f>IFERROR(INDEX(Product_lookup[Category],MATCH(RawWorking[[#This Row],[ProductID]],Product_lookup[ProductID],0)),"")</f>
        <v>Office</v>
      </c>
      <c r="L2230" s="9">
        <f>IF(OR(RawWorking[[#This Row],[ShipDate]]="",RawWorking[[#This Row],[DeliveryDate]]=""),"",RawWorking[[#This Row],[DeliveryDate]]-RawWorking[[#This Row],[ShipDate]])</f>
        <v>4</v>
      </c>
      <c r="M2230" s="9">
        <f>IF(COUNTIF(INDEX(RawWorking[OrderID],1):RawWorking[[#This Row],[OrderID]],RawWorking[[#This Row],[OrderID]])=1,1,0)</f>
        <v>1</v>
      </c>
      <c r="N2230" s="4">
        <f>IFERROR(RawWorking[[#This Row],[LineAmount]]/RawWorking[[#This Row],[Quantity]],"")</f>
        <v>121.5</v>
      </c>
    </row>
    <row r="2231" spans="1:14">
      <c r="A2231">
        <v>52230</v>
      </c>
      <c r="B2231">
        <v>31292</v>
      </c>
      <c r="C2231" s="2">
        <v>45942</v>
      </c>
      <c r="D2231">
        <v>2581</v>
      </c>
      <c r="E2231">
        <v>1006</v>
      </c>
      <c r="F2231">
        <v>1</v>
      </c>
      <c r="G2231">
        <v>253.86</v>
      </c>
      <c r="H2231" s="2">
        <v>45944</v>
      </c>
      <c r="I2231" s="2">
        <v>45945</v>
      </c>
      <c r="J2231" t="s">
        <v>9</v>
      </c>
      <c r="K2231" s="2" t="str">
        <f>IFERROR(INDEX(Product_lookup[Category],MATCH(RawWorking[[#This Row],[ProductID]],Product_lookup[ProductID],0)),"")</f>
        <v>Home</v>
      </c>
      <c r="L2231" s="9">
        <f>IF(OR(RawWorking[[#This Row],[ShipDate]]="",RawWorking[[#This Row],[DeliveryDate]]=""),"",RawWorking[[#This Row],[DeliveryDate]]-RawWorking[[#This Row],[ShipDate]])</f>
        <v>1</v>
      </c>
      <c r="M2231" s="9">
        <f>IF(COUNTIF(INDEX(RawWorking[OrderID],1):RawWorking[[#This Row],[OrderID]],RawWorking[[#This Row],[OrderID]])=1,1,0)</f>
        <v>0</v>
      </c>
      <c r="N2231" s="4">
        <f>IFERROR(RawWorking[[#This Row],[LineAmount]]/RawWorking[[#This Row],[Quantity]],"")</f>
        <v>253.86</v>
      </c>
    </row>
    <row r="2232" spans="1:14">
      <c r="A2232">
        <v>52231</v>
      </c>
      <c r="B2232">
        <v>31292</v>
      </c>
      <c r="C2232" s="2">
        <v>45942</v>
      </c>
      <c r="D2232">
        <v>2581</v>
      </c>
      <c r="E2232">
        <v>1009</v>
      </c>
      <c r="F2232">
        <v>1</v>
      </c>
      <c r="G2232">
        <v>40.28</v>
      </c>
      <c r="H2232" s="2">
        <v>45944</v>
      </c>
      <c r="I2232" s="2">
        <v>45950</v>
      </c>
      <c r="J2232" t="s">
        <v>9</v>
      </c>
      <c r="K2232" s="2" t="str">
        <f>IFERROR(INDEX(Product_lookup[Category],MATCH(RawWorking[[#This Row],[ProductID]],Product_lookup[ProductID],0)),"")</f>
        <v>Home</v>
      </c>
      <c r="L2232" s="9">
        <f>IF(OR(RawWorking[[#This Row],[ShipDate]]="",RawWorking[[#This Row],[DeliveryDate]]=""),"",RawWorking[[#This Row],[DeliveryDate]]-RawWorking[[#This Row],[ShipDate]])</f>
        <v>6</v>
      </c>
      <c r="M2232" s="9">
        <f>IF(COUNTIF(INDEX(RawWorking[OrderID],1):RawWorking[[#This Row],[OrderID]],RawWorking[[#This Row],[OrderID]])=1,1,0)</f>
        <v>0</v>
      </c>
      <c r="N2232" s="4">
        <f>IFERROR(RawWorking[[#This Row],[LineAmount]]/RawWorking[[#This Row],[Quantity]],"")</f>
        <v>40.28</v>
      </c>
    </row>
    <row r="2233" spans="1:14">
      <c r="A2233">
        <v>52232</v>
      </c>
      <c r="B2233">
        <v>31292</v>
      </c>
      <c r="C2233" s="2">
        <v>45942</v>
      </c>
      <c r="D2233">
        <v>2581</v>
      </c>
      <c r="E2233">
        <v>1008</v>
      </c>
      <c r="F2233">
        <v>1</v>
      </c>
      <c r="G2233">
        <v>206.09</v>
      </c>
      <c r="H2233" s="2">
        <v>45943</v>
      </c>
      <c r="I2233" s="2">
        <v>45949</v>
      </c>
      <c r="J2233" t="s">
        <v>9</v>
      </c>
      <c r="K2233" s="2" t="str">
        <f>IFERROR(INDEX(Product_lookup[Category],MATCH(RawWorking[[#This Row],[ProductID]],Product_lookup[ProductID],0)),"")</f>
        <v>Home</v>
      </c>
      <c r="L2233" s="9">
        <f>IF(OR(RawWorking[[#This Row],[ShipDate]]="",RawWorking[[#This Row],[DeliveryDate]]=""),"",RawWorking[[#This Row],[DeliveryDate]]-RawWorking[[#This Row],[ShipDate]])</f>
        <v>6</v>
      </c>
      <c r="M2233" s="9">
        <f>IF(COUNTIF(INDEX(RawWorking[OrderID],1):RawWorking[[#This Row],[OrderID]],RawWorking[[#This Row],[OrderID]])=1,1,0)</f>
        <v>0</v>
      </c>
      <c r="N2233" s="4">
        <f>IFERROR(RawWorking[[#This Row],[LineAmount]]/RawWorking[[#This Row],[Quantity]],"")</f>
        <v>206.09</v>
      </c>
    </row>
    <row r="2234" spans="1:14">
      <c r="A2234">
        <v>52233</v>
      </c>
      <c r="B2234">
        <v>31293</v>
      </c>
      <c r="C2234" s="2">
        <v>45677</v>
      </c>
      <c r="D2234">
        <v>2496</v>
      </c>
      <c r="E2234">
        <v>1010</v>
      </c>
      <c r="F2234">
        <v>1</v>
      </c>
      <c r="G2234">
        <v>121.5</v>
      </c>
      <c r="H2234" s="2">
        <v>45680</v>
      </c>
      <c r="I2234" s="2">
        <v>45684</v>
      </c>
      <c r="J2234" t="s">
        <v>9</v>
      </c>
      <c r="K2234" s="2" t="str">
        <f>IFERROR(INDEX(Product_lookup[Category],MATCH(RawWorking[[#This Row],[ProductID]],Product_lookup[ProductID],0)),"")</f>
        <v>Office</v>
      </c>
      <c r="L2234" s="9">
        <f>IF(OR(RawWorking[[#This Row],[ShipDate]]="",RawWorking[[#This Row],[DeliveryDate]]=""),"",RawWorking[[#This Row],[DeliveryDate]]-RawWorking[[#This Row],[ShipDate]])</f>
        <v>4</v>
      </c>
      <c r="M2234" s="9">
        <f>IF(COUNTIF(INDEX(RawWorking[OrderID],1):RawWorking[[#This Row],[OrderID]],RawWorking[[#This Row],[OrderID]])=1,1,0)</f>
        <v>1</v>
      </c>
      <c r="N2234" s="4">
        <f>IFERROR(RawWorking[[#This Row],[LineAmount]]/RawWorking[[#This Row],[Quantity]],"")</f>
        <v>121.5</v>
      </c>
    </row>
    <row r="2235" spans="1:14">
      <c r="A2235">
        <v>52234</v>
      </c>
      <c r="B2235">
        <v>31294</v>
      </c>
      <c r="C2235" s="2">
        <v>45671</v>
      </c>
      <c r="D2235">
        <v>2049</v>
      </c>
      <c r="E2235">
        <v>1010</v>
      </c>
      <c r="F2235">
        <v>1</v>
      </c>
      <c r="G2235">
        <v>121.5</v>
      </c>
      <c r="H2235" s="2">
        <v>45672</v>
      </c>
      <c r="I2235" s="2">
        <v>45681</v>
      </c>
      <c r="J2235" t="s">
        <v>9</v>
      </c>
      <c r="K2235" s="2" t="str">
        <f>IFERROR(INDEX(Product_lookup[Category],MATCH(RawWorking[[#This Row],[ProductID]],Product_lookup[ProductID],0)),"")</f>
        <v>Office</v>
      </c>
      <c r="L2235" s="9">
        <f>IF(OR(RawWorking[[#This Row],[ShipDate]]="",RawWorking[[#This Row],[DeliveryDate]]=""),"",RawWorking[[#This Row],[DeliveryDate]]-RawWorking[[#This Row],[ShipDate]])</f>
        <v>9</v>
      </c>
      <c r="M2235" s="9">
        <f>IF(COUNTIF(INDEX(RawWorking[OrderID],1):RawWorking[[#This Row],[OrderID]],RawWorking[[#This Row],[OrderID]])=1,1,0)</f>
        <v>1</v>
      </c>
      <c r="N2235" s="4">
        <f>IFERROR(RawWorking[[#This Row],[LineAmount]]/RawWorking[[#This Row],[Quantity]],"")</f>
        <v>121.5</v>
      </c>
    </row>
    <row r="2236" spans="1:14">
      <c r="A2236">
        <v>52235</v>
      </c>
      <c r="B2236">
        <v>31295</v>
      </c>
      <c r="C2236" s="2">
        <v>45697</v>
      </c>
      <c r="D2236">
        <v>2467</v>
      </c>
      <c r="E2236">
        <v>1006</v>
      </c>
      <c r="F2236">
        <v>1</v>
      </c>
      <c r="G2236">
        <v>253.86</v>
      </c>
      <c r="H2236" s="2">
        <v>45700</v>
      </c>
      <c r="I2236" s="2">
        <v>45703</v>
      </c>
      <c r="J2236" t="s">
        <v>11</v>
      </c>
      <c r="K2236" s="2" t="str">
        <f>IFERROR(INDEX(Product_lookup[Category],MATCH(RawWorking[[#This Row],[ProductID]],Product_lookup[ProductID],0)),"")</f>
        <v>Home</v>
      </c>
      <c r="L2236" s="9">
        <f>IF(OR(RawWorking[[#This Row],[ShipDate]]="",RawWorking[[#This Row],[DeliveryDate]]=""),"",RawWorking[[#This Row],[DeliveryDate]]-RawWorking[[#This Row],[ShipDate]])</f>
        <v>3</v>
      </c>
      <c r="M2236" s="9">
        <f>IF(COUNTIF(INDEX(RawWorking[OrderID],1):RawWorking[[#This Row],[OrderID]],RawWorking[[#This Row],[OrderID]])=1,1,0)</f>
        <v>1</v>
      </c>
      <c r="N2236" s="4">
        <f>IFERROR(RawWorking[[#This Row],[LineAmount]]/RawWorking[[#This Row],[Quantity]],"")</f>
        <v>253.86</v>
      </c>
    </row>
    <row r="2237" spans="1:14">
      <c r="A2237">
        <v>52236</v>
      </c>
      <c r="B2237">
        <v>31295</v>
      </c>
      <c r="C2237" s="2">
        <v>45697</v>
      </c>
      <c r="D2237">
        <v>2467</v>
      </c>
      <c r="E2237">
        <v>1010</v>
      </c>
      <c r="F2237">
        <v>1</v>
      </c>
      <c r="G2237">
        <v>121.5</v>
      </c>
      <c r="H2237" s="2">
        <v>45698</v>
      </c>
      <c r="I2237" s="2">
        <v>45707</v>
      </c>
      <c r="J2237" t="s">
        <v>11</v>
      </c>
      <c r="K2237" s="2" t="str">
        <f>IFERROR(INDEX(Product_lookup[Category],MATCH(RawWorking[[#This Row],[ProductID]],Product_lookup[ProductID],0)),"")</f>
        <v>Office</v>
      </c>
      <c r="L2237" s="9">
        <f>IF(OR(RawWorking[[#This Row],[ShipDate]]="",RawWorking[[#This Row],[DeliveryDate]]=""),"",RawWorking[[#This Row],[DeliveryDate]]-RawWorking[[#This Row],[ShipDate]])</f>
        <v>9</v>
      </c>
      <c r="M2237" s="9">
        <f>IF(COUNTIF(INDEX(RawWorking[OrderID],1):RawWorking[[#This Row],[OrderID]],RawWorking[[#This Row],[OrderID]])=1,1,0)</f>
        <v>0</v>
      </c>
      <c r="N2237" s="4">
        <f>IFERROR(RawWorking[[#This Row],[LineAmount]]/RawWorking[[#This Row],[Quantity]],"")</f>
        <v>121.5</v>
      </c>
    </row>
    <row r="2238" spans="1:14">
      <c r="A2238">
        <v>52237</v>
      </c>
      <c r="B2238">
        <v>31296</v>
      </c>
      <c r="C2238" s="2">
        <v>45693</v>
      </c>
      <c r="D2238">
        <v>2187</v>
      </c>
      <c r="E2238">
        <v>1005</v>
      </c>
      <c r="F2238">
        <v>1</v>
      </c>
      <c r="G2238">
        <v>31.73</v>
      </c>
      <c r="H2238" s="2">
        <v>45782</v>
      </c>
      <c r="I2238" s="2">
        <v>45785</v>
      </c>
      <c r="J2238" t="s">
        <v>11</v>
      </c>
      <c r="K2238" s="2" t="str">
        <f>IFERROR(INDEX(Product_lookup[Category],MATCH(RawWorking[[#This Row],[ProductID]],Product_lookup[ProductID],0)),"")</f>
        <v>Electronics</v>
      </c>
      <c r="L2238" s="9">
        <f>IF(OR(RawWorking[[#This Row],[ShipDate]]="",RawWorking[[#This Row],[DeliveryDate]]=""),"",RawWorking[[#This Row],[DeliveryDate]]-RawWorking[[#This Row],[ShipDate]])</f>
        <v>3</v>
      </c>
      <c r="M2238" s="9">
        <f>IF(COUNTIF(INDEX(RawWorking[OrderID],1):RawWorking[[#This Row],[OrderID]],RawWorking[[#This Row],[OrderID]])=1,1,0)</f>
        <v>1</v>
      </c>
      <c r="N2238" s="4">
        <f>IFERROR(RawWorking[[#This Row],[LineAmount]]/RawWorking[[#This Row],[Quantity]],"")</f>
        <v>31.73</v>
      </c>
    </row>
    <row r="2239" spans="1:14">
      <c r="A2239">
        <v>52238</v>
      </c>
      <c r="B2239">
        <v>31296</v>
      </c>
      <c r="C2239" s="2">
        <v>45693</v>
      </c>
      <c r="D2239">
        <v>2187</v>
      </c>
      <c r="E2239">
        <v>1006</v>
      </c>
      <c r="F2239">
        <v>1</v>
      </c>
      <c r="G2239">
        <v>253.86</v>
      </c>
      <c r="H2239" s="2">
        <v>45781</v>
      </c>
      <c r="I2239" s="2">
        <v>45783</v>
      </c>
      <c r="J2239" t="s">
        <v>11</v>
      </c>
      <c r="K2239" s="2" t="str">
        <f>IFERROR(INDEX(Product_lookup[Category],MATCH(RawWorking[[#This Row],[ProductID]],Product_lookup[ProductID],0)),"")</f>
        <v>Home</v>
      </c>
      <c r="L2239" s="9">
        <f>IF(OR(RawWorking[[#This Row],[ShipDate]]="",RawWorking[[#This Row],[DeliveryDate]]=""),"",RawWorking[[#This Row],[DeliveryDate]]-RawWorking[[#This Row],[ShipDate]])</f>
        <v>2</v>
      </c>
      <c r="M2239" s="9">
        <f>IF(COUNTIF(INDEX(RawWorking[OrderID],1):RawWorking[[#This Row],[OrderID]],RawWorking[[#This Row],[OrderID]])=1,1,0)</f>
        <v>0</v>
      </c>
      <c r="N2239" s="4">
        <f>IFERROR(RawWorking[[#This Row],[LineAmount]]/RawWorking[[#This Row],[Quantity]],"")</f>
        <v>253.86</v>
      </c>
    </row>
    <row r="2240" spans="1:14">
      <c r="A2240">
        <v>52239</v>
      </c>
      <c r="B2240">
        <v>31296</v>
      </c>
      <c r="C2240" s="2">
        <v>45779</v>
      </c>
      <c r="D2240">
        <v>2187</v>
      </c>
      <c r="E2240">
        <v>1008</v>
      </c>
      <c r="F2240">
        <v>3</v>
      </c>
      <c r="G2240">
        <v>618.27</v>
      </c>
      <c r="H2240" s="2">
        <v>45780</v>
      </c>
      <c r="I2240" s="2">
        <v>45781</v>
      </c>
      <c r="J2240" t="s">
        <v>11</v>
      </c>
      <c r="K2240" s="2" t="str">
        <f>IFERROR(INDEX(Product_lookup[Category],MATCH(RawWorking[[#This Row],[ProductID]],Product_lookup[ProductID],0)),"")</f>
        <v>Home</v>
      </c>
      <c r="L2240" s="9">
        <f>IF(OR(RawWorking[[#This Row],[ShipDate]]="",RawWorking[[#This Row],[DeliveryDate]]=""),"",RawWorking[[#This Row],[DeliveryDate]]-RawWorking[[#This Row],[ShipDate]])</f>
        <v>1</v>
      </c>
      <c r="M2240" s="9">
        <f>IF(COUNTIF(INDEX(RawWorking[OrderID],1):RawWorking[[#This Row],[OrderID]],RawWorking[[#This Row],[OrderID]])=1,1,0)</f>
        <v>0</v>
      </c>
      <c r="N2240" s="4">
        <f>IFERROR(RawWorking[[#This Row],[LineAmount]]/RawWorking[[#This Row],[Quantity]],"")</f>
        <v>206.09</v>
      </c>
    </row>
    <row r="2241" spans="1:14">
      <c r="A2241">
        <v>52240</v>
      </c>
      <c r="B2241">
        <v>31297</v>
      </c>
      <c r="C2241" s="2">
        <v>45812</v>
      </c>
      <c r="D2241">
        <v>2120</v>
      </c>
      <c r="E2241">
        <v>1011</v>
      </c>
      <c r="F2241">
        <v>3</v>
      </c>
      <c r="G2241">
        <v>304.32</v>
      </c>
      <c r="H2241" s="2">
        <v>45813</v>
      </c>
      <c r="I2241" s="2">
        <v>45815</v>
      </c>
      <c r="J2241" t="s">
        <v>9</v>
      </c>
      <c r="K2241" s="2" t="str">
        <f>IFERROR(INDEX(Product_lookup[Category],MATCH(RawWorking[[#This Row],[ProductID]],Product_lookup[ProductID],0)),"")</f>
        <v>Office</v>
      </c>
      <c r="L2241" s="9">
        <f>IF(OR(RawWorking[[#This Row],[ShipDate]]="",RawWorking[[#This Row],[DeliveryDate]]=""),"",RawWorking[[#This Row],[DeliveryDate]]-RawWorking[[#This Row],[ShipDate]])</f>
        <v>2</v>
      </c>
      <c r="M2241" s="9">
        <f>IF(COUNTIF(INDEX(RawWorking[OrderID],1):RawWorking[[#This Row],[OrderID]],RawWorking[[#This Row],[OrderID]])=1,1,0)</f>
        <v>1</v>
      </c>
      <c r="N2241" s="4">
        <f>IFERROR(RawWorking[[#This Row],[LineAmount]]/RawWorking[[#This Row],[Quantity]],"")</f>
        <v>101.44</v>
      </c>
    </row>
    <row r="2242" spans="1:14">
      <c r="A2242">
        <v>52241</v>
      </c>
      <c r="B2242">
        <v>31298</v>
      </c>
      <c r="C2242" s="2">
        <v>45849</v>
      </c>
      <c r="D2242">
        <v>2589</v>
      </c>
      <c r="E2242">
        <v>1009</v>
      </c>
      <c r="F2242">
        <v>1</v>
      </c>
      <c r="G2242">
        <v>40.28</v>
      </c>
      <c r="H2242" s="2">
        <v>45852</v>
      </c>
      <c r="I2242" s="2">
        <v>45853</v>
      </c>
      <c r="J2242" t="s">
        <v>9</v>
      </c>
      <c r="K2242" s="2" t="str">
        <f>IFERROR(INDEX(Product_lookup[Category],MATCH(RawWorking[[#This Row],[ProductID]],Product_lookup[ProductID],0)),"")</f>
        <v>Home</v>
      </c>
      <c r="L2242" s="9">
        <f>IF(OR(RawWorking[[#This Row],[ShipDate]]="",RawWorking[[#This Row],[DeliveryDate]]=""),"",RawWorking[[#This Row],[DeliveryDate]]-RawWorking[[#This Row],[ShipDate]])</f>
        <v>1</v>
      </c>
      <c r="M2242" s="9">
        <f>IF(COUNTIF(INDEX(RawWorking[OrderID],1):RawWorking[[#This Row],[OrderID]],RawWorking[[#This Row],[OrderID]])=1,1,0)</f>
        <v>1</v>
      </c>
      <c r="N2242" s="4">
        <f>IFERROR(RawWorking[[#This Row],[LineAmount]]/RawWorking[[#This Row],[Quantity]],"")</f>
        <v>40.28</v>
      </c>
    </row>
    <row r="2243" spans="1:14">
      <c r="A2243">
        <v>52242</v>
      </c>
      <c r="B2243">
        <v>31298</v>
      </c>
      <c r="C2243" s="2">
        <v>45849</v>
      </c>
      <c r="D2243">
        <v>2589</v>
      </c>
      <c r="E2243">
        <v>1012</v>
      </c>
      <c r="F2243">
        <v>3</v>
      </c>
      <c r="G2243">
        <v>724.62</v>
      </c>
      <c r="H2243" s="2">
        <v>45850</v>
      </c>
      <c r="I2243" s="2">
        <v>45852</v>
      </c>
      <c r="J2243" t="s">
        <v>9</v>
      </c>
      <c r="K2243" s="2" t="str">
        <f>IFERROR(INDEX(Product_lookup[Category],MATCH(RawWorking[[#This Row],[ProductID]],Product_lookup[ProductID],0)),"")</f>
        <v>Office</v>
      </c>
      <c r="L2243" s="9">
        <f>IF(OR(RawWorking[[#This Row],[ShipDate]]="",RawWorking[[#This Row],[DeliveryDate]]=""),"",RawWorking[[#This Row],[DeliveryDate]]-RawWorking[[#This Row],[ShipDate]])</f>
        <v>2</v>
      </c>
      <c r="M2243" s="9">
        <f>IF(COUNTIF(INDEX(RawWorking[OrderID],1):RawWorking[[#This Row],[OrderID]],RawWorking[[#This Row],[OrderID]])=1,1,0)</f>
        <v>0</v>
      </c>
      <c r="N2243" s="4">
        <f>IFERROR(RawWorking[[#This Row],[LineAmount]]/RawWorking[[#This Row],[Quantity]],"")</f>
        <v>241.54</v>
      </c>
    </row>
    <row r="2244" spans="1:14">
      <c r="A2244">
        <v>52243</v>
      </c>
      <c r="B2244">
        <v>31299</v>
      </c>
      <c r="C2244" s="2">
        <v>45721</v>
      </c>
      <c r="D2244">
        <v>2189</v>
      </c>
      <c r="E2244">
        <v>1002</v>
      </c>
      <c r="F2244">
        <v>1</v>
      </c>
      <c r="G2244">
        <v>118.6</v>
      </c>
      <c r="H2244" s="2">
        <v>45722</v>
      </c>
      <c r="I2244" s="2">
        <v>45732</v>
      </c>
      <c r="J2244" t="s">
        <v>9</v>
      </c>
      <c r="K2244" s="2" t="str">
        <f>IFERROR(INDEX(Product_lookup[Category],MATCH(RawWorking[[#This Row],[ProductID]],Product_lookup[ProductID],0)),"")</f>
        <v>Electronics</v>
      </c>
      <c r="L2244" s="9">
        <f>IF(OR(RawWorking[[#This Row],[ShipDate]]="",RawWorking[[#This Row],[DeliveryDate]]=""),"",RawWorking[[#This Row],[DeliveryDate]]-RawWorking[[#This Row],[ShipDate]])</f>
        <v>10</v>
      </c>
      <c r="M2244" s="9">
        <f>IF(COUNTIF(INDEX(RawWorking[OrderID],1):RawWorking[[#This Row],[OrderID]],RawWorking[[#This Row],[OrderID]])=1,1,0)</f>
        <v>1</v>
      </c>
      <c r="N2244" s="4">
        <f>IFERROR(RawWorking[[#This Row],[LineAmount]]/RawWorking[[#This Row],[Quantity]],"")</f>
        <v>118.6</v>
      </c>
    </row>
    <row r="2245" spans="1:14">
      <c r="A2245">
        <v>52244</v>
      </c>
      <c r="B2245">
        <v>31299</v>
      </c>
      <c r="C2245" s="2">
        <v>45721</v>
      </c>
      <c r="D2245">
        <v>2189</v>
      </c>
      <c r="E2245">
        <v>1011</v>
      </c>
      <c r="F2245">
        <v>2</v>
      </c>
      <c r="G2245">
        <v>202.88</v>
      </c>
      <c r="H2245" s="2">
        <v>45722</v>
      </c>
      <c r="I2245" s="2">
        <v>45728</v>
      </c>
      <c r="J2245" t="s">
        <v>9</v>
      </c>
      <c r="K2245" s="2" t="str">
        <f>IFERROR(INDEX(Product_lookup[Category],MATCH(RawWorking[[#This Row],[ProductID]],Product_lookup[ProductID],0)),"")</f>
        <v>Office</v>
      </c>
      <c r="L2245" s="9">
        <f>IF(OR(RawWorking[[#This Row],[ShipDate]]="",RawWorking[[#This Row],[DeliveryDate]]=""),"",RawWorking[[#This Row],[DeliveryDate]]-RawWorking[[#This Row],[ShipDate]])</f>
        <v>6</v>
      </c>
      <c r="M2245" s="9">
        <f>IF(COUNTIF(INDEX(RawWorking[OrderID],1):RawWorking[[#This Row],[OrderID]],RawWorking[[#This Row],[OrderID]])=1,1,0)</f>
        <v>0</v>
      </c>
      <c r="N2245" s="4">
        <f>IFERROR(RawWorking[[#This Row],[LineAmount]]/RawWorking[[#This Row],[Quantity]],"")</f>
        <v>101.44</v>
      </c>
    </row>
    <row r="2246" spans="1:14">
      <c r="A2246">
        <v>52245</v>
      </c>
      <c r="B2246">
        <v>31300</v>
      </c>
      <c r="C2246" s="2">
        <v>45837</v>
      </c>
      <c r="D2246">
        <v>2353</v>
      </c>
      <c r="E2246">
        <v>1015</v>
      </c>
      <c r="F2246">
        <v>1</v>
      </c>
      <c r="G2246">
        <v>119.74</v>
      </c>
      <c r="H2246" s="2">
        <v>45838</v>
      </c>
      <c r="I2246" s="2">
        <v>45846</v>
      </c>
      <c r="J2246" t="s">
        <v>9</v>
      </c>
      <c r="K2246" s="2" t="str">
        <f>IFERROR(INDEX(Product_lookup[Category],MATCH(RawWorking[[#This Row],[ProductID]],Product_lookup[ProductID],0)),"")</f>
        <v>Sports</v>
      </c>
      <c r="L2246" s="9">
        <f>IF(OR(RawWorking[[#This Row],[ShipDate]]="",RawWorking[[#This Row],[DeliveryDate]]=""),"",RawWorking[[#This Row],[DeliveryDate]]-RawWorking[[#This Row],[ShipDate]])</f>
        <v>8</v>
      </c>
      <c r="M2246" s="9">
        <f>IF(COUNTIF(INDEX(RawWorking[OrderID],1):RawWorking[[#This Row],[OrderID]],RawWorking[[#This Row],[OrderID]])=1,1,0)</f>
        <v>1</v>
      </c>
      <c r="N2246" s="4">
        <f>IFERROR(RawWorking[[#This Row],[LineAmount]]/RawWorking[[#This Row],[Quantity]],"")</f>
        <v>119.74</v>
      </c>
    </row>
    <row r="2247" spans="1:14">
      <c r="A2247">
        <v>52246</v>
      </c>
      <c r="B2247">
        <v>31301</v>
      </c>
      <c r="C2247" s="2">
        <v>45907</v>
      </c>
      <c r="D2247">
        <v>2553</v>
      </c>
      <c r="E2247">
        <v>1010</v>
      </c>
      <c r="F2247">
        <v>2</v>
      </c>
      <c r="G2247">
        <v>243</v>
      </c>
      <c r="H2247" s="2">
        <v>45908</v>
      </c>
      <c r="I2247" s="2">
        <v>45910</v>
      </c>
      <c r="J2247" t="s">
        <v>11</v>
      </c>
      <c r="K2247" s="2" t="str">
        <f>IFERROR(INDEX(Product_lookup[Category],MATCH(RawWorking[[#This Row],[ProductID]],Product_lookup[ProductID],0)),"")</f>
        <v>Office</v>
      </c>
      <c r="L2247" s="9">
        <f>IF(OR(RawWorking[[#This Row],[ShipDate]]="",RawWorking[[#This Row],[DeliveryDate]]=""),"",RawWorking[[#This Row],[DeliveryDate]]-RawWorking[[#This Row],[ShipDate]])</f>
        <v>2</v>
      </c>
      <c r="M2247" s="9">
        <f>IF(COUNTIF(INDEX(RawWorking[OrderID],1):RawWorking[[#This Row],[OrderID]],RawWorking[[#This Row],[OrderID]])=1,1,0)</f>
        <v>1</v>
      </c>
      <c r="N2247" s="4">
        <f>IFERROR(RawWorking[[#This Row],[LineAmount]]/RawWorking[[#This Row],[Quantity]],"")</f>
        <v>121.5</v>
      </c>
    </row>
    <row r="2248" spans="1:14">
      <c r="A2248">
        <v>52247</v>
      </c>
      <c r="B2248">
        <v>31302</v>
      </c>
      <c r="C2248" s="2">
        <v>45879</v>
      </c>
      <c r="D2248">
        <v>2125</v>
      </c>
      <c r="E2248">
        <v>1013</v>
      </c>
      <c r="F2248">
        <v>1</v>
      </c>
      <c r="G2248">
        <v>170.25</v>
      </c>
      <c r="H2248" s="2" t="s">
        <v>1421</v>
      </c>
      <c r="I2248" s="2" t="s">
        <v>1421</v>
      </c>
      <c r="J2248" t="s">
        <v>12</v>
      </c>
      <c r="K2248" s="2" t="str">
        <f>IFERROR(INDEX(Product_lookup[Category],MATCH(RawWorking[[#This Row],[ProductID]],Product_lookup[ProductID],0)),"")</f>
        <v>Office</v>
      </c>
      <c r="L2248" s="9" t="str">
        <f>IF(OR(RawWorking[[#This Row],[ShipDate]]="",RawWorking[[#This Row],[DeliveryDate]]=""),"",RawWorking[[#This Row],[DeliveryDate]]-RawWorking[[#This Row],[ShipDate]])</f>
        <v/>
      </c>
      <c r="M2248" s="9">
        <f>IF(COUNTIF(INDEX(RawWorking[OrderID],1):RawWorking[[#This Row],[OrderID]],RawWorking[[#This Row],[OrderID]])=1,1,0)</f>
        <v>1</v>
      </c>
      <c r="N2248" s="4">
        <f>IFERROR(RawWorking[[#This Row],[LineAmount]]/RawWorking[[#This Row],[Quantity]],"")</f>
        <v>170.25</v>
      </c>
    </row>
    <row r="2249" spans="1:14">
      <c r="A2249">
        <v>52248</v>
      </c>
      <c r="B2249">
        <v>31302</v>
      </c>
      <c r="C2249" s="2">
        <v>45879</v>
      </c>
      <c r="D2249">
        <v>2125</v>
      </c>
      <c r="E2249">
        <v>1016</v>
      </c>
      <c r="F2249">
        <v>1</v>
      </c>
      <c r="G2249">
        <v>65.260000000000005</v>
      </c>
      <c r="H2249" s="2" t="s">
        <v>1421</v>
      </c>
      <c r="I2249" s="2" t="s">
        <v>1421</v>
      </c>
      <c r="J2249" t="s">
        <v>12</v>
      </c>
      <c r="K2249" s="2" t="str">
        <f>IFERROR(INDEX(Product_lookup[Category],MATCH(RawWorking[[#This Row],[ProductID]],Product_lookup[ProductID],0)),"")</f>
        <v>Sports</v>
      </c>
      <c r="L2249" s="9" t="str">
        <f>IF(OR(RawWorking[[#This Row],[ShipDate]]="",RawWorking[[#This Row],[DeliveryDate]]=""),"",RawWorking[[#This Row],[DeliveryDate]]-RawWorking[[#This Row],[ShipDate]])</f>
        <v/>
      </c>
      <c r="M2249" s="9">
        <f>IF(COUNTIF(INDEX(RawWorking[OrderID],1):RawWorking[[#This Row],[OrderID]],RawWorking[[#This Row],[OrderID]])=1,1,0)</f>
        <v>0</v>
      </c>
      <c r="N2249" s="4">
        <f>IFERROR(RawWorking[[#This Row],[LineAmount]]/RawWorking[[#This Row],[Quantity]],"")</f>
        <v>65.260000000000005</v>
      </c>
    </row>
    <row r="2250" spans="1:14">
      <c r="A2250">
        <v>52249</v>
      </c>
      <c r="B2250">
        <v>31302</v>
      </c>
      <c r="C2250" s="2">
        <v>45879</v>
      </c>
      <c r="D2250">
        <v>2125</v>
      </c>
      <c r="E2250">
        <v>1005</v>
      </c>
      <c r="F2250">
        <v>1</v>
      </c>
      <c r="G2250">
        <v>31.73</v>
      </c>
      <c r="H2250" s="2" t="s">
        <v>1421</v>
      </c>
      <c r="I2250" s="2" t="s">
        <v>1421</v>
      </c>
      <c r="J2250" t="s">
        <v>12</v>
      </c>
      <c r="K2250" s="2" t="str">
        <f>IFERROR(INDEX(Product_lookup[Category],MATCH(RawWorking[[#This Row],[ProductID]],Product_lookup[ProductID],0)),"")</f>
        <v>Electronics</v>
      </c>
      <c r="L2250" s="9" t="str">
        <f>IF(OR(RawWorking[[#This Row],[ShipDate]]="",RawWorking[[#This Row],[DeliveryDate]]=""),"",RawWorking[[#This Row],[DeliveryDate]]-RawWorking[[#This Row],[ShipDate]])</f>
        <v/>
      </c>
      <c r="M2250" s="9">
        <f>IF(COUNTIF(INDEX(RawWorking[OrderID],1):RawWorking[[#This Row],[OrderID]],RawWorking[[#This Row],[OrderID]])=1,1,0)</f>
        <v>0</v>
      </c>
      <c r="N2250" s="4">
        <f>IFERROR(RawWorking[[#This Row],[LineAmount]]/RawWorking[[#This Row],[Quantity]],"")</f>
        <v>31.73</v>
      </c>
    </row>
    <row r="2251" spans="1:14">
      <c r="A2251">
        <v>52250</v>
      </c>
      <c r="B2251">
        <v>31302</v>
      </c>
      <c r="C2251" s="2">
        <v>45938</v>
      </c>
      <c r="D2251">
        <v>2125</v>
      </c>
      <c r="E2251">
        <v>1015</v>
      </c>
      <c r="F2251">
        <v>2</v>
      </c>
      <c r="G2251">
        <v>239.48</v>
      </c>
      <c r="H2251" s="2" t="s">
        <v>1421</v>
      </c>
      <c r="I2251" s="2" t="s">
        <v>1421</v>
      </c>
      <c r="J2251" t="s">
        <v>12</v>
      </c>
      <c r="K2251" s="2" t="str">
        <f>IFERROR(INDEX(Product_lookup[Category],MATCH(RawWorking[[#This Row],[ProductID]],Product_lookup[ProductID],0)),"")</f>
        <v>Sports</v>
      </c>
      <c r="L2251" s="9" t="str">
        <f>IF(OR(RawWorking[[#This Row],[ShipDate]]="",RawWorking[[#This Row],[DeliveryDate]]=""),"",RawWorking[[#This Row],[DeliveryDate]]-RawWorking[[#This Row],[ShipDate]])</f>
        <v/>
      </c>
      <c r="M2251" s="9">
        <f>IF(COUNTIF(INDEX(RawWorking[OrderID],1):RawWorking[[#This Row],[OrderID]],RawWorking[[#This Row],[OrderID]])=1,1,0)</f>
        <v>0</v>
      </c>
      <c r="N2251" s="4">
        <f>IFERROR(RawWorking[[#This Row],[LineAmount]]/RawWorking[[#This Row],[Quantity]],"")</f>
        <v>119.74</v>
      </c>
    </row>
    <row r="2252" spans="1:14">
      <c r="A2252">
        <v>52251</v>
      </c>
      <c r="B2252">
        <v>31303</v>
      </c>
      <c r="C2252" s="2">
        <v>45797</v>
      </c>
      <c r="D2252">
        <v>2328</v>
      </c>
      <c r="E2252">
        <v>1011</v>
      </c>
      <c r="F2252">
        <v>1</v>
      </c>
      <c r="G2252">
        <v>101.44</v>
      </c>
      <c r="H2252" s="2">
        <v>45798</v>
      </c>
      <c r="I2252" s="2">
        <v>45804</v>
      </c>
      <c r="J2252" t="s">
        <v>9</v>
      </c>
      <c r="K2252" s="2" t="str">
        <f>IFERROR(INDEX(Product_lookup[Category],MATCH(RawWorking[[#This Row],[ProductID]],Product_lookup[ProductID],0)),"")</f>
        <v>Office</v>
      </c>
      <c r="L2252" s="9">
        <f>IF(OR(RawWorking[[#This Row],[ShipDate]]="",RawWorking[[#This Row],[DeliveryDate]]=""),"",RawWorking[[#This Row],[DeliveryDate]]-RawWorking[[#This Row],[ShipDate]])</f>
        <v>6</v>
      </c>
      <c r="M2252" s="9">
        <f>IF(COUNTIF(INDEX(RawWorking[OrderID],1):RawWorking[[#This Row],[OrderID]],RawWorking[[#This Row],[OrderID]])=1,1,0)</f>
        <v>1</v>
      </c>
      <c r="N2252" s="4">
        <f>IFERROR(RawWorking[[#This Row],[LineAmount]]/RawWorking[[#This Row],[Quantity]],"")</f>
        <v>101.44</v>
      </c>
    </row>
    <row r="2253" spans="1:14">
      <c r="A2253">
        <v>52252</v>
      </c>
      <c r="B2253">
        <v>31303</v>
      </c>
      <c r="C2253" s="2">
        <v>45797</v>
      </c>
      <c r="D2253">
        <v>2328</v>
      </c>
      <c r="E2253">
        <v>1010</v>
      </c>
      <c r="F2253">
        <v>3</v>
      </c>
      <c r="G2253">
        <v>364.5</v>
      </c>
      <c r="H2253" s="2">
        <v>45800</v>
      </c>
      <c r="I2253" s="2">
        <v>45808</v>
      </c>
      <c r="J2253" t="s">
        <v>9</v>
      </c>
      <c r="K2253" s="2" t="str">
        <f>IFERROR(INDEX(Product_lookup[Category],MATCH(RawWorking[[#This Row],[ProductID]],Product_lookup[ProductID],0)),"")</f>
        <v>Office</v>
      </c>
      <c r="L2253" s="9">
        <f>IF(OR(RawWorking[[#This Row],[ShipDate]]="",RawWorking[[#This Row],[DeliveryDate]]=""),"",RawWorking[[#This Row],[DeliveryDate]]-RawWorking[[#This Row],[ShipDate]])</f>
        <v>8</v>
      </c>
      <c r="M2253" s="9">
        <f>IF(COUNTIF(INDEX(RawWorking[OrderID],1):RawWorking[[#This Row],[OrderID]],RawWorking[[#This Row],[OrderID]])=1,1,0)</f>
        <v>0</v>
      </c>
      <c r="N2253" s="4">
        <f>IFERROR(RawWorking[[#This Row],[LineAmount]]/RawWorking[[#This Row],[Quantity]],"")</f>
        <v>121.5</v>
      </c>
    </row>
    <row r="2254" spans="1:14">
      <c r="A2254">
        <v>52253</v>
      </c>
      <c r="B2254">
        <v>31304</v>
      </c>
      <c r="C2254" s="2">
        <v>45814</v>
      </c>
      <c r="D2254">
        <v>2486</v>
      </c>
      <c r="E2254">
        <v>1005</v>
      </c>
      <c r="F2254">
        <v>4</v>
      </c>
      <c r="G2254">
        <v>126.92</v>
      </c>
      <c r="H2254" s="2" t="s">
        <v>1421</v>
      </c>
      <c r="I2254" s="2" t="s">
        <v>1421</v>
      </c>
      <c r="J2254" t="s">
        <v>12</v>
      </c>
      <c r="K2254" s="2" t="str">
        <f>IFERROR(INDEX(Product_lookup[Category],MATCH(RawWorking[[#This Row],[ProductID]],Product_lookup[ProductID],0)),"")</f>
        <v>Electronics</v>
      </c>
      <c r="L2254" s="9" t="str">
        <f>IF(OR(RawWorking[[#This Row],[ShipDate]]="",RawWorking[[#This Row],[DeliveryDate]]=""),"",RawWorking[[#This Row],[DeliveryDate]]-RawWorking[[#This Row],[ShipDate]])</f>
        <v/>
      </c>
      <c r="M2254" s="9">
        <f>IF(COUNTIF(INDEX(RawWorking[OrderID],1):RawWorking[[#This Row],[OrderID]],RawWorking[[#This Row],[OrderID]])=1,1,0)</f>
        <v>1</v>
      </c>
      <c r="N2254" s="4">
        <f>IFERROR(RawWorking[[#This Row],[LineAmount]]/RawWorking[[#This Row],[Quantity]],"")</f>
        <v>31.73</v>
      </c>
    </row>
    <row r="2255" spans="1:14">
      <c r="A2255">
        <v>52254</v>
      </c>
      <c r="B2255">
        <v>31304</v>
      </c>
      <c r="C2255" s="2">
        <v>45814</v>
      </c>
      <c r="D2255">
        <v>2486</v>
      </c>
      <c r="E2255">
        <v>1015</v>
      </c>
      <c r="F2255">
        <v>1</v>
      </c>
      <c r="G2255">
        <v>119.74</v>
      </c>
      <c r="H2255" s="2" t="s">
        <v>1421</v>
      </c>
      <c r="I2255" s="2" t="s">
        <v>1421</v>
      </c>
      <c r="J2255" t="s">
        <v>12</v>
      </c>
      <c r="K2255" s="2" t="str">
        <f>IFERROR(INDEX(Product_lookup[Category],MATCH(RawWorking[[#This Row],[ProductID]],Product_lookup[ProductID],0)),"")</f>
        <v>Sports</v>
      </c>
      <c r="L2255" s="9" t="str">
        <f>IF(OR(RawWorking[[#This Row],[ShipDate]]="",RawWorking[[#This Row],[DeliveryDate]]=""),"",RawWorking[[#This Row],[DeliveryDate]]-RawWorking[[#This Row],[ShipDate]])</f>
        <v/>
      </c>
      <c r="M2255" s="9">
        <f>IF(COUNTIF(INDEX(RawWorking[OrderID],1):RawWorking[[#This Row],[OrderID]],RawWorking[[#This Row],[OrderID]])=1,1,0)</f>
        <v>0</v>
      </c>
      <c r="N2255" s="4">
        <f>IFERROR(RawWorking[[#This Row],[LineAmount]]/RawWorking[[#This Row],[Quantity]],"")</f>
        <v>119.74</v>
      </c>
    </row>
    <row r="2256" spans="1:14">
      <c r="A2256">
        <v>52255</v>
      </c>
      <c r="B2256">
        <v>31304</v>
      </c>
      <c r="C2256" s="2">
        <v>45814</v>
      </c>
      <c r="D2256">
        <v>2486</v>
      </c>
      <c r="E2256">
        <v>1011</v>
      </c>
      <c r="F2256">
        <v>1</v>
      </c>
      <c r="G2256">
        <v>101.44</v>
      </c>
      <c r="H2256" s="2" t="s">
        <v>1421</v>
      </c>
      <c r="I2256" s="2" t="s">
        <v>1421</v>
      </c>
      <c r="J2256" t="s">
        <v>12</v>
      </c>
      <c r="K2256" s="2" t="str">
        <f>IFERROR(INDEX(Product_lookup[Category],MATCH(RawWorking[[#This Row],[ProductID]],Product_lookup[ProductID],0)),"")</f>
        <v>Office</v>
      </c>
      <c r="L2256" s="9" t="str">
        <f>IF(OR(RawWorking[[#This Row],[ShipDate]]="",RawWorking[[#This Row],[DeliveryDate]]=""),"",RawWorking[[#This Row],[DeliveryDate]]-RawWorking[[#This Row],[ShipDate]])</f>
        <v/>
      </c>
      <c r="M2256" s="9">
        <f>IF(COUNTIF(INDEX(RawWorking[OrderID],1):RawWorking[[#This Row],[OrderID]],RawWorking[[#This Row],[OrderID]])=1,1,0)</f>
        <v>0</v>
      </c>
      <c r="N2256" s="4">
        <f>IFERROR(RawWorking[[#This Row],[LineAmount]]/RawWorking[[#This Row],[Quantity]],"")</f>
        <v>101.44</v>
      </c>
    </row>
    <row r="2257" spans="1:14">
      <c r="A2257">
        <v>52256</v>
      </c>
      <c r="B2257">
        <v>31304</v>
      </c>
      <c r="C2257" s="2">
        <v>45814</v>
      </c>
      <c r="D2257">
        <v>2486</v>
      </c>
      <c r="E2257">
        <v>1004</v>
      </c>
      <c r="F2257">
        <v>2</v>
      </c>
      <c r="G2257">
        <v>367.48</v>
      </c>
      <c r="H2257" s="2" t="s">
        <v>1421</v>
      </c>
      <c r="I2257" s="2" t="s">
        <v>1421</v>
      </c>
      <c r="J2257" t="s">
        <v>12</v>
      </c>
      <c r="K2257" s="2" t="str">
        <f>IFERROR(INDEX(Product_lookup[Category],MATCH(RawWorking[[#This Row],[ProductID]],Product_lookup[ProductID],0)),"")</f>
        <v>Electronics</v>
      </c>
      <c r="L2257" s="9" t="str">
        <f>IF(OR(RawWorking[[#This Row],[ShipDate]]="",RawWorking[[#This Row],[DeliveryDate]]=""),"",RawWorking[[#This Row],[DeliveryDate]]-RawWorking[[#This Row],[ShipDate]])</f>
        <v/>
      </c>
      <c r="M2257" s="9">
        <f>IF(COUNTIF(INDEX(RawWorking[OrderID],1):RawWorking[[#This Row],[OrderID]],RawWorking[[#This Row],[OrderID]])=1,1,0)</f>
        <v>0</v>
      </c>
      <c r="N2257" s="4">
        <f>IFERROR(RawWorking[[#This Row],[LineAmount]]/RawWorking[[#This Row],[Quantity]],"")</f>
        <v>183.74</v>
      </c>
    </row>
    <row r="2258" spans="1:14">
      <c r="A2258">
        <v>52257</v>
      </c>
      <c r="B2258">
        <v>31305</v>
      </c>
      <c r="C2258" s="2">
        <v>45883</v>
      </c>
      <c r="D2258">
        <v>2491</v>
      </c>
      <c r="E2258">
        <v>1005</v>
      </c>
      <c r="F2258">
        <v>1</v>
      </c>
      <c r="G2258">
        <v>31.73</v>
      </c>
      <c r="H2258" s="2" t="s">
        <v>1421</v>
      </c>
      <c r="I2258" s="2" t="s">
        <v>1421</v>
      </c>
      <c r="J2258" t="s">
        <v>12</v>
      </c>
      <c r="K2258" s="2" t="str">
        <f>IFERROR(INDEX(Product_lookup[Category],MATCH(RawWorking[[#This Row],[ProductID]],Product_lookup[ProductID],0)),"")</f>
        <v>Electronics</v>
      </c>
      <c r="L2258" s="9" t="str">
        <f>IF(OR(RawWorking[[#This Row],[ShipDate]]="",RawWorking[[#This Row],[DeliveryDate]]=""),"",RawWorking[[#This Row],[DeliveryDate]]-RawWorking[[#This Row],[ShipDate]])</f>
        <v/>
      </c>
      <c r="M2258" s="9">
        <f>IF(COUNTIF(INDEX(RawWorking[OrderID],1):RawWorking[[#This Row],[OrderID]],RawWorking[[#This Row],[OrderID]])=1,1,0)</f>
        <v>1</v>
      </c>
      <c r="N2258" s="4">
        <f>IFERROR(RawWorking[[#This Row],[LineAmount]]/RawWorking[[#This Row],[Quantity]],"")</f>
        <v>31.73</v>
      </c>
    </row>
    <row r="2259" spans="1:14">
      <c r="A2259">
        <v>52258</v>
      </c>
      <c r="B2259">
        <v>31306</v>
      </c>
      <c r="C2259" s="2">
        <v>45688</v>
      </c>
      <c r="D2259">
        <v>2565</v>
      </c>
      <c r="E2259">
        <v>1001</v>
      </c>
      <c r="F2259">
        <v>1</v>
      </c>
      <c r="G2259">
        <v>203.04</v>
      </c>
      <c r="H2259" s="2">
        <v>45689</v>
      </c>
      <c r="I2259" s="2">
        <v>45697</v>
      </c>
      <c r="J2259" t="s">
        <v>9</v>
      </c>
      <c r="K2259" s="2" t="str">
        <f>IFERROR(INDEX(Product_lookup[Category],MATCH(RawWorking[[#This Row],[ProductID]],Product_lookup[ProductID],0)),"")</f>
        <v>Electronics</v>
      </c>
      <c r="L2259" s="9">
        <f>IF(OR(RawWorking[[#This Row],[ShipDate]]="",RawWorking[[#This Row],[DeliveryDate]]=""),"",RawWorking[[#This Row],[DeliveryDate]]-RawWorking[[#This Row],[ShipDate]])</f>
        <v>8</v>
      </c>
      <c r="M2259" s="9">
        <f>IF(COUNTIF(INDEX(RawWorking[OrderID],1):RawWorking[[#This Row],[OrderID]],RawWorking[[#This Row],[OrderID]])=1,1,0)</f>
        <v>1</v>
      </c>
      <c r="N2259" s="4">
        <f>IFERROR(RawWorking[[#This Row],[LineAmount]]/RawWorking[[#This Row],[Quantity]],"")</f>
        <v>203.04</v>
      </c>
    </row>
    <row r="2260" spans="1:14">
      <c r="A2260">
        <v>52259</v>
      </c>
      <c r="B2260">
        <v>31306</v>
      </c>
      <c r="C2260" s="2">
        <v>45688</v>
      </c>
      <c r="D2260">
        <v>2565</v>
      </c>
      <c r="E2260">
        <v>1013</v>
      </c>
      <c r="F2260">
        <v>1</v>
      </c>
      <c r="G2260">
        <v>170.25</v>
      </c>
      <c r="H2260" s="2">
        <v>45691</v>
      </c>
      <c r="I2260" s="2">
        <v>45779</v>
      </c>
      <c r="J2260" t="s">
        <v>9</v>
      </c>
      <c r="K2260" s="2" t="str">
        <f>IFERROR(INDEX(Product_lookup[Category],MATCH(RawWorking[[#This Row],[ProductID]],Product_lookup[ProductID],0)),"")</f>
        <v>Office</v>
      </c>
      <c r="L2260" s="9">
        <f>IF(OR(RawWorking[[#This Row],[ShipDate]]="",RawWorking[[#This Row],[DeliveryDate]]=""),"",RawWorking[[#This Row],[DeliveryDate]]-RawWorking[[#This Row],[ShipDate]])</f>
        <v>88</v>
      </c>
      <c r="M2260" s="9">
        <f>IF(COUNTIF(INDEX(RawWorking[OrderID],1):RawWorking[[#This Row],[OrderID]],RawWorking[[#This Row],[OrderID]])=1,1,0)</f>
        <v>0</v>
      </c>
      <c r="N2260" s="4">
        <f>IFERROR(RawWorking[[#This Row],[LineAmount]]/RawWorking[[#This Row],[Quantity]],"")</f>
        <v>170.25</v>
      </c>
    </row>
    <row r="2261" spans="1:14">
      <c r="A2261">
        <v>52260</v>
      </c>
      <c r="B2261">
        <v>31306</v>
      </c>
      <c r="C2261" s="2">
        <v>45688</v>
      </c>
      <c r="D2261">
        <v>2565</v>
      </c>
      <c r="E2261">
        <v>1008</v>
      </c>
      <c r="F2261">
        <v>3</v>
      </c>
      <c r="G2261">
        <v>618.27</v>
      </c>
      <c r="H2261" s="2">
        <v>45690</v>
      </c>
      <c r="I2261" s="2">
        <v>45691</v>
      </c>
      <c r="J2261" t="s">
        <v>9</v>
      </c>
      <c r="K2261" s="2" t="str">
        <f>IFERROR(INDEX(Product_lookup[Category],MATCH(RawWorking[[#This Row],[ProductID]],Product_lookup[ProductID],0)),"")</f>
        <v>Home</v>
      </c>
      <c r="L2261" s="9">
        <f>IF(OR(RawWorking[[#This Row],[ShipDate]]="",RawWorking[[#This Row],[DeliveryDate]]=""),"",RawWorking[[#This Row],[DeliveryDate]]-RawWorking[[#This Row],[ShipDate]])</f>
        <v>1</v>
      </c>
      <c r="M2261" s="9">
        <f>IF(COUNTIF(INDEX(RawWorking[OrderID],1):RawWorking[[#This Row],[OrderID]],RawWorking[[#This Row],[OrderID]])=1,1,0)</f>
        <v>0</v>
      </c>
      <c r="N2261" s="4">
        <f>IFERROR(RawWorking[[#This Row],[LineAmount]]/RawWorking[[#This Row],[Quantity]],"")</f>
        <v>206.09</v>
      </c>
    </row>
    <row r="2262" spans="1:14">
      <c r="A2262">
        <v>52261</v>
      </c>
      <c r="B2262">
        <v>31306</v>
      </c>
      <c r="C2262" s="2">
        <v>45688</v>
      </c>
      <c r="D2262">
        <v>2565</v>
      </c>
      <c r="E2262">
        <v>1015</v>
      </c>
      <c r="F2262">
        <v>1</v>
      </c>
      <c r="G2262">
        <v>119.74</v>
      </c>
      <c r="H2262" s="2">
        <v>45690</v>
      </c>
      <c r="I2262" s="2">
        <v>45810</v>
      </c>
      <c r="J2262" t="s">
        <v>9</v>
      </c>
      <c r="K2262" s="2" t="str">
        <f>IFERROR(INDEX(Product_lookup[Category],MATCH(RawWorking[[#This Row],[ProductID]],Product_lookup[ProductID],0)),"")</f>
        <v>Sports</v>
      </c>
      <c r="L2262" s="9">
        <f>IF(OR(RawWorking[[#This Row],[ShipDate]]="",RawWorking[[#This Row],[DeliveryDate]]=""),"",RawWorking[[#This Row],[DeliveryDate]]-RawWorking[[#This Row],[ShipDate]])</f>
        <v>120</v>
      </c>
      <c r="M2262" s="9">
        <f>IF(COUNTIF(INDEX(RawWorking[OrderID],1):RawWorking[[#This Row],[OrderID]],RawWorking[[#This Row],[OrderID]])=1,1,0)</f>
        <v>0</v>
      </c>
      <c r="N2262" s="4">
        <f>IFERROR(RawWorking[[#This Row],[LineAmount]]/RawWorking[[#This Row],[Quantity]],"")</f>
        <v>119.74</v>
      </c>
    </row>
    <row r="2263" spans="1:14">
      <c r="A2263">
        <v>52262</v>
      </c>
      <c r="B2263">
        <v>31307</v>
      </c>
      <c r="C2263" s="2">
        <v>45706</v>
      </c>
      <c r="D2263">
        <v>2366</v>
      </c>
      <c r="E2263">
        <v>1002</v>
      </c>
      <c r="F2263">
        <v>1</v>
      </c>
      <c r="G2263">
        <v>118.6</v>
      </c>
      <c r="H2263" s="2">
        <v>45709</v>
      </c>
      <c r="I2263" s="2">
        <v>45712</v>
      </c>
      <c r="J2263" t="s">
        <v>9</v>
      </c>
      <c r="K2263" s="2" t="str">
        <f>IFERROR(INDEX(Product_lookup[Category],MATCH(RawWorking[[#This Row],[ProductID]],Product_lookup[ProductID],0)),"")</f>
        <v>Electronics</v>
      </c>
      <c r="L2263" s="9">
        <f>IF(OR(RawWorking[[#This Row],[ShipDate]]="",RawWorking[[#This Row],[DeliveryDate]]=""),"",RawWorking[[#This Row],[DeliveryDate]]-RawWorking[[#This Row],[ShipDate]])</f>
        <v>3</v>
      </c>
      <c r="M2263" s="9">
        <f>IF(COUNTIF(INDEX(RawWorking[OrderID],1):RawWorking[[#This Row],[OrderID]],RawWorking[[#This Row],[OrderID]])=1,1,0)</f>
        <v>1</v>
      </c>
      <c r="N2263" s="4">
        <f>IFERROR(RawWorking[[#This Row],[LineAmount]]/RawWorking[[#This Row],[Quantity]],"")</f>
        <v>118.6</v>
      </c>
    </row>
    <row r="2264" spans="1:14">
      <c r="A2264">
        <v>52263</v>
      </c>
      <c r="B2264">
        <v>31308</v>
      </c>
      <c r="C2264" s="2">
        <v>45774</v>
      </c>
      <c r="D2264">
        <v>2200</v>
      </c>
      <c r="E2264">
        <v>1008</v>
      </c>
      <c r="F2264">
        <v>1</v>
      </c>
      <c r="G2264">
        <v>206.09</v>
      </c>
      <c r="H2264" s="2">
        <v>45777</v>
      </c>
      <c r="I2264" s="2">
        <v>45813</v>
      </c>
      <c r="J2264" t="s">
        <v>9</v>
      </c>
      <c r="K2264" s="2" t="str">
        <f>IFERROR(INDEX(Product_lookup[Category],MATCH(RawWorking[[#This Row],[ProductID]],Product_lookup[ProductID],0)),"")</f>
        <v>Home</v>
      </c>
      <c r="L2264" s="9">
        <f>IF(OR(RawWorking[[#This Row],[ShipDate]]="",RawWorking[[#This Row],[DeliveryDate]]=""),"",RawWorking[[#This Row],[DeliveryDate]]-RawWorking[[#This Row],[ShipDate]])</f>
        <v>36</v>
      </c>
      <c r="M2264" s="9">
        <f>IF(COUNTIF(INDEX(RawWorking[OrderID],1):RawWorking[[#This Row],[OrderID]],RawWorking[[#This Row],[OrderID]])=1,1,0)</f>
        <v>1</v>
      </c>
      <c r="N2264" s="4">
        <f>IFERROR(RawWorking[[#This Row],[LineAmount]]/RawWorking[[#This Row],[Quantity]],"")</f>
        <v>206.09</v>
      </c>
    </row>
    <row r="2265" spans="1:14">
      <c r="A2265">
        <v>52264</v>
      </c>
      <c r="B2265">
        <v>31309</v>
      </c>
      <c r="C2265" s="2">
        <v>45671</v>
      </c>
      <c r="D2265">
        <v>2285</v>
      </c>
      <c r="E2265">
        <v>1003</v>
      </c>
      <c r="F2265">
        <v>2</v>
      </c>
      <c r="G2265">
        <v>448.74</v>
      </c>
      <c r="H2265" s="2">
        <v>45672</v>
      </c>
      <c r="I2265" s="2">
        <v>45676</v>
      </c>
      <c r="J2265" t="s">
        <v>9</v>
      </c>
      <c r="K2265" s="2" t="str">
        <f>IFERROR(INDEX(Product_lookup[Category],MATCH(RawWorking[[#This Row],[ProductID]],Product_lookup[ProductID],0)),"")</f>
        <v>Electronics</v>
      </c>
      <c r="L2265" s="9">
        <f>IF(OR(RawWorking[[#This Row],[ShipDate]]="",RawWorking[[#This Row],[DeliveryDate]]=""),"",RawWorking[[#This Row],[DeliveryDate]]-RawWorking[[#This Row],[ShipDate]])</f>
        <v>4</v>
      </c>
      <c r="M2265" s="9">
        <f>IF(COUNTIF(INDEX(RawWorking[OrderID],1):RawWorking[[#This Row],[OrderID]],RawWorking[[#This Row],[OrderID]])=1,1,0)</f>
        <v>1</v>
      </c>
      <c r="N2265" s="4">
        <f>IFERROR(RawWorking[[#This Row],[LineAmount]]/RawWorking[[#This Row],[Quantity]],"")</f>
        <v>224.37</v>
      </c>
    </row>
    <row r="2266" spans="1:14">
      <c r="A2266">
        <v>52265</v>
      </c>
      <c r="B2266">
        <v>31310</v>
      </c>
      <c r="C2266" s="2">
        <v>45922</v>
      </c>
      <c r="D2266">
        <v>2552</v>
      </c>
      <c r="E2266">
        <v>1003</v>
      </c>
      <c r="F2266">
        <v>1</v>
      </c>
      <c r="G2266">
        <v>224.37</v>
      </c>
      <c r="H2266" s="2" t="s">
        <v>1421</v>
      </c>
      <c r="I2266" s="2" t="s">
        <v>1421</v>
      </c>
      <c r="J2266" t="s">
        <v>16</v>
      </c>
      <c r="K2266" s="2" t="str">
        <f>IFERROR(INDEX(Product_lookup[Category],MATCH(RawWorking[[#This Row],[ProductID]],Product_lookup[ProductID],0)),"")</f>
        <v>Electronics</v>
      </c>
      <c r="L2266" s="9" t="str">
        <f>IF(OR(RawWorking[[#This Row],[ShipDate]]="",RawWorking[[#This Row],[DeliveryDate]]=""),"",RawWorking[[#This Row],[DeliveryDate]]-RawWorking[[#This Row],[ShipDate]])</f>
        <v/>
      </c>
      <c r="M2266" s="9">
        <f>IF(COUNTIF(INDEX(RawWorking[OrderID],1):RawWorking[[#This Row],[OrderID]],RawWorking[[#This Row],[OrderID]])=1,1,0)</f>
        <v>1</v>
      </c>
      <c r="N2266" s="4">
        <f>IFERROR(RawWorking[[#This Row],[LineAmount]]/RawWorking[[#This Row],[Quantity]],"")</f>
        <v>224.37</v>
      </c>
    </row>
    <row r="2267" spans="1:14">
      <c r="A2267">
        <v>52266</v>
      </c>
      <c r="B2267">
        <v>31311</v>
      </c>
      <c r="C2267" s="2">
        <v>45963</v>
      </c>
      <c r="D2267">
        <v>2404</v>
      </c>
      <c r="E2267">
        <v>1011</v>
      </c>
      <c r="F2267">
        <v>1</v>
      </c>
      <c r="G2267">
        <v>101.44</v>
      </c>
      <c r="H2267" s="2">
        <v>45964</v>
      </c>
      <c r="I2267" s="2">
        <v>45973</v>
      </c>
      <c r="J2267" t="s">
        <v>9</v>
      </c>
      <c r="K2267" s="2" t="str">
        <f>IFERROR(INDEX(Product_lookup[Category],MATCH(RawWorking[[#This Row],[ProductID]],Product_lookup[ProductID],0)),"")</f>
        <v>Office</v>
      </c>
      <c r="L2267" s="9">
        <f>IF(OR(RawWorking[[#This Row],[ShipDate]]="",RawWorking[[#This Row],[DeliveryDate]]=""),"",RawWorking[[#This Row],[DeliveryDate]]-RawWorking[[#This Row],[ShipDate]])</f>
        <v>9</v>
      </c>
      <c r="M2267" s="9">
        <f>IF(COUNTIF(INDEX(RawWorking[OrderID],1):RawWorking[[#This Row],[OrderID]],RawWorking[[#This Row],[OrderID]])=1,1,0)</f>
        <v>1</v>
      </c>
      <c r="N2267" s="4">
        <f>IFERROR(RawWorking[[#This Row],[LineAmount]]/RawWorking[[#This Row],[Quantity]],"")</f>
        <v>101.44</v>
      </c>
    </row>
    <row r="2268" spans="1:14">
      <c r="A2268">
        <v>52267</v>
      </c>
      <c r="B2268">
        <v>31311</v>
      </c>
      <c r="C2268" s="2">
        <v>45963</v>
      </c>
      <c r="D2268">
        <v>2404</v>
      </c>
      <c r="E2268">
        <v>1002</v>
      </c>
      <c r="F2268">
        <v>1</v>
      </c>
      <c r="G2268">
        <v>118.6</v>
      </c>
      <c r="H2268" s="2">
        <v>45964</v>
      </c>
      <c r="I2268" s="2">
        <v>45971</v>
      </c>
      <c r="J2268" t="s">
        <v>9</v>
      </c>
      <c r="K2268" s="2" t="str">
        <f>IFERROR(INDEX(Product_lookup[Category],MATCH(RawWorking[[#This Row],[ProductID]],Product_lookup[ProductID],0)),"")</f>
        <v>Electronics</v>
      </c>
      <c r="L2268" s="9">
        <f>IF(OR(RawWorking[[#This Row],[ShipDate]]="",RawWorking[[#This Row],[DeliveryDate]]=""),"",RawWorking[[#This Row],[DeliveryDate]]-RawWorking[[#This Row],[ShipDate]])</f>
        <v>7</v>
      </c>
      <c r="M2268" s="9">
        <f>IF(COUNTIF(INDEX(RawWorking[OrderID],1):RawWorking[[#This Row],[OrderID]],RawWorking[[#This Row],[OrderID]])=1,1,0)</f>
        <v>0</v>
      </c>
      <c r="N2268" s="4">
        <f>IFERROR(RawWorking[[#This Row],[LineAmount]]/RawWorking[[#This Row],[Quantity]],"")</f>
        <v>118.6</v>
      </c>
    </row>
    <row r="2269" spans="1:14">
      <c r="A2269">
        <v>52268</v>
      </c>
      <c r="B2269">
        <v>31311</v>
      </c>
      <c r="C2269" s="2">
        <v>45963</v>
      </c>
      <c r="D2269">
        <v>2404</v>
      </c>
      <c r="E2269">
        <v>1012</v>
      </c>
      <c r="F2269">
        <v>1</v>
      </c>
      <c r="G2269">
        <v>241.54</v>
      </c>
      <c r="H2269" s="2">
        <v>45964</v>
      </c>
      <c r="I2269" s="2">
        <v>45972</v>
      </c>
      <c r="J2269" t="s">
        <v>9</v>
      </c>
      <c r="K2269" s="2" t="str">
        <f>IFERROR(INDEX(Product_lookup[Category],MATCH(RawWorking[[#This Row],[ProductID]],Product_lookup[ProductID],0)),"")</f>
        <v>Office</v>
      </c>
      <c r="L2269" s="9">
        <f>IF(OR(RawWorking[[#This Row],[ShipDate]]="",RawWorking[[#This Row],[DeliveryDate]]=""),"",RawWorking[[#This Row],[DeliveryDate]]-RawWorking[[#This Row],[ShipDate]])</f>
        <v>8</v>
      </c>
      <c r="M2269" s="9">
        <f>IF(COUNTIF(INDEX(RawWorking[OrderID],1):RawWorking[[#This Row],[OrderID]],RawWorking[[#This Row],[OrderID]])=1,1,0)</f>
        <v>0</v>
      </c>
      <c r="N2269" s="4">
        <f>IFERROR(RawWorking[[#This Row],[LineAmount]]/RawWorking[[#This Row],[Quantity]],"")</f>
        <v>241.54</v>
      </c>
    </row>
    <row r="2270" spans="1:14">
      <c r="A2270">
        <v>52269</v>
      </c>
      <c r="B2270">
        <v>31311</v>
      </c>
      <c r="C2270" s="2">
        <v>45963</v>
      </c>
      <c r="D2270">
        <v>2404</v>
      </c>
      <c r="E2270">
        <v>1013</v>
      </c>
      <c r="F2270">
        <v>2</v>
      </c>
      <c r="G2270">
        <v>340.5</v>
      </c>
      <c r="H2270" s="2">
        <v>45964</v>
      </c>
      <c r="I2270" s="2">
        <v>45967</v>
      </c>
      <c r="J2270" t="s">
        <v>9</v>
      </c>
      <c r="K2270" s="2" t="str">
        <f>IFERROR(INDEX(Product_lookup[Category],MATCH(RawWorking[[#This Row],[ProductID]],Product_lookup[ProductID],0)),"")</f>
        <v>Office</v>
      </c>
      <c r="L2270" s="9">
        <f>IF(OR(RawWorking[[#This Row],[ShipDate]]="",RawWorking[[#This Row],[DeliveryDate]]=""),"",RawWorking[[#This Row],[DeliveryDate]]-RawWorking[[#This Row],[ShipDate]])</f>
        <v>3</v>
      </c>
      <c r="M2270" s="9">
        <f>IF(COUNTIF(INDEX(RawWorking[OrderID],1):RawWorking[[#This Row],[OrderID]],RawWorking[[#This Row],[OrderID]])=1,1,0)</f>
        <v>0</v>
      </c>
      <c r="N2270" s="4">
        <f>IFERROR(RawWorking[[#This Row],[LineAmount]]/RawWorking[[#This Row],[Quantity]],"")</f>
        <v>170.25</v>
      </c>
    </row>
    <row r="2271" spans="1:14">
      <c r="A2271">
        <v>52270</v>
      </c>
      <c r="B2271">
        <v>31312</v>
      </c>
      <c r="C2271" s="2">
        <v>45881</v>
      </c>
      <c r="D2271">
        <v>2152</v>
      </c>
      <c r="E2271">
        <v>1014</v>
      </c>
      <c r="F2271">
        <v>2</v>
      </c>
      <c r="G2271">
        <v>430.68</v>
      </c>
      <c r="H2271" s="2">
        <v>45884</v>
      </c>
      <c r="I2271" s="2">
        <v>45888</v>
      </c>
      <c r="J2271" t="s">
        <v>9</v>
      </c>
      <c r="K2271" s="2" t="str">
        <f>IFERROR(INDEX(Product_lookup[Category],MATCH(RawWorking[[#This Row],[ProductID]],Product_lookup[ProductID],0)),"")</f>
        <v>Sports</v>
      </c>
      <c r="L2271" s="9">
        <f>IF(OR(RawWorking[[#This Row],[ShipDate]]="",RawWorking[[#This Row],[DeliveryDate]]=""),"",RawWorking[[#This Row],[DeliveryDate]]-RawWorking[[#This Row],[ShipDate]])</f>
        <v>4</v>
      </c>
      <c r="M2271" s="9">
        <f>IF(COUNTIF(INDEX(RawWorking[OrderID],1):RawWorking[[#This Row],[OrderID]],RawWorking[[#This Row],[OrderID]])=1,1,0)</f>
        <v>1</v>
      </c>
      <c r="N2271" s="4">
        <f>IFERROR(RawWorking[[#This Row],[LineAmount]]/RawWorking[[#This Row],[Quantity]],"")</f>
        <v>215.34</v>
      </c>
    </row>
    <row r="2272" spans="1:14">
      <c r="A2272">
        <v>52271</v>
      </c>
      <c r="B2272">
        <v>31312</v>
      </c>
      <c r="C2272" s="2">
        <v>45881</v>
      </c>
      <c r="D2272">
        <v>2152</v>
      </c>
      <c r="E2272">
        <v>1012</v>
      </c>
      <c r="F2272">
        <v>3</v>
      </c>
      <c r="G2272">
        <v>724.62</v>
      </c>
      <c r="H2272" s="2">
        <v>45884</v>
      </c>
      <c r="I2272" s="2">
        <v>45892</v>
      </c>
      <c r="J2272" t="s">
        <v>9</v>
      </c>
      <c r="K2272" s="2" t="str">
        <f>IFERROR(INDEX(Product_lookup[Category],MATCH(RawWorking[[#This Row],[ProductID]],Product_lookup[ProductID],0)),"")</f>
        <v>Office</v>
      </c>
      <c r="L2272" s="9">
        <f>IF(OR(RawWorking[[#This Row],[ShipDate]]="",RawWorking[[#This Row],[DeliveryDate]]=""),"",RawWorking[[#This Row],[DeliveryDate]]-RawWorking[[#This Row],[ShipDate]])</f>
        <v>8</v>
      </c>
      <c r="M2272" s="9">
        <f>IF(COUNTIF(INDEX(RawWorking[OrderID],1):RawWorking[[#This Row],[OrderID]],RawWorking[[#This Row],[OrderID]])=1,1,0)</f>
        <v>0</v>
      </c>
      <c r="N2272" s="4">
        <f>IFERROR(RawWorking[[#This Row],[LineAmount]]/RawWorking[[#This Row],[Quantity]],"")</f>
        <v>241.54</v>
      </c>
    </row>
    <row r="2273" spans="1:14">
      <c r="A2273">
        <v>52272</v>
      </c>
      <c r="B2273">
        <v>31313</v>
      </c>
      <c r="C2273" s="2">
        <v>45848</v>
      </c>
      <c r="D2273">
        <v>2396</v>
      </c>
      <c r="E2273">
        <v>1010</v>
      </c>
      <c r="F2273">
        <v>1</v>
      </c>
      <c r="G2273">
        <v>121.5</v>
      </c>
      <c r="H2273" s="2">
        <v>45940</v>
      </c>
      <c r="I2273" s="2">
        <v>45950</v>
      </c>
      <c r="J2273" t="s">
        <v>9</v>
      </c>
      <c r="K2273" s="2" t="str">
        <f>IFERROR(INDEX(Product_lookup[Category],MATCH(RawWorking[[#This Row],[ProductID]],Product_lookup[ProductID],0)),"")</f>
        <v>Office</v>
      </c>
      <c r="L2273" s="9">
        <f>IF(OR(RawWorking[[#This Row],[ShipDate]]="",RawWorking[[#This Row],[DeliveryDate]]=""),"",RawWorking[[#This Row],[DeliveryDate]]-RawWorking[[#This Row],[ShipDate]])</f>
        <v>10</v>
      </c>
      <c r="M2273" s="9">
        <f>IF(COUNTIF(INDEX(RawWorking[OrderID],1):RawWorking[[#This Row],[OrderID]],RawWorking[[#This Row],[OrderID]])=1,1,0)</f>
        <v>1</v>
      </c>
      <c r="N2273" s="4">
        <f>IFERROR(RawWorking[[#This Row],[LineAmount]]/RawWorking[[#This Row],[Quantity]],"")</f>
        <v>121.5</v>
      </c>
    </row>
    <row r="2274" spans="1:14">
      <c r="A2274">
        <v>52273</v>
      </c>
      <c r="B2274">
        <v>31313</v>
      </c>
      <c r="C2274" s="2">
        <v>45937</v>
      </c>
      <c r="D2274">
        <v>2396</v>
      </c>
      <c r="E2274">
        <v>1012</v>
      </c>
      <c r="F2274">
        <v>1</v>
      </c>
      <c r="G2274">
        <v>241.54</v>
      </c>
      <c r="H2274" s="2">
        <v>45938</v>
      </c>
      <c r="I2274" s="2">
        <v>45941</v>
      </c>
      <c r="J2274" t="s">
        <v>9</v>
      </c>
      <c r="K2274" s="2" t="str">
        <f>IFERROR(INDEX(Product_lookup[Category],MATCH(RawWorking[[#This Row],[ProductID]],Product_lookup[ProductID],0)),"")</f>
        <v>Office</v>
      </c>
      <c r="L2274" s="9">
        <f>IF(OR(RawWorking[[#This Row],[ShipDate]]="",RawWorking[[#This Row],[DeliveryDate]]=""),"",RawWorking[[#This Row],[DeliveryDate]]-RawWorking[[#This Row],[ShipDate]])</f>
        <v>3</v>
      </c>
      <c r="M2274" s="9">
        <f>IF(COUNTIF(INDEX(RawWorking[OrderID],1):RawWorking[[#This Row],[OrderID]],RawWorking[[#This Row],[OrderID]])=1,1,0)</f>
        <v>0</v>
      </c>
      <c r="N2274" s="4">
        <f>IFERROR(RawWorking[[#This Row],[LineAmount]]/RawWorking[[#This Row],[Quantity]],"")</f>
        <v>241.54</v>
      </c>
    </row>
    <row r="2275" spans="1:14">
      <c r="A2275">
        <v>52274</v>
      </c>
      <c r="B2275">
        <v>31314</v>
      </c>
      <c r="C2275" s="2">
        <v>45693</v>
      </c>
      <c r="D2275">
        <v>2360</v>
      </c>
      <c r="E2275">
        <v>1015</v>
      </c>
      <c r="F2275">
        <v>1</v>
      </c>
      <c r="G2275">
        <v>119.74</v>
      </c>
      <c r="H2275" s="2">
        <v>45694</v>
      </c>
      <c r="I2275" s="2">
        <v>45695</v>
      </c>
      <c r="J2275" t="s">
        <v>9</v>
      </c>
      <c r="K2275" s="2" t="str">
        <f>IFERROR(INDEX(Product_lookup[Category],MATCH(RawWorking[[#This Row],[ProductID]],Product_lookup[ProductID],0)),"")</f>
        <v>Sports</v>
      </c>
      <c r="L2275" s="9">
        <f>IF(OR(RawWorking[[#This Row],[ShipDate]]="",RawWorking[[#This Row],[DeliveryDate]]=""),"",RawWorking[[#This Row],[DeliveryDate]]-RawWorking[[#This Row],[ShipDate]])</f>
        <v>1</v>
      </c>
      <c r="M2275" s="9">
        <f>IF(COUNTIF(INDEX(RawWorking[OrderID],1):RawWorking[[#This Row],[OrderID]],RawWorking[[#This Row],[OrderID]])=1,1,0)</f>
        <v>1</v>
      </c>
      <c r="N2275" s="4">
        <f>IFERROR(RawWorking[[#This Row],[LineAmount]]/RawWorking[[#This Row],[Quantity]],"")</f>
        <v>119.74</v>
      </c>
    </row>
    <row r="2276" spans="1:14">
      <c r="A2276">
        <v>52275</v>
      </c>
      <c r="B2276">
        <v>31315</v>
      </c>
      <c r="C2276" s="2">
        <v>45768</v>
      </c>
      <c r="D2276">
        <v>2575</v>
      </c>
      <c r="E2276">
        <v>1015</v>
      </c>
      <c r="F2276">
        <v>1</v>
      </c>
      <c r="G2276">
        <v>119.74</v>
      </c>
      <c r="H2276" s="2">
        <v>45771</v>
      </c>
      <c r="I2276" s="2">
        <v>45781</v>
      </c>
      <c r="J2276" t="s">
        <v>9</v>
      </c>
      <c r="K2276" s="2" t="str">
        <f>IFERROR(INDEX(Product_lookup[Category],MATCH(RawWorking[[#This Row],[ProductID]],Product_lookup[ProductID],0)),"")</f>
        <v>Sports</v>
      </c>
      <c r="L2276" s="9">
        <f>IF(OR(RawWorking[[#This Row],[ShipDate]]="",RawWorking[[#This Row],[DeliveryDate]]=""),"",RawWorking[[#This Row],[DeliveryDate]]-RawWorking[[#This Row],[ShipDate]])</f>
        <v>10</v>
      </c>
      <c r="M2276" s="9">
        <f>IF(COUNTIF(INDEX(RawWorking[OrderID],1):RawWorking[[#This Row],[OrderID]],RawWorking[[#This Row],[OrderID]])=1,1,0)</f>
        <v>1</v>
      </c>
      <c r="N2276" s="4">
        <f>IFERROR(RawWorking[[#This Row],[LineAmount]]/RawWorking[[#This Row],[Quantity]],"")</f>
        <v>119.74</v>
      </c>
    </row>
    <row r="2277" spans="1:14">
      <c r="A2277">
        <v>52276</v>
      </c>
      <c r="B2277">
        <v>31315</v>
      </c>
      <c r="C2277" s="2">
        <v>45768</v>
      </c>
      <c r="D2277">
        <v>2575</v>
      </c>
      <c r="E2277">
        <v>1014</v>
      </c>
      <c r="F2277">
        <v>1</v>
      </c>
      <c r="G2277">
        <v>215.34</v>
      </c>
      <c r="H2277" s="2">
        <v>45770</v>
      </c>
      <c r="I2277" s="2">
        <v>45773</v>
      </c>
      <c r="J2277" t="s">
        <v>9</v>
      </c>
      <c r="K2277" s="2" t="str">
        <f>IFERROR(INDEX(Product_lookup[Category],MATCH(RawWorking[[#This Row],[ProductID]],Product_lookup[ProductID],0)),"")</f>
        <v>Sports</v>
      </c>
      <c r="L2277" s="9">
        <f>IF(OR(RawWorking[[#This Row],[ShipDate]]="",RawWorking[[#This Row],[DeliveryDate]]=""),"",RawWorking[[#This Row],[DeliveryDate]]-RawWorking[[#This Row],[ShipDate]])</f>
        <v>3</v>
      </c>
      <c r="M2277" s="9">
        <f>IF(COUNTIF(INDEX(RawWorking[OrderID],1):RawWorking[[#This Row],[OrderID]],RawWorking[[#This Row],[OrderID]])=1,1,0)</f>
        <v>0</v>
      </c>
      <c r="N2277" s="4">
        <f>IFERROR(RawWorking[[#This Row],[LineAmount]]/RawWorking[[#This Row],[Quantity]],"")</f>
        <v>215.34</v>
      </c>
    </row>
    <row r="2278" spans="1:14">
      <c r="A2278">
        <v>52277</v>
      </c>
      <c r="B2278">
        <v>31316</v>
      </c>
      <c r="C2278" s="2">
        <v>45983</v>
      </c>
      <c r="D2278">
        <v>2454</v>
      </c>
      <c r="E2278">
        <v>1014</v>
      </c>
      <c r="F2278">
        <v>2</v>
      </c>
      <c r="G2278">
        <v>430.68</v>
      </c>
      <c r="H2278" s="2">
        <v>45986</v>
      </c>
      <c r="I2278" s="2">
        <v>45991</v>
      </c>
      <c r="J2278" t="s">
        <v>9</v>
      </c>
      <c r="K2278" s="2" t="str">
        <f>IFERROR(INDEX(Product_lookup[Category],MATCH(RawWorking[[#This Row],[ProductID]],Product_lookup[ProductID],0)),"")</f>
        <v>Sports</v>
      </c>
      <c r="L2278" s="9">
        <f>IF(OR(RawWorking[[#This Row],[ShipDate]]="",RawWorking[[#This Row],[DeliveryDate]]=""),"",RawWorking[[#This Row],[DeliveryDate]]-RawWorking[[#This Row],[ShipDate]])</f>
        <v>5</v>
      </c>
      <c r="M2278" s="9">
        <f>IF(COUNTIF(INDEX(RawWorking[OrderID],1):RawWorking[[#This Row],[OrderID]],RawWorking[[#This Row],[OrderID]])=1,1,0)</f>
        <v>1</v>
      </c>
      <c r="N2278" s="4">
        <f>IFERROR(RawWorking[[#This Row],[LineAmount]]/RawWorking[[#This Row],[Quantity]],"")</f>
        <v>215.34</v>
      </c>
    </row>
    <row r="2279" spans="1:14">
      <c r="A2279">
        <v>52278</v>
      </c>
      <c r="B2279">
        <v>31316</v>
      </c>
      <c r="C2279" s="2">
        <v>45983</v>
      </c>
      <c r="D2279">
        <v>2454</v>
      </c>
      <c r="E2279">
        <v>1014</v>
      </c>
      <c r="F2279">
        <v>1</v>
      </c>
      <c r="G2279">
        <v>215.34</v>
      </c>
      <c r="H2279" s="2">
        <v>45984</v>
      </c>
      <c r="I2279" s="2">
        <v>45991</v>
      </c>
      <c r="J2279" t="s">
        <v>9</v>
      </c>
      <c r="K2279" s="2" t="str">
        <f>IFERROR(INDEX(Product_lookup[Category],MATCH(RawWorking[[#This Row],[ProductID]],Product_lookup[ProductID],0)),"")</f>
        <v>Sports</v>
      </c>
      <c r="L2279" s="9">
        <f>IF(OR(RawWorking[[#This Row],[ShipDate]]="",RawWorking[[#This Row],[DeliveryDate]]=""),"",RawWorking[[#This Row],[DeliveryDate]]-RawWorking[[#This Row],[ShipDate]])</f>
        <v>7</v>
      </c>
      <c r="M2279" s="9">
        <f>IF(COUNTIF(INDEX(RawWorking[OrderID],1):RawWorking[[#This Row],[OrderID]],RawWorking[[#This Row],[OrderID]])=1,1,0)</f>
        <v>0</v>
      </c>
      <c r="N2279" s="4">
        <f>IFERROR(RawWorking[[#This Row],[LineAmount]]/RawWorking[[#This Row],[Quantity]],"")</f>
        <v>215.34</v>
      </c>
    </row>
    <row r="2280" spans="1:14">
      <c r="A2280">
        <v>52279</v>
      </c>
      <c r="B2280">
        <v>31317</v>
      </c>
      <c r="C2280" s="2">
        <v>45899</v>
      </c>
      <c r="D2280">
        <v>2143</v>
      </c>
      <c r="E2280">
        <v>1003</v>
      </c>
      <c r="F2280">
        <v>1</v>
      </c>
      <c r="G2280">
        <v>224.37</v>
      </c>
      <c r="H2280" s="2">
        <v>45903</v>
      </c>
      <c r="I2280" s="2" t="s">
        <v>1421</v>
      </c>
      <c r="J2280" t="s">
        <v>16</v>
      </c>
      <c r="K2280" s="2" t="str">
        <f>IFERROR(INDEX(Product_lookup[Category],MATCH(RawWorking[[#This Row],[ProductID]],Product_lookup[ProductID],0)),"")</f>
        <v>Electronics</v>
      </c>
      <c r="L2280" s="9" t="str">
        <f>IF(OR(RawWorking[[#This Row],[ShipDate]]="",RawWorking[[#This Row],[DeliveryDate]]=""),"",RawWorking[[#This Row],[DeliveryDate]]-RawWorking[[#This Row],[ShipDate]])</f>
        <v/>
      </c>
      <c r="M2280" s="9">
        <f>IF(COUNTIF(INDEX(RawWorking[OrderID],1):RawWorking[[#This Row],[OrderID]],RawWorking[[#This Row],[OrderID]])=1,1,0)</f>
        <v>1</v>
      </c>
      <c r="N2280" s="4">
        <f>IFERROR(RawWorking[[#This Row],[LineAmount]]/RawWorking[[#This Row],[Quantity]],"")</f>
        <v>224.37</v>
      </c>
    </row>
    <row r="2281" spans="1:14">
      <c r="A2281">
        <v>52280</v>
      </c>
      <c r="B2281">
        <v>31318</v>
      </c>
      <c r="C2281" s="2">
        <v>45944</v>
      </c>
      <c r="D2281">
        <v>2311</v>
      </c>
      <c r="E2281">
        <v>1011</v>
      </c>
      <c r="F2281">
        <v>5</v>
      </c>
      <c r="G2281">
        <v>507.2</v>
      </c>
      <c r="H2281" s="2">
        <v>45946</v>
      </c>
      <c r="I2281" s="2">
        <v>45952</v>
      </c>
      <c r="J2281" t="s">
        <v>9</v>
      </c>
      <c r="K2281" s="2" t="str">
        <f>IFERROR(INDEX(Product_lookup[Category],MATCH(RawWorking[[#This Row],[ProductID]],Product_lookup[ProductID],0)),"")</f>
        <v>Office</v>
      </c>
      <c r="L2281" s="9">
        <f>IF(OR(RawWorking[[#This Row],[ShipDate]]="",RawWorking[[#This Row],[DeliveryDate]]=""),"",RawWorking[[#This Row],[DeliveryDate]]-RawWorking[[#This Row],[ShipDate]])</f>
        <v>6</v>
      </c>
      <c r="M2281" s="9">
        <f>IF(COUNTIF(INDEX(RawWorking[OrderID],1):RawWorking[[#This Row],[OrderID]],RawWorking[[#This Row],[OrderID]])=1,1,0)</f>
        <v>1</v>
      </c>
      <c r="N2281" s="4">
        <f>IFERROR(RawWorking[[#This Row],[LineAmount]]/RawWorking[[#This Row],[Quantity]],"")</f>
        <v>101.44</v>
      </c>
    </row>
    <row r="2282" spans="1:14">
      <c r="A2282">
        <v>52281</v>
      </c>
      <c r="B2282">
        <v>31319</v>
      </c>
      <c r="C2282" s="2">
        <v>45915</v>
      </c>
      <c r="D2282">
        <v>2068</v>
      </c>
      <c r="E2282">
        <v>1013</v>
      </c>
      <c r="F2282">
        <v>1</v>
      </c>
      <c r="G2282">
        <v>170.25</v>
      </c>
      <c r="H2282" s="2" t="s">
        <v>1421</v>
      </c>
      <c r="I2282" s="2" t="s">
        <v>1421</v>
      </c>
      <c r="J2282" t="s">
        <v>12</v>
      </c>
      <c r="K2282" s="2" t="str">
        <f>IFERROR(INDEX(Product_lookup[Category],MATCH(RawWorking[[#This Row],[ProductID]],Product_lookup[ProductID],0)),"")</f>
        <v>Office</v>
      </c>
      <c r="L2282" s="9" t="str">
        <f>IF(OR(RawWorking[[#This Row],[ShipDate]]="",RawWorking[[#This Row],[DeliveryDate]]=""),"",RawWorking[[#This Row],[DeliveryDate]]-RawWorking[[#This Row],[ShipDate]])</f>
        <v/>
      </c>
      <c r="M2282" s="9">
        <f>IF(COUNTIF(INDEX(RawWorking[OrderID],1):RawWorking[[#This Row],[OrderID]],RawWorking[[#This Row],[OrderID]])=1,1,0)</f>
        <v>1</v>
      </c>
      <c r="N2282" s="4">
        <f>IFERROR(RawWorking[[#This Row],[LineAmount]]/RawWorking[[#This Row],[Quantity]],"")</f>
        <v>170.25</v>
      </c>
    </row>
    <row r="2283" spans="1:14">
      <c r="A2283">
        <v>52282</v>
      </c>
      <c r="B2283">
        <v>31320</v>
      </c>
      <c r="C2283" s="2">
        <v>46020</v>
      </c>
      <c r="D2283">
        <v>2091</v>
      </c>
      <c r="E2283">
        <v>1009</v>
      </c>
      <c r="F2283">
        <v>1</v>
      </c>
      <c r="G2283">
        <v>40.28</v>
      </c>
      <c r="H2283" s="2">
        <v>46022</v>
      </c>
      <c r="I2283" s="2">
        <v>46026</v>
      </c>
      <c r="J2283" t="s">
        <v>9</v>
      </c>
      <c r="K2283" s="2" t="str">
        <f>IFERROR(INDEX(Product_lookup[Category],MATCH(RawWorking[[#This Row],[ProductID]],Product_lookup[ProductID],0)),"")</f>
        <v>Home</v>
      </c>
      <c r="L2283" s="9">
        <f>IF(OR(RawWorking[[#This Row],[ShipDate]]="",RawWorking[[#This Row],[DeliveryDate]]=""),"",RawWorking[[#This Row],[DeliveryDate]]-RawWorking[[#This Row],[ShipDate]])</f>
        <v>4</v>
      </c>
      <c r="M2283" s="9">
        <f>IF(COUNTIF(INDEX(RawWorking[OrderID],1):RawWorking[[#This Row],[OrderID]],RawWorking[[#This Row],[OrderID]])=1,1,0)</f>
        <v>1</v>
      </c>
      <c r="N2283" s="4">
        <f>IFERROR(RawWorking[[#This Row],[LineAmount]]/RawWorking[[#This Row],[Quantity]],"")</f>
        <v>40.28</v>
      </c>
    </row>
    <row r="2284" spans="1:14">
      <c r="A2284">
        <v>52283</v>
      </c>
      <c r="B2284">
        <v>31321</v>
      </c>
      <c r="C2284" s="2">
        <v>45954</v>
      </c>
      <c r="D2284">
        <v>2425</v>
      </c>
      <c r="E2284">
        <v>1015</v>
      </c>
      <c r="F2284">
        <v>1</v>
      </c>
      <c r="G2284">
        <v>119.74</v>
      </c>
      <c r="H2284" s="2">
        <v>45955</v>
      </c>
      <c r="I2284" s="2">
        <v>45963</v>
      </c>
      <c r="J2284" t="s">
        <v>9</v>
      </c>
      <c r="K2284" s="2" t="str">
        <f>IFERROR(INDEX(Product_lookup[Category],MATCH(RawWorking[[#This Row],[ProductID]],Product_lookup[ProductID],0)),"")</f>
        <v>Sports</v>
      </c>
      <c r="L2284" s="9">
        <f>IF(OR(RawWorking[[#This Row],[ShipDate]]="",RawWorking[[#This Row],[DeliveryDate]]=""),"",RawWorking[[#This Row],[DeliveryDate]]-RawWorking[[#This Row],[ShipDate]])</f>
        <v>8</v>
      </c>
      <c r="M2284" s="9">
        <f>IF(COUNTIF(INDEX(RawWorking[OrderID],1):RawWorking[[#This Row],[OrderID]],RawWorking[[#This Row],[OrderID]])=1,1,0)</f>
        <v>1</v>
      </c>
      <c r="N2284" s="4">
        <f>IFERROR(RawWorking[[#This Row],[LineAmount]]/RawWorking[[#This Row],[Quantity]],"")</f>
        <v>119.74</v>
      </c>
    </row>
    <row r="2285" spans="1:14">
      <c r="A2285">
        <v>52284</v>
      </c>
      <c r="B2285">
        <v>31321</v>
      </c>
      <c r="C2285" s="2">
        <v>45954</v>
      </c>
      <c r="D2285">
        <v>2425</v>
      </c>
      <c r="E2285">
        <v>1005</v>
      </c>
      <c r="F2285">
        <v>2</v>
      </c>
      <c r="G2285">
        <v>63.46</v>
      </c>
      <c r="H2285" s="2">
        <v>45955</v>
      </c>
      <c r="I2285" s="2">
        <v>45958</v>
      </c>
      <c r="J2285" t="s">
        <v>9</v>
      </c>
      <c r="K2285" s="2" t="str">
        <f>IFERROR(INDEX(Product_lookup[Category],MATCH(RawWorking[[#This Row],[ProductID]],Product_lookup[ProductID],0)),"")</f>
        <v>Electronics</v>
      </c>
      <c r="L2285" s="9">
        <f>IF(OR(RawWorking[[#This Row],[ShipDate]]="",RawWorking[[#This Row],[DeliveryDate]]=""),"",RawWorking[[#This Row],[DeliveryDate]]-RawWorking[[#This Row],[ShipDate]])</f>
        <v>3</v>
      </c>
      <c r="M2285" s="9">
        <f>IF(COUNTIF(INDEX(RawWorking[OrderID],1):RawWorking[[#This Row],[OrderID]],RawWorking[[#This Row],[OrderID]])=1,1,0)</f>
        <v>0</v>
      </c>
      <c r="N2285" s="4">
        <f>IFERROR(RawWorking[[#This Row],[LineAmount]]/RawWorking[[#This Row],[Quantity]],"")</f>
        <v>31.73</v>
      </c>
    </row>
    <row r="2286" spans="1:14">
      <c r="A2286">
        <v>52285</v>
      </c>
      <c r="B2286">
        <v>31322</v>
      </c>
      <c r="C2286" s="2">
        <v>45916</v>
      </c>
      <c r="D2286">
        <v>2205</v>
      </c>
      <c r="E2286">
        <v>1013</v>
      </c>
      <c r="F2286">
        <v>3</v>
      </c>
      <c r="G2286">
        <v>510.75</v>
      </c>
      <c r="H2286" s="2">
        <v>45918</v>
      </c>
      <c r="I2286" s="2">
        <v>45921</v>
      </c>
      <c r="J2286" t="s">
        <v>9</v>
      </c>
      <c r="K2286" s="2" t="str">
        <f>IFERROR(INDEX(Product_lookup[Category],MATCH(RawWorking[[#This Row],[ProductID]],Product_lookup[ProductID],0)),"")</f>
        <v>Office</v>
      </c>
      <c r="L2286" s="9">
        <f>IF(OR(RawWorking[[#This Row],[ShipDate]]="",RawWorking[[#This Row],[DeliveryDate]]=""),"",RawWorking[[#This Row],[DeliveryDate]]-RawWorking[[#This Row],[ShipDate]])</f>
        <v>3</v>
      </c>
      <c r="M2286" s="9">
        <f>IF(COUNTIF(INDEX(RawWorking[OrderID],1):RawWorking[[#This Row],[OrderID]],RawWorking[[#This Row],[OrderID]])=1,1,0)</f>
        <v>1</v>
      </c>
      <c r="N2286" s="4">
        <f>IFERROR(RawWorking[[#This Row],[LineAmount]]/RawWorking[[#This Row],[Quantity]],"")</f>
        <v>170.25</v>
      </c>
    </row>
    <row r="2287" spans="1:14">
      <c r="A2287">
        <v>52286</v>
      </c>
      <c r="B2287">
        <v>31322</v>
      </c>
      <c r="C2287" s="2">
        <v>45916</v>
      </c>
      <c r="D2287">
        <v>2205</v>
      </c>
      <c r="E2287">
        <v>1010</v>
      </c>
      <c r="F2287">
        <v>1</v>
      </c>
      <c r="G2287">
        <v>121.5</v>
      </c>
      <c r="H2287" s="2">
        <v>45917</v>
      </c>
      <c r="I2287" s="2">
        <v>45923</v>
      </c>
      <c r="J2287" t="s">
        <v>9</v>
      </c>
      <c r="K2287" s="2" t="str">
        <f>IFERROR(INDEX(Product_lookup[Category],MATCH(RawWorking[[#This Row],[ProductID]],Product_lookup[ProductID],0)),"")</f>
        <v>Office</v>
      </c>
      <c r="L2287" s="9">
        <f>IF(OR(RawWorking[[#This Row],[ShipDate]]="",RawWorking[[#This Row],[DeliveryDate]]=""),"",RawWorking[[#This Row],[DeliveryDate]]-RawWorking[[#This Row],[ShipDate]])</f>
        <v>6</v>
      </c>
      <c r="M2287" s="9">
        <f>IF(COUNTIF(INDEX(RawWorking[OrderID],1):RawWorking[[#This Row],[OrderID]],RawWorking[[#This Row],[OrderID]])=1,1,0)</f>
        <v>0</v>
      </c>
      <c r="N2287" s="4">
        <f>IFERROR(RawWorking[[#This Row],[LineAmount]]/RawWorking[[#This Row],[Quantity]],"")</f>
        <v>121.5</v>
      </c>
    </row>
    <row r="2288" spans="1:14">
      <c r="A2288">
        <v>52287</v>
      </c>
      <c r="B2288">
        <v>31323</v>
      </c>
      <c r="C2288" s="2">
        <v>45835</v>
      </c>
      <c r="D2288">
        <v>2568</v>
      </c>
      <c r="E2288">
        <v>1010</v>
      </c>
      <c r="F2288">
        <v>1</v>
      </c>
      <c r="G2288">
        <v>121.5</v>
      </c>
      <c r="H2288" s="2">
        <v>45837</v>
      </c>
      <c r="I2288" s="2">
        <v>45845</v>
      </c>
      <c r="J2288" t="s">
        <v>9</v>
      </c>
      <c r="K2288" s="2" t="str">
        <f>IFERROR(INDEX(Product_lookup[Category],MATCH(RawWorking[[#This Row],[ProductID]],Product_lookup[ProductID],0)),"")</f>
        <v>Office</v>
      </c>
      <c r="L2288" s="9">
        <f>IF(OR(RawWorking[[#This Row],[ShipDate]]="",RawWorking[[#This Row],[DeliveryDate]]=""),"",RawWorking[[#This Row],[DeliveryDate]]-RawWorking[[#This Row],[ShipDate]])</f>
        <v>8</v>
      </c>
      <c r="M2288" s="9">
        <f>IF(COUNTIF(INDEX(RawWorking[OrderID],1):RawWorking[[#This Row],[OrderID]],RawWorking[[#This Row],[OrderID]])=1,1,0)</f>
        <v>1</v>
      </c>
      <c r="N2288" s="4">
        <f>IFERROR(RawWorking[[#This Row],[LineAmount]]/RawWorking[[#This Row],[Quantity]],"")</f>
        <v>121.5</v>
      </c>
    </row>
    <row r="2289" spans="1:14">
      <c r="A2289">
        <v>52288</v>
      </c>
      <c r="B2289">
        <v>31324</v>
      </c>
      <c r="C2289" s="2">
        <v>45879</v>
      </c>
      <c r="D2289">
        <v>2600</v>
      </c>
      <c r="E2289">
        <v>1015</v>
      </c>
      <c r="F2289">
        <v>5</v>
      </c>
      <c r="G2289">
        <v>598.70000000000005</v>
      </c>
      <c r="H2289" s="2">
        <v>45880</v>
      </c>
      <c r="I2289" s="2">
        <v>45881</v>
      </c>
      <c r="J2289" t="s">
        <v>9</v>
      </c>
      <c r="K2289" s="2" t="str">
        <f>IFERROR(INDEX(Product_lookup[Category],MATCH(RawWorking[[#This Row],[ProductID]],Product_lookup[ProductID],0)),"")</f>
        <v>Sports</v>
      </c>
      <c r="L2289" s="9">
        <f>IF(OR(RawWorking[[#This Row],[ShipDate]]="",RawWorking[[#This Row],[DeliveryDate]]=""),"",RawWorking[[#This Row],[DeliveryDate]]-RawWorking[[#This Row],[ShipDate]])</f>
        <v>1</v>
      </c>
      <c r="M2289" s="9">
        <f>IF(COUNTIF(INDEX(RawWorking[OrderID],1):RawWorking[[#This Row],[OrderID]],RawWorking[[#This Row],[OrderID]])=1,1,0)</f>
        <v>1</v>
      </c>
      <c r="N2289" s="4">
        <f>IFERROR(RawWorking[[#This Row],[LineAmount]]/RawWorking[[#This Row],[Quantity]],"")</f>
        <v>119.74000000000001</v>
      </c>
    </row>
    <row r="2290" spans="1:14">
      <c r="A2290">
        <v>52289</v>
      </c>
      <c r="B2290">
        <v>31325</v>
      </c>
      <c r="C2290" s="2">
        <v>45754</v>
      </c>
      <c r="D2290">
        <v>2230</v>
      </c>
      <c r="E2290">
        <v>1001</v>
      </c>
      <c r="F2290">
        <v>1</v>
      </c>
      <c r="G2290">
        <v>203.04</v>
      </c>
      <c r="H2290" s="2">
        <v>45844</v>
      </c>
      <c r="I2290" s="2">
        <v>45846</v>
      </c>
      <c r="J2290" t="s">
        <v>9</v>
      </c>
      <c r="K2290" s="2" t="str">
        <f>IFERROR(INDEX(Product_lookup[Category],MATCH(RawWorking[[#This Row],[ProductID]],Product_lookup[ProductID],0)),"")</f>
        <v>Electronics</v>
      </c>
      <c r="L2290" s="9">
        <f>IF(OR(RawWorking[[#This Row],[ShipDate]]="",RawWorking[[#This Row],[DeliveryDate]]=""),"",RawWorking[[#This Row],[DeliveryDate]]-RawWorking[[#This Row],[ShipDate]])</f>
        <v>2</v>
      </c>
      <c r="M2290" s="9">
        <f>IF(COUNTIF(INDEX(RawWorking[OrderID],1):RawWorking[[#This Row],[OrderID]],RawWorking[[#This Row],[OrderID]])=1,1,0)</f>
        <v>1</v>
      </c>
      <c r="N2290" s="4">
        <f>IFERROR(RawWorking[[#This Row],[LineAmount]]/RawWorking[[#This Row],[Quantity]],"")</f>
        <v>203.04</v>
      </c>
    </row>
    <row r="2291" spans="1:14">
      <c r="A2291">
        <v>52290</v>
      </c>
      <c r="B2291">
        <v>31326</v>
      </c>
      <c r="C2291" s="2">
        <v>45763</v>
      </c>
      <c r="D2291">
        <v>2158</v>
      </c>
      <c r="E2291">
        <v>1016</v>
      </c>
      <c r="F2291">
        <v>1</v>
      </c>
      <c r="G2291">
        <v>65.260000000000005</v>
      </c>
      <c r="H2291" s="2">
        <v>45764</v>
      </c>
      <c r="I2291" s="2">
        <v>45765</v>
      </c>
      <c r="J2291" t="s">
        <v>9</v>
      </c>
      <c r="K2291" s="2" t="str">
        <f>IFERROR(INDEX(Product_lookup[Category],MATCH(RawWorking[[#This Row],[ProductID]],Product_lookup[ProductID],0)),"")</f>
        <v>Sports</v>
      </c>
      <c r="L2291" s="9">
        <f>IF(OR(RawWorking[[#This Row],[ShipDate]]="",RawWorking[[#This Row],[DeliveryDate]]=""),"",RawWorking[[#This Row],[DeliveryDate]]-RawWorking[[#This Row],[ShipDate]])</f>
        <v>1</v>
      </c>
      <c r="M2291" s="9">
        <f>IF(COUNTIF(INDEX(RawWorking[OrderID],1):RawWorking[[#This Row],[OrderID]],RawWorking[[#This Row],[OrderID]])=1,1,0)</f>
        <v>1</v>
      </c>
      <c r="N2291" s="4">
        <f>IFERROR(RawWorking[[#This Row],[LineAmount]]/RawWorking[[#This Row],[Quantity]],"")</f>
        <v>65.260000000000005</v>
      </c>
    </row>
    <row r="2292" spans="1:14">
      <c r="A2292">
        <v>52291</v>
      </c>
      <c r="B2292">
        <v>31326</v>
      </c>
      <c r="C2292" s="2">
        <v>45763</v>
      </c>
      <c r="D2292">
        <v>2158</v>
      </c>
      <c r="E2292">
        <v>1004</v>
      </c>
      <c r="F2292">
        <v>1</v>
      </c>
      <c r="G2292">
        <v>183.74</v>
      </c>
      <c r="H2292" s="2">
        <v>45764</v>
      </c>
      <c r="I2292" s="2">
        <v>45766</v>
      </c>
      <c r="J2292" t="s">
        <v>9</v>
      </c>
      <c r="K2292" s="2" t="str">
        <f>IFERROR(INDEX(Product_lookup[Category],MATCH(RawWorking[[#This Row],[ProductID]],Product_lookup[ProductID],0)),"")</f>
        <v>Electronics</v>
      </c>
      <c r="L2292" s="9">
        <f>IF(OR(RawWorking[[#This Row],[ShipDate]]="",RawWorking[[#This Row],[DeliveryDate]]=""),"",RawWorking[[#This Row],[DeliveryDate]]-RawWorking[[#This Row],[ShipDate]])</f>
        <v>2</v>
      </c>
      <c r="M2292" s="9">
        <f>IF(COUNTIF(INDEX(RawWorking[OrderID],1):RawWorking[[#This Row],[OrderID]],RawWorking[[#This Row],[OrderID]])=1,1,0)</f>
        <v>0</v>
      </c>
      <c r="N2292" s="4">
        <f>IFERROR(RawWorking[[#This Row],[LineAmount]]/RawWorking[[#This Row],[Quantity]],"")</f>
        <v>183.74</v>
      </c>
    </row>
    <row r="2293" spans="1:14">
      <c r="A2293">
        <v>52292</v>
      </c>
      <c r="B2293">
        <v>31327</v>
      </c>
      <c r="C2293" s="2">
        <v>45966</v>
      </c>
      <c r="D2293">
        <v>2295</v>
      </c>
      <c r="E2293">
        <v>1016</v>
      </c>
      <c r="F2293">
        <v>2</v>
      </c>
      <c r="G2293">
        <v>130.52000000000001</v>
      </c>
      <c r="H2293" s="2">
        <v>45968</v>
      </c>
      <c r="I2293" s="2">
        <v>45972</v>
      </c>
      <c r="J2293" t="s">
        <v>9</v>
      </c>
      <c r="K2293" s="2" t="str">
        <f>IFERROR(INDEX(Product_lookup[Category],MATCH(RawWorking[[#This Row],[ProductID]],Product_lookup[ProductID],0)),"")</f>
        <v>Sports</v>
      </c>
      <c r="L2293" s="9">
        <f>IF(OR(RawWorking[[#This Row],[ShipDate]]="",RawWorking[[#This Row],[DeliveryDate]]=""),"",RawWorking[[#This Row],[DeliveryDate]]-RawWorking[[#This Row],[ShipDate]])</f>
        <v>4</v>
      </c>
      <c r="M2293" s="9">
        <f>IF(COUNTIF(INDEX(RawWorking[OrderID],1):RawWorking[[#This Row],[OrderID]],RawWorking[[#This Row],[OrderID]])=1,1,0)</f>
        <v>1</v>
      </c>
      <c r="N2293" s="4">
        <f>IFERROR(RawWorking[[#This Row],[LineAmount]]/RawWorking[[#This Row],[Quantity]],"")</f>
        <v>65.260000000000005</v>
      </c>
    </row>
    <row r="2294" spans="1:14">
      <c r="A2294">
        <v>52293</v>
      </c>
      <c r="B2294">
        <v>31328</v>
      </c>
      <c r="C2294" s="2">
        <v>45888</v>
      </c>
      <c r="D2294">
        <v>2251</v>
      </c>
      <c r="E2294">
        <v>1009</v>
      </c>
      <c r="F2294">
        <v>1</v>
      </c>
      <c r="G2294">
        <v>40.28</v>
      </c>
      <c r="H2294" s="2">
        <v>45890</v>
      </c>
      <c r="I2294" s="2">
        <v>45897</v>
      </c>
      <c r="J2294" t="s">
        <v>9</v>
      </c>
      <c r="K2294" s="2" t="str">
        <f>IFERROR(INDEX(Product_lookup[Category],MATCH(RawWorking[[#This Row],[ProductID]],Product_lookup[ProductID],0)),"")</f>
        <v>Home</v>
      </c>
      <c r="L2294" s="9">
        <f>IF(OR(RawWorking[[#This Row],[ShipDate]]="",RawWorking[[#This Row],[DeliveryDate]]=""),"",RawWorking[[#This Row],[DeliveryDate]]-RawWorking[[#This Row],[ShipDate]])</f>
        <v>7</v>
      </c>
      <c r="M2294" s="9">
        <f>IF(COUNTIF(INDEX(RawWorking[OrderID],1):RawWorking[[#This Row],[OrderID]],RawWorking[[#This Row],[OrderID]])=1,1,0)</f>
        <v>1</v>
      </c>
      <c r="N2294" s="4">
        <f>IFERROR(RawWorking[[#This Row],[LineAmount]]/RawWorking[[#This Row],[Quantity]],"")</f>
        <v>40.28</v>
      </c>
    </row>
    <row r="2295" spans="1:14">
      <c r="A2295">
        <v>52294</v>
      </c>
      <c r="B2295">
        <v>31329</v>
      </c>
      <c r="C2295" s="2">
        <v>45852</v>
      </c>
      <c r="D2295">
        <v>2505</v>
      </c>
      <c r="E2295">
        <v>1003</v>
      </c>
      <c r="F2295">
        <v>1</v>
      </c>
      <c r="G2295">
        <v>224.37</v>
      </c>
      <c r="H2295" s="2">
        <v>45854</v>
      </c>
      <c r="I2295" s="2">
        <v>45859</v>
      </c>
      <c r="J2295" t="s">
        <v>11</v>
      </c>
      <c r="K2295" s="2" t="str">
        <f>IFERROR(INDEX(Product_lookup[Category],MATCH(RawWorking[[#This Row],[ProductID]],Product_lookup[ProductID],0)),"")</f>
        <v>Electronics</v>
      </c>
      <c r="L2295" s="9">
        <f>IF(OR(RawWorking[[#This Row],[ShipDate]]="",RawWorking[[#This Row],[DeliveryDate]]=""),"",RawWorking[[#This Row],[DeliveryDate]]-RawWorking[[#This Row],[ShipDate]])</f>
        <v>5</v>
      </c>
      <c r="M2295" s="9">
        <f>IF(COUNTIF(INDEX(RawWorking[OrderID],1):RawWorking[[#This Row],[OrderID]],RawWorking[[#This Row],[OrderID]])=1,1,0)</f>
        <v>1</v>
      </c>
      <c r="N2295" s="4">
        <f>IFERROR(RawWorking[[#This Row],[LineAmount]]/RawWorking[[#This Row],[Quantity]],"")</f>
        <v>224.37</v>
      </c>
    </row>
    <row r="2296" spans="1:14">
      <c r="A2296">
        <v>52295</v>
      </c>
      <c r="B2296">
        <v>31329</v>
      </c>
      <c r="C2296" s="2">
        <v>45852</v>
      </c>
      <c r="D2296">
        <v>2505</v>
      </c>
      <c r="E2296">
        <v>1012</v>
      </c>
      <c r="F2296">
        <v>1</v>
      </c>
      <c r="G2296">
        <v>241.54</v>
      </c>
      <c r="H2296" s="2">
        <v>45855</v>
      </c>
      <c r="I2296" s="2">
        <v>45858</v>
      </c>
      <c r="J2296" t="s">
        <v>11</v>
      </c>
      <c r="K2296" s="2" t="str">
        <f>IFERROR(INDEX(Product_lookup[Category],MATCH(RawWorking[[#This Row],[ProductID]],Product_lookup[ProductID],0)),"")</f>
        <v>Office</v>
      </c>
      <c r="L2296" s="9">
        <f>IF(OR(RawWorking[[#This Row],[ShipDate]]="",RawWorking[[#This Row],[DeliveryDate]]=""),"",RawWorking[[#This Row],[DeliveryDate]]-RawWorking[[#This Row],[ShipDate]])</f>
        <v>3</v>
      </c>
      <c r="M2296" s="9">
        <f>IF(COUNTIF(INDEX(RawWorking[OrderID],1):RawWorking[[#This Row],[OrderID]],RawWorking[[#This Row],[OrderID]])=1,1,0)</f>
        <v>0</v>
      </c>
      <c r="N2296" s="4">
        <f>IFERROR(RawWorking[[#This Row],[LineAmount]]/RawWorking[[#This Row],[Quantity]],"")</f>
        <v>241.54</v>
      </c>
    </row>
    <row r="2297" spans="1:14">
      <c r="A2297">
        <v>52296</v>
      </c>
      <c r="B2297">
        <v>31330</v>
      </c>
      <c r="C2297" s="2">
        <v>45758</v>
      </c>
      <c r="D2297">
        <v>2596</v>
      </c>
      <c r="E2297">
        <v>1014</v>
      </c>
      <c r="F2297">
        <v>1</v>
      </c>
      <c r="G2297">
        <v>215.34</v>
      </c>
      <c r="H2297" s="2">
        <v>45760</v>
      </c>
      <c r="I2297" s="2">
        <v>45767</v>
      </c>
      <c r="J2297" t="s">
        <v>9</v>
      </c>
      <c r="K2297" s="2" t="str">
        <f>IFERROR(INDEX(Product_lookup[Category],MATCH(RawWorking[[#This Row],[ProductID]],Product_lookup[ProductID],0)),"")</f>
        <v>Sports</v>
      </c>
      <c r="L2297" s="9">
        <f>IF(OR(RawWorking[[#This Row],[ShipDate]]="",RawWorking[[#This Row],[DeliveryDate]]=""),"",RawWorking[[#This Row],[DeliveryDate]]-RawWorking[[#This Row],[ShipDate]])</f>
        <v>7</v>
      </c>
      <c r="M2297" s="9">
        <f>IF(COUNTIF(INDEX(RawWorking[OrderID],1):RawWorking[[#This Row],[OrderID]],RawWorking[[#This Row],[OrderID]])=1,1,0)</f>
        <v>1</v>
      </c>
      <c r="N2297" s="4">
        <f>IFERROR(RawWorking[[#This Row],[LineAmount]]/RawWorking[[#This Row],[Quantity]],"")</f>
        <v>215.34</v>
      </c>
    </row>
    <row r="2298" spans="1:14">
      <c r="A2298">
        <v>52297</v>
      </c>
      <c r="B2298">
        <v>31331</v>
      </c>
      <c r="C2298" s="2">
        <v>45699</v>
      </c>
      <c r="D2298">
        <v>2265</v>
      </c>
      <c r="E2298">
        <v>1016</v>
      </c>
      <c r="F2298">
        <v>1</v>
      </c>
      <c r="G2298">
        <v>65.260000000000005</v>
      </c>
      <c r="H2298" s="2">
        <v>45700</v>
      </c>
      <c r="I2298" s="2">
        <v>45705</v>
      </c>
      <c r="J2298" t="s">
        <v>9</v>
      </c>
      <c r="K2298" s="2" t="str">
        <f>IFERROR(INDEX(Product_lookup[Category],MATCH(RawWorking[[#This Row],[ProductID]],Product_lookup[ProductID],0)),"")</f>
        <v>Sports</v>
      </c>
      <c r="L2298" s="9">
        <f>IF(OR(RawWorking[[#This Row],[ShipDate]]="",RawWorking[[#This Row],[DeliveryDate]]=""),"",RawWorking[[#This Row],[DeliveryDate]]-RawWorking[[#This Row],[ShipDate]])</f>
        <v>5</v>
      </c>
      <c r="M2298" s="9">
        <f>IF(COUNTIF(INDEX(RawWorking[OrderID],1):RawWorking[[#This Row],[OrderID]],RawWorking[[#This Row],[OrderID]])=1,1,0)</f>
        <v>1</v>
      </c>
      <c r="N2298" s="4">
        <f>IFERROR(RawWorking[[#This Row],[LineAmount]]/RawWorking[[#This Row],[Quantity]],"")</f>
        <v>65.260000000000005</v>
      </c>
    </row>
    <row r="2299" spans="1:14">
      <c r="A2299">
        <v>52298</v>
      </c>
      <c r="B2299">
        <v>31332</v>
      </c>
      <c r="C2299" s="2">
        <v>45829</v>
      </c>
      <c r="D2299">
        <v>2123</v>
      </c>
      <c r="E2299">
        <v>1001</v>
      </c>
      <c r="F2299">
        <v>1</v>
      </c>
      <c r="G2299">
        <v>203.04</v>
      </c>
      <c r="H2299" s="2">
        <v>45831</v>
      </c>
      <c r="I2299" s="2">
        <v>45841</v>
      </c>
      <c r="J2299" t="s">
        <v>9</v>
      </c>
      <c r="K2299" s="2" t="str">
        <f>IFERROR(INDEX(Product_lookup[Category],MATCH(RawWorking[[#This Row],[ProductID]],Product_lookup[ProductID],0)),"")</f>
        <v>Electronics</v>
      </c>
      <c r="L2299" s="9">
        <f>IF(OR(RawWorking[[#This Row],[ShipDate]]="",RawWorking[[#This Row],[DeliveryDate]]=""),"",RawWorking[[#This Row],[DeliveryDate]]-RawWorking[[#This Row],[ShipDate]])</f>
        <v>10</v>
      </c>
      <c r="M2299" s="9">
        <f>IF(COUNTIF(INDEX(RawWorking[OrderID],1):RawWorking[[#This Row],[OrderID]],RawWorking[[#This Row],[OrderID]])=1,1,0)</f>
        <v>1</v>
      </c>
      <c r="N2299" s="4">
        <f>IFERROR(RawWorking[[#This Row],[LineAmount]]/RawWorking[[#This Row],[Quantity]],"")</f>
        <v>203.04</v>
      </c>
    </row>
    <row r="2300" spans="1:14">
      <c r="A2300">
        <v>52299</v>
      </c>
      <c r="B2300">
        <v>31332</v>
      </c>
      <c r="C2300" s="2">
        <v>45829</v>
      </c>
      <c r="D2300">
        <v>2123</v>
      </c>
      <c r="E2300">
        <v>1009</v>
      </c>
      <c r="F2300">
        <v>1</v>
      </c>
      <c r="G2300">
        <v>40.28</v>
      </c>
      <c r="H2300" s="2">
        <v>45832</v>
      </c>
      <c r="I2300" s="2">
        <v>45837</v>
      </c>
      <c r="J2300" t="s">
        <v>9</v>
      </c>
      <c r="K2300" s="2" t="str">
        <f>IFERROR(INDEX(Product_lookup[Category],MATCH(RawWorking[[#This Row],[ProductID]],Product_lookup[ProductID],0)),"")</f>
        <v>Home</v>
      </c>
      <c r="L2300" s="9">
        <f>IF(OR(RawWorking[[#This Row],[ShipDate]]="",RawWorking[[#This Row],[DeliveryDate]]=""),"",RawWorking[[#This Row],[DeliveryDate]]-RawWorking[[#This Row],[ShipDate]])</f>
        <v>5</v>
      </c>
      <c r="M2300" s="9">
        <f>IF(COUNTIF(INDEX(RawWorking[OrderID],1):RawWorking[[#This Row],[OrderID]],RawWorking[[#This Row],[OrderID]])=1,1,0)</f>
        <v>0</v>
      </c>
      <c r="N2300" s="4">
        <f>IFERROR(RawWorking[[#This Row],[LineAmount]]/RawWorking[[#This Row],[Quantity]],"")</f>
        <v>40.28</v>
      </c>
    </row>
    <row r="2301" spans="1:14">
      <c r="A2301">
        <v>52300</v>
      </c>
      <c r="B2301">
        <v>31332</v>
      </c>
      <c r="C2301" s="2">
        <v>45829</v>
      </c>
      <c r="D2301">
        <v>2123</v>
      </c>
      <c r="E2301">
        <v>1006</v>
      </c>
      <c r="F2301">
        <v>1</v>
      </c>
      <c r="G2301">
        <v>253.86</v>
      </c>
      <c r="H2301" s="2">
        <v>45831</v>
      </c>
      <c r="I2301" s="2">
        <v>45838</v>
      </c>
      <c r="J2301" t="s">
        <v>9</v>
      </c>
      <c r="K2301" s="2" t="str">
        <f>IFERROR(INDEX(Product_lookup[Category],MATCH(RawWorking[[#This Row],[ProductID]],Product_lookup[ProductID],0)),"")</f>
        <v>Home</v>
      </c>
      <c r="L2301" s="9">
        <f>IF(OR(RawWorking[[#This Row],[ShipDate]]="",RawWorking[[#This Row],[DeliveryDate]]=""),"",RawWorking[[#This Row],[DeliveryDate]]-RawWorking[[#This Row],[ShipDate]])</f>
        <v>7</v>
      </c>
      <c r="M2301" s="9">
        <f>IF(COUNTIF(INDEX(RawWorking[OrderID],1):RawWorking[[#This Row],[OrderID]],RawWorking[[#This Row],[OrderID]])=1,1,0)</f>
        <v>0</v>
      </c>
      <c r="N2301" s="4">
        <f>IFERROR(RawWorking[[#This Row],[LineAmount]]/RawWorking[[#This Row],[Quantity]],"")</f>
        <v>253.86</v>
      </c>
    </row>
    <row r="2302" spans="1:14">
      <c r="A2302">
        <v>52301</v>
      </c>
      <c r="B2302">
        <v>31333</v>
      </c>
      <c r="C2302" s="2">
        <v>45811</v>
      </c>
      <c r="D2302">
        <v>2596</v>
      </c>
      <c r="E2302">
        <v>1011</v>
      </c>
      <c r="F2302">
        <v>3</v>
      </c>
      <c r="G2302">
        <v>304.32</v>
      </c>
      <c r="H2302" s="2">
        <v>45813</v>
      </c>
      <c r="I2302" s="2">
        <v>45819</v>
      </c>
      <c r="J2302" t="s">
        <v>9</v>
      </c>
      <c r="K2302" s="2" t="str">
        <f>IFERROR(INDEX(Product_lookup[Category],MATCH(RawWorking[[#This Row],[ProductID]],Product_lookup[ProductID],0)),"")</f>
        <v>Office</v>
      </c>
      <c r="L2302" s="9">
        <f>IF(OR(RawWorking[[#This Row],[ShipDate]]="",RawWorking[[#This Row],[DeliveryDate]]=""),"",RawWorking[[#This Row],[DeliveryDate]]-RawWorking[[#This Row],[ShipDate]])</f>
        <v>6</v>
      </c>
      <c r="M2302" s="9">
        <f>IF(COUNTIF(INDEX(RawWorking[OrderID],1):RawWorking[[#This Row],[OrderID]],RawWorking[[#This Row],[OrderID]])=1,1,0)</f>
        <v>1</v>
      </c>
      <c r="N2302" s="4">
        <f>IFERROR(RawWorking[[#This Row],[LineAmount]]/RawWorking[[#This Row],[Quantity]],"")</f>
        <v>101.44</v>
      </c>
    </row>
    <row r="2303" spans="1:14">
      <c r="A2303">
        <v>52302</v>
      </c>
      <c r="B2303">
        <v>31333</v>
      </c>
      <c r="C2303" s="2">
        <v>45722</v>
      </c>
      <c r="D2303">
        <v>2596</v>
      </c>
      <c r="E2303">
        <v>1015</v>
      </c>
      <c r="F2303">
        <v>2</v>
      </c>
      <c r="G2303">
        <v>239.48</v>
      </c>
      <c r="H2303" s="2">
        <v>45753</v>
      </c>
      <c r="I2303" s="2">
        <v>45814</v>
      </c>
      <c r="J2303" t="s">
        <v>9</v>
      </c>
      <c r="K2303" s="2" t="str">
        <f>IFERROR(INDEX(Product_lookup[Category],MATCH(RawWorking[[#This Row],[ProductID]],Product_lookup[ProductID],0)),"")</f>
        <v>Sports</v>
      </c>
      <c r="L2303" s="9">
        <f>IF(OR(RawWorking[[#This Row],[ShipDate]]="",RawWorking[[#This Row],[DeliveryDate]]=""),"",RawWorking[[#This Row],[DeliveryDate]]-RawWorking[[#This Row],[ShipDate]])</f>
        <v>61</v>
      </c>
      <c r="M2303" s="9">
        <f>IF(COUNTIF(INDEX(RawWorking[OrderID],1):RawWorking[[#This Row],[OrderID]],RawWorking[[#This Row],[OrderID]])=1,1,0)</f>
        <v>0</v>
      </c>
      <c r="N2303" s="4">
        <f>IFERROR(RawWorking[[#This Row],[LineAmount]]/RawWorking[[#This Row],[Quantity]],"")</f>
        <v>119.74</v>
      </c>
    </row>
    <row r="2304" spans="1:14">
      <c r="A2304">
        <v>52303</v>
      </c>
      <c r="B2304">
        <v>31334</v>
      </c>
      <c r="C2304" s="2">
        <v>45813</v>
      </c>
      <c r="D2304">
        <v>2139</v>
      </c>
      <c r="E2304">
        <v>1002</v>
      </c>
      <c r="F2304">
        <v>1</v>
      </c>
      <c r="G2304">
        <v>118.6</v>
      </c>
      <c r="H2304" s="2">
        <v>45814</v>
      </c>
      <c r="I2304" s="2">
        <v>45997</v>
      </c>
      <c r="J2304" t="s">
        <v>9</v>
      </c>
      <c r="K2304" s="2" t="str">
        <f>IFERROR(INDEX(Product_lookup[Category],MATCH(RawWorking[[#This Row],[ProductID]],Product_lookup[ProductID],0)),"")</f>
        <v>Electronics</v>
      </c>
      <c r="L2304" s="9">
        <f>IF(OR(RawWorking[[#This Row],[ShipDate]]="",RawWorking[[#This Row],[DeliveryDate]]=""),"",RawWorking[[#This Row],[DeliveryDate]]-RawWorking[[#This Row],[ShipDate]])</f>
        <v>183</v>
      </c>
      <c r="M2304" s="9">
        <f>IF(COUNTIF(INDEX(RawWorking[OrderID],1):RawWorking[[#This Row],[OrderID]],RawWorking[[#This Row],[OrderID]])=1,1,0)</f>
        <v>1</v>
      </c>
      <c r="N2304" s="4">
        <f>IFERROR(RawWorking[[#This Row],[LineAmount]]/RawWorking[[#This Row],[Quantity]],"")</f>
        <v>118.6</v>
      </c>
    </row>
    <row r="2305" spans="1:14">
      <c r="A2305">
        <v>52304</v>
      </c>
      <c r="B2305">
        <v>31334</v>
      </c>
      <c r="C2305" s="2">
        <v>45783</v>
      </c>
      <c r="D2305">
        <v>2139</v>
      </c>
      <c r="E2305">
        <v>1009</v>
      </c>
      <c r="F2305">
        <v>4</v>
      </c>
      <c r="G2305">
        <v>161.12</v>
      </c>
      <c r="H2305" s="2">
        <v>45814</v>
      </c>
      <c r="I2305" s="2">
        <v>45821</v>
      </c>
      <c r="J2305" t="s">
        <v>9</v>
      </c>
      <c r="K2305" s="2" t="str">
        <f>IFERROR(INDEX(Product_lookup[Category],MATCH(RawWorking[[#This Row],[ProductID]],Product_lookup[ProductID],0)),"")</f>
        <v>Home</v>
      </c>
      <c r="L2305" s="9">
        <f>IF(OR(RawWorking[[#This Row],[ShipDate]]="",RawWorking[[#This Row],[DeliveryDate]]=""),"",RawWorking[[#This Row],[DeliveryDate]]-RawWorking[[#This Row],[ShipDate]])</f>
        <v>7</v>
      </c>
      <c r="M2305" s="9">
        <f>IF(COUNTIF(INDEX(RawWorking[OrderID],1):RawWorking[[#This Row],[OrderID]],RawWorking[[#This Row],[OrderID]])=1,1,0)</f>
        <v>0</v>
      </c>
      <c r="N2305" s="4">
        <f>IFERROR(RawWorking[[#This Row],[LineAmount]]/RawWorking[[#This Row],[Quantity]],"")</f>
        <v>40.28</v>
      </c>
    </row>
    <row r="2306" spans="1:14">
      <c r="A2306">
        <v>52305</v>
      </c>
      <c r="B2306">
        <v>31335</v>
      </c>
      <c r="C2306" s="2">
        <v>46009</v>
      </c>
      <c r="D2306">
        <v>2370</v>
      </c>
      <c r="E2306">
        <v>1012</v>
      </c>
      <c r="F2306">
        <v>1</v>
      </c>
      <c r="G2306">
        <v>241.54</v>
      </c>
      <c r="H2306" s="2">
        <v>46010</v>
      </c>
      <c r="I2306" s="2">
        <v>46019</v>
      </c>
      <c r="J2306" t="s">
        <v>9</v>
      </c>
      <c r="K2306" s="2" t="str">
        <f>IFERROR(INDEX(Product_lookup[Category],MATCH(RawWorking[[#This Row],[ProductID]],Product_lookup[ProductID],0)),"")</f>
        <v>Office</v>
      </c>
      <c r="L2306" s="9">
        <f>IF(OR(RawWorking[[#This Row],[ShipDate]]="",RawWorking[[#This Row],[DeliveryDate]]=""),"",RawWorking[[#This Row],[DeliveryDate]]-RawWorking[[#This Row],[ShipDate]])</f>
        <v>9</v>
      </c>
      <c r="M2306" s="9">
        <f>IF(COUNTIF(INDEX(RawWorking[OrderID],1):RawWorking[[#This Row],[OrderID]],RawWorking[[#This Row],[OrderID]])=1,1,0)</f>
        <v>1</v>
      </c>
      <c r="N2306" s="4">
        <f>IFERROR(RawWorking[[#This Row],[LineAmount]]/RawWorking[[#This Row],[Quantity]],"")</f>
        <v>241.54</v>
      </c>
    </row>
    <row r="2307" spans="1:14">
      <c r="A2307">
        <v>52306</v>
      </c>
      <c r="B2307">
        <v>31335</v>
      </c>
      <c r="C2307" s="2">
        <v>46009</v>
      </c>
      <c r="D2307">
        <v>2370</v>
      </c>
      <c r="E2307">
        <v>1002</v>
      </c>
      <c r="F2307">
        <v>1</v>
      </c>
      <c r="G2307">
        <v>118.6</v>
      </c>
      <c r="H2307" s="2">
        <v>46011</v>
      </c>
      <c r="I2307" s="2">
        <v>46016</v>
      </c>
      <c r="J2307" t="s">
        <v>9</v>
      </c>
      <c r="K2307" s="2" t="str">
        <f>IFERROR(INDEX(Product_lookup[Category],MATCH(RawWorking[[#This Row],[ProductID]],Product_lookup[ProductID],0)),"")</f>
        <v>Electronics</v>
      </c>
      <c r="L2307" s="9">
        <f>IF(OR(RawWorking[[#This Row],[ShipDate]]="",RawWorking[[#This Row],[DeliveryDate]]=""),"",RawWorking[[#This Row],[DeliveryDate]]-RawWorking[[#This Row],[ShipDate]])</f>
        <v>5</v>
      </c>
      <c r="M2307" s="9">
        <f>IF(COUNTIF(INDEX(RawWorking[OrderID],1):RawWorking[[#This Row],[OrderID]],RawWorking[[#This Row],[OrderID]])=1,1,0)</f>
        <v>0</v>
      </c>
      <c r="N2307" s="4">
        <f>IFERROR(RawWorking[[#This Row],[LineAmount]]/RawWorking[[#This Row],[Quantity]],"")</f>
        <v>118.6</v>
      </c>
    </row>
    <row r="2308" spans="1:14">
      <c r="A2308">
        <v>52307</v>
      </c>
      <c r="B2308">
        <v>31336</v>
      </c>
      <c r="C2308" s="2">
        <v>45772</v>
      </c>
      <c r="D2308">
        <v>2297</v>
      </c>
      <c r="E2308">
        <v>1003</v>
      </c>
      <c r="F2308">
        <v>3</v>
      </c>
      <c r="G2308">
        <v>673.11</v>
      </c>
      <c r="H2308" s="2">
        <v>45774</v>
      </c>
      <c r="I2308" s="2">
        <v>45784</v>
      </c>
      <c r="J2308" t="s">
        <v>9</v>
      </c>
      <c r="K2308" s="2" t="str">
        <f>IFERROR(INDEX(Product_lookup[Category],MATCH(RawWorking[[#This Row],[ProductID]],Product_lookup[ProductID],0)),"")</f>
        <v>Electronics</v>
      </c>
      <c r="L2308" s="9">
        <f>IF(OR(RawWorking[[#This Row],[ShipDate]]="",RawWorking[[#This Row],[DeliveryDate]]=""),"",RawWorking[[#This Row],[DeliveryDate]]-RawWorking[[#This Row],[ShipDate]])</f>
        <v>10</v>
      </c>
      <c r="M2308" s="9">
        <f>IF(COUNTIF(INDEX(RawWorking[OrderID],1):RawWorking[[#This Row],[OrderID]],RawWorking[[#This Row],[OrderID]])=1,1,0)</f>
        <v>1</v>
      </c>
      <c r="N2308" s="4">
        <f>IFERROR(RawWorking[[#This Row],[LineAmount]]/RawWorking[[#This Row],[Quantity]],"")</f>
        <v>224.37</v>
      </c>
    </row>
    <row r="2309" spans="1:14">
      <c r="A2309">
        <v>52308</v>
      </c>
      <c r="B2309">
        <v>31336</v>
      </c>
      <c r="C2309" s="2">
        <v>45772</v>
      </c>
      <c r="D2309">
        <v>2297</v>
      </c>
      <c r="E2309">
        <v>1007</v>
      </c>
      <c r="F2309">
        <v>1</v>
      </c>
      <c r="G2309">
        <v>199.81</v>
      </c>
      <c r="H2309" s="2">
        <v>45774</v>
      </c>
      <c r="I2309" s="2">
        <v>45784</v>
      </c>
      <c r="J2309" t="s">
        <v>9</v>
      </c>
      <c r="K2309" s="2" t="str">
        <f>IFERROR(INDEX(Product_lookup[Category],MATCH(RawWorking[[#This Row],[ProductID]],Product_lookup[ProductID],0)),"")</f>
        <v>Home</v>
      </c>
      <c r="L2309" s="9">
        <f>IF(OR(RawWorking[[#This Row],[ShipDate]]="",RawWorking[[#This Row],[DeliveryDate]]=""),"",RawWorking[[#This Row],[DeliveryDate]]-RawWorking[[#This Row],[ShipDate]])</f>
        <v>10</v>
      </c>
      <c r="M2309" s="9">
        <f>IF(COUNTIF(INDEX(RawWorking[OrderID],1):RawWorking[[#This Row],[OrderID]],RawWorking[[#This Row],[OrderID]])=1,1,0)</f>
        <v>0</v>
      </c>
      <c r="N2309" s="4">
        <f>IFERROR(RawWorking[[#This Row],[LineAmount]]/RawWorking[[#This Row],[Quantity]],"")</f>
        <v>199.81</v>
      </c>
    </row>
    <row r="2310" spans="1:14">
      <c r="A2310">
        <v>52309</v>
      </c>
      <c r="B2310">
        <v>31336</v>
      </c>
      <c r="C2310" s="2">
        <v>45772</v>
      </c>
      <c r="D2310">
        <v>2297</v>
      </c>
      <c r="E2310">
        <v>1006</v>
      </c>
      <c r="F2310">
        <v>1</v>
      </c>
      <c r="G2310">
        <v>253.86</v>
      </c>
      <c r="H2310" s="2">
        <v>45774</v>
      </c>
      <c r="I2310" s="2">
        <v>45775</v>
      </c>
      <c r="J2310" t="s">
        <v>9</v>
      </c>
      <c r="K2310" s="2" t="str">
        <f>IFERROR(INDEX(Product_lookup[Category],MATCH(RawWorking[[#This Row],[ProductID]],Product_lookup[ProductID],0)),"")</f>
        <v>Home</v>
      </c>
      <c r="L2310" s="9">
        <f>IF(OR(RawWorking[[#This Row],[ShipDate]]="",RawWorking[[#This Row],[DeliveryDate]]=""),"",RawWorking[[#This Row],[DeliveryDate]]-RawWorking[[#This Row],[ShipDate]])</f>
        <v>1</v>
      </c>
      <c r="M2310" s="9">
        <f>IF(COUNTIF(INDEX(RawWorking[OrderID],1):RawWorking[[#This Row],[OrderID]],RawWorking[[#This Row],[OrderID]])=1,1,0)</f>
        <v>0</v>
      </c>
      <c r="N2310" s="4">
        <f>IFERROR(RawWorking[[#This Row],[LineAmount]]/RawWorking[[#This Row],[Quantity]],"")</f>
        <v>253.86</v>
      </c>
    </row>
    <row r="2311" spans="1:14">
      <c r="A2311">
        <v>52310</v>
      </c>
      <c r="B2311">
        <v>31337</v>
      </c>
      <c r="C2311" s="2">
        <v>45980</v>
      </c>
      <c r="D2311">
        <v>2097</v>
      </c>
      <c r="E2311">
        <v>1006</v>
      </c>
      <c r="F2311">
        <v>1</v>
      </c>
      <c r="G2311">
        <v>253.86</v>
      </c>
      <c r="H2311" s="2">
        <v>45982</v>
      </c>
      <c r="I2311" s="2">
        <v>45990</v>
      </c>
      <c r="J2311" t="s">
        <v>9</v>
      </c>
      <c r="K2311" s="2" t="str">
        <f>IFERROR(INDEX(Product_lookup[Category],MATCH(RawWorking[[#This Row],[ProductID]],Product_lookup[ProductID],0)),"")</f>
        <v>Home</v>
      </c>
      <c r="L2311" s="9">
        <f>IF(OR(RawWorking[[#This Row],[ShipDate]]="",RawWorking[[#This Row],[DeliveryDate]]=""),"",RawWorking[[#This Row],[DeliveryDate]]-RawWorking[[#This Row],[ShipDate]])</f>
        <v>8</v>
      </c>
      <c r="M2311" s="9">
        <f>IF(COUNTIF(INDEX(RawWorking[OrderID],1):RawWorking[[#This Row],[OrderID]],RawWorking[[#This Row],[OrderID]])=1,1,0)</f>
        <v>1</v>
      </c>
      <c r="N2311" s="4">
        <f>IFERROR(RawWorking[[#This Row],[LineAmount]]/RawWorking[[#This Row],[Quantity]],"")</f>
        <v>253.86</v>
      </c>
    </row>
    <row r="2312" spans="1:14">
      <c r="A2312">
        <v>52311</v>
      </c>
      <c r="B2312">
        <v>31338</v>
      </c>
      <c r="C2312" s="2">
        <v>45920</v>
      </c>
      <c r="D2312">
        <v>2557</v>
      </c>
      <c r="E2312">
        <v>1011</v>
      </c>
      <c r="F2312">
        <v>1</v>
      </c>
      <c r="G2312">
        <v>101.44</v>
      </c>
      <c r="H2312" s="2">
        <v>45922</v>
      </c>
      <c r="I2312" s="2">
        <v>45924</v>
      </c>
      <c r="J2312" t="s">
        <v>9</v>
      </c>
      <c r="K2312" s="2" t="str">
        <f>IFERROR(INDEX(Product_lookup[Category],MATCH(RawWorking[[#This Row],[ProductID]],Product_lookup[ProductID],0)),"")</f>
        <v>Office</v>
      </c>
      <c r="L2312" s="9">
        <f>IF(OR(RawWorking[[#This Row],[ShipDate]]="",RawWorking[[#This Row],[DeliveryDate]]=""),"",RawWorking[[#This Row],[DeliveryDate]]-RawWorking[[#This Row],[ShipDate]])</f>
        <v>2</v>
      </c>
      <c r="M2312" s="9">
        <f>IF(COUNTIF(INDEX(RawWorking[OrderID],1):RawWorking[[#This Row],[OrderID]],RawWorking[[#This Row],[OrderID]])=1,1,0)</f>
        <v>1</v>
      </c>
      <c r="N2312" s="4">
        <f>IFERROR(RawWorking[[#This Row],[LineAmount]]/RawWorking[[#This Row],[Quantity]],"")</f>
        <v>101.44</v>
      </c>
    </row>
    <row r="2313" spans="1:14">
      <c r="A2313">
        <v>52312</v>
      </c>
      <c r="B2313">
        <v>31338</v>
      </c>
      <c r="C2313" s="2">
        <v>45920</v>
      </c>
      <c r="D2313">
        <v>2557</v>
      </c>
      <c r="E2313">
        <v>1010</v>
      </c>
      <c r="F2313">
        <v>1</v>
      </c>
      <c r="G2313">
        <v>121.5</v>
      </c>
      <c r="H2313" s="2">
        <v>45923</v>
      </c>
      <c r="I2313" s="2">
        <v>45925</v>
      </c>
      <c r="J2313" t="s">
        <v>9</v>
      </c>
      <c r="K2313" s="2" t="str">
        <f>IFERROR(INDEX(Product_lookup[Category],MATCH(RawWorking[[#This Row],[ProductID]],Product_lookup[ProductID],0)),"")</f>
        <v>Office</v>
      </c>
      <c r="L2313" s="9">
        <f>IF(OR(RawWorking[[#This Row],[ShipDate]]="",RawWorking[[#This Row],[DeliveryDate]]=""),"",RawWorking[[#This Row],[DeliveryDate]]-RawWorking[[#This Row],[ShipDate]])</f>
        <v>2</v>
      </c>
      <c r="M2313" s="9">
        <f>IF(COUNTIF(INDEX(RawWorking[OrderID],1):RawWorking[[#This Row],[OrderID]],RawWorking[[#This Row],[OrderID]])=1,1,0)</f>
        <v>0</v>
      </c>
      <c r="N2313" s="4">
        <f>IFERROR(RawWorking[[#This Row],[LineAmount]]/RawWorking[[#This Row],[Quantity]],"")</f>
        <v>121.5</v>
      </c>
    </row>
    <row r="2314" spans="1:14">
      <c r="A2314">
        <v>52313</v>
      </c>
      <c r="B2314">
        <v>31338</v>
      </c>
      <c r="C2314" s="2">
        <v>45920</v>
      </c>
      <c r="D2314">
        <v>2557</v>
      </c>
      <c r="E2314">
        <v>1009</v>
      </c>
      <c r="F2314">
        <v>1</v>
      </c>
      <c r="G2314">
        <v>40.28</v>
      </c>
      <c r="H2314" s="2">
        <v>45921</v>
      </c>
      <c r="I2314" s="2">
        <v>45922</v>
      </c>
      <c r="J2314" t="s">
        <v>9</v>
      </c>
      <c r="K2314" s="2" t="str">
        <f>IFERROR(INDEX(Product_lookup[Category],MATCH(RawWorking[[#This Row],[ProductID]],Product_lookup[ProductID],0)),"")</f>
        <v>Home</v>
      </c>
      <c r="L2314" s="9">
        <f>IF(OR(RawWorking[[#This Row],[ShipDate]]="",RawWorking[[#This Row],[DeliveryDate]]=""),"",RawWorking[[#This Row],[DeliveryDate]]-RawWorking[[#This Row],[ShipDate]])</f>
        <v>1</v>
      </c>
      <c r="M2314" s="9">
        <f>IF(COUNTIF(INDEX(RawWorking[OrderID],1):RawWorking[[#This Row],[OrderID]],RawWorking[[#This Row],[OrderID]])=1,1,0)</f>
        <v>0</v>
      </c>
      <c r="N2314" s="4">
        <f>IFERROR(RawWorking[[#This Row],[LineAmount]]/RawWorking[[#This Row],[Quantity]],"")</f>
        <v>40.28</v>
      </c>
    </row>
    <row r="2315" spans="1:14">
      <c r="A2315">
        <v>52314</v>
      </c>
      <c r="B2315">
        <v>31339</v>
      </c>
      <c r="C2315" s="2">
        <v>45738</v>
      </c>
      <c r="D2315">
        <v>2372</v>
      </c>
      <c r="E2315">
        <v>1012</v>
      </c>
      <c r="F2315">
        <v>1</v>
      </c>
      <c r="G2315">
        <v>241.54</v>
      </c>
      <c r="H2315" s="2">
        <v>45739</v>
      </c>
      <c r="I2315" s="2">
        <v>45740</v>
      </c>
      <c r="J2315" t="s">
        <v>9</v>
      </c>
      <c r="K2315" s="2" t="str">
        <f>IFERROR(INDEX(Product_lookup[Category],MATCH(RawWorking[[#This Row],[ProductID]],Product_lookup[ProductID],0)),"")</f>
        <v>Office</v>
      </c>
      <c r="L2315" s="9">
        <f>IF(OR(RawWorking[[#This Row],[ShipDate]]="",RawWorking[[#This Row],[DeliveryDate]]=""),"",RawWorking[[#This Row],[DeliveryDate]]-RawWorking[[#This Row],[ShipDate]])</f>
        <v>1</v>
      </c>
      <c r="M2315" s="9">
        <f>IF(COUNTIF(INDEX(RawWorking[OrderID],1):RawWorking[[#This Row],[OrderID]],RawWorking[[#This Row],[OrderID]])=1,1,0)</f>
        <v>1</v>
      </c>
      <c r="N2315" s="4">
        <f>IFERROR(RawWorking[[#This Row],[LineAmount]]/RawWorking[[#This Row],[Quantity]],"")</f>
        <v>241.54</v>
      </c>
    </row>
    <row r="2316" spans="1:14">
      <c r="A2316">
        <v>52315</v>
      </c>
      <c r="B2316">
        <v>31339</v>
      </c>
      <c r="C2316" s="2">
        <v>45738</v>
      </c>
      <c r="D2316">
        <v>2372</v>
      </c>
      <c r="E2316">
        <v>1005</v>
      </c>
      <c r="F2316">
        <v>2</v>
      </c>
      <c r="G2316">
        <v>63.46</v>
      </c>
      <c r="H2316" s="2">
        <v>45740</v>
      </c>
      <c r="I2316" s="2">
        <v>45743</v>
      </c>
      <c r="J2316" t="s">
        <v>9</v>
      </c>
      <c r="K2316" s="2" t="str">
        <f>IFERROR(INDEX(Product_lookup[Category],MATCH(RawWorking[[#This Row],[ProductID]],Product_lookup[ProductID],0)),"")</f>
        <v>Electronics</v>
      </c>
      <c r="L2316" s="9">
        <f>IF(OR(RawWorking[[#This Row],[ShipDate]]="",RawWorking[[#This Row],[DeliveryDate]]=""),"",RawWorking[[#This Row],[DeliveryDate]]-RawWorking[[#This Row],[ShipDate]])</f>
        <v>3</v>
      </c>
      <c r="M2316" s="9">
        <f>IF(COUNTIF(INDEX(RawWorking[OrderID],1):RawWorking[[#This Row],[OrderID]],RawWorking[[#This Row],[OrderID]])=1,1,0)</f>
        <v>0</v>
      </c>
      <c r="N2316" s="4">
        <f>IFERROR(RawWorking[[#This Row],[LineAmount]]/RawWorking[[#This Row],[Quantity]],"")</f>
        <v>31.73</v>
      </c>
    </row>
    <row r="2317" spans="1:14">
      <c r="A2317">
        <v>52316</v>
      </c>
      <c r="B2317">
        <v>31340</v>
      </c>
      <c r="C2317" s="2">
        <v>45897</v>
      </c>
      <c r="D2317">
        <v>2014</v>
      </c>
      <c r="E2317">
        <v>1010</v>
      </c>
      <c r="F2317">
        <v>1</v>
      </c>
      <c r="G2317">
        <v>121.5</v>
      </c>
      <c r="H2317" s="2">
        <v>45899</v>
      </c>
      <c r="I2317" s="2">
        <v>45903</v>
      </c>
      <c r="J2317" t="s">
        <v>9</v>
      </c>
      <c r="K2317" s="2" t="str">
        <f>IFERROR(INDEX(Product_lookup[Category],MATCH(RawWorking[[#This Row],[ProductID]],Product_lookup[ProductID],0)),"")</f>
        <v>Office</v>
      </c>
      <c r="L2317" s="9">
        <f>IF(OR(RawWorking[[#This Row],[ShipDate]]="",RawWorking[[#This Row],[DeliveryDate]]=""),"",RawWorking[[#This Row],[DeliveryDate]]-RawWorking[[#This Row],[ShipDate]])</f>
        <v>4</v>
      </c>
      <c r="M2317" s="9">
        <f>IF(COUNTIF(INDEX(RawWorking[OrderID],1):RawWorking[[#This Row],[OrderID]],RawWorking[[#This Row],[OrderID]])=1,1,0)</f>
        <v>1</v>
      </c>
      <c r="N2317" s="4">
        <f>IFERROR(RawWorking[[#This Row],[LineAmount]]/RawWorking[[#This Row],[Quantity]],"")</f>
        <v>121.5</v>
      </c>
    </row>
    <row r="2318" spans="1:14">
      <c r="A2318">
        <v>52317</v>
      </c>
      <c r="B2318">
        <v>31340</v>
      </c>
      <c r="C2318" s="2">
        <v>45897</v>
      </c>
      <c r="D2318">
        <v>2014</v>
      </c>
      <c r="E2318">
        <v>1012</v>
      </c>
      <c r="F2318">
        <v>1</v>
      </c>
      <c r="G2318">
        <v>241.54</v>
      </c>
      <c r="H2318" s="2">
        <v>45900</v>
      </c>
      <c r="I2318" s="2">
        <v>45908</v>
      </c>
      <c r="J2318" t="s">
        <v>9</v>
      </c>
      <c r="K2318" s="2" t="str">
        <f>IFERROR(INDEX(Product_lookup[Category],MATCH(RawWorking[[#This Row],[ProductID]],Product_lookup[ProductID],0)),"")</f>
        <v>Office</v>
      </c>
      <c r="L2318" s="9">
        <f>IF(OR(RawWorking[[#This Row],[ShipDate]]="",RawWorking[[#This Row],[DeliveryDate]]=""),"",RawWorking[[#This Row],[DeliveryDate]]-RawWorking[[#This Row],[ShipDate]])</f>
        <v>8</v>
      </c>
      <c r="M2318" s="9">
        <f>IF(COUNTIF(INDEX(RawWorking[OrderID],1):RawWorking[[#This Row],[OrderID]],RawWorking[[#This Row],[OrderID]])=1,1,0)</f>
        <v>0</v>
      </c>
      <c r="N2318" s="4">
        <f>IFERROR(RawWorking[[#This Row],[LineAmount]]/RawWorking[[#This Row],[Quantity]],"")</f>
        <v>241.54</v>
      </c>
    </row>
    <row r="2319" spans="1:14">
      <c r="A2319">
        <v>52318</v>
      </c>
      <c r="B2319">
        <v>31341</v>
      </c>
      <c r="C2319" s="2">
        <v>45800</v>
      </c>
      <c r="D2319">
        <v>2497</v>
      </c>
      <c r="E2319">
        <v>1006</v>
      </c>
      <c r="F2319">
        <v>3</v>
      </c>
      <c r="G2319">
        <v>761.58</v>
      </c>
      <c r="H2319" s="2">
        <v>45801</v>
      </c>
      <c r="I2319" s="2">
        <v>45807</v>
      </c>
      <c r="J2319" t="s">
        <v>9</v>
      </c>
      <c r="K2319" s="2" t="str">
        <f>IFERROR(INDEX(Product_lookup[Category],MATCH(RawWorking[[#This Row],[ProductID]],Product_lookup[ProductID],0)),"")</f>
        <v>Home</v>
      </c>
      <c r="L2319" s="9">
        <f>IF(OR(RawWorking[[#This Row],[ShipDate]]="",RawWorking[[#This Row],[DeliveryDate]]=""),"",RawWorking[[#This Row],[DeliveryDate]]-RawWorking[[#This Row],[ShipDate]])</f>
        <v>6</v>
      </c>
      <c r="M2319" s="9">
        <f>IF(COUNTIF(INDEX(RawWorking[OrderID],1):RawWorking[[#This Row],[OrderID]],RawWorking[[#This Row],[OrderID]])=1,1,0)</f>
        <v>1</v>
      </c>
      <c r="N2319" s="4">
        <f>IFERROR(RawWorking[[#This Row],[LineAmount]]/RawWorking[[#This Row],[Quantity]],"")</f>
        <v>253.86</v>
      </c>
    </row>
    <row r="2320" spans="1:14">
      <c r="A2320">
        <v>52319</v>
      </c>
      <c r="B2320">
        <v>31342</v>
      </c>
      <c r="C2320" s="2">
        <v>45942</v>
      </c>
      <c r="D2320">
        <v>2105</v>
      </c>
      <c r="E2320">
        <v>1008</v>
      </c>
      <c r="F2320">
        <v>1</v>
      </c>
      <c r="G2320">
        <v>206.09</v>
      </c>
      <c r="H2320" s="2">
        <v>45944</v>
      </c>
      <c r="I2320" s="2">
        <v>45948</v>
      </c>
      <c r="J2320" t="s">
        <v>9</v>
      </c>
      <c r="K2320" s="2" t="str">
        <f>IFERROR(INDEX(Product_lookup[Category],MATCH(RawWorking[[#This Row],[ProductID]],Product_lookup[ProductID],0)),"")</f>
        <v>Home</v>
      </c>
      <c r="L2320" s="9">
        <f>IF(OR(RawWorking[[#This Row],[ShipDate]]="",RawWorking[[#This Row],[DeliveryDate]]=""),"",RawWorking[[#This Row],[DeliveryDate]]-RawWorking[[#This Row],[ShipDate]])</f>
        <v>4</v>
      </c>
      <c r="M2320" s="9">
        <f>IF(COUNTIF(INDEX(RawWorking[OrderID],1):RawWorking[[#This Row],[OrderID]],RawWorking[[#This Row],[OrderID]])=1,1,0)</f>
        <v>1</v>
      </c>
      <c r="N2320" s="4">
        <f>IFERROR(RawWorking[[#This Row],[LineAmount]]/RawWorking[[#This Row],[Quantity]],"")</f>
        <v>206.09</v>
      </c>
    </row>
    <row r="2321" spans="1:14">
      <c r="A2321">
        <v>52320</v>
      </c>
      <c r="B2321">
        <v>31342</v>
      </c>
      <c r="C2321" s="2">
        <v>45942</v>
      </c>
      <c r="D2321">
        <v>2105</v>
      </c>
      <c r="E2321">
        <v>1007</v>
      </c>
      <c r="F2321">
        <v>2</v>
      </c>
      <c r="G2321">
        <v>399.62</v>
      </c>
      <c r="H2321" s="2">
        <v>45945</v>
      </c>
      <c r="I2321" s="2">
        <v>45955</v>
      </c>
      <c r="J2321" t="s">
        <v>9</v>
      </c>
      <c r="K2321" s="2" t="str">
        <f>IFERROR(INDEX(Product_lookup[Category],MATCH(RawWorking[[#This Row],[ProductID]],Product_lookup[ProductID],0)),"")</f>
        <v>Home</v>
      </c>
      <c r="L2321" s="9">
        <f>IF(OR(RawWorking[[#This Row],[ShipDate]]="",RawWorking[[#This Row],[DeliveryDate]]=""),"",RawWorking[[#This Row],[DeliveryDate]]-RawWorking[[#This Row],[ShipDate]])</f>
        <v>10</v>
      </c>
      <c r="M2321" s="9">
        <f>IF(COUNTIF(INDEX(RawWorking[OrderID],1):RawWorking[[#This Row],[OrderID]],RawWorking[[#This Row],[OrderID]])=1,1,0)</f>
        <v>0</v>
      </c>
      <c r="N2321" s="4">
        <f>IFERROR(RawWorking[[#This Row],[LineAmount]]/RawWorking[[#This Row],[Quantity]],"")</f>
        <v>199.81</v>
      </c>
    </row>
    <row r="2322" spans="1:14">
      <c r="A2322">
        <v>52321</v>
      </c>
      <c r="B2322">
        <v>31342</v>
      </c>
      <c r="C2322" s="2">
        <v>45942</v>
      </c>
      <c r="D2322">
        <v>2105</v>
      </c>
      <c r="E2322">
        <v>1004</v>
      </c>
      <c r="F2322">
        <v>3</v>
      </c>
      <c r="G2322">
        <v>551.22</v>
      </c>
      <c r="H2322" s="2">
        <v>45945</v>
      </c>
      <c r="I2322" s="2">
        <v>45955</v>
      </c>
      <c r="J2322" t="s">
        <v>9</v>
      </c>
      <c r="K2322" s="2" t="str">
        <f>IFERROR(INDEX(Product_lookup[Category],MATCH(RawWorking[[#This Row],[ProductID]],Product_lookup[ProductID],0)),"")</f>
        <v>Electronics</v>
      </c>
      <c r="L2322" s="9">
        <f>IF(OR(RawWorking[[#This Row],[ShipDate]]="",RawWorking[[#This Row],[DeliveryDate]]=""),"",RawWorking[[#This Row],[DeliveryDate]]-RawWorking[[#This Row],[ShipDate]])</f>
        <v>10</v>
      </c>
      <c r="M2322" s="9">
        <f>IF(COUNTIF(INDEX(RawWorking[OrderID],1):RawWorking[[#This Row],[OrderID]],RawWorking[[#This Row],[OrderID]])=1,1,0)</f>
        <v>0</v>
      </c>
      <c r="N2322" s="4">
        <f>IFERROR(RawWorking[[#This Row],[LineAmount]]/RawWorking[[#This Row],[Quantity]],"")</f>
        <v>183.74</v>
      </c>
    </row>
    <row r="2323" spans="1:14">
      <c r="A2323">
        <v>52322</v>
      </c>
      <c r="B2323">
        <v>31342</v>
      </c>
      <c r="C2323" s="2">
        <v>45942</v>
      </c>
      <c r="D2323">
        <v>2105</v>
      </c>
      <c r="E2323">
        <v>1014</v>
      </c>
      <c r="F2323">
        <v>1</v>
      </c>
      <c r="G2323">
        <v>215.34</v>
      </c>
      <c r="H2323" s="2">
        <v>45945</v>
      </c>
      <c r="I2323" s="2">
        <v>45947</v>
      </c>
      <c r="J2323" t="s">
        <v>9</v>
      </c>
      <c r="K2323" s="2" t="str">
        <f>IFERROR(INDEX(Product_lookup[Category],MATCH(RawWorking[[#This Row],[ProductID]],Product_lookup[ProductID],0)),"")</f>
        <v>Sports</v>
      </c>
      <c r="L2323" s="9">
        <f>IF(OR(RawWorking[[#This Row],[ShipDate]]="",RawWorking[[#This Row],[DeliveryDate]]=""),"",RawWorking[[#This Row],[DeliveryDate]]-RawWorking[[#This Row],[ShipDate]])</f>
        <v>2</v>
      </c>
      <c r="M2323" s="9">
        <f>IF(COUNTIF(INDEX(RawWorking[OrderID],1):RawWorking[[#This Row],[OrderID]],RawWorking[[#This Row],[OrderID]])=1,1,0)</f>
        <v>0</v>
      </c>
      <c r="N2323" s="4">
        <f>IFERROR(RawWorking[[#This Row],[LineAmount]]/RawWorking[[#This Row],[Quantity]],"")</f>
        <v>215.34</v>
      </c>
    </row>
    <row r="2324" spans="1:14">
      <c r="A2324">
        <v>52323</v>
      </c>
      <c r="B2324">
        <v>31343</v>
      </c>
      <c r="C2324" s="2">
        <v>45948</v>
      </c>
      <c r="D2324">
        <v>2472</v>
      </c>
      <c r="E2324">
        <v>1004</v>
      </c>
      <c r="F2324">
        <v>2</v>
      </c>
      <c r="G2324">
        <v>367.48</v>
      </c>
      <c r="H2324" s="2" t="s">
        <v>1421</v>
      </c>
      <c r="I2324" s="2" t="s">
        <v>1421</v>
      </c>
      <c r="J2324" t="s">
        <v>12</v>
      </c>
      <c r="K2324" s="2" t="str">
        <f>IFERROR(INDEX(Product_lookup[Category],MATCH(RawWorking[[#This Row],[ProductID]],Product_lookup[ProductID],0)),"")</f>
        <v>Electronics</v>
      </c>
      <c r="L2324" s="9" t="str">
        <f>IF(OR(RawWorking[[#This Row],[ShipDate]]="",RawWorking[[#This Row],[DeliveryDate]]=""),"",RawWorking[[#This Row],[DeliveryDate]]-RawWorking[[#This Row],[ShipDate]])</f>
        <v/>
      </c>
      <c r="M2324" s="9">
        <f>IF(COUNTIF(INDEX(RawWorking[OrderID],1):RawWorking[[#This Row],[OrderID]],RawWorking[[#This Row],[OrderID]])=1,1,0)</f>
        <v>1</v>
      </c>
      <c r="N2324" s="4">
        <f>IFERROR(RawWorking[[#This Row],[LineAmount]]/RawWorking[[#This Row],[Quantity]],"")</f>
        <v>183.74</v>
      </c>
    </row>
    <row r="2325" spans="1:14">
      <c r="A2325">
        <v>52324</v>
      </c>
      <c r="B2325">
        <v>31343</v>
      </c>
      <c r="C2325" s="2">
        <v>45948</v>
      </c>
      <c r="D2325">
        <v>2472</v>
      </c>
      <c r="E2325">
        <v>1005</v>
      </c>
      <c r="F2325">
        <v>1</v>
      </c>
      <c r="G2325">
        <v>31.73</v>
      </c>
      <c r="H2325" s="2" t="s">
        <v>1421</v>
      </c>
      <c r="I2325" s="2" t="s">
        <v>1421</v>
      </c>
      <c r="J2325" t="s">
        <v>12</v>
      </c>
      <c r="K2325" s="2" t="str">
        <f>IFERROR(INDEX(Product_lookup[Category],MATCH(RawWorking[[#This Row],[ProductID]],Product_lookup[ProductID],0)),"")</f>
        <v>Electronics</v>
      </c>
      <c r="L2325" s="9" t="str">
        <f>IF(OR(RawWorking[[#This Row],[ShipDate]]="",RawWorking[[#This Row],[DeliveryDate]]=""),"",RawWorking[[#This Row],[DeliveryDate]]-RawWorking[[#This Row],[ShipDate]])</f>
        <v/>
      </c>
      <c r="M2325" s="9">
        <f>IF(COUNTIF(INDEX(RawWorking[OrderID],1):RawWorking[[#This Row],[OrderID]],RawWorking[[#This Row],[OrderID]])=1,1,0)</f>
        <v>0</v>
      </c>
      <c r="N2325" s="4">
        <f>IFERROR(RawWorking[[#This Row],[LineAmount]]/RawWorking[[#This Row],[Quantity]],"")</f>
        <v>31.73</v>
      </c>
    </row>
    <row r="2326" spans="1:14">
      <c r="A2326">
        <v>52325</v>
      </c>
      <c r="B2326">
        <v>31343</v>
      </c>
      <c r="C2326" s="2">
        <v>45948</v>
      </c>
      <c r="D2326">
        <v>2472</v>
      </c>
      <c r="E2326">
        <v>1001</v>
      </c>
      <c r="F2326">
        <v>4</v>
      </c>
      <c r="G2326">
        <v>812.16</v>
      </c>
      <c r="H2326" s="2" t="s">
        <v>1421</v>
      </c>
      <c r="I2326" s="2" t="s">
        <v>1421</v>
      </c>
      <c r="J2326" t="s">
        <v>12</v>
      </c>
      <c r="K2326" s="2" t="str">
        <f>IFERROR(INDEX(Product_lookup[Category],MATCH(RawWorking[[#This Row],[ProductID]],Product_lookup[ProductID],0)),"")</f>
        <v>Electronics</v>
      </c>
      <c r="L2326" s="9" t="str">
        <f>IF(OR(RawWorking[[#This Row],[ShipDate]]="",RawWorking[[#This Row],[DeliveryDate]]=""),"",RawWorking[[#This Row],[DeliveryDate]]-RawWorking[[#This Row],[ShipDate]])</f>
        <v/>
      </c>
      <c r="M2326" s="9">
        <f>IF(COUNTIF(INDEX(RawWorking[OrderID],1):RawWorking[[#This Row],[OrderID]],RawWorking[[#This Row],[OrderID]])=1,1,0)</f>
        <v>0</v>
      </c>
      <c r="N2326" s="4">
        <f>IFERROR(RawWorking[[#This Row],[LineAmount]]/RawWorking[[#This Row],[Quantity]],"")</f>
        <v>203.04</v>
      </c>
    </row>
    <row r="2327" spans="1:14">
      <c r="A2327">
        <v>52326</v>
      </c>
      <c r="B2327">
        <v>31344</v>
      </c>
      <c r="C2327" s="2">
        <v>45956</v>
      </c>
      <c r="D2327">
        <v>2492</v>
      </c>
      <c r="E2327">
        <v>1012</v>
      </c>
      <c r="F2327">
        <v>1</v>
      </c>
      <c r="G2327">
        <v>241.54</v>
      </c>
      <c r="H2327" s="2">
        <v>45957</v>
      </c>
      <c r="I2327" s="2">
        <v>45964</v>
      </c>
      <c r="J2327" t="s">
        <v>9</v>
      </c>
      <c r="K2327" s="2" t="str">
        <f>IFERROR(INDEX(Product_lookup[Category],MATCH(RawWorking[[#This Row],[ProductID]],Product_lookup[ProductID],0)),"")</f>
        <v>Office</v>
      </c>
      <c r="L2327" s="9">
        <f>IF(OR(RawWorking[[#This Row],[ShipDate]]="",RawWorking[[#This Row],[DeliveryDate]]=""),"",RawWorking[[#This Row],[DeliveryDate]]-RawWorking[[#This Row],[ShipDate]])</f>
        <v>7</v>
      </c>
      <c r="M2327" s="9">
        <f>IF(COUNTIF(INDEX(RawWorking[OrderID],1):RawWorking[[#This Row],[OrderID]],RawWorking[[#This Row],[OrderID]])=1,1,0)</f>
        <v>1</v>
      </c>
      <c r="N2327" s="4">
        <f>IFERROR(RawWorking[[#This Row],[LineAmount]]/RawWorking[[#This Row],[Quantity]],"")</f>
        <v>241.54</v>
      </c>
    </row>
    <row r="2328" spans="1:14">
      <c r="A2328">
        <v>52327</v>
      </c>
      <c r="B2328">
        <v>31345</v>
      </c>
      <c r="C2328" s="2">
        <v>45717</v>
      </c>
      <c r="D2328">
        <v>2143</v>
      </c>
      <c r="E2328">
        <v>1011</v>
      </c>
      <c r="F2328">
        <v>1</v>
      </c>
      <c r="G2328">
        <v>101.44</v>
      </c>
      <c r="H2328" s="2">
        <v>45718</v>
      </c>
      <c r="I2328" s="2" t="s">
        <v>1421</v>
      </c>
      <c r="J2328" t="s">
        <v>16</v>
      </c>
      <c r="K2328" s="2" t="str">
        <f>IFERROR(INDEX(Product_lookup[Category],MATCH(RawWorking[[#This Row],[ProductID]],Product_lookup[ProductID],0)),"")</f>
        <v>Office</v>
      </c>
      <c r="L2328" s="9" t="str">
        <f>IF(OR(RawWorking[[#This Row],[ShipDate]]="",RawWorking[[#This Row],[DeliveryDate]]=""),"",RawWorking[[#This Row],[DeliveryDate]]-RawWorking[[#This Row],[ShipDate]])</f>
        <v/>
      </c>
      <c r="M2328" s="9">
        <f>IF(COUNTIF(INDEX(RawWorking[OrderID],1):RawWorking[[#This Row],[OrderID]],RawWorking[[#This Row],[OrderID]])=1,1,0)</f>
        <v>1</v>
      </c>
      <c r="N2328" s="4">
        <f>IFERROR(RawWorking[[#This Row],[LineAmount]]/RawWorking[[#This Row],[Quantity]],"")</f>
        <v>101.44</v>
      </c>
    </row>
    <row r="2329" spans="1:14">
      <c r="A2329">
        <v>52328</v>
      </c>
      <c r="B2329">
        <v>31345</v>
      </c>
      <c r="C2329" s="2">
        <v>45717</v>
      </c>
      <c r="D2329">
        <v>2143</v>
      </c>
      <c r="E2329">
        <v>1010</v>
      </c>
      <c r="F2329">
        <v>3</v>
      </c>
      <c r="G2329">
        <v>364.5</v>
      </c>
      <c r="H2329" s="2">
        <v>45720</v>
      </c>
      <c r="I2329" s="2" t="s">
        <v>1421</v>
      </c>
      <c r="J2329" t="s">
        <v>16</v>
      </c>
      <c r="K2329" s="2" t="str">
        <f>IFERROR(INDEX(Product_lookup[Category],MATCH(RawWorking[[#This Row],[ProductID]],Product_lookup[ProductID],0)),"")</f>
        <v>Office</v>
      </c>
      <c r="L2329" s="9" t="str">
        <f>IF(OR(RawWorking[[#This Row],[ShipDate]]="",RawWorking[[#This Row],[DeliveryDate]]=""),"",RawWorking[[#This Row],[DeliveryDate]]-RawWorking[[#This Row],[ShipDate]])</f>
        <v/>
      </c>
      <c r="M2329" s="9">
        <f>IF(COUNTIF(INDEX(RawWorking[OrderID],1):RawWorking[[#This Row],[OrderID]],RawWorking[[#This Row],[OrderID]])=1,1,0)</f>
        <v>0</v>
      </c>
      <c r="N2329" s="4">
        <f>IFERROR(RawWorking[[#This Row],[LineAmount]]/RawWorking[[#This Row],[Quantity]],"")</f>
        <v>121.5</v>
      </c>
    </row>
    <row r="2330" spans="1:14">
      <c r="A2330">
        <v>52329</v>
      </c>
      <c r="B2330">
        <v>31346</v>
      </c>
      <c r="C2330" s="2">
        <v>45682</v>
      </c>
      <c r="D2330">
        <v>2122</v>
      </c>
      <c r="E2330">
        <v>1005</v>
      </c>
      <c r="F2330">
        <v>1</v>
      </c>
      <c r="G2330">
        <v>31.73</v>
      </c>
      <c r="H2330" s="2">
        <v>45684</v>
      </c>
      <c r="I2330" s="2">
        <v>45688</v>
      </c>
      <c r="J2330" t="s">
        <v>9</v>
      </c>
      <c r="K2330" s="2" t="str">
        <f>IFERROR(INDEX(Product_lookup[Category],MATCH(RawWorking[[#This Row],[ProductID]],Product_lookup[ProductID],0)),"")</f>
        <v>Electronics</v>
      </c>
      <c r="L2330" s="9">
        <f>IF(OR(RawWorking[[#This Row],[ShipDate]]="",RawWorking[[#This Row],[DeliveryDate]]=""),"",RawWorking[[#This Row],[DeliveryDate]]-RawWorking[[#This Row],[ShipDate]])</f>
        <v>4</v>
      </c>
      <c r="M2330" s="9">
        <f>IF(COUNTIF(INDEX(RawWorking[OrderID],1):RawWorking[[#This Row],[OrderID]],RawWorking[[#This Row],[OrderID]])=1,1,0)</f>
        <v>1</v>
      </c>
      <c r="N2330" s="4">
        <f>IFERROR(RawWorking[[#This Row],[LineAmount]]/RawWorking[[#This Row],[Quantity]],"")</f>
        <v>31.73</v>
      </c>
    </row>
    <row r="2331" spans="1:14">
      <c r="A2331">
        <v>52330</v>
      </c>
      <c r="B2331">
        <v>31346</v>
      </c>
      <c r="C2331" s="2">
        <v>45682</v>
      </c>
      <c r="D2331">
        <v>2122</v>
      </c>
      <c r="E2331">
        <v>1008</v>
      </c>
      <c r="F2331">
        <v>4</v>
      </c>
      <c r="G2331">
        <v>824.36</v>
      </c>
      <c r="H2331" s="2">
        <v>45685</v>
      </c>
      <c r="I2331" s="2">
        <v>45694</v>
      </c>
      <c r="J2331" t="s">
        <v>9</v>
      </c>
      <c r="K2331" s="2" t="str">
        <f>IFERROR(INDEX(Product_lookup[Category],MATCH(RawWorking[[#This Row],[ProductID]],Product_lookup[ProductID],0)),"")</f>
        <v>Home</v>
      </c>
      <c r="L2331" s="9">
        <f>IF(OR(RawWorking[[#This Row],[ShipDate]]="",RawWorking[[#This Row],[DeliveryDate]]=""),"",RawWorking[[#This Row],[DeliveryDate]]-RawWorking[[#This Row],[ShipDate]])</f>
        <v>9</v>
      </c>
      <c r="M2331" s="9">
        <f>IF(COUNTIF(INDEX(RawWorking[OrderID],1):RawWorking[[#This Row],[OrderID]],RawWorking[[#This Row],[OrderID]])=1,1,0)</f>
        <v>0</v>
      </c>
      <c r="N2331" s="4">
        <f>IFERROR(RawWorking[[#This Row],[LineAmount]]/RawWorking[[#This Row],[Quantity]],"")</f>
        <v>206.09</v>
      </c>
    </row>
    <row r="2332" spans="1:14">
      <c r="A2332">
        <v>52331</v>
      </c>
      <c r="B2332">
        <v>31347</v>
      </c>
      <c r="C2332" s="2">
        <v>45713</v>
      </c>
      <c r="D2332">
        <v>2315</v>
      </c>
      <c r="E2332">
        <v>1005</v>
      </c>
      <c r="F2332">
        <v>1</v>
      </c>
      <c r="G2332">
        <v>31.73</v>
      </c>
      <c r="H2332" s="2">
        <v>45714</v>
      </c>
      <c r="I2332" s="2">
        <v>45720</v>
      </c>
      <c r="J2332" t="s">
        <v>9</v>
      </c>
      <c r="K2332" s="2" t="str">
        <f>IFERROR(INDEX(Product_lookup[Category],MATCH(RawWorking[[#This Row],[ProductID]],Product_lookup[ProductID],0)),"")</f>
        <v>Electronics</v>
      </c>
      <c r="L2332" s="9">
        <f>IF(OR(RawWorking[[#This Row],[ShipDate]]="",RawWorking[[#This Row],[DeliveryDate]]=""),"",RawWorking[[#This Row],[DeliveryDate]]-RawWorking[[#This Row],[ShipDate]])</f>
        <v>6</v>
      </c>
      <c r="M2332" s="9">
        <f>IF(COUNTIF(INDEX(RawWorking[OrderID],1):RawWorking[[#This Row],[OrderID]],RawWorking[[#This Row],[OrderID]])=1,1,0)</f>
        <v>1</v>
      </c>
      <c r="N2332" s="4">
        <f>IFERROR(RawWorking[[#This Row],[LineAmount]]/RawWorking[[#This Row],[Quantity]],"")</f>
        <v>31.73</v>
      </c>
    </row>
    <row r="2333" spans="1:14">
      <c r="A2333">
        <v>52332</v>
      </c>
      <c r="B2333">
        <v>31347</v>
      </c>
      <c r="C2333" s="2">
        <v>45713</v>
      </c>
      <c r="D2333">
        <v>2315</v>
      </c>
      <c r="E2333">
        <v>1003</v>
      </c>
      <c r="F2333">
        <v>2</v>
      </c>
      <c r="G2333">
        <v>448.74</v>
      </c>
      <c r="H2333" s="2">
        <v>45716</v>
      </c>
      <c r="I2333" s="2">
        <v>45721</v>
      </c>
      <c r="J2333" t="s">
        <v>9</v>
      </c>
      <c r="K2333" s="2" t="str">
        <f>IFERROR(INDEX(Product_lookup[Category],MATCH(RawWorking[[#This Row],[ProductID]],Product_lookup[ProductID],0)),"")</f>
        <v>Electronics</v>
      </c>
      <c r="L2333" s="9">
        <f>IF(OR(RawWorking[[#This Row],[ShipDate]]="",RawWorking[[#This Row],[DeliveryDate]]=""),"",RawWorking[[#This Row],[DeliveryDate]]-RawWorking[[#This Row],[ShipDate]])</f>
        <v>5</v>
      </c>
      <c r="M2333" s="9">
        <f>IF(COUNTIF(INDEX(RawWorking[OrderID],1):RawWorking[[#This Row],[OrderID]],RawWorking[[#This Row],[OrderID]])=1,1,0)</f>
        <v>0</v>
      </c>
      <c r="N2333" s="4">
        <f>IFERROR(RawWorking[[#This Row],[LineAmount]]/RawWorking[[#This Row],[Quantity]],"")</f>
        <v>224.37</v>
      </c>
    </row>
    <row r="2334" spans="1:14">
      <c r="A2334">
        <v>52333</v>
      </c>
      <c r="B2334">
        <v>31348</v>
      </c>
      <c r="C2334" s="2">
        <v>45892</v>
      </c>
      <c r="D2334">
        <v>2436</v>
      </c>
      <c r="E2334">
        <v>1004</v>
      </c>
      <c r="F2334">
        <v>1</v>
      </c>
      <c r="G2334">
        <v>183.74</v>
      </c>
      <c r="H2334" s="2">
        <v>45894</v>
      </c>
      <c r="I2334" s="2">
        <v>45902</v>
      </c>
      <c r="J2334" t="s">
        <v>9</v>
      </c>
      <c r="K2334" s="2" t="str">
        <f>IFERROR(INDEX(Product_lookup[Category],MATCH(RawWorking[[#This Row],[ProductID]],Product_lookup[ProductID],0)),"")</f>
        <v>Electronics</v>
      </c>
      <c r="L2334" s="9">
        <f>IF(OR(RawWorking[[#This Row],[ShipDate]]="",RawWorking[[#This Row],[DeliveryDate]]=""),"",RawWorking[[#This Row],[DeliveryDate]]-RawWorking[[#This Row],[ShipDate]])</f>
        <v>8</v>
      </c>
      <c r="M2334" s="9">
        <f>IF(COUNTIF(INDEX(RawWorking[OrderID],1):RawWorking[[#This Row],[OrderID]],RawWorking[[#This Row],[OrderID]])=1,1,0)</f>
        <v>1</v>
      </c>
      <c r="N2334" s="4">
        <f>IFERROR(RawWorking[[#This Row],[LineAmount]]/RawWorking[[#This Row],[Quantity]],"")</f>
        <v>183.74</v>
      </c>
    </row>
    <row r="2335" spans="1:14">
      <c r="A2335">
        <v>52334</v>
      </c>
      <c r="B2335">
        <v>31349</v>
      </c>
      <c r="C2335" s="2">
        <v>45973</v>
      </c>
      <c r="D2335">
        <v>2080</v>
      </c>
      <c r="E2335">
        <v>1016</v>
      </c>
      <c r="F2335">
        <v>2</v>
      </c>
      <c r="G2335">
        <v>130.52000000000001</v>
      </c>
      <c r="H2335" s="2">
        <v>45975</v>
      </c>
      <c r="I2335" s="2">
        <v>45977</v>
      </c>
      <c r="J2335" t="s">
        <v>9</v>
      </c>
      <c r="K2335" s="2" t="str">
        <f>IFERROR(INDEX(Product_lookup[Category],MATCH(RawWorking[[#This Row],[ProductID]],Product_lookup[ProductID],0)),"")</f>
        <v>Sports</v>
      </c>
      <c r="L2335" s="9">
        <f>IF(OR(RawWorking[[#This Row],[ShipDate]]="",RawWorking[[#This Row],[DeliveryDate]]=""),"",RawWorking[[#This Row],[DeliveryDate]]-RawWorking[[#This Row],[ShipDate]])</f>
        <v>2</v>
      </c>
      <c r="M2335" s="9">
        <f>IF(COUNTIF(INDEX(RawWorking[OrderID],1):RawWorking[[#This Row],[OrderID]],RawWorking[[#This Row],[OrderID]])=1,1,0)</f>
        <v>1</v>
      </c>
      <c r="N2335" s="4">
        <f>IFERROR(RawWorking[[#This Row],[LineAmount]]/RawWorking[[#This Row],[Quantity]],"")</f>
        <v>65.260000000000005</v>
      </c>
    </row>
    <row r="2336" spans="1:14">
      <c r="A2336">
        <v>52335</v>
      </c>
      <c r="B2336">
        <v>31350</v>
      </c>
      <c r="C2336" s="2">
        <v>45849</v>
      </c>
      <c r="D2336">
        <v>2442</v>
      </c>
      <c r="E2336">
        <v>1004</v>
      </c>
      <c r="F2336">
        <v>1</v>
      </c>
      <c r="G2336">
        <v>183.74</v>
      </c>
      <c r="H2336" s="2">
        <v>45971</v>
      </c>
      <c r="I2336" s="2">
        <v>45972</v>
      </c>
      <c r="J2336" t="s">
        <v>9</v>
      </c>
      <c r="K2336" s="2" t="str">
        <f>IFERROR(INDEX(Product_lookup[Category],MATCH(RawWorking[[#This Row],[ProductID]],Product_lookup[ProductID],0)),"")</f>
        <v>Electronics</v>
      </c>
      <c r="L2336" s="9">
        <f>IF(OR(RawWorking[[#This Row],[ShipDate]]="",RawWorking[[#This Row],[DeliveryDate]]=""),"",RawWorking[[#This Row],[DeliveryDate]]-RawWorking[[#This Row],[ShipDate]])</f>
        <v>1</v>
      </c>
      <c r="M2336" s="9">
        <f>IF(COUNTIF(INDEX(RawWorking[OrderID],1):RawWorking[[#This Row],[OrderID]],RawWorking[[#This Row],[OrderID]])=1,1,0)</f>
        <v>1</v>
      </c>
      <c r="N2336" s="4">
        <f>IFERROR(RawWorking[[#This Row],[LineAmount]]/RawWorking[[#This Row],[Quantity]],"")</f>
        <v>183.74</v>
      </c>
    </row>
    <row r="2337" spans="1:14">
      <c r="A2337">
        <v>52336</v>
      </c>
      <c r="B2337">
        <v>31350</v>
      </c>
      <c r="C2337" s="2">
        <v>45968</v>
      </c>
      <c r="D2337">
        <v>2442</v>
      </c>
      <c r="E2337">
        <v>1002</v>
      </c>
      <c r="F2337">
        <v>1</v>
      </c>
      <c r="G2337">
        <v>118.6</v>
      </c>
      <c r="H2337" s="2">
        <v>45969</v>
      </c>
      <c r="I2337" s="2">
        <v>45970</v>
      </c>
      <c r="J2337" t="s">
        <v>9</v>
      </c>
      <c r="K2337" s="2" t="str">
        <f>IFERROR(INDEX(Product_lookup[Category],MATCH(RawWorking[[#This Row],[ProductID]],Product_lookup[ProductID],0)),"")</f>
        <v>Electronics</v>
      </c>
      <c r="L2337" s="9">
        <f>IF(OR(RawWorking[[#This Row],[ShipDate]]="",RawWorking[[#This Row],[DeliveryDate]]=""),"",RawWorking[[#This Row],[DeliveryDate]]-RawWorking[[#This Row],[ShipDate]])</f>
        <v>1</v>
      </c>
      <c r="M2337" s="9">
        <f>IF(COUNTIF(INDEX(RawWorking[OrderID],1):RawWorking[[#This Row],[OrderID]],RawWorking[[#This Row],[OrderID]])=1,1,0)</f>
        <v>0</v>
      </c>
      <c r="N2337" s="4">
        <f>IFERROR(RawWorking[[#This Row],[LineAmount]]/RawWorking[[#This Row],[Quantity]],"")</f>
        <v>118.6</v>
      </c>
    </row>
    <row r="2338" spans="1:14">
      <c r="A2338">
        <v>52337</v>
      </c>
      <c r="B2338">
        <v>31351</v>
      </c>
      <c r="C2338" s="2">
        <v>46007</v>
      </c>
      <c r="D2338">
        <v>2526</v>
      </c>
      <c r="E2338">
        <v>1016</v>
      </c>
      <c r="F2338">
        <v>1</v>
      </c>
      <c r="G2338">
        <v>65.260000000000005</v>
      </c>
      <c r="H2338" s="2">
        <v>46010</v>
      </c>
      <c r="I2338" s="2">
        <v>46018</v>
      </c>
      <c r="J2338" t="s">
        <v>9</v>
      </c>
      <c r="K2338" s="2" t="str">
        <f>IFERROR(INDEX(Product_lookup[Category],MATCH(RawWorking[[#This Row],[ProductID]],Product_lookup[ProductID],0)),"")</f>
        <v>Sports</v>
      </c>
      <c r="L2338" s="9">
        <f>IF(OR(RawWorking[[#This Row],[ShipDate]]="",RawWorking[[#This Row],[DeliveryDate]]=""),"",RawWorking[[#This Row],[DeliveryDate]]-RawWorking[[#This Row],[ShipDate]])</f>
        <v>8</v>
      </c>
      <c r="M2338" s="9">
        <f>IF(COUNTIF(INDEX(RawWorking[OrderID],1):RawWorking[[#This Row],[OrderID]],RawWorking[[#This Row],[OrderID]])=1,1,0)</f>
        <v>1</v>
      </c>
      <c r="N2338" s="4">
        <f>IFERROR(RawWorking[[#This Row],[LineAmount]]/RawWorking[[#This Row],[Quantity]],"")</f>
        <v>65.260000000000005</v>
      </c>
    </row>
    <row r="2339" spans="1:14">
      <c r="A2339">
        <v>52338</v>
      </c>
      <c r="B2339">
        <v>31352</v>
      </c>
      <c r="C2339" s="2">
        <v>45974</v>
      </c>
      <c r="D2339">
        <v>2122</v>
      </c>
      <c r="E2339">
        <v>1002</v>
      </c>
      <c r="F2339">
        <v>1</v>
      </c>
      <c r="G2339">
        <v>118.6</v>
      </c>
      <c r="H2339" s="2" t="s">
        <v>1421</v>
      </c>
      <c r="I2339" s="2" t="s">
        <v>1421</v>
      </c>
      <c r="J2339" t="s">
        <v>12</v>
      </c>
      <c r="K2339" s="2" t="str">
        <f>IFERROR(INDEX(Product_lookup[Category],MATCH(RawWorking[[#This Row],[ProductID]],Product_lookup[ProductID],0)),"")</f>
        <v>Electronics</v>
      </c>
      <c r="L2339" s="9" t="str">
        <f>IF(OR(RawWorking[[#This Row],[ShipDate]]="",RawWorking[[#This Row],[DeliveryDate]]=""),"",RawWorking[[#This Row],[DeliveryDate]]-RawWorking[[#This Row],[ShipDate]])</f>
        <v/>
      </c>
      <c r="M2339" s="9">
        <f>IF(COUNTIF(INDEX(RawWorking[OrderID],1):RawWorking[[#This Row],[OrderID]],RawWorking[[#This Row],[OrderID]])=1,1,0)</f>
        <v>1</v>
      </c>
      <c r="N2339" s="4">
        <f>IFERROR(RawWorking[[#This Row],[LineAmount]]/RawWorking[[#This Row],[Quantity]],"")</f>
        <v>118.6</v>
      </c>
    </row>
    <row r="2340" spans="1:14">
      <c r="A2340">
        <v>52339</v>
      </c>
      <c r="B2340">
        <v>31353</v>
      </c>
      <c r="C2340" s="2">
        <v>45796</v>
      </c>
      <c r="D2340">
        <v>2068</v>
      </c>
      <c r="E2340">
        <v>1001</v>
      </c>
      <c r="F2340">
        <v>2</v>
      </c>
      <c r="G2340">
        <v>406.08</v>
      </c>
      <c r="H2340" s="2">
        <v>45798</v>
      </c>
      <c r="I2340" s="2">
        <v>45807</v>
      </c>
      <c r="J2340" t="s">
        <v>9</v>
      </c>
      <c r="K2340" s="2" t="str">
        <f>IFERROR(INDEX(Product_lookup[Category],MATCH(RawWorking[[#This Row],[ProductID]],Product_lookup[ProductID],0)),"")</f>
        <v>Electronics</v>
      </c>
      <c r="L2340" s="9">
        <f>IF(OR(RawWorking[[#This Row],[ShipDate]]="",RawWorking[[#This Row],[DeliveryDate]]=""),"",RawWorking[[#This Row],[DeliveryDate]]-RawWorking[[#This Row],[ShipDate]])</f>
        <v>9</v>
      </c>
      <c r="M2340" s="9">
        <f>IF(COUNTIF(INDEX(RawWorking[OrderID],1):RawWorking[[#This Row],[OrderID]],RawWorking[[#This Row],[OrderID]])=1,1,0)</f>
        <v>1</v>
      </c>
      <c r="N2340" s="4">
        <f>IFERROR(RawWorking[[#This Row],[LineAmount]]/RawWorking[[#This Row],[Quantity]],"")</f>
        <v>203.04</v>
      </c>
    </row>
    <row r="2341" spans="1:14">
      <c r="A2341">
        <v>52340</v>
      </c>
      <c r="B2341">
        <v>31354</v>
      </c>
      <c r="C2341" s="2">
        <v>46021</v>
      </c>
      <c r="D2341">
        <v>2099</v>
      </c>
      <c r="E2341">
        <v>1007</v>
      </c>
      <c r="F2341">
        <v>1</v>
      </c>
      <c r="G2341">
        <v>199.81</v>
      </c>
      <c r="H2341" s="2" t="s">
        <v>1421</v>
      </c>
      <c r="I2341" s="2" t="s">
        <v>1421</v>
      </c>
      <c r="J2341" t="s">
        <v>16</v>
      </c>
      <c r="K2341" s="2" t="str">
        <f>IFERROR(INDEX(Product_lookup[Category],MATCH(RawWorking[[#This Row],[ProductID]],Product_lookup[ProductID],0)),"")</f>
        <v>Home</v>
      </c>
      <c r="L2341" s="9" t="str">
        <f>IF(OR(RawWorking[[#This Row],[ShipDate]]="",RawWorking[[#This Row],[DeliveryDate]]=""),"",RawWorking[[#This Row],[DeliveryDate]]-RawWorking[[#This Row],[ShipDate]])</f>
        <v/>
      </c>
      <c r="M2341" s="9">
        <f>IF(COUNTIF(INDEX(RawWorking[OrderID],1):RawWorking[[#This Row],[OrderID]],RawWorking[[#This Row],[OrderID]])=1,1,0)</f>
        <v>1</v>
      </c>
      <c r="N2341" s="4">
        <f>IFERROR(RawWorking[[#This Row],[LineAmount]]/RawWorking[[#This Row],[Quantity]],"")</f>
        <v>199.81</v>
      </c>
    </row>
    <row r="2342" spans="1:14">
      <c r="A2342">
        <v>52341</v>
      </c>
      <c r="B2342">
        <v>31354</v>
      </c>
      <c r="C2342" s="2">
        <v>46021</v>
      </c>
      <c r="D2342">
        <v>2099</v>
      </c>
      <c r="E2342">
        <v>1007</v>
      </c>
      <c r="F2342">
        <v>1</v>
      </c>
      <c r="G2342">
        <v>199.81</v>
      </c>
      <c r="H2342" s="2">
        <v>46025</v>
      </c>
      <c r="I2342" s="2" t="s">
        <v>1421</v>
      </c>
      <c r="J2342" t="s">
        <v>16</v>
      </c>
      <c r="K2342" s="2" t="str">
        <f>IFERROR(INDEX(Product_lookup[Category],MATCH(RawWorking[[#This Row],[ProductID]],Product_lookup[ProductID],0)),"")</f>
        <v>Home</v>
      </c>
      <c r="L2342" s="9" t="str">
        <f>IF(OR(RawWorking[[#This Row],[ShipDate]]="",RawWorking[[#This Row],[DeliveryDate]]=""),"",RawWorking[[#This Row],[DeliveryDate]]-RawWorking[[#This Row],[ShipDate]])</f>
        <v/>
      </c>
      <c r="M2342" s="9">
        <f>IF(COUNTIF(INDEX(RawWorking[OrderID],1):RawWorking[[#This Row],[OrderID]],RawWorking[[#This Row],[OrderID]])=1,1,0)</f>
        <v>0</v>
      </c>
      <c r="N2342" s="4">
        <f>IFERROR(RawWorking[[#This Row],[LineAmount]]/RawWorking[[#This Row],[Quantity]],"")</f>
        <v>199.81</v>
      </c>
    </row>
    <row r="2343" spans="1:14">
      <c r="A2343">
        <v>52342</v>
      </c>
      <c r="B2343">
        <v>31354</v>
      </c>
      <c r="C2343" s="2">
        <v>46021</v>
      </c>
      <c r="D2343">
        <v>2099</v>
      </c>
      <c r="E2343">
        <v>1012</v>
      </c>
      <c r="F2343">
        <v>2</v>
      </c>
      <c r="G2343">
        <v>483.08</v>
      </c>
      <c r="H2343" s="2">
        <v>46025</v>
      </c>
      <c r="I2343" s="2" t="s">
        <v>1421</v>
      </c>
      <c r="J2343" t="s">
        <v>16</v>
      </c>
      <c r="K2343" s="2" t="str">
        <f>IFERROR(INDEX(Product_lookup[Category],MATCH(RawWorking[[#This Row],[ProductID]],Product_lookup[ProductID],0)),"")</f>
        <v>Office</v>
      </c>
      <c r="L2343" s="9" t="str">
        <f>IF(OR(RawWorking[[#This Row],[ShipDate]]="",RawWorking[[#This Row],[DeliveryDate]]=""),"",RawWorking[[#This Row],[DeliveryDate]]-RawWorking[[#This Row],[ShipDate]])</f>
        <v/>
      </c>
      <c r="M2343" s="9">
        <f>IF(COUNTIF(INDEX(RawWorking[OrderID],1):RawWorking[[#This Row],[OrderID]],RawWorking[[#This Row],[OrderID]])=1,1,0)</f>
        <v>0</v>
      </c>
      <c r="N2343" s="4">
        <f>IFERROR(RawWorking[[#This Row],[LineAmount]]/RawWorking[[#This Row],[Quantity]],"")</f>
        <v>241.54</v>
      </c>
    </row>
    <row r="2344" spans="1:14">
      <c r="A2344">
        <v>52343</v>
      </c>
      <c r="B2344">
        <v>31355</v>
      </c>
      <c r="C2344" s="2">
        <v>46006</v>
      </c>
      <c r="D2344">
        <v>2150</v>
      </c>
      <c r="E2344">
        <v>1009</v>
      </c>
      <c r="F2344">
        <v>1</v>
      </c>
      <c r="G2344">
        <v>40.28</v>
      </c>
      <c r="H2344" s="2" t="s">
        <v>1421</v>
      </c>
      <c r="I2344" s="2" t="s">
        <v>1421</v>
      </c>
      <c r="J2344" t="s">
        <v>16</v>
      </c>
      <c r="K2344" s="2" t="str">
        <f>IFERROR(INDEX(Product_lookup[Category],MATCH(RawWorking[[#This Row],[ProductID]],Product_lookup[ProductID],0)),"")</f>
        <v>Home</v>
      </c>
      <c r="L2344" s="9" t="str">
        <f>IF(OR(RawWorking[[#This Row],[ShipDate]]="",RawWorking[[#This Row],[DeliveryDate]]=""),"",RawWorking[[#This Row],[DeliveryDate]]-RawWorking[[#This Row],[ShipDate]])</f>
        <v/>
      </c>
      <c r="M2344" s="9">
        <f>IF(COUNTIF(INDEX(RawWorking[OrderID],1):RawWorking[[#This Row],[OrderID]],RawWorking[[#This Row],[OrderID]])=1,1,0)</f>
        <v>1</v>
      </c>
      <c r="N2344" s="4">
        <f>IFERROR(RawWorking[[#This Row],[LineAmount]]/RawWorking[[#This Row],[Quantity]],"")</f>
        <v>40.28</v>
      </c>
    </row>
    <row r="2345" spans="1:14">
      <c r="A2345">
        <v>52344</v>
      </c>
      <c r="B2345">
        <v>31355</v>
      </c>
      <c r="C2345" s="2">
        <v>46006</v>
      </c>
      <c r="D2345">
        <v>2150</v>
      </c>
      <c r="E2345">
        <v>1012</v>
      </c>
      <c r="F2345">
        <v>2</v>
      </c>
      <c r="G2345">
        <v>483.08</v>
      </c>
      <c r="H2345" s="2" t="s">
        <v>1421</v>
      </c>
      <c r="I2345" s="2" t="s">
        <v>1421</v>
      </c>
      <c r="J2345" t="s">
        <v>16</v>
      </c>
      <c r="K2345" s="2" t="str">
        <f>IFERROR(INDEX(Product_lookup[Category],MATCH(RawWorking[[#This Row],[ProductID]],Product_lookup[ProductID],0)),"")</f>
        <v>Office</v>
      </c>
      <c r="L2345" s="9" t="str">
        <f>IF(OR(RawWorking[[#This Row],[ShipDate]]="",RawWorking[[#This Row],[DeliveryDate]]=""),"",RawWorking[[#This Row],[DeliveryDate]]-RawWorking[[#This Row],[ShipDate]])</f>
        <v/>
      </c>
      <c r="M2345" s="9">
        <f>IF(COUNTIF(INDEX(RawWorking[OrderID],1):RawWorking[[#This Row],[OrderID]],RawWorking[[#This Row],[OrderID]])=1,1,0)</f>
        <v>0</v>
      </c>
      <c r="N2345" s="4">
        <f>IFERROR(RawWorking[[#This Row],[LineAmount]]/RawWorking[[#This Row],[Quantity]],"")</f>
        <v>241.54</v>
      </c>
    </row>
    <row r="2346" spans="1:14">
      <c r="A2346">
        <v>52345</v>
      </c>
      <c r="B2346">
        <v>31356</v>
      </c>
      <c r="C2346" s="2">
        <v>45990</v>
      </c>
      <c r="D2346">
        <v>2513</v>
      </c>
      <c r="E2346">
        <v>1008</v>
      </c>
      <c r="F2346">
        <v>2</v>
      </c>
      <c r="G2346">
        <v>412.18</v>
      </c>
      <c r="H2346" s="2" t="s">
        <v>1421</v>
      </c>
      <c r="I2346" s="2" t="s">
        <v>1421</v>
      </c>
      <c r="J2346" t="s">
        <v>16</v>
      </c>
      <c r="K2346" s="2" t="str">
        <f>IFERROR(INDEX(Product_lookup[Category],MATCH(RawWorking[[#This Row],[ProductID]],Product_lookup[ProductID],0)),"")</f>
        <v>Home</v>
      </c>
      <c r="L2346" s="9" t="str">
        <f>IF(OR(RawWorking[[#This Row],[ShipDate]]="",RawWorking[[#This Row],[DeliveryDate]]=""),"",RawWorking[[#This Row],[DeliveryDate]]-RawWorking[[#This Row],[ShipDate]])</f>
        <v/>
      </c>
      <c r="M2346" s="9">
        <f>IF(COUNTIF(INDEX(RawWorking[OrderID],1):RawWorking[[#This Row],[OrderID]],RawWorking[[#This Row],[OrderID]])=1,1,0)</f>
        <v>1</v>
      </c>
      <c r="N2346" s="4">
        <f>IFERROR(RawWorking[[#This Row],[LineAmount]]/RawWorking[[#This Row],[Quantity]],"")</f>
        <v>206.09</v>
      </c>
    </row>
    <row r="2347" spans="1:14">
      <c r="A2347">
        <v>52346</v>
      </c>
      <c r="B2347">
        <v>31356</v>
      </c>
      <c r="C2347" s="2">
        <v>45990</v>
      </c>
      <c r="D2347">
        <v>2513</v>
      </c>
      <c r="E2347">
        <v>1003</v>
      </c>
      <c r="F2347">
        <v>1</v>
      </c>
      <c r="G2347">
        <v>224.37</v>
      </c>
      <c r="H2347" s="2">
        <v>45994</v>
      </c>
      <c r="I2347" s="2" t="s">
        <v>1421</v>
      </c>
      <c r="J2347" t="s">
        <v>16</v>
      </c>
      <c r="K2347" s="2" t="str">
        <f>IFERROR(INDEX(Product_lookup[Category],MATCH(RawWorking[[#This Row],[ProductID]],Product_lookup[ProductID],0)),"")</f>
        <v>Electronics</v>
      </c>
      <c r="L2347" s="9" t="str">
        <f>IF(OR(RawWorking[[#This Row],[ShipDate]]="",RawWorking[[#This Row],[DeliveryDate]]=""),"",RawWorking[[#This Row],[DeliveryDate]]-RawWorking[[#This Row],[ShipDate]])</f>
        <v/>
      </c>
      <c r="M2347" s="9">
        <f>IF(COUNTIF(INDEX(RawWorking[OrderID],1):RawWorking[[#This Row],[OrderID]],RawWorking[[#This Row],[OrderID]])=1,1,0)</f>
        <v>0</v>
      </c>
      <c r="N2347" s="4">
        <f>IFERROR(RawWorking[[#This Row],[LineAmount]]/RawWorking[[#This Row],[Quantity]],"")</f>
        <v>224.37</v>
      </c>
    </row>
    <row r="2348" spans="1:14">
      <c r="A2348">
        <v>52347</v>
      </c>
      <c r="B2348">
        <v>31356</v>
      </c>
      <c r="C2348" s="2">
        <v>45990</v>
      </c>
      <c r="D2348">
        <v>2513</v>
      </c>
      <c r="E2348">
        <v>1001</v>
      </c>
      <c r="F2348">
        <v>1</v>
      </c>
      <c r="G2348">
        <v>203.04</v>
      </c>
      <c r="H2348" s="2" t="s">
        <v>1421</v>
      </c>
      <c r="I2348" s="2" t="s">
        <v>1421</v>
      </c>
      <c r="J2348" t="s">
        <v>16</v>
      </c>
      <c r="K2348" s="2" t="str">
        <f>IFERROR(INDEX(Product_lookup[Category],MATCH(RawWorking[[#This Row],[ProductID]],Product_lookup[ProductID],0)),"")</f>
        <v>Electronics</v>
      </c>
      <c r="L2348" s="9" t="str">
        <f>IF(OR(RawWorking[[#This Row],[ShipDate]]="",RawWorking[[#This Row],[DeliveryDate]]=""),"",RawWorking[[#This Row],[DeliveryDate]]-RawWorking[[#This Row],[ShipDate]])</f>
        <v/>
      </c>
      <c r="M2348" s="9">
        <f>IF(COUNTIF(INDEX(RawWorking[OrderID],1):RawWorking[[#This Row],[OrderID]],RawWorking[[#This Row],[OrderID]])=1,1,0)</f>
        <v>0</v>
      </c>
      <c r="N2348" s="4">
        <f>IFERROR(RawWorking[[#This Row],[LineAmount]]/RawWorking[[#This Row],[Quantity]],"")</f>
        <v>203.04</v>
      </c>
    </row>
    <row r="2349" spans="1:14">
      <c r="A2349">
        <v>52348</v>
      </c>
      <c r="B2349">
        <v>31357</v>
      </c>
      <c r="C2349" s="2">
        <v>45980</v>
      </c>
      <c r="D2349">
        <v>2197</v>
      </c>
      <c r="E2349">
        <v>1006</v>
      </c>
      <c r="F2349">
        <v>4</v>
      </c>
      <c r="G2349">
        <v>1015.44</v>
      </c>
      <c r="H2349" s="2">
        <v>45982</v>
      </c>
      <c r="I2349" s="2">
        <v>45984</v>
      </c>
      <c r="J2349" t="s">
        <v>11</v>
      </c>
      <c r="K2349" s="2" t="str">
        <f>IFERROR(INDEX(Product_lookup[Category],MATCH(RawWorking[[#This Row],[ProductID]],Product_lookup[ProductID],0)),"")</f>
        <v>Home</v>
      </c>
      <c r="L2349" s="9">
        <f>IF(OR(RawWorking[[#This Row],[ShipDate]]="",RawWorking[[#This Row],[DeliveryDate]]=""),"",RawWorking[[#This Row],[DeliveryDate]]-RawWorking[[#This Row],[ShipDate]])</f>
        <v>2</v>
      </c>
      <c r="M2349" s="9">
        <f>IF(COUNTIF(INDEX(RawWorking[OrderID],1):RawWorking[[#This Row],[OrderID]],RawWorking[[#This Row],[OrderID]])=1,1,0)</f>
        <v>1</v>
      </c>
      <c r="N2349" s="4">
        <f>IFERROR(RawWorking[[#This Row],[LineAmount]]/RawWorking[[#This Row],[Quantity]],"")</f>
        <v>253.86</v>
      </c>
    </row>
    <row r="2350" spans="1:14">
      <c r="A2350">
        <v>52349</v>
      </c>
      <c r="B2350">
        <v>31358</v>
      </c>
      <c r="C2350" s="2">
        <v>45843</v>
      </c>
      <c r="D2350">
        <v>2551</v>
      </c>
      <c r="E2350">
        <v>1004</v>
      </c>
      <c r="F2350">
        <v>1</v>
      </c>
      <c r="G2350">
        <v>183.74</v>
      </c>
      <c r="H2350" s="2">
        <v>45844</v>
      </c>
      <c r="I2350" s="2">
        <v>45851</v>
      </c>
      <c r="J2350" t="s">
        <v>9</v>
      </c>
      <c r="K2350" s="2" t="str">
        <f>IFERROR(INDEX(Product_lookup[Category],MATCH(RawWorking[[#This Row],[ProductID]],Product_lookup[ProductID],0)),"")</f>
        <v>Electronics</v>
      </c>
      <c r="L2350" s="9">
        <f>IF(OR(RawWorking[[#This Row],[ShipDate]]="",RawWorking[[#This Row],[DeliveryDate]]=""),"",RawWorking[[#This Row],[DeliveryDate]]-RawWorking[[#This Row],[ShipDate]])</f>
        <v>7</v>
      </c>
      <c r="M2350" s="9">
        <f>IF(COUNTIF(INDEX(RawWorking[OrderID],1):RawWorking[[#This Row],[OrderID]],RawWorking[[#This Row],[OrderID]])=1,1,0)</f>
        <v>1</v>
      </c>
      <c r="N2350" s="4">
        <f>IFERROR(RawWorking[[#This Row],[LineAmount]]/RawWorking[[#This Row],[Quantity]],"")</f>
        <v>183.74</v>
      </c>
    </row>
    <row r="2351" spans="1:14">
      <c r="A2351">
        <v>52350</v>
      </c>
      <c r="B2351">
        <v>31359</v>
      </c>
      <c r="C2351" s="2">
        <v>45993</v>
      </c>
      <c r="D2351">
        <v>2220</v>
      </c>
      <c r="E2351">
        <v>1016</v>
      </c>
      <c r="F2351">
        <v>3</v>
      </c>
      <c r="G2351">
        <v>195.78</v>
      </c>
      <c r="H2351" s="2" t="s">
        <v>1421</v>
      </c>
      <c r="I2351" s="2" t="s">
        <v>1421</v>
      </c>
      <c r="J2351" t="s">
        <v>12</v>
      </c>
      <c r="K2351" s="2" t="str">
        <f>IFERROR(INDEX(Product_lookup[Category],MATCH(RawWorking[[#This Row],[ProductID]],Product_lookup[ProductID],0)),"")</f>
        <v>Sports</v>
      </c>
      <c r="L2351" s="9" t="str">
        <f>IF(OR(RawWorking[[#This Row],[ShipDate]]="",RawWorking[[#This Row],[DeliveryDate]]=""),"",RawWorking[[#This Row],[DeliveryDate]]-RawWorking[[#This Row],[ShipDate]])</f>
        <v/>
      </c>
      <c r="M2351" s="9">
        <f>IF(COUNTIF(INDEX(RawWorking[OrderID],1):RawWorking[[#This Row],[OrderID]],RawWorking[[#This Row],[OrderID]])=1,1,0)</f>
        <v>1</v>
      </c>
      <c r="N2351" s="4">
        <f>IFERROR(RawWorking[[#This Row],[LineAmount]]/RawWorking[[#This Row],[Quantity]],"")</f>
        <v>65.260000000000005</v>
      </c>
    </row>
    <row r="2352" spans="1:14">
      <c r="A2352">
        <v>52351</v>
      </c>
      <c r="B2352">
        <v>31360</v>
      </c>
      <c r="C2352" s="2">
        <v>45847</v>
      </c>
      <c r="D2352">
        <v>2376</v>
      </c>
      <c r="E2352">
        <v>1006</v>
      </c>
      <c r="F2352">
        <v>1</v>
      </c>
      <c r="G2352">
        <v>253.86</v>
      </c>
      <c r="H2352" s="2">
        <v>45848</v>
      </c>
      <c r="I2352" s="2">
        <v>45851</v>
      </c>
      <c r="J2352" t="s">
        <v>9</v>
      </c>
      <c r="K2352" s="2" t="str">
        <f>IFERROR(INDEX(Product_lookup[Category],MATCH(RawWorking[[#This Row],[ProductID]],Product_lookup[ProductID],0)),"")</f>
        <v>Home</v>
      </c>
      <c r="L2352" s="9">
        <f>IF(OR(RawWorking[[#This Row],[ShipDate]]="",RawWorking[[#This Row],[DeliveryDate]]=""),"",RawWorking[[#This Row],[DeliveryDate]]-RawWorking[[#This Row],[ShipDate]])</f>
        <v>3</v>
      </c>
      <c r="M2352" s="9">
        <f>IF(COUNTIF(INDEX(RawWorking[OrderID],1):RawWorking[[#This Row],[OrderID]],RawWorking[[#This Row],[OrderID]])=1,1,0)</f>
        <v>1</v>
      </c>
      <c r="N2352" s="4">
        <f>IFERROR(RawWorking[[#This Row],[LineAmount]]/RawWorking[[#This Row],[Quantity]],"")</f>
        <v>253.86</v>
      </c>
    </row>
    <row r="2353" spans="1:14">
      <c r="A2353">
        <v>52352</v>
      </c>
      <c r="B2353">
        <v>31361</v>
      </c>
      <c r="C2353" s="2">
        <v>45798</v>
      </c>
      <c r="D2353">
        <v>2451</v>
      </c>
      <c r="E2353">
        <v>1004</v>
      </c>
      <c r="F2353">
        <v>3</v>
      </c>
      <c r="G2353">
        <v>551.22</v>
      </c>
      <c r="H2353" s="2">
        <v>45800</v>
      </c>
      <c r="I2353" s="2">
        <v>45803</v>
      </c>
      <c r="J2353" t="s">
        <v>9</v>
      </c>
      <c r="K2353" s="2" t="str">
        <f>IFERROR(INDEX(Product_lookup[Category],MATCH(RawWorking[[#This Row],[ProductID]],Product_lookup[ProductID],0)),"")</f>
        <v>Electronics</v>
      </c>
      <c r="L2353" s="9">
        <f>IF(OR(RawWorking[[#This Row],[ShipDate]]="",RawWorking[[#This Row],[DeliveryDate]]=""),"",RawWorking[[#This Row],[DeliveryDate]]-RawWorking[[#This Row],[ShipDate]])</f>
        <v>3</v>
      </c>
      <c r="M2353" s="9">
        <f>IF(COUNTIF(INDEX(RawWorking[OrderID],1):RawWorking[[#This Row],[OrderID]],RawWorking[[#This Row],[OrderID]])=1,1,0)</f>
        <v>1</v>
      </c>
      <c r="N2353" s="4">
        <f>IFERROR(RawWorking[[#This Row],[LineAmount]]/RawWorking[[#This Row],[Quantity]],"")</f>
        <v>183.74</v>
      </c>
    </row>
    <row r="2354" spans="1:14">
      <c r="A2354">
        <v>52353</v>
      </c>
      <c r="B2354">
        <v>31361</v>
      </c>
      <c r="C2354" s="2">
        <v>45798</v>
      </c>
      <c r="D2354">
        <v>2451</v>
      </c>
      <c r="E2354">
        <v>1006</v>
      </c>
      <c r="F2354">
        <v>4</v>
      </c>
      <c r="G2354">
        <v>1015.44</v>
      </c>
      <c r="H2354" s="2">
        <v>45799</v>
      </c>
      <c r="I2354" s="2">
        <v>45803</v>
      </c>
      <c r="J2354" t="s">
        <v>9</v>
      </c>
      <c r="K2354" s="2" t="str">
        <f>IFERROR(INDEX(Product_lookup[Category],MATCH(RawWorking[[#This Row],[ProductID]],Product_lookup[ProductID],0)),"")</f>
        <v>Home</v>
      </c>
      <c r="L2354" s="9">
        <f>IF(OR(RawWorking[[#This Row],[ShipDate]]="",RawWorking[[#This Row],[DeliveryDate]]=""),"",RawWorking[[#This Row],[DeliveryDate]]-RawWorking[[#This Row],[ShipDate]])</f>
        <v>4</v>
      </c>
      <c r="M2354" s="9">
        <f>IF(COUNTIF(INDEX(RawWorking[OrderID],1):RawWorking[[#This Row],[OrderID]],RawWorking[[#This Row],[OrderID]])=1,1,0)</f>
        <v>0</v>
      </c>
      <c r="N2354" s="4">
        <f>IFERROR(RawWorking[[#This Row],[LineAmount]]/RawWorking[[#This Row],[Quantity]],"")</f>
        <v>253.86</v>
      </c>
    </row>
    <row r="2355" spans="1:14">
      <c r="A2355">
        <v>52354</v>
      </c>
      <c r="B2355">
        <v>31362</v>
      </c>
      <c r="C2355" s="2">
        <v>45914</v>
      </c>
      <c r="D2355">
        <v>2364</v>
      </c>
      <c r="E2355">
        <v>1014</v>
      </c>
      <c r="F2355">
        <v>1</v>
      </c>
      <c r="G2355">
        <v>215.34</v>
      </c>
      <c r="H2355" s="2">
        <v>45916</v>
      </c>
      <c r="I2355" s="2">
        <v>45919</v>
      </c>
      <c r="J2355" t="s">
        <v>11</v>
      </c>
      <c r="K2355" s="2" t="str">
        <f>IFERROR(INDEX(Product_lookup[Category],MATCH(RawWorking[[#This Row],[ProductID]],Product_lookup[ProductID],0)),"")</f>
        <v>Sports</v>
      </c>
      <c r="L2355" s="9">
        <f>IF(OR(RawWorking[[#This Row],[ShipDate]]="",RawWorking[[#This Row],[DeliveryDate]]=""),"",RawWorking[[#This Row],[DeliveryDate]]-RawWorking[[#This Row],[ShipDate]])</f>
        <v>3</v>
      </c>
      <c r="M2355" s="9">
        <f>IF(COUNTIF(INDEX(RawWorking[OrderID],1):RawWorking[[#This Row],[OrderID]],RawWorking[[#This Row],[OrderID]])=1,1,0)</f>
        <v>1</v>
      </c>
      <c r="N2355" s="4">
        <f>IFERROR(RawWorking[[#This Row],[LineAmount]]/RawWorking[[#This Row],[Quantity]],"")</f>
        <v>215.34</v>
      </c>
    </row>
    <row r="2356" spans="1:14">
      <c r="A2356">
        <v>52355</v>
      </c>
      <c r="B2356">
        <v>31363</v>
      </c>
      <c r="C2356" s="2">
        <v>45903</v>
      </c>
      <c r="D2356">
        <v>2220</v>
      </c>
      <c r="E2356">
        <v>1014</v>
      </c>
      <c r="F2356">
        <v>1</v>
      </c>
      <c r="G2356">
        <v>215.34</v>
      </c>
      <c r="H2356" s="2">
        <v>45906</v>
      </c>
      <c r="I2356" s="2">
        <v>45912</v>
      </c>
      <c r="J2356" t="s">
        <v>9</v>
      </c>
      <c r="K2356" s="2" t="str">
        <f>IFERROR(INDEX(Product_lookup[Category],MATCH(RawWorking[[#This Row],[ProductID]],Product_lookup[ProductID],0)),"")</f>
        <v>Sports</v>
      </c>
      <c r="L2356" s="9">
        <f>IF(OR(RawWorking[[#This Row],[ShipDate]]="",RawWorking[[#This Row],[DeliveryDate]]=""),"",RawWorking[[#This Row],[DeliveryDate]]-RawWorking[[#This Row],[ShipDate]])</f>
        <v>6</v>
      </c>
      <c r="M2356" s="9">
        <f>IF(COUNTIF(INDEX(RawWorking[OrderID],1):RawWorking[[#This Row],[OrderID]],RawWorking[[#This Row],[OrderID]])=1,1,0)</f>
        <v>1</v>
      </c>
      <c r="N2356" s="4">
        <f>IFERROR(RawWorking[[#This Row],[LineAmount]]/RawWorking[[#This Row],[Quantity]],"")</f>
        <v>215.34</v>
      </c>
    </row>
    <row r="2357" spans="1:14">
      <c r="A2357">
        <v>52356</v>
      </c>
      <c r="B2357">
        <v>31364</v>
      </c>
      <c r="C2357" s="2">
        <v>45915</v>
      </c>
      <c r="D2357">
        <v>2116</v>
      </c>
      <c r="E2357">
        <v>1011</v>
      </c>
      <c r="F2357">
        <v>2</v>
      </c>
      <c r="G2357">
        <v>202.88</v>
      </c>
      <c r="H2357" s="2">
        <v>45917</v>
      </c>
      <c r="I2357" s="2" t="s">
        <v>1421</v>
      </c>
      <c r="J2357" t="s">
        <v>16</v>
      </c>
      <c r="K2357" s="2" t="str">
        <f>IFERROR(INDEX(Product_lookup[Category],MATCH(RawWorking[[#This Row],[ProductID]],Product_lookup[ProductID],0)),"")</f>
        <v>Office</v>
      </c>
      <c r="L2357" s="9" t="str">
        <f>IF(OR(RawWorking[[#This Row],[ShipDate]]="",RawWorking[[#This Row],[DeliveryDate]]=""),"",RawWorking[[#This Row],[DeliveryDate]]-RawWorking[[#This Row],[ShipDate]])</f>
        <v/>
      </c>
      <c r="M2357" s="9">
        <f>IF(COUNTIF(INDEX(RawWorking[OrderID],1):RawWorking[[#This Row],[OrderID]],RawWorking[[#This Row],[OrderID]])=1,1,0)</f>
        <v>1</v>
      </c>
      <c r="N2357" s="4">
        <f>IFERROR(RawWorking[[#This Row],[LineAmount]]/RawWorking[[#This Row],[Quantity]],"")</f>
        <v>101.44</v>
      </c>
    </row>
    <row r="2358" spans="1:14">
      <c r="A2358">
        <v>52357</v>
      </c>
      <c r="B2358">
        <v>31364</v>
      </c>
      <c r="C2358" s="2">
        <v>45915</v>
      </c>
      <c r="D2358">
        <v>2116</v>
      </c>
      <c r="E2358">
        <v>1004</v>
      </c>
      <c r="F2358">
        <v>1</v>
      </c>
      <c r="G2358">
        <v>183.74</v>
      </c>
      <c r="H2358" s="2" t="s">
        <v>1421</v>
      </c>
      <c r="I2358" s="2" t="s">
        <v>1421</v>
      </c>
      <c r="J2358" t="s">
        <v>16</v>
      </c>
      <c r="K2358" s="2" t="str">
        <f>IFERROR(INDEX(Product_lookup[Category],MATCH(RawWorking[[#This Row],[ProductID]],Product_lookup[ProductID],0)),"")</f>
        <v>Electronics</v>
      </c>
      <c r="L2358" s="9" t="str">
        <f>IF(OR(RawWorking[[#This Row],[ShipDate]]="",RawWorking[[#This Row],[DeliveryDate]]=""),"",RawWorking[[#This Row],[DeliveryDate]]-RawWorking[[#This Row],[ShipDate]])</f>
        <v/>
      </c>
      <c r="M2358" s="9">
        <f>IF(COUNTIF(INDEX(RawWorking[OrderID],1):RawWorking[[#This Row],[OrderID]],RawWorking[[#This Row],[OrderID]])=1,1,0)</f>
        <v>0</v>
      </c>
      <c r="N2358" s="4">
        <f>IFERROR(RawWorking[[#This Row],[LineAmount]]/RawWorking[[#This Row],[Quantity]],"")</f>
        <v>183.74</v>
      </c>
    </row>
    <row r="2359" spans="1:14">
      <c r="A2359">
        <v>52358</v>
      </c>
      <c r="B2359">
        <v>31364</v>
      </c>
      <c r="C2359" s="2">
        <v>45915</v>
      </c>
      <c r="D2359">
        <v>2116</v>
      </c>
      <c r="E2359">
        <v>1016</v>
      </c>
      <c r="F2359">
        <v>3</v>
      </c>
      <c r="G2359">
        <v>195.78</v>
      </c>
      <c r="H2359" s="2" t="s">
        <v>1421</v>
      </c>
      <c r="I2359" s="2" t="s">
        <v>1421</v>
      </c>
      <c r="J2359" t="s">
        <v>16</v>
      </c>
      <c r="K2359" s="2" t="str">
        <f>IFERROR(INDEX(Product_lookup[Category],MATCH(RawWorking[[#This Row],[ProductID]],Product_lookup[ProductID],0)),"")</f>
        <v>Sports</v>
      </c>
      <c r="L2359" s="9" t="str">
        <f>IF(OR(RawWorking[[#This Row],[ShipDate]]="",RawWorking[[#This Row],[DeliveryDate]]=""),"",RawWorking[[#This Row],[DeliveryDate]]-RawWorking[[#This Row],[ShipDate]])</f>
        <v/>
      </c>
      <c r="M2359" s="9">
        <f>IF(COUNTIF(INDEX(RawWorking[OrderID],1):RawWorking[[#This Row],[OrderID]],RawWorking[[#This Row],[OrderID]])=1,1,0)</f>
        <v>0</v>
      </c>
      <c r="N2359" s="4">
        <f>IFERROR(RawWorking[[#This Row],[LineAmount]]/RawWorking[[#This Row],[Quantity]],"")</f>
        <v>65.260000000000005</v>
      </c>
    </row>
    <row r="2360" spans="1:14">
      <c r="A2360">
        <v>52359</v>
      </c>
      <c r="B2360">
        <v>31365</v>
      </c>
      <c r="C2360" s="2">
        <v>45932</v>
      </c>
      <c r="D2360">
        <v>2296</v>
      </c>
      <c r="E2360">
        <v>1002</v>
      </c>
      <c r="F2360">
        <v>1</v>
      </c>
      <c r="G2360">
        <v>118.6</v>
      </c>
      <c r="H2360" s="2">
        <v>45935</v>
      </c>
      <c r="I2360" s="2">
        <v>45945</v>
      </c>
      <c r="J2360" t="s">
        <v>9</v>
      </c>
      <c r="K2360" s="2" t="str">
        <f>IFERROR(INDEX(Product_lookup[Category],MATCH(RawWorking[[#This Row],[ProductID]],Product_lookup[ProductID],0)),"")</f>
        <v>Electronics</v>
      </c>
      <c r="L2360" s="9">
        <f>IF(OR(RawWorking[[#This Row],[ShipDate]]="",RawWorking[[#This Row],[DeliveryDate]]=""),"",RawWorking[[#This Row],[DeliveryDate]]-RawWorking[[#This Row],[ShipDate]])</f>
        <v>10</v>
      </c>
      <c r="M2360" s="9">
        <f>IF(COUNTIF(INDEX(RawWorking[OrderID],1):RawWorking[[#This Row],[OrderID]],RawWorking[[#This Row],[OrderID]])=1,1,0)</f>
        <v>1</v>
      </c>
      <c r="N2360" s="4">
        <f>IFERROR(RawWorking[[#This Row],[LineAmount]]/RawWorking[[#This Row],[Quantity]],"")</f>
        <v>118.6</v>
      </c>
    </row>
    <row r="2361" spans="1:14">
      <c r="A2361">
        <v>52360</v>
      </c>
      <c r="B2361">
        <v>31366</v>
      </c>
      <c r="C2361" s="2">
        <v>45801</v>
      </c>
      <c r="D2361">
        <v>2085</v>
      </c>
      <c r="E2361">
        <v>1004</v>
      </c>
      <c r="F2361">
        <v>2</v>
      </c>
      <c r="G2361">
        <v>367.48</v>
      </c>
      <c r="H2361" s="2">
        <v>45802</v>
      </c>
      <c r="I2361" s="2">
        <v>45812</v>
      </c>
      <c r="J2361" t="s">
        <v>9</v>
      </c>
      <c r="K2361" s="2" t="str">
        <f>IFERROR(INDEX(Product_lookup[Category],MATCH(RawWorking[[#This Row],[ProductID]],Product_lookup[ProductID],0)),"")</f>
        <v>Electronics</v>
      </c>
      <c r="L2361" s="9">
        <f>IF(OR(RawWorking[[#This Row],[ShipDate]]="",RawWorking[[#This Row],[DeliveryDate]]=""),"",RawWorking[[#This Row],[DeliveryDate]]-RawWorking[[#This Row],[ShipDate]])</f>
        <v>10</v>
      </c>
      <c r="M2361" s="9">
        <f>IF(COUNTIF(INDEX(RawWorking[OrderID],1):RawWorking[[#This Row],[OrderID]],RawWorking[[#This Row],[OrderID]])=1,1,0)</f>
        <v>1</v>
      </c>
      <c r="N2361" s="4">
        <f>IFERROR(RawWorking[[#This Row],[LineAmount]]/RawWorking[[#This Row],[Quantity]],"")</f>
        <v>183.74</v>
      </c>
    </row>
    <row r="2362" spans="1:14">
      <c r="A2362">
        <v>52361</v>
      </c>
      <c r="B2362">
        <v>31367</v>
      </c>
      <c r="C2362" s="2">
        <v>45774</v>
      </c>
      <c r="D2362">
        <v>2395</v>
      </c>
      <c r="E2362">
        <v>1010</v>
      </c>
      <c r="F2362">
        <v>2</v>
      </c>
      <c r="G2362">
        <v>243</v>
      </c>
      <c r="H2362" s="2">
        <v>45775</v>
      </c>
      <c r="I2362" s="2">
        <v>45783</v>
      </c>
      <c r="J2362" t="s">
        <v>9</v>
      </c>
      <c r="K2362" s="2" t="str">
        <f>IFERROR(INDEX(Product_lookup[Category],MATCH(RawWorking[[#This Row],[ProductID]],Product_lookup[ProductID],0)),"")</f>
        <v>Office</v>
      </c>
      <c r="L2362" s="9">
        <f>IF(OR(RawWorking[[#This Row],[ShipDate]]="",RawWorking[[#This Row],[DeliveryDate]]=""),"",RawWorking[[#This Row],[DeliveryDate]]-RawWorking[[#This Row],[ShipDate]])</f>
        <v>8</v>
      </c>
      <c r="M2362" s="9">
        <f>IF(COUNTIF(INDEX(RawWorking[OrderID],1):RawWorking[[#This Row],[OrderID]],RawWorking[[#This Row],[OrderID]])=1,1,0)</f>
        <v>1</v>
      </c>
      <c r="N2362" s="4">
        <f>IFERROR(RawWorking[[#This Row],[LineAmount]]/RawWorking[[#This Row],[Quantity]],"")</f>
        <v>121.5</v>
      </c>
    </row>
    <row r="2363" spans="1:14">
      <c r="A2363">
        <v>52362</v>
      </c>
      <c r="B2363">
        <v>31368</v>
      </c>
      <c r="C2363" s="2">
        <v>45825</v>
      </c>
      <c r="D2363">
        <v>2455</v>
      </c>
      <c r="E2363">
        <v>1014</v>
      </c>
      <c r="F2363">
        <v>1</v>
      </c>
      <c r="G2363">
        <v>215.34</v>
      </c>
      <c r="H2363" s="2">
        <v>45828</v>
      </c>
      <c r="I2363" s="2">
        <v>45834</v>
      </c>
      <c r="J2363" t="s">
        <v>9</v>
      </c>
      <c r="K2363" s="2" t="str">
        <f>IFERROR(INDEX(Product_lookup[Category],MATCH(RawWorking[[#This Row],[ProductID]],Product_lookup[ProductID],0)),"")</f>
        <v>Sports</v>
      </c>
      <c r="L2363" s="9">
        <f>IF(OR(RawWorking[[#This Row],[ShipDate]]="",RawWorking[[#This Row],[DeliveryDate]]=""),"",RawWorking[[#This Row],[DeliveryDate]]-RawWorking[[#This Row],[ShipDate]])</f>
        <v>6</v>
      </c>
      <c r="M2363" s="9">
        <f>IF(COUNTIF(INDEX(RawWorking[OrderID],1):RawWorking[[#This Row],[OrderID]],RawWorking[[#This Row],[OrderID]])=1,1,0)</f>
        <v>1</v>
      </c>
      <c r="N2363" s="4">
        <f>IFERROR(RawWorking[[#This Row],[LineAmount]]/RawWorking[[#This Row],[Quantity]],"")</f>
        <v>215.34</v>
      </c>
    </row>
    <row r="2364" spans="1:14">
      <c r="A2364">
        <v>52363</v>
      </c>
      <c r="B2364">
        <v>31369</v>
      </c>
      <c r="C2364" s="2">
        <v>45954</v>
      </c>
      <c r="D2364">
        <v>2298</v>
      </c>
      <c r="E2364">
        <v>1014</v>
      </c>
      <c r="F2364">
        <v>1</v>
      </c>
      <c r="G2364">
        <v>215.34</v>
      </c>
      <c r="H2364" s="2">
        <v>45955</v>
      </c>
      <c r="I2364" s="2">
        <v>45956</v>
      </c>
      <c r="J2364" t="s">
        <v>11</v>
      </c>
      <c r="K2364" s="2" t="str">
        <f>IFERROR(INDEX(Product_lookup[Category],MATCH(RawWorking[[#This Row],[ProductID]],Product_lookup[ProductID],0)),"")</f>
        <v>Sports</v>
      </c>
      <c r="L2364" s="9">
        <f>IF(OR(RawWorking[[#This Row],[ShipDate]]="",RawWorking[[#This Row],[DeliveryDate]]=""),"",RawWorking[[#This Row],[DeliveryDate]]-RawWorking[[#This Row],[ShipDate]])</f>
        <v>1</v>
      </c>
      <c r="M2364" s="9">
        <f>IF(COUNTIF(INDEX(RawWorking[OrderID],1):RawWorking[[#This Row],[OrderID]],RawWorking[[#This Row],[OrderID]])=1,1,0)</f>
        <v>1</v>
      </c>
      <c r="N2364" s="4">
        <f>IFERROR(RawWorking[[#This Row],[LineAmount]]/RawWorking[[#This Row],[Quantity]],"")</f>
        <v>215.34</v>
      </c>
    </row>
    <row r="2365" spans="1:14">
      <c r="A2365">
        <v>52364</v>
      </c>
      <c r="B2365">
        <v>31370</v>
      </c>
      <c r="C2365" s="2">
        <v>45688</v>
      </c>
      <c r="D2365">
        <v>2194</v>
      </c>
      <c r="E2365">
        <v>1016</v>
      </c>
      <c r="F2365">
        <v>2</v>
      </c>
      <c r="G2365">
        <v>130.52000000000001</v>
      </c>
      <c r="H2365" s="2" t="s">
        <v>1421</v>
      </c>
      <c r="I2365" s="2" t="s">
        <v>1421</v>
      </c>
      <c r="J2365" t="s">
        <v>16</v>
      </c>
      <c r="K2365" s="2" t="str">
        <f>IFERROR(INDEX(Product_lookup[Category],MATCH(RawWorking[[#This Row],[ProductID]],Product_lookup[ProductID],0)),"")</f>
        <v>Sports</v>
      </c>
      <c r="L2365" s="9" t="str">
        <f>IF(OR(RawWorking[[#This Row],[ShipDate]]="",RawWorking[[#This Row],[DeliveryDate]]=""),"",RawWorking[[#This Row],[DeliveryDate]]-RawWorking[[#This Row],[ShipDate]])</f>
        <v/>
      </c>
      <c r="M2365" s="9">
        <f>IF(COUNTIF(INDEX(RawWorking[OrderID],1):RawWorking[[#This Row],[OrderID]],RawWorking[[#This Row],[OrderID]])=1,1,0)</f>
        <v>1</v>
      </c>
      <c r="N2365" s="4">
        <f>IFERROR(RawWorking[[#This Row],[LineAmount]]/RawWorking[[#This Row],[Quantity]],"")</f>
        <v>65.260000000000005</v>
      </c>
    </row>
    <row r="2366" spans="1:14">
      <c r="A2366">
        <v>52365</v>
      </c>
      <c r="B2366">
        <v>31371</v>
      </c>
      <c r="C2366" s="2">
        <v>45849</v>
      </c>
      <c r="D2366">
        <v>2377</v>
      </c>
      <c r="E2366">
        <v>1016</v>
      </c>
      <c r="F2366">
        <v>1</v>
      </c>
      <c r="G2366">
        <v>65.260000000000005</v>
      </c>
      <c r="H2366" s="2">
        <v>45851</v>
      </c>
      <c r="I2366" s="2">
        <v>45858</v>
      </c>
      <c r="J2366" t="s">
        <v>9</v>
      </c>
      <c r="K2366" s="2" t="str">
        <f>IFERROR(INDEX(Product_lookup[Category],MATCH(RawWorking[[#This Row],[ProductID]],Product_lookup[ProductID],0)),"")</f>
        <v>Sports</v>
      </c>
      <c r="L2366" s="9">
        <f>IF(OR(RawWorking[[#This Row],[ShipDate]]="",RawWorking[[#This Row],[DeliveryDate]]=""),"",RawWorking[[#This Row],[DeliveryDate]]-RawWorking[[#This Row],[ShipDate]])</f>
        <v>7</v>
      </c>
      <c r="M2366" s="9">
        <f>IF(COUNTIF(INDEX(RawWorking[OrderID],1):RawWorking[[#This Row],[OrderID]],RawWorking[[#This Row],[OrderID]])=1,1,0)</f>
        <v>1</v>
      </c>
      <c r="N2366" s="4">
        <f>IFERROR(RawWorking[[#This Row],[LineAmount]]/RawWorking[[#This Row],[Quantity]],"")</f>
        <v>65.260000000000005</v>
      </c>
    </row>
    <row r="2367" spans="1:14">
      <c r="A2367">
        <v>52366</v>
      </c>
      <c r="B2367">
        <v>31371</v>
      </c>
      <c r="C2367" s="2">
        <v>45849</v>
      </c>
      <c r="D2367">
        <v>2377</v>
      </c>
      <c r="E2367">
        <v>1004</v>
      </c>
      <c r="F2367">
        <v>1</v>
      </c>
      <c r="G2367">
        <v>183.74</v>
      </c>
      <c r="H2367" s="2">
        <v>45851</v>
      </c>
      <c r="I2367" s="2">
        <v>45852</v>
      </c>
      <c r="J2367" t="s">
        <v>9</v>
      </c>
      <c r="K2367" s="2" t="str">
        <f>IFERROR(INDEX(Product_lookup[Category],MATCH(RawWorking[[#This Row],[ProductID]],Product_lookup[ProductID],0)),"")</f>
        <v>Electronics</v>
      </c>
      <c r="L2367" s="9">
        <f>IF(OR(RawWorking[[#This Row],[ShipDate]]="",RawWorking[[#This Row],[DeliveryDate]]=""),"",RawWorking[[#This Row],[DeliveryDate]]-RawWorking[[#This Row],[ShipDate]])</f>
        <v>1</v>
      </c>
      <c r="M2367" s="9">
        <f>IF(COUNTIF(INDEX(RawWorking[OrderID],1):RawWorking[[#This Row],[OrderID]],RawWorking[[#This Row],[OrderID]])=1,1,0)</f>
        <v>0</v>
      </c>
      <c r="N2367" s="4">
        <f>IFERROR(RawWorking[[#This Row],[LineAmount]]/RawWorking[[#This Row],[Quantity]],"")</f>
        <v>183.74</v>
      </c>
    </row>
    <row r="2368" spans="1:14">
      <c r="A2368">
        <v>52367</v>
      </c>
      <c r="B2368">
        <v>31371</v>
      </c>
      <c r="C2368" s="2">
        <v>45849</v>
      </c>
      <c r="D2368">
        <v>2377</v>
      </c>
      <c r="E2368">
        <v>1013</v>
      </c>
      <c r="F2368">
        <v>2</v>
      </c>
      <c r="G2368">
        <v>340.5</v>
      </c>
      <c r="H2368" s="2">
        <v>45851</v>
      </c>
      <c r="I2368" s="2">
        <v>45856</v>
      </c>
      <c r="J2368" t="s">
        <v>9</v>
      </c>
      <c r="K2368" s="2" t="str">
        <f>IFERROR(INDEX(Product_lookup[Category],MATCH(RawWorking[[#This Row],[ProductID]],Product_lookup[ProductID],0)),"")</f>
        <v>Office</v>
      </c>
      <c r="L2368" s="9">
        <f>IF(OR(RawWorking[[#This Row],[ShipDate]]="",RawWorking[[#This Row],[DeliveryDate]]=""),"",RawWorking[[#This Row],[DeliveryDate]]-RawWorking[[#This Row],[ShipDate]])</f>
        <v>5</v>
      </c>
      <c r="M2368" s="9">
        <f>IF(COUNTIF(INDEX(RawWorking[OrderID],1):RawWorking[[#This Row],[OrderID]],RawWorking[[#This Row],[OrderID]])=1,1,0)</f>
        <v>0</v>
      </c>
      <c r="N2368" s="4">
        <f>IFERROR(RawWorking[[#This Row],[LineAmount]]/RawWorking[[#This Row],[Quantity]],"")</f>
        <v>170.25</v>
      </c>
    </row>
    <row r="2369" spans="1:14">
      <c r="A2369">
        <v>52368</v>
      </c>
      <c r="B2369">
        <v>31371</v>
      </c>
      <c r="C2369" s="2">
        <v>45849</v>
      </c>
      <c r="D2369">
        <v>2377</v>
      </c>
      <c r="E2369">
        <v>1015</v>
      </c>
      <c r="F2369">
        <v>4</v>
      </c>
      <c r="G2369">
        <v>478.96</v>
      </c>
      <c r="H2369" s="2">
        <v>45851</v>
      </c>
      <c r="I2369" s="2">
        <v>45857</v>
      </c>
      <c r="J2369" t="s">
        <v>9</v>
      </c>
      <c r="K2369" s="2" t="str">
        <f>IFERROR(INDEX(Product_lookup[Category],MATCH(RawWorking[[#This Row],[ProductID]],Product_lookup[ProductID],0)),"")</f>
        <v>Sports</v>
      </c>
      <c r="L2369" s="9">
        <f>IF(OR(RawWorking[[#This Row],[ShipDate]]="",RawWorking[[#This Row],[DeliveryDate]]=""),"",RawWorking[[#This Row],[DeliveryDate]]-RawWorking[[#This Row],[ShipDate]])</f>
        <v>6</v>
      </c>
      <c r="M2369" s="9">
        <f>IF(COUNTIF(INDEX(RawWorking[OrderID],1):RawWorking[[#This Row],[OrderID]],RawWorking[[#This Row],[OrderID]])=1,1,0)</f>
        <v>0</v>
      </c>
      <c r="N2369" s="4">
        <f>IFERROR(RawWorking[[#This Row],[LineAmount]]/RawWorking[[#This Row],[Quantity]],"")</f>
        <v>119.74</v>
      </c>
    </row>
    <row r="2370" spans="1:14">
      <c r="A2370">
        <v>52369</v>
      </c>
      <c r="B2370">
        <v>31372</v>
      </c>
      <c r="C2370" s="2">
        <v>45820</v>
      </c>
      <c r="D2370">
        <v>2536</v>
      </c>
      <c r="E2370">
        <v>1003</v>
      </c>
      <c r="F2370">
        <v>1</v>
      </c>
      <c r="G2370">
        <v>224.37</v>
      </c>
      <c r="H2370" s="2">
        <v>45850</v>
      </c>
      <c r="I2370" s="2">
        <v>46000</v>
      </c>
      <c r="J2370" t="s">
        <v>9</v>
      </c>
      <c r="K2370" s="2" t="str">
        <f>IFERROR(INDEX(Product_lookup[Category],MATCH(RawWorking[[#This Row],[ProductID]],Product_lookup[ProductID],0)),"")</f>
        <v>Electronics</v>
      </c>
      <c r="L2370" s="9">
        <f>IF(OR(RawWorking[[#This Row],[ShipDate]]="",RawWorking[[#This Row],[DeliveryDate]]=""),"",RawWorking[[#This Row],[DeliveryDate]]-RawWorking[[#This Row],[ShipDate]])</f>
        <v>150</v>
      </c>
      <c r="M2370" s="9">
        <f>IF(COUNTIF(INDEX(RawWorking[OrderID],1):RawWorking[[#This Row],[OrderID]],RawWorking[[#This Row],[OrderID]])=1,1,0)</f>
        <v>1</v>
      </c>
      <c r="N2370" s="4">
        <f>IFERROR(RawWorking[[#This Row],[LineAmount]]/RawWorking[[#This Row],[Quantity]],"")</f>
        <v>224.37</v>
      </c>
    </row>
    <row r="2371" spans="1:14">
      <c r="A2371">
        <v>52370</v>
      </c>
      <c r="B2371">
        <v>31373</v>
      </c>
      <c r="C2371" s="2">
        <v>45978</v>
      </c>
      <c r="D2371">
        <v>2123</v>
      </c>
      <c r="E2371">
        <v>1013</v>
      </c>
      <c r="F2371">
        <v>1</v>
      </c>
      <c r="G2371">
        <v>170.25</v>
      </c>
      <c r="H2371" s="2">
        <v>45980</v>
      </c>
      <c r="I2371" s="2">
        <v>45986</v>
      </c>
      <c r="J2371" t="s">
        <v>9</v>
      </c>
      <c r="K2371" s="2" t="str">
        <f>IFERROR(INDEX(Product_lookup[Category],MATCH(RawWorking[[#This Row],[ProductID]],Product_lookup[ProductID],0)),"")</f>
        <v>Office</v>
      </c>
      <c r="L2371" s="9">
        <f>IF(OR(RawWorking[[#This Row],[ShipDate]]="",RawWorking[[#This Row],[DeliveryDate]]=""),"",RawWorking[[#This Row],[DeliveryDate]]-RawWorking[[#This Row],[ShipDate]])</f>
        <v>6</v>
      </c>
      <c r="M2371" s="9">
        <f>IF(COUNTIF(INDEX(RawWorking[OrderID],1):RawWorking[[#This Row],[OrderID]],RawWorking[[#This Row],[OrderID]])=1,1,0)</f>
        <v>1</v>
      </c>
      <c r="N2371" s="4">
        <f>IFERROR(RawWorking[[#This Row],[LineAmount]]/RawWorking[[#This Row],[Quantity]],"")</f>
        <v>170.25</v>
      </c>
    </row>
    <row r="2372" spans="1:14">
      <c r="A2372">
        <v>52371</v>
      </c>
      <c r="B2372">
        <v>31373</v>
      </c>
      <c r="C2372" s="2">
        <v>45978</v>
      </c>
      <c r="D2372">
        <v>2123</v>
      </c>
      <c r="E2372">
        <v>1004</v>
      </c>
      <c r="F2372">
        <v>2</v>
      </c>
      <c r="G2372">
        <v>367.48</v>
      </c>
      <c r="H2372" s="2">
        <v>45980</v>
      </c>
      <c r="I2372" s="2">
        <v>45988</v>
      </c>
      <c r="J2372" t="s">
        <v>9</v>
      </c>
      <c r="K2372" s="2" t="str">
        <f>IFERROR(INDEX(Product_lookup[Category],MATCH(RawWorking[[#This Row],[ProductID]],Product_lookup[ProductID],0)),"")</f>
        <v>Electronics</v>
      </c>
      <c r="L2372" s="9">
        <f>IF(OR(RawWorking[[#This Row],[ShipDate]]="",RawWorking[[#This Row],[DeliveryDate]]=""),"",RawWorking[[#This Row],[DeliveryDate]]-RawWorking[[#This Row],[ShipDate]])</f>
        <v>8</v>
      </c>
      <c r="M2372" s="9">
        <f>IF(COUNTIF(INDEX(RawWorking[OrderID],1):RawWorking[[#This Row],[OrderID]],RawWorking[[#This Row],[OrderID]])=1,1,0)</f>
        <v>0</v>
      </c>
      <c r="N2372" s="4">
        <f>IFERROR(RawWorking[[#This Row],[LineAmount]]/RawWorking[[#This Row],[Quantity]],"")</f>
        <v>183.74</v>
      </c>
    </row>
    <row r="2373" spans="1:14">
      <c r="A2373">
        <v>52372</v>
      </c>
      <c r="B2373">
        <v>31374</v>
      </c>
      <c r="C2373" s="2">
        <v>45752</v>
      </c>
      <c r="D2373">
        <v>2173</v>
      </c>
      <c r="E2373">
        <v>1007</v>
      </c>
      <c r="F2373">
        <v>1</v>
      </c>
      <c r="G2373">
        <v>199.81</v>
      </c>
      <c r="H2373" s="2">
        <v>45753</v>
      </c>
      <c r="I2373" s="2">
        <v>45904</v>
      </c>
      <c r="J2373" t="s">
        <v>9</v>
      </c>
      <c r="K2373" s="2" t="str">
        <f>IFERROR(INDEX(Product_lookup[Category],MATCH(RawWorking[[#This Row],[ProductID]],Product_lookup[ProductID],0)),"")</f>
        <v>Home</v>
      </c>
      <c r="L2373" s="9">
        <f>IF(OR(RawWorking[[#This Row],[ShipDate]]="",RawWorking[[#This Row],[DeliveryDate]]=""),"",RawWorking[[#This Row],[DeliveryDate]]-RawWorking[[#This Row],[ShipDate]])</f>
        <v>151</v>
      </c>
      <c r="M2373" s="9">
        <f>IF(COUNTIF(INDEX(RawWorking[OrderID],1):RawWorking[[#This Row],[OrderID]],RawWorking[[#This Row],[OrderID]])=1,1,0)</f>
        <v>1</v>
      </c>
      <c r="N2373" s="4">
        <f>IFERROR(RawWorking[[#This Row],[LineAmount]]/RawWorking[[#This Row],[Quantity]],"")</f>
        <v>199.81</v>
      </c>
    </row>
    <row r="2374" spans="1:14">
      <c r="A2374">
        <v>52373</v>
      </c>
      <c r="B2374">
        <v>31375</v>
      </c>
      <c r="C2374" s="2">
        <v>45802</v>
      </c>
      <c r="D2374">
        <v>2347</v>
      </c>
      <c r="E2374">
        <v>1013</v>
      </c>
      <c r="F2374">
        <v>1</v>
      </c>
      <c r="G2374">
        <v>170.25</v>
      </c>
      <c r="H2374" s="2">
        <v>45805</v>
      </c>
      <c r="I2374" s="2">
        <v>45810</v>
      </c>
      <c r="J2374" t="s">
        <v>9</v>
      </c>
      <c r="K2374" s="2" t="str">
        <f>IFERROR(INDEX(Product_lookup[Category],MATCH(RawWorking[[#This Row],[ProductID]],Product_lookup[ProductID],0)),"")</f>
        <v>Office</v>
      </c>
      <c r="L2374" s="9">
        <f>IF(OR(RawWorking[[#This Row],[ShipDate]]="",RawWorking[[#This Row],[DeliveryDate]]=""),"",RawWorking[[#This Row],[DeliveryDate]]-RawWorking[[#This Row],[ShipDate]])</f>
        <v>5</v>
      </c>
      <c r="M2374" s="9">
        <f>IF(COUNTIF(INDEX(RawWorking[OrderID],1):RawWorking[[#This Row],[OrderID]],RawWorking[[#This Row],[OrderID]])=1,1,0)</f>
        <v>1</v>
      </c>
      <c r="N2374" s="4">
        <f>IFERROR(RawWorking[[#This Row],[LineAmount]]/RawWorking[[#This Row],[Quantity]],"")</f>
        <v>170.25</v>
      </c>
    </row>
    <row r="2375" spans="1:14">
      <c r="A2375">
        <v>52374</v>
      </c>
      <c r="B2375">
        <v>31376</v>
      </c>
      <c r="C2375" s="2">
        <v>45874</v>
      </c>
      <c r="D2375">
        <v>2126</v>
      </c>
      <c r="E2375">
        <v>1014</v>
      </c>
      <c r="F2375">
        <v>3</v>
      </c>
      <c r="G2375">
        <v>646.02</v>
      </c>
      <c r="H2375" s="2">
        <v>45876</v>
      </c>
      <c r="I2375" s="2">
        <v>45882</v>
      </c>
      <c r="J2375" t="s">
        <v>9</v>
      </c>
      <c r="K2375" s="2" t="str">
        <f>IFERROR(INDEX(Product_lookup[Category],MATCH(RawWorking[[#This Row],[ProductID]],Product_lookup[ProductID],0)),"")</f>
        <v>Sports</v>
      </c>
      <c r="L2375" s="9">
        <f>IF(OR(RawWorking[[#This Row],[ShipDate]]="",RawWorking[[#This Row],[DeliveryDate]]=""),"",RawWorking[[#This Row],[DeliveryDate]]-RawWorking[[#This Row],[ShipDate]])</f>
        <v>6</v>
      </c>
      <c r="M2375" s="9">
        <f>IF(COUNTIF(INDEX(RawWorking[OrderID],1):RawWorking[[#This Row],[OrderID]],RawWorking[[#This Row],[OrderID]])=1,1,0)</f>
        <v>1</v>
      </c>
      <c r="N2375" s="4">
        <f>IFERROR(RawWorking[[#This Row],[LineAmount]]/RawWorking[[#This Row],[Quantity]],"")</f>
        <v>215.34</v>
      </c>
    </row>
    <row r="2376" spans="1:14">
      <c r="A2376">
        <v>52375</v>
      </c>
      <c r="B2376">
        <v>31377</v>
      </c>
      <c r="C2376" s="2">
        <v>45876</v>
      </c>
      <c r="D2376">
        <v>2512</v>
      </c>
      <c r="E2376">
        <v>1009</v>
      </c>
      <c r="F2376">
        <v>1</v>
      </c>
      <c r="G2376">
        <v>40.28</v>
      </c>
      <c r="H2376" s="2">
        <v>45879</v>
      </c>
      <c r="I2376" s="2">
        <v>45883</v>
      </c>
      <c r="J2376" t="s">
        <v>9</v>
      </c>
      <c r="K2376" s="2" t="str">
        <f>IFERROR(INDEX(Product_lookup[Category],MATCH(RawWorking[[#This Row],[ProductID]],Product_lookup[ProductID],0)),"")</f>
        <v>Home</v>
      </c>
      <c r="L2376" s="9">
        <f>IF(OR(RawWorking[[#This Row],[ShipDate]]="",RawWorking[[#This Row],[DeliveryDate]]=""),"",RawWorking[[#This Row],[DeliveryDate]]-RawWorking[[#This Row],[ShipDate]])</f>
        <v>4</v>
      </c>
      <c r="M2376" s="9">
        <f>IF(COUNTIF(INDEX(RawWorking[OrderID],1):RawWorking[[#This Row],[OrderID]],RawWorking[[#This Row],[OrderID]])=1,1,0)</f>
        <v>1</v>
      </c>
      <c r="N2376" s="4">
        <f>IFERROR(RawWorking[[#This Row],[LineAmount]]/RawWorking[[#This Row],[Quantity]],"")</f>
        <v>40.28</v>
      </c>
    </row>
    <row r="2377" spans="1:14">
      <c r="A2377">
        <v>52376</v>
      </c>
      <c r="B2377">
        <v>31378</v>
      </c>
      <c r="C2377" s="2">
        <v>45976</v>
      </c>
      <c r="D2377">
        <v>2410</v>
      </c>
      <c r="E2377">
        <v>1013</v>
      </c>
      <c r="F2377">
        <v>1</v>
      </c>
      <c r="G2377">
        <v>170.25</v>
      </c>
      <c r="H2377" s="2">
        <v>45979</v>
      </c>
      <c r="I2377" s="2">
        <v>45986</v>
      </c>
      <c r="J2377" t="s">
        <v>9</v>
      </c>
      <c r="K2377" s="2" t="str">
        <f>IFERROR(INDEX(Product_lookup[Category],MATCH(RawWorking[[#This Row],[ProductID]],Product_lookup[ProductID],0)),"")</f>
        <v>Office</v>
      </c>
      <c r="L2377" s="9">
        <f>IF(OR(RawWorking[[#This Row],[ShipDate]]="",RawWorking[[#This Row],[DeliveryDate]]=""),"",RawWorking[[#This Row],[DeliveryDate]]-RawWorking[[#This Row],[ShipDate]])</f>
        <v>7</v>
      </c>
      <c r="M2377" s="9">
        <f>IF(COUNTIF(INDEX(RawWorking[OrderID],1):RawWorking[[#This Row],[OrderID]],RawWorking[[#This Row],[OrderID]])=1,1,0)</f>
        <v>1</v>
      </c>
      <c r="N2377" s="4">
        <f>IFERROR(RawWorking[[#This Row],[LineAmount]]/RawWorking[[#This Row],[Quantity]],"")</f>
        <v>170.25</v>
      </c>
    </row>
    <row r="2378" spans="1:14">
      <c r="A2378">
        <v>52377</v>
      </c>
      <c r="B2378">
        <v>31378</v>
      </c>
      <c r="C2378" s="2">
        <v>45976</v>
      </c>
      <c r="D2378">
        <v>2410</v>
      </c>
      <c r="E2378">
        <v>1016</v>
      </c>
      <c r="F2378">
        <v>3</v>
      </c>
      <c r="G2378">
        <v>195.78</v>
      </c>
      <c r="H2378" s="2">
        <v>45979</v>
      </c>
      <c r="I2378" s="2">
        <v>45988</v>
      </c>
      <c r="J2378" t="s">
        <v>9</v>
      </c>
      <c r="K2378" s="2" t="str">
        <f>IFERROR(INDEX(Product_lookup[Category],MATCH(RawWorking[[#This Row],[ProductID]],Product_lookup[ProductID],0)),"")</f>
        <v>Sports</v>
      </c>
      <c r="L2378" s="9">
        <f>IF(OR(RawWorking[[#This Row],[ShipDate]]="",RawWorking[[#This Row],[DeliveryDate]]=""),"",RawWorking[[#This Row],[DeliveryDate]]-RawWorking[[#This Row],[ShipDate]])</f>
        <v>9</v>
      </c>
      <c r="M2378" s="9">
        <f>IF(COUNTIF(INDEX(RawWorking[OrderID],1):RawWorking[[#This Row],[OrderID]],RawWorking[[#This Row],[OrderID]])=1,1,0)</f>
        <v>0</v>
      </c>
      <c r="N2378" s="4">
        <f>IFERROR(RawWorking[[#This Row],[LineAmount]]/RawWorking[[#This Row],[Quantity]],"")</f>
        <v>65.260000000000005</v>
      </c>
    </row>
    <row r="2379" spans="1:14">
      <c r="A2379">
        <v>52378</v>
      </c>
      <c r="B2379">
        <v>31379</v>
      </c>
      <c r="C2379" s="2">
        <v>45954</v>
      </c>
      <c r="D2379">
        <v>2524</v>
      </c>
      <c r="E2379">
        <v>1015</v>
      </c>
      <c r="F2379">
        <v>1</v>
      </c>
      <c r="G2379">
        <v>119.74</v>
      </c>
      <c r="H2379" s="2">
        <v>45955</v>
      </c>
      <c r="I2379" s="2">
        <v>45962</v>
      </c>
      <c r="J2379" t="s">
        <v>9</v>
      </c>
      <c r="K2379" s="2" t="str">
        <f>IFERROR(INDEX(Product_lookup[Category],MATCH(RawWorking[[#This Row],[ProductID]],Product_lookup[ProductID],0)),"")</f>
        <v>Sports</v>
      </c>
      <c r="L2379" s="9">
        <f>IF(OR(RawWorking[[#This Row],[ShipDate]]="",RawWorking[[#This Row],[DeliveryDate]]=""),"",RawWorking[[#This Row],[DeliveryDate]]-RawWorking[[#This Row],[ShipDate]])</f>
        <v>7</v>
      </c>
      <c r="M2379" s="9">
        <f>IF(COUNTIF(INDEX(RawWorking[OrderID],1):RawWorking[[#This Row],[OrderID]],RawWorking[[#This Row],[OrderID]])=1,1,0)</f>
        <v>1</v>
      </c>
      <c r="N2379" s="4">
        <f>IFERROR(RawWorking[[#This Row],[LineAmount]]/RawWorking[[#This Row],[Quantity]],"")</f>
        <v>119.74</v>
      </c>
    </row>
    <row r="2380" spans="1:14">
      <c r="A2380">
        <v>52379</v>
      </c>
      <c r="B2380">
        <v>31380</v>
      </c>
      <c r="C2380" s="2">
        <v>45844</v>
      </c>
      <c r="D2380">
        <v>2111</v>
      </c>
      <c r="E2380">
        <v>1016</v>
      </c>
      <c r="F2380">
        <v>2</v>
      </c>
      <c r="G2380">
        <v>130.52000000000001</v>
      </c>
      <c r="H2380" s="2">
        <v>45846</v>
      </c>
      <c r="I2380" s="2">
        <v>45937</v>
      </c>
      <c r="J2380" t="s">
        <v>9</v>
      </c>
      <c r="K2380" s="2" t="str">
        <f>IFERROR(INDEX(Product_lookup[Category],MATCH(RawWorking[[#This Row],[ProductID]],Product_lookup[ProductID],0)),"")</f>
        <v>Sports</v>
      </c>
      <c r="L2380" s="9">
        <f>IF(OR(RawWorking[[#This Row],[ShipDate]]="",RawWorking[[#This Row],[DeliveryDate]]=""),"",RawWorking[[#This Row],[DeliveryDate]]-RawWorking[[#This Row],[ShipDate]])</f>
        <v>91</v>
      </c>
      <c r="M2380" s="9">
        <f>IF(COUNTIF(INDEX(RawWorking[OrderID],1):RawWorking[[#This Row],[OrderID]],RawWorking[[#This Row],[OrderID]])=1,1,0)</f>
        <v>1</v>
      </c>
      <c r="N2380" s="4">
        <f>IFERROR(RawWorking[[#This Row],[LineAmount]]/RawWorking[[#This Row],[Quantity]],"")</f>
        <v>65.260000000000005</v>
      </c>
    </row>
    <row r="2381" spans="1:14">
      <c r="A2381">
        <v>52380</v>
      </c>
      <c r="B2381">
        <v>31380</v>
      </c>
      <c r="C2381" s="2">
        <v>45844</v>
      </c>
      <c r="D2381">
        <v>2111</v>
      </c>
      <c r="E2381">
        <v>1016</v>
      </c>
      <c r="F2381">
        <v>1</v>
      </c>
      <c r="G2381">
        <v>65.260000000000005</v>
      </c>
      <c r="H2381" s="2">
        <v>45845</v>
      </c>
      <c r="I2381" s="2">
        <v>45855</v>
      </c>
      <c r="J2381" t="s">
        <v>9</v>
      </c>
      <c r="K2381" s="2" t="str">
        <f>IFERROR(INDEX(Product_lookup[Category],MATCH(RawWorking[[#This Row],[ProductID]],Product_lookup[ProductID],0)),"")</f>
        <v>Sports</v>
      </c>
      <c r="L2381" s="9">
        <f>IF(OR(RawWorking[[#This Row],[ShipDate]]="",RawWorking[[#This Row],[DeliveryDate]]=""),"",RawWorking[[#This Row],[DeliveryDate]]-RawWorking[[#This Row],[ShipDate]])</f>
        <v>10</v>
      </c>
      <c r="M2381" s="9">
        <f>IF(COUNTIF(INDEX(RawWorking[OrderID],1):RawWorking[[#This Row],[OrderID]],RawWorking[[#This Row],[OrderID]])=1,1,0)</f>
        <v>0</v>
      </c>
      <c r="N2381" s="4">
        <f>IFERROR(RawWorking[[#This Row],[LineAmount]]/RawWorking[[#This Row],[Quantity]],"")</f>
        <v>65.260000000000005</v>
      </c>
    </row>
    <row r="2382" spans="1:14">
      <c r="A2382">
        <v>52381</v>
      </c>
      <c r="B2382">
        <v>31381</v>
      </c>
      <c r="C2382" s="2">
        <v>45837</v>
      </c>
      <c r="D2382">
        <v>2237</v>
      </c>
      <c r="E2382">
        <v>1005</v>
      </c>
      <c r="F2382">
        <v>2</v>
      </c>
      <c r="G2382">
        <v>63.46</v>
      </c>
      <c r="H2382" s="2">
        <v>45840</v>
      </c>
      <c r="I2382" s="2">
        <v>45848</v>
      </c>
      <c r="J2382" t="s">
        <v>9</v>
      </c>
      <c r="K2382" s="2" t="str">
        <f>IFERROR(INDEX(Product_lookup[Category],MATCH(RawWorking[[#This Row],[ProductID]],Product_lookup[ProductID],0)),"")</f>
        <v>Electronics</v>
      </c>
      <c r="L2382" s="9">
        <f>IF(OR(RawWorking[[#This Row],[ShipDate]]="",RawWorking[[#This Row],[DeliveryDate]]=""),"",RawWorking[[#This Row],[DeliveryDate]]-RawWorking[[#This Row],[ShipDate]])</f>
        <v>8</v>
      </c>
      <c r="M2382" s="9">
        <f>IF(COUNTIF(INDEX(RawWorking[OrderID],1):RawWorking[[#This Row],[OrderID]],RawWorking[[#This Row],[OrderID]])=1,1,0)</f>
        <v>1</v>
      </c>
      <c r="N2382" s="4">
        <f>IFERROR(RawWorking[[#This Row],[LineAmount]]/RawWorking[[#This Row],[Quantity]],"")</f>
        <v>31.73</v>
      </c>
    </row>
    <row r="2383" spans="1:14">
      <c r="A2383">
        <v>52382</v>
      </c>
      <c r="B2383">
        <v>31382</v>
      </c>
      <c r="C2383" s="2">
        <v>45927</v>
      </c>
      <c r="D2383">
        <v>2031</v>
      </c>
      <c r="E2383">
        <v>1002</v>
      </c>
      <c r="F2383">
        <v>1</v>
      </c>
      <c r="G2383">
        <v>118.6</v>
      </c>
      <c r="H2383" s="2">
        <v>45929</v>
      </c>
      <c r="I2383" s="2">
        <v>45930</v>
      </c>
      <c r="J2383" t="s">
        <v>9</v>
      </c>
      <c r="K2383" s="2" t="str">
        <f>IFERROR(INDEX(Product_lookup[Category],MATCH(RawWorking[[#This Row],[ProductID]],Product_lookup[ProductID],0)),"")</f>
        <v>Electronics</v>
      </c>
      <c r="L2383" s="9">
        <f>IF(OR(RawWorking[[#This Row],[ShipDate]]="",RawWorking[[#This Row],[DeliveryDate]]=""),"",RawWorking[[#This Row],[DeliveryDate]]-RawWorking[[#This Row],[ShipDate]])</f>
        <v>1</v>
      </c>
      <c r="M2383" s="9">
        <f>IF(COUNTIF(INDEX(RawWorking[OrderID],1):RawWorking[[#This Row],[OrderID]],RawWorking[[#This Row],[OrderID]])=1,1,0)</f>
        <v>1</v>
      </c>
      <c r="N2383" s="4">
        <f>IFERROR(RawWorking[[#This Row],[LineAmount]]/RawWorking[[#This Row],[Quantity]],"")</f>
        <v>118.6</v>
      </c>
    </row>
    <row r="2384" spans="1:14">
      <c r="A2384">
        <v>52383</v>
      </c>
      <c r="B2384">
        <v>31382</v>
      </c>
      <c r="C2384" s="2">
        <v>45927</v>
      </c>
      <c r="D2384">
        <v>2031</v>
      </c>
      <c r="E2384">
        <v>1003</v>
      </c>
      <c r="F2384">
        <v>1</v>
      </c>
      <c r="G2384">
        <v>224.37</v>
      </c>
      <c r="H2384" s="2">
        <v>45930</v>
      </c>
      <c r="I2384" s="2">
        <v>45932</v>
      </c>
      <c r="J2384" t="s">
        <v>9</v>
      </c>
      <c r="K2384" s="2" t="str">
        <f>IFERROR(INDEX(Product_lookup[Category],MATCH(RawWorking[[#This Row],[ProductID]],Product_lookup[ProductID],0)),"")</f>
        <v>Electronics</v>
      </c>
      <c r="L2384" s="9">
        <f>IF(OR(RawWorking[[#This Row],[ShipDate]]="",RawWorking[[#This Row],[DeliveryDate]]=""),"",RawWorking[[#This Row],[DeliveryDate]]-RawWorking[[#This Row],[ShipDate]])</f>
        <v>2</v>
      </c>
      <c r="M2384" s="9">
        <f>IF(COUNTIF(INDEX(RawWorking[OrderID],1):RawWorking[[#This Row],[OrderID]],RawWorking[[#This Row],[OrderID]])=1,1,0)</f>
        <v>0</v>
      </c>
      <c r="N2384" s="4">
        <f>IFERROR(RawWorking[[#This Row],[LineAmount]]/RawWorking[[#This Row],[Quantity]],"")</f>
        <v>224.37</v>
      </c>
    </row>
    <row r="2385" spans="1:14">
      <c r="A2385">
        <v>52384</v>
      </c>
      <c r="B2385">
        <v>31383</v>
      </c>
      <c r="C2385" s="2">
        <v>45927</v>
      </c>
      <c r="D2385">
        <v>2511</v>
      </c>
      <c r="E2385">
        <v>1006</v>
      </c>
      <c r="F2385">
        <v>1</v>
      </c>
      <c r="G2385">
        <v>253.86</v>
      </c>
      <c r="H2385" s="2">
        <v>45928</v>
      </c>
      <c r="I2385" s="2">
        <v>45934</v>
      </c>
      <c r="J2385" t="s">
        <v>9</v>
      </c>
      <c r="K2385" s="2" t="str">
        <f>IFERROR(INDEX(Product_lookup[Category],MATCH(RawWorking[[#This Row],[ProductID]],Product_lookup[ProductID],0)),"")</f>
        <v>Home</v>
      </c>
      <c r="L2385" s="9">
        <f>IF(OR(RawWorking[[#This Row],[ShipDate]]="",RawWorking[[#This Row],[DeliveryDate]]=""),"",RawWorking[[#This Row],[DeliveryDate]]-RawWorking[[#This Row],[ShipDate]])</f>
        <v>6</v>
      </c>
      <c r="M2385" s="9">
        <f>IF(COUNTIF(INDEX(RawWorking[OrderID],1):RawWorking[[#This Row],[OrderID]],RawWorking[[#This Row],[OrderID]])=1,1,0)</f>
        <v>1</v>
      </c>
      <c r="N2385" s="4">
        <f>IFERROR(RawWorking[[#This Row],[LineAmount]]/RawWorking[[#This Row],[Quantity]],"")</f>
        <v>253.86</v>
      </c>
    </row>
    <row r="2386" spans="1:14">
      <c r="A2386">
        <v>52385</v>
      </c>
      <c r="B2386">
        <v>31383</v>
      </c>
      <c r="C2386" s="2">
        <v>45927</v>
      </c>
      <c r="D2386">
        <v>2511</v>
      </c>
      <c r="E2386">
        <v>1013</v>
      </c>
      <c r="F2386">
        <v>3</v>
      </c>
      <c r="G2386">
        <v>510.75</v>
      </c>
      <c r="H2386" s="2">
        <v>45929</v>
      </c>
      <c r="I2386" s="2">
        <v>45932</v>
      </c>
      <c r="J2386" t="s">
        <v>9</v>
      </c>
      <c r="K2386" s="2" t="str">
        <f>IFERROR(INDEX(Product_lookup[Category],MATCH(RawWorking[[#This Row],[ProductID]],Product_lookup[ProductID],0)),"")</f>
        <v>Office</v>
      </c>
      <c r="L2386" s="9">
        <f>IF(OR(RawWorking[[#This Row],[ShipDate]]="",RawWorking[[#This Row],[DeliveryDate]]=""),"",RawWorking[[#This Row],[DeliveryDate]]-RawWorking[[#This Row],[ShipDate]])</f>
        <v>3</v>
      </c>
      <c r="M2386" s="9">
        <f>IF(COUNTIF(INDEX(RawWorking[OrderID],1):RawWorking[[#This Row],[OrderID]],RawWorking[[#This Row],[OrderID]])=1,1,0)</f>
        <v>0</v>
      </c>
      <c r="N2386" s="4">
        <f>IFERROR(RawWorking[[#This Row],[LineAmount]]/RawWorking[[#This Row],[Quantity]],"")</f>
        <v>170.25</v>
      </c>
    </row>
    <row r="2387" spans="1:14">
      <c r="A2387">
        <v>52386</v>
      </c>
      <c r="B2387">
        <v>31384</v>
      </c>
      <c r="C2387" s="2">
        <v>45971</v>
      </c>
      <c r="D2387">
        <v>2335</v>
      </c>
      <c r="E2387">
        <v>1004</v>
      </c>
      <c r="F2387">
        <v>3</v>
      </c>
      <c r="G2387">
        <v>551.22</v>
      </c>
      <c r="H2387" s="2">
        <v>45974</v>
      </c>
      <c r="I2387" s="2">
        <v>45982</v>
      </c>
      <c r="J2387" t="s">
        <v>9</v>
      </c>
      <c r="K2387" s="2" t="str">
        <f>IFERROR(INDEX(Product_lookup[Category],MATCH(RawWorking[[#This Row],[ProductID]],Product_lookup[ProductID],0)),"")</f>
        <v>Electronics</v>
      </c>
      <c r="L2387" s="9">
        <f>IF(OR(RawWorking[[#This Row],[ShipDate]]="",RawWorking[[#This Row],[DeliveryDate]]=""),"",RawWorking[[#This Row],[DeliveryDate]]-RawWorking[[#This Row],[ShipDate]])</f>
        <v>8</v>
      </c>
      <c r="M2387" s="9">
        <f>IF(COUNTIF(INDEX(RawWorking[OrderID],1):RawWorking[[#This Row],[OrderID]],RawWorking[[#This Row],[OrderID]])=1,1,0)</f>
        <v>1</v>
      </c>
      <c r="N2387" s="4">
        <f>IFERROR(RawWorking[[#This Row],[LineAmount]]/RawWorking[[#This Row],[Quantity]],"")</f>
        <v>183.74</v>
      </c>
    </row>
    <row r="2388" spans="1:14">
      <c r="A2388">
        <v>52387</v>
      </c>
      <c r="B2388">
        <v>31384</v>
      </c>
      <c r="C2388" s="2">
        <v>45971</v>
      </c>
      <c r="D2388">
        <v>2335</v>
      </c>
      <c r="E2388">
        <v>1003</v>
      </c>
      <c r="F2388">
        <v>2</v>
      </c>
      <c r="G2388">
        <v>448.74</v>
      </c>
      <c r="H2388" s="2">
        <v>45973</v>
      </c>
      <c r="I2388" s="2">
        <v>45981</v>
      </c>
      <c r="J2388" t="s">
        <v>9</v>
      </c>
      <c r="K2388" s="2" t="str">
        <f>IFERROR(INDEX(Product_lookup[Category],MATCH(RawWorking[[#This Row],[ProductID]],Product_lookup[ProductID],0)),"")</f>
        <v>Electronics</v>
      </c>
      <c r="L2388" s="9">
        <f>IF(OR(RawWorking[[#This Row],[ShipDate]]="",RawWorking[[#This Row],[DeliveryDate]]=""),"",RawWorking[[#This Row],[DeliveryDate]]-RawWorking[[#This Row],[ShipDate]])</f>
        <v>8</v>
      </c>
      <c r="M2388" s="9">
        <f>IF(COUNTIF(INDEX(RawWorking[OrderID],1):RawWorking[[#This Row],[OrderID]],RawWorking[[#This Row],[OrderID]])=1,1,0)</f>
        <v>0</v>
      </c>
      <c r="N2388" s="4">
        <f>IFERROR(RawWorking[[#This Row],[LineAmount]]/RawWorking[[#This Row],[Quantity]],"")</f>
        <v>224.37</v>
      </c>
    </row>
    <row r="2389" spans="1:14">
      <c r="A2389">
        <v>52388</v>
      </c>
      <c r="B2389">
        <v>31384</v>
      </c>
      <c r="C2389" s="2">
        <v>45941</v>
      </c>
      <c r="D2389">
        <v>2335</v>
      </c>
      <c r="E2389">
        <v>1016</v>
      </c>
      <c r="F2389">
        <v>1</v>
      </c>
      <c r="G2389">
        <v>65.260000000000005</v>
      </c>
      <c r="H2389" s="2">
        <v>45974</v>
      </c>
      <c r="I2389" s="2">
        <v>45980</v>
      </c>
      <c r="J2389" t="s">
        <v>9</v>
      </c>
      <c r="K2389" s="2" t="str">
        <f>IFERROR(INDEX(Product_lookup[Category],MATCH(RawWorking[[#This Row],[ProductID]],Product_lookup[ProductID],0)),"")</f>
        <v>Sports</v>
      </c>
      <c r="L2389" s="9">
        <f>IF(OR(RawWorking[[#This Row],[ShipDate]]="",RawWorking[[#This Row],[DeliveryDate]]=""),"",RawWorking[[#This Row],[DeliveryDate]]-RawWorking[[#This Row],[ShipDate]])</f>
        <v>6</v>
      </c>
      <c r="M2389" s="9">
        <f>IF(COUNTIF(INDEX(RawWorking[OrderID],1):RawWorking[[#This Row],[OrderID]],RawWorking[[#This Row],[OrderID]])=1,1,0)</f>
        <v>0</v>
      </c>
      <c r="N2389" s="4">
        <f>IFERROR(RawWorking[[#This Row],[LineAmount]]/RawWorking[[#This Row],[Quantity]],"")</f>
        <v>65.260000000000005</v>
      </c>
    </row>
    <row r="2390" spans="1:14">
      <c r="A2390">
        <v>52389</v>
      </c>
      <c r="B2390">
        <v>31384</v>
      </c>
      <c r="C2390" s="2">
        <v>45941</v>
      </c>
      <c r="D2390">
        <v>2335</v>
      </c>
      <c r="E2390">
        <v>1015</v>
      </c>
      <c r="F2390">
        <v>1</v>
      </c>
      <c r="G2390">
        <v>119.74</v>
      </c>
      <c r="H2390" s="2">
        <v>45972</v>
      </c>
      <c r="I2390" s="2">
        <v>45982</v>
      </c>
      <c r="J2390" t="s">
        <v>9</v>
      </c>
      <c r="K2390" s="2" t="str">
        <f>IFERROR(INDEX(Product_lookup[Category],MATCH(RawWorking[[#This Row],[ProductID]],Product_lookup[ProductID],0)),"")</f>
        <v>Sports</v>
      </c>
      <c r="L2390" s="9">
        <f>IF(OR(RawWorking[[#This Row],[ShipDate]]="",RawWorking[[#This Row],[DeliveryDate]]=""),"",RawWorking[[#This Row],[DeliveryDate]]-RawWorking[[#This Row],[ShipDate]])</f>
        <v>10</v>
      </c>
      <c r="M2390" s="9">
        <f>IF(COUNTIF(INDEX(RawWorking[OrderID],1):RawWorking[[#This Row],[OrderID]],RawWorking[[#This Row],[OrderID]])=1,1,0)</f>
        <v>0</v>
      </c>
      <c r="N2390" s="4">
        <f>IFERROR(RawWorking[[#This Row],[LineAmount]]/RawWorking[[#This Row],[Quantity]],"")</f>
        <v>119.74</v>
      </c>
    </row>
    <row r="2391" spans="1:14">
      <c r="A2391">
        <v>52390</v>
      </c>
      <c r="B2391">
        <v>31385</v>
      </c>
      <c r="C2391" s="2">
        <v>45946</v>
      </c>
      <c r="D2391">
        <v>2207</v>
      </c>
      <c r="E2391">
        <v>1016</v>
      </c>
      <c r="F2391">
        <v>1</v>
      </c>
      <c r="G2391">
        <v>65.260000000000005</v>
      </c>
      <c r="H2391" s="2">
        <v>45948</v>
      </c>
      <c r="I2391" s="2">
        <v>45952</v>
      </c>
      <c r="J2391" t="s">
        <v>9</v>
      </c>
      <c r="K2391" s="2" t="str">
        <f>IFERROR(INDEX(Product_lookup[Category],MATCH(RawWorking[[#This Row],[ProductID]],Product_lookup[ProductID],0)),"")</f>
        <v>Sports</v>
      </c>
      <c r="L2391" s="9">
        <f>IF(OR(RawWorking[[#This Row],[ShipDate]]="",RawWorking[[#This Row],[DeliveryDate]]=""),"",RawWorking[[#This Row],[DeliveryDate]]-RawWorking[[#This Row],[ShipDate]])</f>
        <v>4</v>
      </c>
      <c r="M2391" s="9">
        <f>IF(COUNTIF(INDEX(RawWorking[OrderID],1):RawWorking[[#This Row],[OrderID]],RawWorking[[#This Row],[OrderID]])=1,1,0)</f>
        <v>1</v>
      </c>
      <c r="N2391" s="4">
        <f>IFERROR(RawWorking[[#This Row],[LineAmount]]/RawWorking[[#This Row],[Quantity]],"")</f>
        <v>65.260000000000005</v>
      </c>
    </row>
    <row r="2392" spans="1:14">
      <c r="A2392">
        <v>52391</v>
      </c>
      <c r="B2392">
        <v>31386</v>
      </c>
      <c r="C2392" s="2">
        <v>45911</v>
      </c>
      <c r="D2392">
        <v>2503</v>
      </c>
      <c r="E2392">
        <v>1011</v>
      </c>
      <c r="F2392">
        <v>3</v>
      </c>
      <c r="G2392">
        <v>304.32</v>
      </c>
      <c r="H2392" s="2">
        <v>45914</v>
      </c>
      <c r="I2392" s="2">
        <v>45922</v>
      </c>
      <c r="J2392" t="s">
        <v>9</v>
      </c>
      <c r="K2392" s="2" t="str">
        <f>IFERROR(INDEX(Product_lookup[Category],MATCH(RawWorking[[#This Row],[ProductID]],Product_lookup[ProductID],0)),"")</f>
        <v>Office</v>
      </c>
      <c r="L2392" s="9">
        <f>IF(OR(RawWorking[[#This Row],[ShipDate]]="",RawWorking[[#This Row],[DeliveryDate]]=""),"",RawWorking[[#This Row],[DeliveryDate]]-RawWorking[[#This Row],[ShipDate]])</f>
        <v>8</v>
      </c>
      <c r="M2392" s="9">
        <f>IF(COUNTIF(INDEX(RawWorking[OrderID],1):RawWorking[[#This Row],[OrderID]],RawWorking[[#This Row],[OrderID]])=1,1,0)</f>
        <v>1</v>
      </c>
      <c r="N2392" s="4">
        <f>IFERROR(RawWorking[[#This Row],[LineAmount]]/RawWorking[[#This Row],[Quantity]],"")</f>
        <v>101.44</v>
      </c>
    </row>
    <row r="2393" spans="1:14">
      <c r="A2393">
        <v>52392</v>
      </c>
      <c r="B2393">
        <v>31387</v>
      </c>
      <c r="C2393" s="2">
        <v>45926</v>
      </c>
      <c r="D2393">
        <v>2554</v>
      </c>
      <c r="E2393">
        <v>1002</v>
      </c>
      <c r="F2393">
        <v>3</v>
      </c>
      <c r="G2393">
        <v>355.8</v>
      </c>
      <c r="H2393" s="2">
        <v>45929</v>
      </c>
      <c r="I2393" s="2">
        <v>45932</v>
      </c>
      <c r="J2393" t="s">
        <v>9</v>
      </c>
      <c r="K2393" s="2" t="str">
        <f>IFERROR(INDEX(Product_lookup[Category],MATCH(RawWorking[[#This Row],[ProductID]],Product_lookup[ProductID],0)),"")</f>
        <v>Electronics</v>
      </c>
      <c r="L2393" s="9">
        <f>IF(OR(RawWorking[[#This Row],[ShipDate]]="",RawWorking[[#This Row],[DeliveryDate]]=""),"",RawWorking[[#This Row],[DeliveryDate]]-RawWorking[[#This Row],[ShipDate]])</f>
        <v>3</v>
      </c>
      <c r="M2393" s="9">
        <f>IF(COUNTIF(INDEX(RawWorking[OrderID],1):RawWorking[[#This Row],[OrderID]],RawWorking[[#This Row],[OrderID]])=1,1,0)</f>
        <v>1</v>
      </c>
      <c r="N2393" s="4">
        <f>IFERROR(RawWorking[[#This Row],[LineAmount]]/RawWorking[[#This Row],[Quantity]],"")</f>
        <v>118.60000000000001</v>
      </c>
    </row>
    <row r="2394" spans="1:14">
      <c r="A2394">
        <v>52393</v>
      </c>
      <c r="B2394">
        <v>31387</v>
      </c>
      <c r="C2394" s="2">
        <v>45926</v>
      </c>
      <c r="D2394">
        <v>2554</v>
      </c>
      <c r="E2394">
        <v>1014</v>
      </c>
      <c r="F2394">
        <v>2</v>
      </c>
      <c r="G2394">
        <v>430.68</v>
      </c>
      <c r="H2394" s="2">
        <v>45928</v>
      </c>
      <c r="I2394" s="2">
        <v>45929</v>
      </c>
      <c r="J2394" t="s">
        <v>9</v>
      </c>
      <c r="K2394" s="2" t="str">
        <f>IFERROR(INDEX(Product_lookup[Category],MATCH(RawWorking[[#This Row],[ProductID]],Product_lookup[ProductID],0)),"")</f>
        <v>Sports</v>
      </c>
      <c r="L2394" s="9">
        <f>IF(OR(RawWorking[[#This Row],[ShipDate]]="",RawWorking[[#This Row],[DeliveryDate]]=""),"",RawWorking[[#This Row],[DeliveryDate]]-RawWorking[[#This Row],[ShipDate]])</f>
        <v>1</v>
      </c>
      <c r="M2394" s="9">
        <f>IF(COUNTIF(INDEX(RawWorking[OrderID],1):RawWorking[[#This Row],[OrderID]],RawWorking[[#This Row],[OrderID]])=1,1,0)</f>
        <v>0</v>
      </c>
      <c r="N2394" s="4">
        <f>IFERROR(RawWorking[[#This Row],[LineAmount]]/RawWorking[[#This Row],[Quantity]],"")</f>
        <v>215.34</v>
      </c>
    </row>
    <row r="2395" spans="1:14">
      <c r="A2395">
        <v>52394</v>
      </c>
      <c r="B2395">
        <v>31387</v>
      </c>
      <c r="C2395" s="2">
        <v>45926</v>
      </c>
      <c r="D2395">
        <v>2554</v>
      </c>
      <c r="E2395">
        <v>1004</v>
      </c>
      <c r="F2395">
        <v>5</v>
      </c>
      <c r="G2395">
        <v>918.7</v>
      </c>
      <c r="H2395" s="2">
        <v>45928</v>
      </c>
      <c r="I2395" s="2">
        <v>45931</v>
      </c>
      <c r="J2395" t="s">
        <v>9</v>
      </c>
      <c r="K2395" s="2" t="str">
        <f>IFERROR(INDEX(Product_lookup[Category],MATCH(RawWorking[[#This Row],[ProductID]],Product_lookup[ProductID],0)),"")</f>
        <v>Electronics</v>
      </c>
      <c r="L2395" s="9">
        <f>IF(OR(RawWorking[[#This Row],[ShipDate]]="",RawWorking[[#This Row],[DeliveryDate]]=""),"",RawWorking[[#This Row],[DeliveryDate]]-RawWorking[[#This Row],[ShipDate]])</f>
        <v>3</v>
      </c>
      <c r="M2395" s="9">
        <f>IF(COUNTIF(INDEX(RawWorking[OrderID],1):RawWorking[[#This Row],[OrderID]],RawWorking[[#This Row],[OrderID]])=1,1,0)</f>
        <v>0</v>
      </c>
      <c r="N2395" s="4">
        <f>IFERROR(RawWorking[[#This Row],[LineAmount]]/RawWorking[[#This Row],[Quantity]],"")</f>
        <v>183.74</v>
      </c>
    </row>
    <row r="2396" spans="1:14">
      <c r="A2396">
        <v>52395</v>
      </c>
      <c r="B2396">
        <v>31387</v>
      </c>
      <c r="C2396" s="2">
        <v>45926</v>
      </c>
      <c r="D2396">
        <v>2554</v>
      </c>
      <c r="E2396">
        <v>1013</v>
      </c>
      <c r="F2396">
        <v>2</v>
      </c>
      <c r="G2396">
        <v>340.5</v>
      </c>
      <c r="H2396" s="2">
        <v>45927</v>
      </c>
      <c r="I2396" s="2">
        <v>45936</v>
      </c>
      <c r="J2396" t="s">
        <v>9</v>
      </c>
      <c r="K2396" s="2" t="str">
        <f>IFERROR(INDEX(Product_lookup[Category],MATCH(RawWorking[[#This Row],[ProductID]],Product_lookup[ProductID],0)),"")</f>
        <v>Office</v>
      </c>
      <c r="L2396" s="9">
        <f>IF(OR(RawWorking[[#This Row],[ShipDate]]="",RawWorking[[#This Row],[DeliveryDate]]=""),"",RawWorking[[#This Row],[DeliveryDate]]-RawWorking[[#This Row],[ShipDate]])</f>
        <v>9</v>
      </c>
      <c r="M2396" s="9">
        <f>IF(COUNTIF(INDEX(RawWorking[OrderID],1):RawWorking[[#This Row],[OrderID]],RawWorking[[#This Row],[OrderID]])=1,1,0)</f>
        <v>0</v>
      </c>
      <c r="N2396" s="4">
        <f>IFERROR(RawWorking[[#This Row],[LineAmount]]/RawWorking[[#This Row],[Quantity]],"")</f>
        <v>170.25</v>
      </c>
    </row>
    <row r="2397" spans="1:14">
      <c r="A2397">
        <v>52396</v>
      </c>
      <c r="B2397">
        <v>31388</v>
      </c>
      <c r="C2397" s="2">
        <v>45869</v>
      </c>
      <c r="D2397">
        <v>2461</v>
      </c>
      <c r="E2397">
        <v>1013</v>
      </c>
      <c r="F2397">
        <v>1</v>
      </c>
      <c r="G2397">
        <v>170.25</v>
      </c>
      <c r="H2397" s="2">
        <v>45870</v>
      </c>
      <c r="I2397" s="2">
        <v>45877</v>
      </c>
      <c r="J2397" t="s">
        <v>9</v>
      </c>
      <c r="K2397" s="2" t="str">
        <f>IFERROR(INDEX(Product_lookup[Category],MATCH(RawWorking[[#This Row],[ProductID]],Product_lookup[ProductID],0)),"")</f>
        <v>Office</v>
      </c>
      <c r="L2397" s="9">
        <f>IF(OR(RawWorking[[#This Row],[ShipDate]]="",RawWorking[[#This Row],[DeliveryDate]]=""),"",RawWorking[[#This Row],[DeliveryDate]]-RawWorking[[#This Row],[ShipDate]])</f>
        <v>7</v>
      </c>
      <c r="M2397" s="9">
        <f>IF(COUNTIF(INDEX(RawWorking[OrderID],1):RawWorking[[#This Row],[OrderID]],RawWorking[[#This Row],[OrderID]])=1,1,0)</f>
        <v>1</v>
      </c>
      <c r="N2397" s="4">
        <f>IFERROR(RawWorking[[#This Row],[LineAmount]]/RawWorking[[#This Row],[Quantity]],"")</f>
        <v>170.25</v>
      </c>
    </row>
    <row r="2398" spans="1:14">
      <c r="A2398">
        <v>52397</v>
      </c>
      <c r="B2398">
        <v>31388</v>
      </c>
      <c r="C2398" s="2">
        <v>45869</v>
      </c>
      <c r="D2398">
        <v>2461</v>
      </c>
      <c r="E2398">
        <v>1015</v>
      </c>
      <c r="F2398">
        <v>1</v>
      </c>
      <c r="G2398">
        <v>119.74</v>
      </c>
      <c r="H2398" s="2">
        <v>45871</v>
      </c>
      <c r="I2398" s="2">
        <v>45873</v>
      </c>
      <c r="J2398" t="s">
        <v>9</v>
      </c>
      <c r="K2398" s="2" t="str">
        <f>IFERROR(INDEX(Product_lookup[Category],MATCH(RawWorking[[#This Row],[ProductID]],Product_lookup[ProductID],0)),"")</f>
        <v>Sports</v>
      </c>
      <c r="L2398" s="9">
        <f>IF(OR(RawWorking[[#This Row],[ShipDate]]="",RawWorking[[#This Row],[DeliveryDate]]=""),"",RawWorking[[#This Row],[DeliveryDate]]-RawWorking[[#This Row],[ShipDate]])</f>
        <v>2</v>
      </c>
      <c r="M2398" s="9">
        <f>IF(COUNTIF(INDEX(RawWorking[OrderID],1):RawWorking[[#This Row],[OrderID]],RawWorking[[#This Row],[OrderID]])=1,1,0)</f>
        <v>0</v>
      </c>
      <c r="N2398" s="4">
        <f>IFERROR(RawWorking[[#This Row],[LineAmount]]/RawWorking[[#This Row],[Quantity]],"")</f>
        <v>119.74</v>
      </c>
    </row>
    <row r="2399" spans="1:14">
      <c r="A2399">
        <v>52398</v>
      </c>
      <c r="B2399">
        <v>31388</v>
      </c>
      <c r="C2399" s="2">
        <v>45869</v>
      </c>
      <c r="D2399">
        <v>2461</v>
      </c>
      <c r="E2399">
        <v>1015</v>
      </c>
      <c r="F2399">
        <v>2</v>
      </c>
      <c r="G2399">
        <v>239.48</v>
      </c>
      <c r="H2399" s="2">
        <v>45871</v>
      </c>
      <c r="I2399" s="2">
        <v>45878</v>
      </c>
      <c r="J2399" t="s">
        <v>9</v>
      </c>
      <c r="K2399" s="2" t="str">
        <f>IFERROR(INDEX(Product_lookup[Category],MATCH(RawWorking[[#This Row],[ProductID]],Product_lookup[ProductID],0)),"")</f>
        <v>Sports</v>
      </c>
      <c r="L2399" s="9">
        <f>IF(OR(RawWorking[[#This Row],[ShipDate]]="",RawWorking[[#This Row],[DeliveryDate]]=""),"",RawWorking[[#This Row],[DeliveryDate]]-RawWorking[[#This Row],[ShipDate]])</f>
        <v>7</v>
      </c>
      <c r="M2399" s="9">
        <f>IF(COUNTIF(INDEX(RawWorking[OrderID],1):RawWorking[[#This Row],[OrderID]],RawWorking[[#This Row],[OrderID]])=1,1,0)</f>
        <v>0</v>
      </c>
      <c r="N2399" s="4">
        <f>IFERROR(RawWorking[[#This Row],[LineAmount]]/RawWorking[[#This Row],[Quantity]],"")</f>
        <v>119.74</v>
      </c>
    </row>
    <row r="2400" spans="1:14">
      <c r="A2400">
        <v>52399</v>
      </c>
      <c r="B2400">
        <v>31389</v>
      </c>
      <c r="C2400" s="2">
        <v>45991</v>
      </c>
      <c r="D2400">
        <v>2037</v>
      </c>
      <c r="E2400">
        <v>1010</v>
      </c>
      <c r="F2400">
        <v>1</v>
      </c>
      <c r="G2400">
        <v>121.5</v>
      </c>
      <c r="H2400" s="2">
        <v>45993</v>
      </c>
      <c r="I2400" s="2">
        <v>46002</v>
      </c>
      <c r="J2400" t="s">
        <v>9</v>
      </c>
      <c r="K2400" s="2" t="str">
        <f>IFERROR(INDEX(Product_lookup[Category],MATCH(RawWorking[[#This Row],[ProductID]],Product_lookup[ProductID],0)),"")</f>
        <v>Office</v>
      </c>
      <c r="L2400" s="9">
        <f>IF(OR(RawWorking[[#This Row],[ShipDate]]="",RawWorking[[#This Row],[DeliveryDate]]=""),"",RawWorking[[#This Row],[DeliveryDate]]-RawWorking[[#This Row],[ShipDate]])</f>
        <v>9</v>
      </c>
      <c r="M2400" s="9">
        <f>IF(COUNTIF(INDEX(RawWorking[OrderID],1):RawWorking[[#This Row],[OrderID]],RawWorking[[#This Row],[OrderID]])=1,1,0)</f>
        <v>1</v>
      </c>
      <c r="N2400" s="4">
        <f>IFERROR(RawWorking[[#This Row],[LineAmount]]/RawWorking[[#This Row],[Quantity]],"")</f>
        <v>121.5</v>
      </c>
    </row>
    <row r="2401" spans="1:14">
      <c r="A2401">
        <v>52400</v>
      </c>
      <c r="B2401">
        <v>31390</v>
      </c>
      <c r="C2401" s="2">
        <v>45993</v>
      </c>
      <c r="D2401">
        <v>2169</v>
      </c>
      <c r="E2401">
        <v>1005</v>
      </c>
      <c r="F2401">
        <v>4</v>
      </c>
      <c r="G2401">
        <v>126.92</v>
      </c>
      <c r="H2401" s="2">
        <v>45996</v>
      </c>
      <c r="I2401" s="2">
        <v>45999</v>
      </c>
      <c r="J2401" t="s">
        <v>9</v>
      </c>
      <c r="K2401" s="2" t="str">
        <f>IFERROR(INDEX(Product_lookup[Category],MATCH(RawWorking[[#This Row],[ProductID]],Product_lookup[ProductID],0)),"")</f>
        <v>Electronics</v>
      </c>
      <c r="L2401" s="9">
        <f>IF(OR(RawWorking[[#This Row],[ShipDate]]="",RawWorking[[#This Row],[DeliveryDate]]=""),"",RawWorking[[#This Row],[DeliveryDate]]-RawWorking[[#This Row],[ShipDate]])</f>
        <v>3</v>
      </c>
      <c r="M2401" s="9">
        <f>IF(COUNTIF(INDEX(RawWorking[OrderID],1):RawWorking[[#This Row],[OrderID]],RawWorking[[#This Row],[OrderID]])=1,1,0)</f>
        <v>1</v>
      </c>
      <c r="N2401" s="4">
        <f>IFERROR(RawWorking[[#This Row],[LineAmount]]/RawWorking[[#This Row],[Quantity]],"")</f>
        <v>31.73</v>
      </c>
    </row>
    <row r="2402" spans="1:14">
      <c r="A2402">
        <v>52401</v>
      </c>
      <c r="B2402">
        <v>31391</v>
      </c>
      <c r="C2402" s="2">
        <v>45675</v>
      </c>
      <c r="D2402">
        <v>2320</v>
      </c>
      <c r="E2402">
        <v>1016</v>
      </c>
      <c r="F2402">
        <v>1</v>
      </c>
      <c r="G2402">
        <v>65.260000000000005</v>
      </c>
      <c r="H2402" s="2">
        <v>45678</v>
      </c>
      <c r="I2402" s="2">
        <v>45686</v>
      </c>
      <c r="J2402" t="s">
        <v>9</v>
      </c>
      <c r="K2402" s="2" t="str">
        <f>IFERROR(INDEX(Product_lookup[Category],MATCH(RawWorking[[#This Row],[ProductID]],Product_lookup[ProductID],0)),"")</f>
        <v>Sports</v>
      </c>
      <c r="L2402" s="9">
        <f>IF(OR(RawWorking[[#This Row],[ShipDate]]="",RawWorking[[#This Row],[DeliveryDate]]=""),"",RawWorking[[#This Row],[DeliveryDate]]-RawWorking[[#This Row],[ShipDate]])</f>
        <v>8</v>
      </c>
      <c r="M2402" s="9">
        <f>IF(COUNTIF(INDEX(RawWorking[OrderID],1):RawWorking[[#This Row],[OrderID]],RawWorking[[#This Row],[OrderID]])=1,1,0)</f>
        <v>1</v>
      </c>
      <c r="N2402" s="4">
        <f>IFERROR(RawWorking[[#This Row],[LineAmount]]/RawWorking[[#This Row],[Quantity]],"")</f>
        <v>65.260000000000005</v>
      </c>
    </row>
    <row r="2403" spans="1:14">
      <c r="A2403">
        <v>52402</v>
      </c>
      <c r="B2403">
        <v>31391</v>
      </c>
      <c r="C2403" s="2">
        <v>45675</v>
      </c>
      <c r="D2403">
        <v>2320</v>
      </c>
      <c r="E2403">
        <v>1004</v>
      </c>
      <c r="F2403">
        <v>1</v>
      </c>
      <c r="G2403">
        <v>183.74</v>
      </c>
      <c r="H2403" s="2">
        <v>45678</v>
      </c>
      <c r="I2403" s="2">
        <v>45680</v>
      </c>
      <c r="J2403" t="s">
        <v>9</v>
      </c>
      <c r="K2403" s="2" t="str">
        <f>IFERROR(INDEX(Product_lookup[Category],MATCH(RawWorking[[#This Row],[ProductID]],Product_lookup[ProductID],0)),"")</f>
        <v>Electronics</v>
      </c>
      <c r="L2403" s="9">
        <f>IF(OR(RawWorking[[#This Row],[ShipDate]]="",RawWorking[[#This Row],[DeliveryDate]]=""),"",RawWorking[[#This Row],[DeliveryDate]]-RawWorking[[#This Row],[ShipDate]])</f>
        <v>2</v>
      </c>
      <c r="M2403" s="9">
        <f>IF(COUNTIF(INDEX(RawWorking[OrderID],1):RawWorking[[#This Row],[OrderID]],RawWorking[[#This Row],[OrderID]])=1,1,0)</f>
        <v>0</v>
      </c>
      <c r="N2403" s="4">
        <f>IFERROR(RawWorking[[#This Row],[LineAmount]]/RawWorking[[#This Row],[Quantity]],"")</f>
        <v>183.74</v>
      </c>
    </row>
    <row r="2404" spans="1:14">
      <c r="A2404">
        <v>52403</v>
      </c>
      <c r="B2404">
        <v>31392</v>
      </c>
      <c r="C2404" s="2">
        <v>45733</v>
      </c>
      <c r="D2404">
        <v>2583</v>
      </c>
      <c r="E2404">
        <v>1016</v>
      </c>
      <c r="F2404">
        <v>1</v>
      </c>
      <c r="G2404">
        <v>65.260000000000005</v>
      </c>
      <c r="H2404" s="2">
        <v>45736</v>
      </c>
      <c r="I2404" s="2">
        <v>45743</v>
      </c>
      <c r="J2404" t="s">
        <v>9</v>
      </c>
      <c r="K2404" s="2" t="str">
        <f>IFERROR(INDEX(Product_lookup[Category],MATCH(RawWorking[[#This Row],[ProductID]],Product_lookup[ProductID],0)),"")</f>
        <v>Sports</v>
      </c>
      <c r="L2404" s="9">
        <f>IF(OR(RawWorking[[#This Row],[ShipDate]]="",RawWorking[[#This Row],[DeliveryDate]]=""),"",RawWorking[[#This Row],[DeliveryDate]]-RawWorking[[#This Row],[ShipDate]])</f>
        <v>7</v>
      </c>
      <c r="M2404" s="9">
        <f>IF(COUNTIF(INDEX(RawWorking[OrderID],1):RawWorking[[#This Row],[OrderID]],RawWorking[[#This Row],[OrderID]])=1,1,0)</f>
        <v>1</v>
      </c>
      <c r="N2404" s="4">
        <f>IFERROR(RawWorking[[#This Row],[LineAmount]]/RawWorking[[#This Row],[Quantity]],"")</f>
        <v>65.260000000000005</v>
      </c>
    </row>
    <row r="2405" spans="1:14">
      <c r="A2405">
        <v>52404</v>
      </c>
      <c r="B2405">
        <v>31393</v>
      </c>
      <c r="C2405" s="2">
        <v>45925</v>
      </c>
      <c r="D2405">
        <v>2488</v>
      </c>
      <c r="E2405">
        <v>1006</v>
      </c>
      <c r="F2405">
        <v>1</v>
      </c>
      <c r="G2405">
        <v>253.86</v>
      </c>
      <c r="H2405" s="2">
        <v>45927</v>
      </c>
      <c r="I2405" s="2">
        <v>45931</v>
      </c>
      <c r="J2405" t="s">
        <v>9</v>
      </c>
      <c r="K2405" s="2" t="str">
        <f>IFERROR(INDEX(Product_lookup[Category],MATCH(RawWorking[[#This Row],[ProductID]],Product_lookup[ProductID],0)),"")</f>
        <v>Home</v>
      </c>
      <c r="L2405" s="9">
        <f>IF(OR(RawWorking[[#This Row],[ShipDate]]="",RawWorking[[#This Row],[DeliveryDate]]=""),"",RawWorking[[#This Row],[DeliveryDate]]-RawWorking[[#This Row],[ShipDate]])</f>
        <v>4</v>
      </c>
      <c r="M2405" s="9">
        <f>IF(COUNTIF(INDEX(RawWorking[OrderID],1):RawWorking[[#This Row],[OrderID]],RawWorking[[#This Row],[OrderID]])=1,1,0)</f>
        <v>1</v>
      </c>
      <c r="N2405" s="4">
        <f>IFERROR(RawWorking[[#This Row],[LineAmount]]/RawWorking[[#This Row],[Quantity]],"")</f>
        <v>253.86</v>
      </c>
    </row>
    <row r="2406" spans="1:14">
      <c r="A2406">
        <v>52405</v>
      </c>
      <c r="B2406">
        <v>31393</v>
      </c>
      <c r="C2406" s="2">
        <v>45925</v>
      </c>
      <c r="D2406">
        <v>2488</v>
      </c>
      <c r="E2406">
        <v>1002</v>
      </c>
      <c r="F2406">
        <v>4</v>
      </c>
      <c r="G2406">
        <v>474.4</v>
      </c>
      <c r="H2406" s="2">
        <v>45926</v>
      </c>
      <c r="I2406" s="2">
        <v>45931</v>
      </c>
      <c r="J2406" t="s">
        <v>9</v>
      </c>
      <c r="K2406" s="2" t="str">
        <f>IFERROR(INDEX(Product_lookup[Category],MATCH(RawWorking[[#This Row],[ProductID]],Product_lookup[ProductID],0)),"")</f>
        <v>Electronics</v>
      </c>
      <c r="L2406" s="9">
        <f>IF(OR(RawWorking[[#This Row],[ShipDate]]="",RawWorking[[#This Row],[DeliveryDate]]=""),"",RawWorking[[#This Row],[DeliveryDate]]-RawWorking[[#This Row],[ShipDate]])</f>
        <v>5</v>
      </c>
      <c r="M2406" s="9">
        <f>IF(COUNTIF(INDEX(RawWorking[OrderID],1):RawWorking[[#This Row],[OrderID]],RawWorking[[#This Row],[OrderID]])=1,1,0)</f>
        <v>0</v>
      </c>
      <c r="N2406" s="4">
        <f>IFERROR(RawWorking[[#This Row],[LineAmount]]/RawWorking[[#This Row],[Quantity]],"")</f>
        <v>118.6</v>
      </c>
    </row>
    <row r="2407" spans="1:14">
      <c r="A2407">
        <v>52406</v>
      </c>
      <c r="B2407">
        <v>31394</v>
      </c>
      <c r="C2407" s="2">
        <v>45788</v>
      </c>
      <c r="D2407">
        <v>2401</v>
      </c>
      <c r="E2407">
        <v>1013</v>
      </c>
      <c r="F2407">
        <v>1</v>
      </c>
      <c r="G2407">
        <v>170.25</v>
      </c>
      <c r="H2407" s="2">
        <v>45789</v>
      </c>
      <c r="I2407" s="2">
        <v>45791</v>
      </c>
      <c r="J2407" t="s">
        <v>9</v>
      </c>
      <c r="K2407" s="2" t="str">
        <f>IFERROR(INDEX(Product_lookup[Category],MATCH(RawWorking[[#This Row],[ProductID]],Product_lookup[ProductID],0)),"")</f>
        <v>Office</v>
      </c>
      <c r="L2407" s="9">
        <f>IF(OR(RawWorking[[#This Row],[ShipDate]]="",RawWorking[[#This Row],[DeliveryDate]]=""),"",RawWorking[[#This Row],[DeliveryDate]]-RawWorking[[#This Row],[ShipDate]])</f>
        <v>2</v>
      </c>
      <c r="M2407" s="9">
        <f>IF(COUNTIF(INDEX(RawWorking[OrderID],1):RawWorking[[#This Row],[OrderID]],RawWorking[[#This Row],[OrderID]])=1,1,0)</f>
        <v>1</v>
      </c>
      <c r="N2407" s="4">
        <f>IFERROR(RawWorking[[#This Row],[LineAmount]]/RawWorking[[#This Row],[Quantity]],"")</f>
        <v>170.25</v>
      </c>
    </row>
    <row r="2408" spans="1:14">
      <c r="A2408">
        <v>52407</v>
      </c>
      <c r="B2408">
        <v>31395</v>
      </c>
      <c r="C2408" s="2">
        <v>46022</v>
      </c>
      <c r="D2408">
        <v>2362</v>
      </c>
      <c r="E2408">
        <v>1010</v>
      </c>
      <c r="F2408">
        <v>1</v>
      </c>
      <c r="G2408">
        <v>121.5</v>
      </c>
      <c r="H2408" s="2" t="s">
        <v>1421</v>
      </c>
      <c r="I2408" s="2" t="s">
        <v>1421</v>
      </c>
      <c r="J2408" t="s">
        <v>16</v>
      </c>
      <c r="K2408" s="2" t="str">
        <f>IFERROR(INDEX(Product_lookup[Category],MATCH(RawWorking[[#This Row],[ProductID]],Product_lookup[ProductID],0)),"")</f>
        <v>Office</v>
      </c>
      <c r="L2408" s="9" t="str">
        <f>IF(OR(RawWorking[[#This Row],[ShipDate]]="",RawWorking[[#This Row],[DeliveryDate]]=""),"",RawWorking[[#This Row],[DeliveryDate]]-RawWorking[[#This Row],[ShipDate]])</f>
        <v/>
      </c>
      <c r="M2408" s="9">
        <f>IF(COUNTIF(INDEX(RawWorking[OrderID],1):RawWorking[[#This Row],[OrderID]],RawWorking[[#This Row],[OrderID]])=1,1,0)</f>
        <v>1</v>
      </c>
      <c r="N2408" s="4">
        <f>IFERROR(RawWorking[[#This Row],[LineAmount]]/RawWorking[[#This Row],[Quantity]],"")</f>
        <v>121.5</v>
      </c>
    </row>
    <row r="2409" spans="1:14">
      <c r="A2409">
        <v>52408</v>
      </c>
      <c r="B2409">
        <v>31396</v>
      </c>
      <c r="C2409" s="2">
        <v>45662</v>
      </c>
      <c r="D2409">
        <v>2029</v>
      </c>
      <c r="E2409">
        <v>1005</v>
      </c>
      <c r="F2409">
        <v>1</v>
      </c>
      <c r="G2409">
        <v>31.73</v>
      </c>
      <c r="H2409" s="2">
        <v>45664</v>
      </c>
      <c r="I2409" s="2">
        <v>45669</v>
      </c>
      <c r="J2409" t="s">
        <v>9</v>
      </c>
      <c r="K2409" s="2" t="str">
        <f>IFERROR(INDEX(Product_lookup[Category],MATCH(RawWorking[[#This Row],[ProductID]],Product_lookup[ProductID],0)),"")</f>
        <v>Electronics</v>
      </c>
      <c r="L2409" s="9">
        <f>IF(OR(RawWorking[[#This Row],[ShipDate]]="",RawWorking[[#This Row],[DeliveryDate]]=""),"",RawWorking[[#This Row],[DeliveryDate]]-RawWorking[[#This Row],[ShipDate]])</f>
        <v>5</v>
      </c>
      <c r="M2409" s="9">
        <f>IF(COUNTIF(INDEX(RawWorking[OrderID],1):RawWorking[[#This Row],[OrderID]],RawWorking[[#This Row],[OrderID]])=1,1,0)</f>
        <v>1</v>
      </c>
      <c r="N2409" s="4">
        <f>IFERROR(RawWorking[[#This Row],[LineAmount]]/RawWorking[[#This Row],[Quantity]],"")</f>
        <v>31.73</v>
      </c>
    </row>
    <row r="2410" spans="1:14">
      <c r="A2410">
        <v>52409</v>
      </c>
      <c r="B2410">
        <v>31397</v>
      </c>
      <c r="C2410" s="2">
        <v>46020</v>
      </c>
      <c r="D2410">
        <v>2376</v>
      </c>
      <c r="E2410">
        <v>1001</v>
      </c>
      <c r="F2410">
        <v>1</v>
      </c>
      <c r="G2410">
        <v>203.04</v>
      </c>
      <c r="H2410" s="2">
        <v>46022</v>
      </c>
      <c r="I2410" s="2">
        <v>46143</v>
      </c>
      <c r="J2410" t="s">
        <v>9</v>
      </c>
      <c r="K2410" s="2" t="str">
        <f>IFERROR(INDEX(Product_lookup[Category],MATCH(RawWorking[[#This Row],[ProductID]],Product_lookup[ProductID],0)),"")</f>
        <v>Electronics</v>
      </c>
      <c r="L2410" s="9">
        <f>IF(OR(RawWorking[[#This Row],[ShipDate]]="",RawWorking[[#This Row],[DeliveryDate]]=""),"",RawWorking[[#This Row],[DeliveryDate]]-RawWorking[[#This Row],[ShipDate]])</f>
        <v>121</v>
      </c>
      <c r="M2410" s="9">
        <f>IF(COUNTIF(INDEX(RawWorking[OrderID],1):RawWorking[[#This Row],[OrderID]],RawWorking[[#This Row],[OrderID]])=1,1,0)</f>
        <v>1</v>
      </c>
      <c r="N2410" s="4">
        <f>IFERROR(RawWorking[[#This Row],[LineAmount]]/RawWorking[[#This Row],[Quantity]],"")</f>
        <v>203.04</v>
      </c>
    </row>
    <row r="2411" spans="1:14">
      <c r="A2411">
        <v>52410</v>
      </c>
      <c r="B2411">
        <v>31397</v>
      </c>
      <c r="C2411" s="2">
        <v>46020</v>
      </c>
      <c r="D2411">
        <v>2376</v>
      </c>
      <c r="E2411">
        <v>1011</v>
      </c>
      <c r="F2411">
        <v>1</v>
      </c>
      <c r="G2411">
        <v>101.44</v>
      </c>
      <c r="H2411" s="2">
        <v>46022</v>
      </c>
      <c r="I2411" s="2">
        <v>46024</v>
      </c>
      <c r="J2411" t="s">
        <v>9</v>
      </c>
      <c r="K2411" s="2" t="str">
        <f>IFERROR(INDEX(Product_lookup[Category],MATCH(RawWorking[[#This Row],[ProductID]],Product_lookup[ProductID],0)),"")</f>
        <v>Office</v>
      </c>
      <c r="L2411" s="9">
        <f>IF(OR(RawWorking[[#This Row],[ShipDate]]="",RawWorking[[#This Row],[DeliveryDate]]=""),"",RawWorking[[#This Row],[DeliveryDate]]-RawWorking[[#This Row],[ShipDate]])</f>
        <v>2</v>
      </c>
      <c r="M2411" s="9">
        <f>IF(COUNTIF(INDEX(RawWorking[OrderID],1):RawWorking[[#This Row],[OrderID]],RawWorking[[#This Row],[OrderID]])=1,1,0)</f>
        <v>0</v>
      </c>
      <c r="N2411" s="4">
        <f>IFERROR(RawWorking[[#This Row],[LineAmount]]/RawWorking[[#This Row],[Quantity]],"")</f>
        <v>101.44</v>
      </c>
    </row>
    <row r="2412" spans="1:14">
      <c r="A2412">
        <v>52411</v>
      </c>
      <c r="B2412">
        <v>31398</v>
      </c>
      <c r="C2412" s="2">
        <v>46003</v>
      </c>
      <c r="D2412">
        <v>2390</v>
      </c>
      <c r="E2412">
        <v>1012</v>
      </c>
      <c r="F2412">
        <v>2</v>
      </c>
      <c r="G2412">
        <v>483.08</v>
      </c>
      <c r="H2412" s="2">
        <v>46005</v>
      </c>
      <c r="I2412" s="2">
        <v>46008</v>
      </c>
      <c r="J2412" t="s">
        <v>9</v>
      </c>
      <c r="K2412" s="2" t="str">
        <f>IFERROR(INDEX(Product_lookup[Category],MATCH(RawWorking[[#This Row],[ProductID]],Product_lookup[ProductID],0)),"")</f>
        <v>Office</v>
      </c>
      <c r="L2412" s="9">
        <f>IF(OR(RawWorking[[#This Row],[ShipDate]]="",RawWorking[[#This Row],[DeliveryDate]]=""),"",RawWorking[[#This Row],[DeliveryDate]]-RawWorking[[#This Row],[ShipDate]])</f>
        <v>3</v>
      </c>
      <c r="M2412" s="9">
        <f>IF(COUNTIF(INDEX(RawWorking[OrderID],1):RawWorking[[#This Row],[OrderID]],RawWorking[[#This Row],[OrderID]])=1,1,0)</f>
        <v>1</v>
      </c>
      <c r="N2412" s="4">
        <f>IFERROR(RawWorking[[#This Row],[LineAmount]]/RawWorking[[#This Row],[Quantity]],"")</f>
        <v>241.54</v>
      </c>
    </row>
    <row r="2413" spans="1:14">
      <c r="A2413">
        <v>52412</v>
      </c>
      <c r="B2413">
        <v>31399</v>
      </c>
      <c r="C2413" s="2">
        <v>45983</v>
      </c>
      <c r="D2413">
        <v>2366</v>
      </c>
      <c r="E2413">
        <v>1002</v>
      </c>
      <c r="F2413">
        <v>4</v>
      </c>
      <c r="G2413">
        <v>474.4</v>
      </c>
      <c r="H2413" s="2">
        <v>45986</v>
      </c>
      <c r="I2413" s="2">
        <v>45992</v>
      </c>
      <c r="J2413" t="s">
        <v>9</v>
      </c>
      <c r="K2413" s="2" t="str">
        <f>IFERROR(INDEX(Product_lookup[Category],MATCH(RawWorking[[#This Row],[ProductID]],Product_lookup[ProductID],0)),"")</f>
        <v>Electronics</v>
      </c>
      <c r="L2413" s="9">
        <f>IF(OR(RawWorking[[#This Row],[ShipDate]]="",RawWorking[[#This Row],[DeliveryDate]]=""),"",RawWorking[[#This Row],[DeliveryDate]]-RawWorking[[#This Row],[ShipDate]])</f>
        <v>6</v>
      </c>
      <c r="M2413" s="9">
        <f>IF(COUNTIF(INDEX(RawWorking[OrderID],1):RawWorking[[#This Row],[OrderID]],RawWorking[[#This Row],[OrderID]])=1,1,0)</f>
        <v>1</v>
      </c>
      <c r="N2413" s="4">
        <f>IFERROR(RawWorking[[#This Row],[LineAmount]]/RawWorking[[#This Row],[Quantity]],"")</f>
        <v>118.6</v>
      </c>
    </row>
    <row r="2414" spans="1:14">
      <c r="A2414">
        <v>52413</v>
      </c>
      <c r="B2414">
        <v>31400</v>
      </c>
      <c r="C2414" s="2">
        <v>45901</v>
      </c>
      <c r="D2414">
        <v>2251</v>
      </c>
      <c r="E2414">
        <v>1010</v>
      </c>
      <c r="F2414">
        <v>1</v>
      </c>
      <c r="G2414">
        <v>121.5</v>
      </c>
      <c r="H2414" s="2">
        <v>45902</v>
      </c>
      <c r="I2414" s="2">
        <v>45903</v>
      </c>
      <c r="J2414" t="s">
        <v>9</v>
      </c>
      <c r="K2414" s="2" t="str">
        <f>IFERROR(INDEX(Product_lookup[Category],MATCH(RawWorking[[#This Row],[ProductID]],Product_lookup[ProductID],0)),"")</f>
        <v>Office</v>
      </c>
      <c r="L2414" s="9">
        <f>IF(OR(RawWorking[[#This Row],[ShipDate]]="",RawWorking[[#This Row],[DeliveryDate]]=""),"",RawWorking[[#This Row],[DeliveryDate]]-RawWorking[[#This Row],[ShipDate]])</f>
        <v>1</v>
      </c>
      <c r="M2414" s="9">
        <f>IF(COUNTIF(INDEX(RawWorking[OrderID],1):RawWorking[[#This Row],[OrderID]],RawWorking[[#This Row],[OrderID]])=1,1,0)</f>
        <v>1</v>
      </c>
      <c r="N2414" s="4">
        <f>IFERROR(RawWorking[[#This Row],[LineAmount]]/RawWorking[[#This Row],[Quantity]],"")</f>
        <v>121.5</v>
      </c>
    </row>
    <row r="2415" spans="1:14">
      <c r="A2415">
        <v>52414</v>
      </c>
      <c r="B2415">
        <v>31400</v>
      </c>
      <c r="C2415" s="2">
        <v>45901</v>
      </c>
      <c r="D2415">
        <v>2251</v>
      </c>
      <c r="E2415">
        <v>1003</v>
      </c>
      <c r="F2415">
        <v>2</v>
      </c>
      <c r="G2415">
        <v>448.74</v>
      </c>
      <c r="H2415" s="2">
        <v>45903</v>
      </c>
      <c r="I2415" s="2">
        <v>45913</v>
      </c>
      <c r="J2415" t="s">
        <v>9</v>
      </c>
      <c r="K2415" s="2" t="str">
        <f>IFERROR(INDEX(Product_lookup[Category],MATCH(RawWorking[[#This Row],[ProductID]],Product_lookup[ProductID],0)),"")</f>
        <v>Electronics</v>
      </c>
      <c r="L2415" s="9">
        <f>IF(OR(RawWorking[[#This Row],[ShipDate]]="",RawWorking[[#This Row],[DeliveryDate]]=""),"",RawWorking[[#This Row],[DeliveryDate]]-RawWorking[[#This Row],[ShipDate]])</f>
        <v>10</v>
      </c>
      <c r="M2415" s="9">
        <f>IF(COUNTIF(INDEX(RawWorking[OrderID],1):RawWorking[[#This Row],[OrderID]],RawWorking[[#This Row],[OrderID]])=1,1,0)</f>
        <v>0</v>
      </c>
      <c r="N2415" s="4">
        <f>IFERROR(RawWorking[[#This Row],[LineAmount]]/RawWorking[[#This Row],[Quantity]],"")</f>
        <v>224.37</v>
      </c>
    </row>
    <row r="2416" spans="1:14">
      <c r="A2416">
        <v>52415</v>
      </c>
      <c r="B2416">
        <v>31400</v>
      </c>
      <c r="C2416" s="2">
        <v>45901</v>
      </c>
      <c r="D2416">
        <v>2251</v>
      </c>
      <c r="E2416">
        <v>1003</v>
      </c>
      <c r="F2416">
        <v>3</v>
      </c>
      <c r="G2416">
        <v>673.11</v>
      </c>
      <c r="H2416" s="2">
        <v>45902</v>
      </c>
      <c r="I2416" s="2">
        <v>45906</v>
      </c>
      <c r="J2416" t="s">
        <v>9</v>
      </c>
      <c r="K2416" s="2" t="str">
        <f>IFERROR(INDEX(Product_lookup[Category],MATCH(RawWorking[[#This Row],[ProductID]],Product_lookup[ProductID],0)),"")</f>
        <v>Electronics</v>
      </c>
      <c r="L2416" s="9">
        <f>IF(OR(RawWorking[[#This Row],[ShipDate]]="",RawWorking[[#This Row],[DeliveryDate]]=""),"",RawWorking[[#This Row],[DeliveryDate]]-RawWorking[[#This Row],[ShipDate]])</f>
        <v>4</v>
      </c>
      <c r="M2416" s="9">
        <f>IF(COUNTIF(INDEX(RawWorking[OrderID],1):RawWorking[[#This Row],[OrderID]],RawWorking[[#This Row],[OrderID]])=1,1,0)</f>
        <v>0</v>
      </c>
      <c r="N2416" s="4">
        <f>IFERROR(RawWorking[[#This Row],[LineAmount]]/RawWorking[[#This Row],[Quantity]],"")</f>
        <v>224.37</v>
      </c>
    </row>
    <row r="2417" spans="1:14">
      <c r="A2417">
        <v>52416</v>
      </c>
      <c r="B2417">
        <v>31401</v>
      </c>
      <c r="C2417" s="2">
        <v>45745</v>
      </c>
      <c r="D2417">
        <v>2313</v>
      </c>
      <c r="E2417">
        <v>1006</v>
      </c>
      <c r="F2417">
        <v>1</v>
      </c>
      <c r="G2417">
        <v>253.86</v>
      </c>
      <c r="H2417" s="2">
        <v>45748</v>
      </c>
      <c r="I2417" s="2">
        <v>45750</v>
      </c>
      <c r="J2417" t="s">
        <v>9</v>
      </c>
      <c r="K2417" s="2" t="str">
        <f>IFERROR(INDEX(Product_lookup[Category],MATCH(RawWorking[[#This Row],[ProductID]],Product_lookup[ProductID],0)),"")</f>
        <v>Home</v>
      </c>
      <c r="L2417" s="9">
        <f>IF(OR(RawWorking[[#This Row],[ShipDate]]="",RawWorking[[#This Row],[DeliveryDate]]=""),"",RawWorking[[#This Row],[DeliveryDate]]-RawWorking[[#This Row],[ShipDate]])</f>
        <v>2</v>
      </c>
      <c r="M2417" s="9">
        <f>IF(COUNTIF(INDEX(RawWorking[OrderID],1):RawWorking[[#This Row],[OrderID]],RawWorking[[#This Row],[OrderID]])=1,1,0)</f>
        <v>1</v>
      </c>
      <c r="N2417" s="4">
        <f>IFERROR(RawWorking[[#This Row],[LineAmount]]/RawWorking[[#This Row],[Quantity]],"")</f>
        <v>253.86</v>
      </c>
    </row>
    <row r="2418" spans="1:14">
      <c r="A2418">
        <v>52417</v>
      </c>
      <c r="B2418">
        <v>31401</v>
      </c>
      <c r="C2418" s="2">
        <v>45745</v>
      </c>
      <c r="D2418">
        <v>2313</v>
      </c>
      <c r="E2418">
        <v>1001</v>
      </c>
      <c r="F2418">
        <v>1</v>
      </c>
      <c r="G2418">
        <v>203.04</v>
      </c>
      <c r="H2418" s="2">
        <v>45747</v>
      </c>
      <c r="I2418" s="2">
        <v>45756</v>
      </c>
      <c r="J2418" t="s">
        <v>9</v>
      </c>
      <c r="K2418" s="2" t="str">
        <f>IFERROR(INDEX(Product_lookup[Category],MATCH(RawWorking[[#This Row],[ProductID]],Product_lookup[ProductID],0)),"")</f>
        <v>Electronics</v>
      </c>
      <c r="L2418" s="9">
        <f>IF(OR(RawWorking[[#This Row],[ShipDate]]="",RawWorking[[#This Row],[DeliveryDate]]=""),"",RawWorking[[#This Row],[DeliveryDate]]-RawWorking[[#This Row],[ShipDate]])</f>
        <v>9</v>
      </c>
      <c r="M2418" s="9">
        <f>IF(COUNTIF(INDEX(RawWorking[OrderID],1):RawWorking[[#This Row],[OrderID]],RawWorking[[#This Row],[OrderID]])=1,1,0)</f>
        <v>0</v>
      </c>
      <c r="N2418" s="4">
        <f>IFERROR(RawWorking[[#This Row],[LineAmount]]/RawWorking[[#This Row],[Quantity]],"")</f>
        <v>203.04</v>
      </c>
    </row>
    <row r="2419" spans="1:14">
      <c r="A2419">
        <v>52418</v>
      </c>
      <c r="B2419">
        <v>31401</v>
      </c>
      <c r="C2419" s="2">
        <v>45745</v>
      </c>
      <c r="D2419">
        <v>2313</v>
      </c>
      <c r="E2419">
        <v>1011</v>
      </c>
      <c r="F2419">
        <v>1</v>
      </c>
      <c r="G2419">
        <v>101.44</v>
      </c>
      <c r="H2419" s="2">
        <v>45747</v>
      </c>
      <c r="I2419" s="2">
        <v>45904</v>
      </c>
      <c r="J2419" t="s">
        <v>9</v>
      </c>
      <c r="K2419" s="2" t="str">
        <f>IFERROR(INDEX(Product_lookup[Category],MATCH(RawWorking[[#This Row],[ProductID]],Product_lookup[ProductID],0)),"")</f>
        <v>Office</v>
      </c>
      <c r="L2419" s="9">
        <f>IF(OR(RawWorking[[#This Row],[ShipDate]]="",RawWorking[[#This Row],[DeliveryDate]]=""),"",RawWorking[[#This Row],[DeliveryDate]]-RawWorking[[#This Row],[ShipDate]])</f>
        <v>157</v>
      </c>
      <c r="M2419" s="9">
        <f>IF(COUNTIF(INDEX(RawWorking[OrderID],1):RawWorking[[#This Row],[OrderID]],RawWorking[[#This Row],[OrderID]])=1,1,0)</f>
        <v>0</v>
      </c>
      <c r="N2419" s="4">
        <f>IFERROR(RawWorking[[#This Row],[LineAmount]]/RawWorking[[#This Row],[Quantity]],"")</f>
        <v>101.44</v>
      </c>
    </row>
    <row r="2420" spans="1:14">
      <c r="A2420">
        <v>52419</v>
      </c>
      <c r="B2420">
        <v>31402</v>
      </c>
      <c r="C2420" s="2">
        <v>45899</v>
      </c>
      <c r="D2420">
        <v>2039</v>
      </c>
      <c r="E2420">
        <v>1014</v>
      </c>
      <c r="F2420">
        <v>1</v>
      </c>
      <c r="G2420">
        <v>215.34</v>
      </c>
      <c r="H2420" s="2">
        <v>45900</v>
      </c>
      <c r="I2420" s="2">
        <v>45902</v>
      </c>
      <c r="J2420" t="s">
        <v>9</v>
      </c>
      <c r="K2420" s="2" t="str">
        <f>IFERROR(INDEX(Product_lookup[Category],MATCH(RawWorking[[#This Row],[ProductID]],Product_lookup[ProductID],0)),"")</f>
        <v>Sports</v>
      </c>
      <c r="L2420" s="9">
        <f>IF(OR(RawWorking[[#This Row],[ShipDate]]="",RawWorking[[#This Row],[DeliveryDate]]=""),"",RawWorking[[#This Row],[DeliveryDate]]-RawWorking[[#This Row],[ShipDate]])</f>
        <v>2</v>
      </c>
      <c r="M2420" s="9">
        <f>IF(COUNTIF(INDEX(RawWorking[OrderID],1):RawWorking[[#This Row],[OrderID]],RawWorking[[#This Row],[OrderID]])=1,1,0)</f>
        <v>1</v>
      </c>
      <c r="N2420" s="4">
        <f>IFERROR(RawWorking[[#This Row],[LineAmount]]/RawWorking[[#This Row],[Quantity]],"")</f>
        <v>215.34</v>
      </c>
    </row>
    <row r="2421" spans="1:14">
      <c r="A2421">
        <v>52420</v>
      </c>
      <c r="B2421">
        <v>31403</v>
      </c>
      <c r="C2421" s="2">
        <v>45701</v>
      </c>
      <c r="D2421">
        <v>2582</v>
      </c>
      <c r="E2421">
        <v>1014</v>
      </c>
      <c r="F2421">
        <v>1</v>
      </c>
      <c r="G2421">
        <v>215.34</v>
      </c>
      <c r="H2421" s="2">
        <v>45704</v>
      </c>
      <c r="I2421" s="2">
        <v>45711</v>
      </c>
      <c r="J2421" t="s">
        <v>9</v>
      </c>
      <c r="K2421" s="2" t="str">
        <f>IFERROR(INDEX(Product_lookup[Category],MATCH(RawWorking[[#This Row],[ProductID]],Product_lookup[ProductID],0)),"")</f>
        <v>Sports</v>
      </c>
      <c r="L2421" s="9">
        <f>IF(OR(RawWorking[[#This Row],[ShipDate]]="",RawWorking[[#This Row],[DeliveryDate]]=""),"",RawWorking[[#This Row],[DeliveryDate]]-RawWorking[[#This Row],[ShipDate]])</f>
        <v>7</v>
      </c>
      <c r="M2421" s="9">
        <f>IF(COUNTIF(INDEX(RawWorking[OrderID],1):RawWorking[[#This Row],[OrderID]],RawWorking[[#This Row],[OrderID]])=1,1,0)</f>
        <v>1</v>
      </c>
      <c r="N2421" s="4">
        <f>IFERROR(RawWorking[[#This Row],[LineAmount]]/RawWorking[[#This Row],[Quantity]],"")</f>
        <v>215.34</v>
      </c>
    </row>
    <row r="2422" spans="1:14">
      <c r="A2422">
        <v>52421</v>
      </c>
      <c r="B2422">
        <v>31403</v>
      </c>
      <c r="C2422" s="2">
        <v>45701</v>
      </c>
      <c r="D2422">
        <v>2582</v>
      </c>
      <c r="E2422">
        <v>1009</v>
      </c>
      <c r="F2422">
        <v>1</v>
      </c>
      <c r="G2422">
        <v>40.28</v>
      </c>
      <c r="H2422" s="2">
        <v>45704</v>
      </c>
      <c r="I2422" s="2">
        <v>45710</v>
      </c>
      <c r="J2422" t="s">
        <v>9</v>
      </c>
      <c r="K2422" s="2" t="str">
        <f>IFERROR(INDEX(Product_lookup[Category],MATCH(RawWorking[[#This Row],[ProductID]],Product_lookup[ProductID],0)),"")</f>
        <v>Home</v>
      </c>
      <c r="L2422" s="9">
        <f>IF(OR(RawWorking[[#This Row],[ShipDate]]="",RawWorking[[#This Row],[DeliveryDate]]=""),"",RawWorking[[#This Row],[DeliveryDate]]-RawWorking[[#This Row],[ShipDate]])</f>
        <v>6</v>
      </c>
      <c r="M2422" s="9">
        <f>IF(COUNTIF(INDEX(RawWorking[OrderID],1):RawWorking[[#This Row],[OrderID]],RawWorking[[#This Row],[OrderID]])=1,1,0)</f>
        <v>0</v>
      </c>
      <c r="N2422" s="4">
        <f>IFERROR(RawWorking[[#This Row],[LineAmount]]/RawWorking[[#This Row],[Quantity]],"")</f>
        <v>40.28</v>
      </c>
    </row>
    <row r="2423" spans="1:14">
      <c r="A2423">
        <v>52422</v>
      </c>
      <c r="B2423">
        <v>31403</v>
      </c>
      <c r="C2423" s="2">
        <v>45701</v>
      </c>
      <c r="D2423">
        <v>2582</v>
      </c>
      <c r="E2423">
        <v>1001</v>
      </c>
      <c r="F2423">
        <v>2</v>
      </c>
      <c r="G2423">
        <v>406.08</v>
      </c>
      <c r="H2423" s="2">
        <v>45704</v>
      </c>
      <c r="I2423" s="2">
        <v>45713</v>
      </c>
      <c r="J2423" t="s">
        <v>9</v>
      </c>
      <c r="K2423" s="2" t="str">
        <f>IFERROR(INDEX(Product_lookup[Category],MATCH(RawWorking[[#This Row],[ProductID]],Product_lookup[ProductID],0)),"")</f>
        <v>Electronics</v>
      </c>
      <c r="L2423" s="9">
        <f>IF(OR(RawWorking[[#This Row],[ShipDate]]="",RawWorking[[#This Row],[DeliveryDate]]=""),"",RawWorking[[#This Row],[DeliveryDate]]-RawWorking[[#This Row],[ShipDate]])</f>
        <v>9</v>
      </c>
      <c r="M2423" s="9">
        <f>IF(COUNTIF(INDEX(RawWorking[OrderID],1):RawWorking[[#This Row],[OrderID]],RawWorking[[#This Row],[OrderID]])=1,1,0)</f>
        <v>0</v>
      </c>
      <c r="N2423" s="4">
        <f>IFERROR(RawWorking[[#This Row],[LineAmount]]/RawWorking[[#This Row],[Quantity]],"")</f>
        <v>203.04</v>
      </c>
    </row>
    <row r="2424" spans="1:14">
      <c r="A2424">
        <v>52423</v>
      </c>
      <c r="B2424">
        <v>31404</v>
      </c>
      <c r="C2424" s="2">
        <v>45765</v>
      </c>
      <c r="D2424">
        <v>2481</v>
      </c>
      <c r="E2424">
        <v>1011</v>
      </c>
      <c r="F2424">
        <v>2</v>
      </c>
      <c r="G2424">
        <v>202.88</v>
      </c>
      <c r="H2424" s="2">
        <v>45768</v>
      </c>
      <c r="I2424" s="2">
        <v>45771</v>
      </c>
      <c r="J2424" t="s">
        <v>9</v>
      </c>
      <c r="K2424" s="2" t="str">
        <f>IFERROR(INDEX(Product_lookup[Category],MATCH(RawWorking[[#This Row],[ProductID]],Product_lookup[ProductID],0)),"")</f>
        <v>Office</v>
      </c>
      <c r="L2424" s="9">
        <f>IF(OR(RawWorking[[#This Row],[ShipDate]]="",RawWorking[[#This Row],[DeliveryDate]]=""),"",RawWorking[[#This Row],[DeliveryDate]]-RawWorking[[#This Row],[ShipDate]])</f>
        <v>3</v>
      </c>
      <c r="M2424" s="9">
        <f>IF(COUNTIF(INDEX(RawWorking[OrderID],1):RawWorking[[#This Row],[OrderID]],RawWorking[[#This Row],[OrderID]])=1,1,0)</f>
        <v>1</v>
      </c>
      <c r="N2424" s="4">
        <f>IFERROR(RawWorking[[#This Row],[LineAmount]]/RawWorking[[#This Row],[Quantity]],"")</f>
        <v>101.44</v>
      </c>
    </row>
    <row r="2425" spans="1:14">
      <c r="A2425">
        <v>52424</v>
      </c>
      <c r="B2425">
        <v>31404</v>
      </c>
      <c r="C2425" s="2">
        <v>45765</v>
      </c>
      <c r="D2425">
        <v>2481</v>
      </c>
      <c r="E2425">
        <v>1013</v>
      </c>
      <c r="F2425">
        <v>1</v>
      </c>
      <c r="G2425">
        <v>170.25</v>
      </c>
      <c r="H2425" s="2">
        <v>45767</v>
      </c>
      <c r="I2425" s="2">
        <v>45770</v>
      </c>
      <c r="J2425" t="s">
        <v>9</v>
      </c>
      <c r="K2425" s="2" t="str">
        <f>IFERROR(INDEX(Product_lookup[Category],MATCH(RawWorking[[#This Row],[ProductID]],Product_lookup[ProductID],0)),"")</f>
        <v>Office</v>
      </c>
      <c r="L2425" s="9">
        <f>IF(OR(RawWorking[[#This Row],[ShipDate]]="",RawWorking[[#This Row],[DeliveryDate]]=""),"",RawWorking[[#This Row],[DeliveryDate]]-RawWorking[[#This Row],[ShipDate]])</f>
        <v>3</v>
      </c>
      <c r="M2425" s="9">
        <f>IF(COUNTIF(INDEX(RawWorking[OrderID],1):RawWorking[[#This Row],[OrderID]],RawWorking[[#This Row],[OrderID]])=1,1,0)</f>
        <v>0</v>
      </c>
      <c r="N2425" s="4">
        <f>IFERROR(RawWorking[[#This Row],[LineAmount]]/RawWorking[[#This Row],[Quantity]],"")</f>
        <v>170.25</v>
      </c>
    </row>
    <row r="2426" spans="1:14">
      <c r="A2426">
        <v>52425</v>
      </c>
      <c r="B2426">
        <v>31405</v>
      </c>
      <c r="C2426" s="2">
        <v>45886</v>
      </c>
      <c r="D2426">
        <v>2585</v>
      </c>
      <c r="E2426">
        <v>1004</v>
      </c>
      <c r="F2426">
        <v>2</v>
      </c>
      <c r="G2426">
        <v>367.48</v>
      </c>
      <c r="H2426" s="2">
        <v>45888</v>
      </c>
      <c r="I2426" s="2">
        <v>45898</v>
      </c>
      <c r="J2426" t="s">
        <v>9</v>
      </c>
      <c r="K2426" s="2" t="str">
        <f>IFERROR(INDEX(Product_lookup[Category],MATCH(RawWorking[[#This Row],[ProductID]],Product_lookup[ProductID],0)),"")</f>
        <v>Electronics</v>
      </c>
      <c r="L2426" s="9">
        <f>IF(OR(RawWorking[[#This Row],[ShipDate]]="",RawWorking[[#This Row],[DeliveryDate]]=""),"",RawWorking[[#This Row],[DeliveryDate]]-RawWorking[[#This Row],[ShipDate]])</f>
        <v>10</v>
      </c>
      <c r="M2426" s="9">
        <f>IF(COUNTIF(INDEX(RawWorking[OrderID],1):RawWorking[[#This Row],[OrderID]],RawWorking[[#This Row],[OrderID]])=1,1,0)</f>
        <v>1</v>
      </c>
      <c r="N2426" s="4">
        <f>IFERROR(RawWorking[[#This Row],[LineAmount]]/RawWorking[[#This Row],[Quantity]],"")</f>
        <v>183.74</v>
      </c>
    </row>
    <row r="2427" spans="1:14">
      <c r="A2427">
        <v>52426</v>
      </c>
      <c r="B2427">
        <v>31406</v>
      </c>
      <c r="C2427" s="2">
        <v>45663</v>
      </c>
      <c r="D2427">
        <v>2501</v>
      </c>
      <c r="E2427">
        <v>1007</v>
      </c>
      <c r="F2427">
        <v>2</v>
      </c>
      <c r="G2427">
        <v>399.62</v>
      </c>
      <c r="H2427" s="2">
        <v>45666</v>
      </c>
      <c r="I2427" s="2">
        <v>45673</v>
      </c>
      <c r="J2427" t="s">
        <v>9</v>
      </c>
      <c r="K2427" s="2" t="str">
        <f>IFERROR(INDEX(Product_lookup[Category],MATCH(RawWorking[[#This Row],[ProductID]],Product_lookup[ProductID],0)),"")</f>
        <v>Home</v>
      </c>
      <c r="L2427" s="9">
        <f>IF(OR(RawWorking[[#This Row],[ShipDate]]="",RawWorking[[#This Row],[DeliveryDate]]=""),"",RawWorking[[#This Row],[DeliveryDate]]-RawWorking[[#This Row],[ShipDate]])</f>
        <v>7</v>
      </c>
      <c r="M2427" s="9">
        <f>IF(COUNTIF(INDEX(RawWorking[OrderID],1):RawWorking[[#This Row],[OrderID]],RawWorking[[#This Row],[OrderID]])=1,1,0)</f>
        <v>1</v>
      </c>
      <c r="N2427" s="4">
        <f>IFERROR(RawWorking[[#This Row],[LineAmount]]/RawWorking[[#This Row],[Quantity]],"")</f>
        <v>199.81</v>
      </c>
    </row>
    <row r="2428" spans="1:14">
      <c r="A2428">
        <v>52427</v>
      </c>
      <c r="B2428">
        <v>31406</v>
      </c>
      <c r="C2428" s="2">
        <v>45663</v>
      </c>
      <c r="D2428">
        <v>2501</v>
      </c>
      <c r="E2428">
        <v>1011</v>
      </c>
      <c r="F2428">
        <v>1</v>
      </c>
      <c r="G2428">
        <v>101.44</v>
      </c>
      <c r="H2428" s="2">
        <v>45666</v>
      </c>
      <c r="I2428" s="2">
        <v>45670</v>
      </c>
      <c r="J2428" t="s">
        <v>9</v>
      </c>
      <c r="K2428" s="2" t="str">
        <f>IFERROR(INDEX(Product_lookup[Category],MATCH(RawWorking[[#This Row],[ProductID]],Product_lookup[ProductID],0)),"")</f>
        <v>Office</v>
      </c>
      <c r="L2428" s="9">
        <f>IF(OR(RawWorking[[#This Row],[ShipDate]]="",RawWorking[[#This Row],[DeliveryDate]]=""),"",RawWorking[[#This Row],[DeliveryDate]]-RawWorking[[#This Row],[ShipDate]])</f>
        <v>4</v>
      </c>
      <c r="M2428" s="9">
        <f>IF(COUNTIF(INDEX(RawWorking[OrderID],1):RawWorking[[#This Row],[OrderID]],RawWorking[[#This Row],[OrderID]])=1,1,0)</f>
        <v>0</v>
      </c>
      <c r="N2428" s="4">
        <f>IFERROR(RawWorking[[#This Row],[LineAmount]]/RawWorking[[#This Row],[Quantity]],"")</f>
        <v>101.44</v>
      </c>
    </row>
    <row r="2429" spans="1:14">
      <c r="A2429">
        <v>52428</v>
      </c>
      <c r="B2429">
        <v>31406</v>
      </c>
      <c r="C2429" s="2">
        <v>45663</v>
      </c>
      <c r="D2429">
        <v>2501</v>
      </c>
      <c r="E2429">
        <v>1016</v>
      </c>
      <c r="F2429">
        <v>1</v>
      </c>
      <c r="G2429">
        <v>65.260000000000005</v>
      </c>
      <c r="H2429" s="2">
        <v>45665</v>
      </c>
      <c r="I2429" s="2">
        <v>45671</v>
      </c>
      <c r="J2429" t="s">
        <v>9</v>
      </c>
      <c r="K2429" s="2" t="str">
        <f>IFERROR(INDEX(Product_lookup[Category],MATCH(RawWorking[[#This Row],[ProductID]],Product_lookup[ProductID],0)),"")</f>
        <v>Sports</v>
      </c>
      <c r="L2429" s="9">
        <f>IF(OR(RawWorking[[#This Row],[ShipDate]]="",RawWorking[[#This Row],[DeliveryDate]]=""),"",RawWorking[[#This Row],[DeliveryDate]]-RawWorking[[#This Row],[ShipDate]])</f>
        <v>6</v>
      </c>
      <c r="M2429" s="9">
        <f>IF(COUNTIF(INDEX(RawWorking[OrderID],1):RawWorking[[#This Row],[OrderID]],RawWorking[[#This Row],[OrderID]])=1,1,0)</f>
        <v>0</v>
      </c>
      <c r="N2429" s="4">
        <f>IFERROR(RawWorking[[#This Row],[LineAmount]]/RawWorking[[#This Row],[Quantity]],"")</f>
        <v>65.260000000000005</v>
      </c>
    </row>
    <row r="2430" spans="1:14">
      <c r="A2430">
        <v>52429</v>
      </c>
      <c r="B2430">
        <v>31407</v>
      </c>
      <c r="C2430" s="2">
        <v>45659</v>
      </c>
      <c r="D2430">
        <v>2515</v>
      </c>
      <c r="E2430">
        <v>1011</v>
      </c>
      <c r="F2430">
        <v>3</v>
      </c>
      <c r="G2430">
        <v>304.32</v>
      </c>
      <c r="H2430" s="2">
        <v>45661</v>
      </c>
      <c r="I2430" s="2" t="s">
        <v>1421</v>
      </c>
      <c r="J2430" t="s">
        <v>16</v>
      </c>
      <c r="K2430" s="2" t="str">
        <f>IFERROR(INDEX(Product_lookup[Category],MATCH(RawWorking[[#This Row],[ProductID]],Product_lookup[ProductID],0)),"")</f>
        <v>Office</v>
      </c>
      <c r="L2430" s="9" t="str">
        <f>IF(OR(RawWorking[[#This Row],[ShipDate]]="",RawWorking[[#This Row],[DeliveryDate]]=""),"",RawWorking[[#This Row],[DeliveryDate]]-RawWorking[[#This Row],[ShipDate]])</f>
        <v/>
      </c>
      <c r="M2430" s="9">
        <f>IF(COUNTIF(INDEX(RawWorking[OrderID],1):RawWorking[[#This Row],[OrderID]],RawWorking[[#This Row],[OrderID]])=1,1,0)</f>
        <v>1</v>
      </c>
      <c r="N2430" s="4">
        <f>IFERROR(RawWorking[[#This Row],[LineAmount]]/RawWorking[[#This Row],[Quantity]],"")</f>
        <v>101.44</v>
      </c>
    </row>
    <row r="2431" spans="1:14">
      <c r="A2431">
        <v>52430</v>
      </c>
      <c r="B2431">
        <v>31407</v>
      </c>
      <c r="C2431" s="2">
        <v>45659</v>
      </c>
      <c r="D2431">
        <v>2515</v>
      </c>
      <c r="E2431">
        <v>1010</v>
      </c>
      <c r="F2431">
        <v>1</v>
      </c>
      <c r="G2431">
        <v>121.5</v>
      </c>
      <c r="H2431" s="2" t="s">
        <v>1421</v>
      </c>
      <c r="I2431" s="2" t="s">
        <v>1421</v>
      </c>
      <c r="J2431" t="s">
        <v>16</v>
      </c>
      <c r="K2431" s="2" t="str">
        <f>IFERROR(INDEX(Product_lookup[Category],MATCH(RawWorking[[#This Row],[ProductID]],Product_lookup[ProductID],0)),"")</f>
        <v>Office</v>
      </c>
      <c r="L2431" s="9" t="str">
        <f>IF(OR(RawWorking[[#This Row],[ShipDate]]="",RawWorking[[#This Row],[DeliveryDate]]=""),"",RawWorking[[#This Row],[DeliveryDate]]-RawWorking[[#This Row],[ShipDate]])</f>
        <v/>
      </c>
      <c r="M2431" s="9">
        <f>IF(COUNTIF(INDEX(RawWorking[OrderID],1):RawWorking[[#This Row],[OrderID]],RawWorking[[#This Row],[OrderID]])=1,1,0)</f>
        <v>0</v>
      </c>
      <c r="N2431" s="4">
        <f>IFERROR(RawWorking[[#This Row],[LineAmount]]/RawWorking[[#This Row],[Quantity]],"")</f>
        <v>121.5</v>
      </c>
    </row>
    <row r="2432" spans="1:14">
      <c r="A2432">
        <v>52431</v>
      </c>
      <c r="B2432">
        <v>31407</v>
      </c>
      <c r="C2432" s="2">
        <v>45659</v>
      </c>
      <c r="D2432">
        <v>2515</v>
      </c>
      <c r="E2432">
        <v>1014</v>
      </c>
      <c r="F2432">
        <v>2</v>
      </c>
      <c r="G2432">
        <v>430.68</v>
      </c>
      <c r="H2432" s="2">
        <v>45662</v>
      </c>
      <c r="I2432" s="2" t="s">
        <v>1421</v>
      </c>
      <c r="J2432" t="s">
        <v>16</v>
      </c>
      <c r="K2432" s="2" t="str">
        <f>IFERROR(INDEX(Product_lookup[Category],MATCH(RawWorking[[#This Row],[ProductID]],Product_lookup[ProductID],0)),"")</f>
        <v>Sports</v>
      </c>
      <c r="L2432" s="9" t="str">
        <f>IF(OR(RawWorking[[#This Row],[ShipDate]]="",RawWorking[[#This Row],[DeliveryDate]]=""),"",RawWorking[[#This Row],[DeliveryDate]]-RawWorking[[#This Row],[ShipDate]])</f>
        <v/>
      </c>
      <c r="M2432" s="9">
        <f>IF(COUNTIF(INDEX(RawWorking[OrderID],1):RawWorking[[#This Row],[OrderID]],RawWorking[[#This Row],[OrderID]])=1,1,0)</f>
        <v>0</v>
      </c>
      <c r="N2432" s="4">
        <f>IFERROR(RawWorking[[#This Row],[LineAmount]]/RawWorking[[#This Row],[Quantity]],"")</f>
        <v>215.34</v>
      </c>
    </row>
    <row r="2433" spans="1:14">
      <c r="A2433">
        <v>52432</v>
      </c>
      <c r="B2433">
        <v>31407</v>
      </c>
      <c r="C2433" s="2">
        <v>45689</v>
      </c>
      <c r="D2433">
        <v>2515</v>
      </c>
      <c r="E2433">
        <v>1003</v>
      </c>
      <c r="F2433">
        <v>1</v>
      </c>
      <c r="G2433">
        <v>224.37</v>
      </c>
      <c r="H2433" s="2" t="s">
        <v>1421</v>
      </c>
      <c r="I2433" s="2" t="s">
        <v>1421</v>
      </c>
      <c r="J2433" t="s">
        <v>16</v>
      </c>
      <c r="K2433" s="2" t="str">
        <f>IFERROR(INDEX(Product_lookup[Category],MATCH(RawWorking[[#This Row],[ProductID]],Product_lookup[ProductID],0)),"")</f>
        <v>Electronics</v>
      </c>
      <c r="L2433" s="9" t="str">
        <f>IF(OR(RawWorking[[#This Row],[ShipDate]]="",RawWorking[[#This Row],[DeliveryDate]]=""),"",RawWorking[[#This Row],[DeliveryDate]]-RawWorking[[#This Row],[ShipDate]])</f>
        <v/>
      </c>
      <c r="M2433" s="9">
        <f>IF(COUNTIF(INDEX(RawWorking[OrderID],1):RawWorking[[#This Row],[OrderID]],RawWorking[[#This Row],[OrderID]])=1,1,0)</f>
        <v>0</v>
      </c>
      <c r="N2433" s="4">
        <f>IFERROR(RawWorking[[#This Row],[LineAmount]]/RawWorking[[#This Row],[Quantity]],"")</f>
        <v>224.37</v>
      </c>
    </row>
    <row r="2434" spans="1:14">
      <c r="A2434">
        <v>52433</v>
      </c>
      <c r="B2434">
        <v>31408</v>
      </c>
      <c r="C2434" s="2">
        <v>45770</v>
      </c>
      <c r="D2434">
        <v>2549</v>
      </c>
      <c r="E2434">
        <v>1009</v>
      </c>
      <c r="F2434">
        <v>1</v>
      </c>
      <c r="G2434">
        <v>40.28</v>
      </c>
      <c r="H2434" s="2">
        <v>45773</v>
      </c>
      <c r="I2434" s="2">
        <v>45781</v>
      </c>
      <c r="J2434" t="s">
        <v>9</v>
      </c>
      <c r="K2434" s="2" t="str">
        <f>IFERROR(INDEX(Product_lookup[Category],MATCH(RawWorking[[#This Row],[ProductID]],Product_lookup[ProductID],0)),"")</f>
        <v>Home</v>
      </c>
      <c r="L2434" s="9">
        <f>IF(OR(RawWorking[[#This Row],[ShipDate]]="",RawWorking[[#This Row],[DeliveryDate]]=""),"",RawWorking[[#This Row],[DeliveryDate]]-RawWorking[[#This Row],[ShipDate]])</f>
        <v>8</v>
      </c>
      <c r="M2434" s="9">
        <f>IF(COUNTIF(INDEX(RawWorking[OrderID],1):RawWorking[[#This Row],[OrderID]],RawWorking[[#This Row],[OrderID]])=1,1,0)</f>
        <v>1</v>
      </c>
      <c r="N2434" s="4">
        <f>IFERROR(RawWorking[[#This Row],[LineAmount]]/RawWorking[[#This Row],[Quantity]],"")</f>
        <v>40.28</v>
      </c>
    </row>
    <row r="2435" spans="1:14">
      <c r="A2435">
        <v>52434</v>
      </c>
      <c r="B2435">
        <v>31408</v>
      </c>
      <c r="C2435" s="2">
        <v>45770</v>
      </c>
      <c r="D2435">
        <v>2549</v>
      </c>
      <c r="E2435">
        <v>1002</v>
      </c>
      <c r="F2435">
        <v>1</v>
      </c>
      <c r="G2435">
        <v>118.6</v>
      </c>
      <c r="H2435" s="2">
        <v>45771</v>
      </c>
      <c r="I2435" s="2">
        <v>45776</v>
      </c>
      <c r="J2435" t="s">
        <v>9</v>
      </c>
      <c r="K2435" s="2" t="str">
        <f>IFERROR(INDEX(Product_lookup[Category],MATCH(RawWorking[[#This Row],[ProductID]],Product_lookup[ProductID],0)),"")</f>
        <v>Electronics</v>
      </c>
      <c r="L2435" s="9">
        <f>IF(OR(RawWorking[[#This Row],[ShipDate]]="",RawWorking[[#This Row],[DeliveryDate]]=""),"",RawWorking[[#This Row],[DeliveryDate]]-RawWorking[[#This Row],[ShipDate]])</f>
        <v>5</v>
      </c>
      <c r="M2435" s="9">
        <f>IF(COUNTIF(INDEX(RawWorking[OrderID],1):RawWorking[[#This Row],[OrderID]],RawWorking[[#This Row],[OrderID]])=1,1,0)</f>
        <v>0</v>
      </c>
      <c r="N2435" s="4">
        <f>IFERROR(RawWorking[[#This Row],[LineAmount]]/RawWorking[[#This Row],[Quantity]],"")</f>
        <v>118.6</v>
      </c>
    </row>
    <row r="2436" spans="1:14">
      <c r="A2436">
        <v>52435</v>
      </c>
      <c r="B2436">
        <v>31408</v>
      </c>
      <c r="C2436" s="2">
        <v>45770</v>
      </c>
      <c r="D2436">
        <v>2549</v>
      </c>
      <c r="E2436">
        <v>1010</v>
      </c>
      <c r="F2436">
        <v>1</v>
      </c>
      <c r="G2436">
        <v>121.5</v>
      </c>
      <c r="H2436" s="2">
        <v>45771</v>
      </c>
      <c r="I2436" s="2">
        <v>45777</v>
      </c>
      <c r="J2436" t="s">
        <v>9</v>
      </c>
      <c r="K2436" s="2" t="str">
        <f>IFERROR(INDEX(Product_lookup[Category],MATCH(RawWorking[[#This Row],[ProductID]],Product_lookup[ProductID],0)),"")</f>
        <v>Office</v>
      </c>
      <c r="L2436" s="9">
        <f>IF(OR(RawWorking[[#This Row],[ShipDate]]="",RawWorking[[#This Row],[DeliveryDate]]=""),"",RawWorking[[#This Row],[DeliveryDate]]-RawWorking[[#This Row],[ShipDate]])</f>
        <v>6</v>
      </c>
      <c r="M2436" s="9">
        <f>IF(COUNTIF(INDEX(RawWorking[OrderID],1):RawWorking[[#This Row],[OrderID]],RawWorking[[#This Row],[OrderID]])=1,1,0)</f>
        <v>0</v>
      </c>
      <c r="N2436" s="4">
        <f>IFERROR(RawWorking[[#This Row],[LineAmount]]/RawWorking[[#This Row],[Quantity]],"")</f>
        <v>121.5</v>
      </c>
    </row>
    <row r="2437" spans="1:14">
      <c r="A2437">
        <v>52436</v>
      </c>
      <c r="B2437">
        <v>31408</v>
      </c>
      <c r="C2437" s="2">
        <v>45770</v>
      </c>
      <c r="D2437">
        <v>2549</v>
      </c>
      <c r="E2437">
        <v>1013</v>
      </c>
      <c r="F2437">
        <v>1</v>
      </c>
      <c r="G2437">
        <v>170.25</v>
      </c>
      <c r="H2437" s="2">
        <v>45771</v>
      </c>
      <c r="I2437" s="2">
        <v>45781</v>
      </c>
      <c r="J2437" t="s">
        <v>9</v>
      </c>
      <c r="K2437" s="2" t="str">
        <f>IFERROR(INDEX(Product_lookup[Category],MATCH(RawWorking[[#This Row],[ProductID]],Product_lookup[ProductID],0)),"")</f>
        <v>Office</v>
      </c>
      <c r="L2437" s="9">
        <f>IF(OR(RawWorking[[#This Row],[ShipDate]]="",RawWorking[[#This Row],[DeliveryDate]]=""),"",RawWorking[[#This Row],[DeliveryDate]]-RawWorking[[#This Row],[ShipDate]])</f>
        <v>10</v>
      </c>
      <c r="M2437" s="9">
        <f>IF(COUNTIF(INDEX(RawWorking[OrderID],1):RawWorking[[#This Row],[OrderID]],RawWorking[[#This Row],[OrderID]])=1,1,0)</f>
        <v>0</v>
      </c>
      <c r="N2437" s="4">
        <f>IFERROR(RawWorking[[#This Row],[LineAmount]]/RawWorking[[#This Row],[Quantity]],"")</f>
        <v>170.25</v>
      </c>
    </row>
    <row r="2438" spans="1:14">
      <c r="A2438">
        <v>52437</v>
      </c>
      <c r="B2438">
        <v>31409</v>
      </c>
      <c r="C2438" s="2">
        <v>45757</v>
      </c>
      <c r="D2438">
        <v>2232</v>
      </c>
      <c r="E2438">
        <v>1003</v>
      </c>
      <c r="F2438">
        <v>2</v>
      </c>
      <c r="G2438">
        <v>448.74</v>
      </c>
      <c r="H2438" s="2">
        <v>45758</v>
      </c>
      <c r="I2438" s="2">
        <v>45760</v>
      </c>
      <c r="J2438" t="s">
        <v>9</v>
      </c>
      <c r="K2438" s="2" t="str">
        <f>IFERROR(INDEX(Product_lookup[Category],MATCH(RawWorking[[#This Row],[ProductID]],Product_lookup[ProductID],0)),"")</f>
        <v>Electronics</v>
      </c>
      <c r="L2438" s="9">
        <f>IF(OR(RawWorking[[#This Row],[ShipDate]]="",RawWorking[[#This Row],[DeliveryDate]]=""),"",RawWorking[[#This Row],[DeliveryDate]]-RawWorking[[#This Row],[ShipDate]])</f>
        <v>2</v>
      </c>
      <c r="M2438" s="9">
        <f>IF(COUNTIF(INDEX(RawWorking[OrderID],1):RawWorking[[#This Row],[OrderID]],RawWorking[[#This Row],[OrderID]])=1,1,0)</f>
        <v>1</v>
      </c>
      <c r="N2438" s="4">
        <f>IFERROR(RawWorking[[#This Row],[LineAmount]]/RawWorking[[#This Row],[Quantity]],"")</f>
        <v>224.37</v>
      </c>
    </row>
    <row r="2439" spans="1:14">
      <c r="A2439">
        <v>52438</v>
      </c>
      <c r="B2439">
        <v>31410</v>
      </c>
      <c r="C2439" s="2">
        <v>45880</v>
      </c>
      <c r="D2439">
        <v>2593</v>
      </c>
      <c r="E2439">
        <v>1011</v>
      </c>
      <c r="F2439">
        <v>1</v>
      </c>
      <c r="G2439">
        <v>101.44</v>
      </c>
      <c r="H2439" s="2">
        <v>45883</v>
      </c>
      <c r="I2439" s="2">
        <v>45887</v>
      </c>
      <c r="J2439" t="s">
        <v>9</v>
      </c>
      <c r="K2439" s="2" t="str">
        <f>IFERROR(INDEX(Product_lookup[Category],MATCH(RawWorking[[#This Row],[ProductID]],Product_lookup[ProductID],0)),"")</f>
        <v>Office</v>
      </c>
      <c r="L2439" s="9">
        <f>IF(OR(RawWorking[[#This Row],[ShipDate]]="",RawWorking[[#This Row],[DeliveryDate]]=""),"",RawWorking[[#This Row],[DeliveryDate]]-RawWorking[[#This Row],[ShipDate]])</f>
        <v>4</v>
      </c>
      <c r="M2439" s="9">
        <f>IF(COUNTIF(INDEX(RawWorking[OrderID],1):RawWorking[[#This Row],[OrderID]],RawWorking[[#This Row],[OrderID]])=1,1,0)</f>
        <v>1</v>
      </c>
      <c r="N2439" s="4">
        <f>IFERROR(RawWorking[[#This Row],[LineAmount]]/RawWorking[[#This Row],[Quantity]],"")</f>
        <v>101.44</v>
      </c>
    </row>
    <row r="2440" spans="1:14">
      <c r="A2440">
        <v>52439</v>
      </c>
      <c r="B2440">
        <v>31411</v>
      </c>
      <c r="C2440" s="2">
        <v>45661</v>
      </c>
      <c r="D2440">
        <v>2280</v>
      </c>
      <c r="E2440">
        <v>1016</v>
      </c>
      <c r="F2440">
        <v>1</v>
      </c>
      <c r="G2440">
        <v>65.260000000000005</v>
      </c>
      <c r="H2440" s="2">
        <v>45663</v>
      </c>
      <c r="I2440" s="2">
        <v>45669</v>
      </c>
      <c r="J2440" t="s">
        <v>9</v>
      </c>
      <c r="K2440" s="2" t="str">
        <f>IFERROR(INDEX(Product_lookup[Category],MATCH(RawWorking[[#This Row],[ProductID]],Product_lookup[ProductID],0)),"")</f>
        <v>Sports</v>
      </c>
      <c r="L2440" s="9">
        <f>IF(OR(RawWorking[[#This Row],[ShipDate]]="",RawWorking[[#This Row],[DeliveryDate]]=""),"",RawWorking[[#This Row],[DeliveryDate]]-RawWorking[[#This Row],[ShipDate]])</f>
        <v>6</v>
      </c>
      <c r="M2440" s="9">
        <f>IF(COUNTIF(INDEX(RawWorking[OrderID],1):RawWorking[[#This Row],[OrderID]],RawWorking[[#This Row],[OrderID]])=1,1,0)</f>
        <v>1</v>
      </c>
      <c r="N2440" s="4">
        <f>IFERROR(RawWorking[[#This Row],[LineAmount]]/RawWorking[[#This Row],[Quantity]],"")</f>
        <v>65.260000000000005</v>
      </c>
    </row>
    <row r="2441" spans="1:14">
      <c r="A2441">
        <v>52440</v>
      </c>
      <c r="B2441">
        <v>31411</v>
      </c>
      <c r="C2441" s="2">
        <v>45661</v>
      </c>
      <c r="D2441">
        <v>2280</v>
      </c>
      <c r="E2441">
        <v>1014</v>
      </c>
      <c r="F2441">
        <v>1</v>
      </c>
      <c r="G2441">
        <v>215.34</v>
      </c>
      <c r="H2441" s="2">
        <v>45662</v>
      </c>
      <c r="I2441" s="2">
        <v>45672</v>
      </c>
      <c r="J2441" t="s">
        <v>9</v>
      </c>
      <c r="K2441" s="2" t="str">
        <f>IFERROR(INDEX(Product_lookup[Category],MATCH(RawWorking[[#This Row],[ProductID]],Product_lookup[ProductID],0)),"")</f>
        <v>Sports</v>
      </c>
      <c r="L2441" s="9">
        <f>IF(OR(RawWorking[[#This Row],[ShipDate]]="",RawWorking[[#This Row],[DeliveryDate]]=""),"",RawWorking[[#This Row],[DeliveryDate]]-RawWorking[[#This Row],[ShipDate]])</f>
        <v>10</v>
      </c>
      <c r="M2441" s="9">
        <f>IF(COUNTIF(INDEX(RawWorking[OrderID],1):RawWorking[[#This Row],[OrderID]],RawWorking[[#This Row],[OrderID]])=1,1,0)</f>
        <v>0</v>
      </c>
      <c r="N2441" s="4">
        <f>IFERROR(RawWorking[[#This Row],[LineAmount]]/RawWorking[[#This Row],[Quantity]],"")</f>
        <v>215.34</v>
      </c>
    </row>
    <row r="2442" spans="1:14">
      <c r="A2442">
        <v>52441</v>
      </c>
      <c r="B2442">
        <v>31412</v>
      </c>
      <c r="C2442" s="2">
        <v>45921</v>
      </c>
      <c r="D2442">
        <v>2215</v>
      </c>
      <c r="E2442">
        <v>1003</v>
      </c>
      <c r="F2442">
        <v>3</v>
      </c>
      <c r="G2442">
        <v>673.11</v>
      </c>
      <c r="H2442" s="2">
        <v>45922</v>
      </c>
      <c r="I2442" s="2">
        <v>45932</v>
      </c>
      <c r="J2442" t="s">
        <v>9</v>
      </c>
      <c r="K2442" s="2" t="str">
        <f>IFERROR(INDEX(Product_lookup[Category],MATCH(RawWorking[[#This Row],[ProductID]],Product_lookup[ProductID],0)),"")</f>
        <v>Electronics</v>
      </c>
      <c r="L2442" s="9">
        <f>IF(OR(RawWorking[[#This Row],[ShipDate]]="",RawWorking[[#This Row],[DeliveryDate]]=""),"",RawWorking[[#This Row],[DeliveryDate]]-RawWorking[[#This Row],[ShipDate]])</f>
        <v>10</v>
      </c>
      <c r="M2442" s="9">
        <f>IF(COUNTIF(INDEX(RawWorking[OrderID],1):RawWorking[[#This Row],[OrderID]],RawWorking[[#This Row],[OrderID]])=1,1,0)</f>
        <v>1</v>
      </c>
      <c r="N2442" s="4">
        <f>IFERROR(RawWorking[[#This Row],[LineAmount]]/RawWorking[[#This Row],[Quantity]],"")</f>
        <v>224.37</v>
      </c>
    </row>
    <row r="2443" spans="1:14">
      <c r="A2443">
        <v>52442</v>
      </c>
      <c r="B2443">
        <v>31413</v>
      </c>
      <c r="C2443" s="2">
        <v>45747</v>
      </c>
      <c r="D2443">
        <v>2310</v>
      </c>
      <c r="E2443">
        <v>1010</v>
      </c>
      <c r="F2443">
        <v>2</v>
      </c>
      <c r="G2443">
        <v>243</v>
      </c>
      <c r="H2443" s="2">
        <v>45749</v>
      </c>
      <c r="I2443" s="2">
        <v>45781</v>
      </c>
      <c r="J2443" t="s">
        <v>9</v>
      </c>
      <c r="K2443" s="2" t="str">
        <f>IFERROR(INDEX(Product_lookup[Category],MATCH(RawWorking[[#This Row],[ProductID]],Product_lookup[ProductID],0)),"")</f>
        <v>Office</v>
      </c>
      <c r="L2443" s="9">
        <f>IF(OR(RawWorking[[#This Row],[ShipDate]]="",RawWorking[[#This Row],[DeliveryDate]]=""),"",RawWorking[[#This Row],[DeliveryDate]]-RawWorking[[#This Row],[ShipDate]])</f>
        <v>32</v>
      </c>
      <c r="M2443" s="9">
        <f>IF(COUNTIF(INDEX(RawWorking[OrderID],1):RawWorking[[#This Row],[OrderID]],RawWorking[[#This Row],[OrderID]])=1,1,0)</f>
        <v>1</v>
      </c>
      <c r="N2443" s="4">
        <f>IFERROR(RawWorking[[#This Row],[LineAmount]]/RawWorking[[#This Row],[Quantity]],"")</f>
        <v>121.5</v>
      </c>
    </row>
    <row r="2444" spans="1:14">
      <c r="A2444">
        <v>52443</v>
      </c>
      <c r="B2444">
        <v>31414</v>
      </c>
      <c r="C2444" s="2">
        <v>45661</v>
      </c>
      <c r="D2444">
        <v>2444</v>
      </c>
      <c r="E2444">
        <v>1011</v>
      </c>
      <c r="F2444">
        <v>1</v>
      </c>
      <c r="G2444">
        <v>101.44</v>
      </c>
      <c r="H2444" s="2">
        <v>45692</v>
      </c>
      <c r="I2444" s="2">
        <v>45781</v>
      </c>
      <c r="J2444" t="s">
        <v>9</v>
      </c>
      <c r="K2444" s="2" t="str">
        <f>IFERROR(INDEX(Product_lookup[Category],MATCH(RawWorking[[#This Row],[ProductID]],Product_lookup[ProductID],0)),"")</f>
        <v>Office</v>
      </c>
      <c r="L2444" s="9">
        <f>IF(OR(RawWorking[[#This Row],[ShipDate]]="",RawWorking[[#This Row],[DeliveryDate]]=""),"",RawWorking[[#This Row],[DeliveryDate]]-RawWorking[[#This Row],[ShipDate]])</f>
        <v>89</v>
      </c>
      <c r="M2444" s="9">
        <f>IF(COUNTIF(INDEX(RawWorking[OrderID],1):RawWorking[[#This Row],[OrderID]],RawWorking[[#This Row],[OrderID]])=1,1,0)</f>
        <v>1</v>
      </c>
      <c r="N2444" s="4">
        <f>IFERROR(RawWorking[[#This Row],[LineAmount]]/RawWorking[[#This Row],[Quantity]],"")</f>
        <v>101.44</v>
      </c>
    </row>
    <row r="2445" spans="1:14">
      <c r="A2445">
        <v>52444</v>
      </c>
      <c r="B2445">
        <v>31415</v>
      </c>
      <c r="C2445" s="2">
        <v>45990</v>
      </c>
      <c r="D2445">
        <v>2205</v>
      </c>
      <c r="E2445">
        <v>1009</v>
      </c>
      <c r="F2445">
        <v>2</v>
      </c>
      <c r="G2445">
        <v>80.56</v>
      </c>
      <c r="H2445" s="2">
        <v>45992</v>
      </c>
      <c r="I2445" s="2">
        <v>45995</v>
      </c>
      <c r="J2445" t="s">
        <v>9</v>
      </c>
      <c r="K2445" s="2" t="str">
        <f>IFERROR(INDEX(Product_lookup[Category],MATCH(RawWorking[[#This Row],[ProductID]],Product_lookup[ProductID],0)),"")</f>
        <v>Home</v>
      </c>
      <c r="L2445" s="9">
        <f>IF(OR(RawWorking[[#This Row],[ShipDate]]="",RawWorking[[#This Row],[DeliveryDate]]=""),"",RawWorking[[#This Row],[DeliveryDate]]-RawWorking[[#This Row],[ShipDate]])</f>
        <v>3</v>
      </c>
      <c r="M2445" s="9">
        <f>IF(COUNTIF(INDEX(RawWorking[OrderID],1):RawWorking[[#This Row],[OrderID]],RawWorking[[#This Row],[OrderID]])=1,1,0)</f>
        <v>1</v>
      </c>
      <c r="N2445" s="4">
        <f>IFERROR(RawWorking[[#This Row],[LineAmount]]/RawWorking[[#This Row],[Quantity]],"")</f>
        <v>40.28</v>
      </c>
    </row>
    <row r="2446" spans="1:14">
      <c r="A2446">
        <v>52445</v>
      </c>
      <c r="B2446">
        <v>31415</v>
      </c>
      <c r="C2446" s="2">
        <v>45990</v>
      </c>
      <c r="D2446">
        <v>2205</v>
      </c>
      <c r="E2446">
        <v>1015</v>
      </c>
      <c r="F2446">
        <v>2</v>
      </c>
      <c r="G2446">
        <v>239.48</v>
      </c>
      <c r="H2446" s="2">
        <v>45992</v>
      </c>
      <c r="I2446" s="2">
        <v>45999</v>
      </c>
      <c r="J2446" t="s">
        <v>9</v>
      </c>
      <c r="K2446" s="2" t="str">
        <f>IFERROR(INDEX(Product_lookup[Category],MATCH(RawWorking[[#This Row],[ProductID]],Product_lookup[ProductID],0)),"")</f>
        <v>Sports</v>
      </c>
      <c r="L2446" s="9">
        <f>IF(OR(RawWorking[[#This Row],[ShipDate]]="",RawWorking[[#This Row],[DeliveryDate]]=""),"",RawWorking[[#This Row],[DeliveryDate]]-RawWorking[[#This Row],[ShipDate]])</f>
        <v>7</v>
      </c>
      <c r="M2446" s="9">
        <f>IF(COUNTIF(INDEX(RawWorking[OrderID],1):RawWorking[[#This Row],[OrderID]],RawWorking[[#This Row],[OrderID]])=1,1,0)</f>
        <v>0</v>
      </c>
      <c r="N2446" s="4">
        <f>IFERROR(RawWorking[[#This Row],[LineAmount]]/RawWorking[[#This Row],[Quantity]],"")</f>
        <v>119.74</v>
      </c>
    </row>
    <row r="2447" spans="1:14">
      <c r="A2447">
        <v>52446</v>
      </c>
      <c r="B2447">
        <v>31416</v>
      </c>
      <c r="C2447" s="2">
        <v>45880</v>
      </c>
      <c r="D2447">
        <v>2561</v>
      </c>
      <c r="E2447">
        <v>1001</v>
      </c>
      <c r="F2447">
        <v>1</v>
      </c>
      <c r="G2447">
        <v>203.04</v>
      </c>
      <c r="H2447" s="2">
        <v>45881</v>
      </c>
      <c r="I2447" s="2">
        <v>45884</v>
      </c>
      <c r="J2447" t="s">
        <v>9</v>
      </c>
      <c r="K2447" s="2" t="str">
        <f>IFERROR(INDEX(Product_lookup[Category],MATCH(RawWorking[[#This Row],[ProductID]],Product_lookup[ProductID],0)),"")</f>
        <v>Electronics</v>
      </c>
      <c r="L2447" s="9">
        <f>IF(OR(RawWorking[[#This Row],[ShipDate]]="",RawWorking[[#This Row],[DeliveryDate]]=""),"",RawWorking[[#This Row],[DeliveryDate]]-RawWorking[[#This Row],[ShipDate]])</f>
        <v>3</v>
      </c>
      <c r="M2447" s="9">
        <f>IF(COUNTIF(INDEX(RawWorking[OrderID],1):RawWorking[[#This Row],[OrderID]],RawWorking[[#This Row],[OrderID]])=1,1,0)</f>
        <v>1</v>
      </c>
      <c r="N2447" s="4">
        <f>IFERROR(RawWorking[[#This Row],[LineAmount]]/RawWorking[[#This Row],[Quantity]],"")</f>
        <v>203.04</v>
      </c>
    </row>
    <row r="2448" spans="1:14">
      <c r="A2448">
        <v>52447</v>
      </c>
      <c r="B2448">
        <v>31416</v>
      </c>
      <c r="C2448" s="2">
        <v>45880</v>
      </c>
      <c r="D2448">
        <v>2561</v>
      </c>
      <c r="E2448">
        <v>1006</v>
      </c>
      <c r="F2448">
        <v>1</v>
      </c>
      <c r="G2448">
        <v>253.86</v>
      </c>
      <c r="H2448" s="2">
        <v>45883</v>
      </c>
      <c r="I2448" s="2">
        <v>45888</v>
      </c>
      <c r="J2448" t="s">
        <v>9</v>
      </c>
      <c r="K2448" s="2" t="str">
        <f>IFERROR(INDEX(Product_lookup[Category],MATCH(RawWorking[[#This Row],[ProductID]],Product_lookup[ProductID],0)),"")</f>
        <v>Home</v>
      </c>
      <c r="L2448" s="9">
        <f>IF(OR(RawWorking[[#This Row],[ShipDate]]="",RawWorking[[#This Row],[DeliveryDate]]=""),"",RawWorking[[#This Row],[DeliveryDate]]-RawWorking[[#This Row],[ShipDate]])</f>
        <v>5</v>
      </c>
      <c r="M2448" s="9">
        <f>IF(COUNTIF(INDEX(RawWorking[OrderID],1):RawWorking[[#This Row],[OrderID]],RawWorking[[#This Row],[OrderID]])=1,1,0)</f>
        <v>0</v>
      </c>
      <c r="N2448" s="4">
        <f>IFERROR(RawWorking[[#This Row],[LineAmount]]/RawWorking[[#This Row],[Quantity]],"")</f>
        <v>253.86</v>
      </c>
    </row>
    <row r="2449" spans="1:14">
      <c r="A2449">
        <v>52448</v>
      </c>
      <c r="B2449">
        <v>31416</v>
      </c>
      <c r="C2449" s="2">
        <v>45880</v>
      </c>
      <c r="D2449">
        <v>2561</v>
      </c>
      <c r="E2449">
        <v>1016</v>
      </c>
      <c r="F2449">
        <v>2</v>
      </c>
      <c r="G2449">
        <v>130.52000000000001</v>
      </c>
      <c r="H2449" s="2">
        <v>45881</v>
      </c>
      <c r="I2449" s="2">
        <v>45885</v>
      </c>
      <c r="J2449" t="s">
        <v>9</v>
      </c>
      <c r="K2449" s="2" t="str">
        <f>IFERROR(INDEX(Product_lookup[Category],MATCH(RawWorking[[#This Row],[ProductID]],Product_lookup[ProductID],0)),"")</f>
        <v>Sports</v>
      </c>
      <c r="L2449" s="9">
        <f>IF(OR(RawWorking[[#This Row],[ShipDate]]="",RawWorking[[#This Row],[DeliveryDate]]=""),"",RawWorking[[#This Row],[DeliveryDate]]-RawWorking[[#This Row],[ShipDate]])</f>
        <v>4</v>
      </c>
      <c r="M2449" s="9">
        <f>IF(COUNTIF(INDEX(RawWorking[OrderID],1):RawWorking[[#This Row],[OrderID]],RawWorking[[#This Row],[OrderID]])=1,1,0)</f>
        <v>0</v>
      </c>
      <c r="N2449" s="4">
        <f>IFERROR(RawWorking[[#This Row],[LineAmount]]/RawWorking[[#This Row],[Quantity]],"")</f>
        <v>65.260000000000005</v>
      </c>
    </row>
    <row r="2450" spans="1:14">
      <c r="A2450">
        <v>52449</v>
      </c>
      <c r="B2450">
        <v>31417</v>
      </c>
      <c r="C2450" s="2">
        <v>45947</v>
      </c>
      <c r="D2450">
        <v>2219</v>
      </c>
      <c r="E2450">
        <v>1015</v>
      </c>
      <c r="F2450">
        <v>1</v>
      </c>
      <c r="G2450">
        <v>119.74</v>
      </c>
      <c r="H2450" s="2">
        <v>45950</v>
      </c>
      <c r="I2450" s="2">
        <v>45959</v>
      </c>
      <c r="J2450" t="s">
        <v>9</v>
      </c>
      <c r="K2450" s="2" t="str">
        <f>IFERROR(INDEX(Product_lookup[Category],MATCH(RawWorking[[#This Row],[ProductID]],Product_lookup[ProductID],0)),"")</f>
        <v>Sports</v>
      </c>
      <c r="L2450" s="9">
        <f>IF(OR(RawWorking[[#This Row],[ShipDate]]="",RawWorking[[#This Row],[DeliveryDate]]=""),"",RawWorking[[#This Row],[DeliveryDate]]-RawWorking[[#This Row],[ShipDate]])</f>
        <v>9</v>
      </c>
      <c r="M2450" s="9">
        <f>IF(COUNTIF(INDEX(RawWorking[OrderID],1):RawWorking[[#This Row],[OrderID]],RawWorking[[#This Row],[OrderID]])=1,1,0)</f>
        <v>1</v>
      </c>
      <c r="N2450" s="4">
        <f>IFERROR(RawWorking[[#This Row],[LineAmount]]/RawWorking[[#This Row],[Quantity]],"")</f>
        <v>119.74</v>
      </c>
    </row>
    <row r="2451" spans="1:14">
      <c r="A2451">
        <v>52450</v>
      </c>
      <c r="B2451">
        <v>31418</v>
      </c>
      <c r="C2451" s="2">
        <v>45785</v>
      </c>
      <c r="D2451">
        <v>2275</v>
      </c>
      <c r="E2451">
        <v>1014</v>
      </c>
      <c r="F2451">
        <v>2</v>
      </c>
      <c r="G2451">
        <v>430.68</v>
      </c>
      <c r="H2451" s="2" t="s">
        <v>1421</v>
      </c>
      <c r="I2451" s="2" t="s">
        <v>1421</v>
      </c>
      <c r="J2451" t="s">
        <v>12</v>
      </c>
      <c r="K2451" s="2" t="str">
        <f>IFERROR(INDEX(Product_lookup[Category],MATCH(RawWorking[[#This Row],[ProductID]],Product_lookup[ProductID],0)),"")</f>
        <v>Sports</v>
      </c>
      <c r="L2451" s="9" t="str">
        <f>IF(OR(RawWorking[[#This Row],[ShipDate]]="",RawWorking[[#This Row],[DeliveryDate]]=""),"",RawWorking[[#This Row],[DeliveryDate]]-RawWorking[[#This Row],[ShipDate]])</f>
        <v/>
      </c>
      <c r="M2451" s="9">
        <f>IF(COUNTIF(INDEX(RawWorking[OrderID],1):RawWorking[[#This Row],[OrderID]],RawWorking[[#This Row],[OrderID]])=1,1,0)</f>
        <v>1</v>
      </c>
      <c r="N2451" s="4">
        <f>IFERROR(RawWorking[[#This Row],[LineAmount]]/RawWorking[[#This Row],[Quantity]],"")</f>
        <v>215.34</v>
      </c>
    </row>
    <row r="2452" spans="1:14">
      <c r="A2452">
        <v>52451</v>
      </c>
      <c r="B2452">
        <v>31419</v>
      </c>
      <c r="C2452" s="2">
        <v>45733</v>
      </c>
      <c r="D2452">
        <v>2580</v>
      </c>
      <c r="E2452">
        <v>1002</v>
      </c>
      <c r="F2452">
        <v>1</v>
      </c>
      <c r="G2452">
        <v>118.6</v>
      </c>
      <c r="H2452" s="2">
        <v>45734</v>
      </c>
      <c r="I2452" s="2">
        <v>45735</v>
      </c>
      <c r="J2452" t="s">
        <v>9</v>
      </c>
      <c r="K2452" s="2" t="str">
        <f>IFERROR(INDEX(Product_lookup[Category],MATCH(RawWorking[[#This Row],[ProductID]],Product_lookup[ProductID],0)),"")</f>
        <v>Electronics</v>
      </c>
      <c r="L2452" s="9">
        <f>IF(OR(RawWorking[[#This Row],[ShipDate]]="",RawWorking[[#This Row],[DeliveryDate]]=""),"",RawWorking[[#This Row],[DeliveryDate]]-RawWorking[[#This Row],[ShipDate]])</f>
        <v>1</v>
      </c>
      <c r="M2452" s="9">
        <f>IF(COUNTIF(INDEX(RawWorking[OrderID],1):RawWorking[[#This Row],[OrderID]],RawWorking[[#This Row],[OrderID]])=1,1,0)</f>
        <v>1</v>
      </c>
      <c r="N2452" s="4">
        <f>IFERROR(RawWorking[[#This Row],[LineAmount]]/RawWorking[[#This Row],[Quantity]],"")</f>
        <v>118.6</v>
      </c>
    </row>
    <row r="2453" spans="1:14">
      <c r="A2453">
        <v>52452</v>
      </c>
      <c r="B2453">
        <v>31420</v>
      </c>
      <c r="C2453" s="2">
        <v>46000</v>
      </c>
      <c r="D2453">
        <v>2535</v>
      </c>
      <c r="E2453">
        <v>1015</v>
      </c>
      <c r="F2453">
        <v>2</v>
      </c>
      <c r="G2453">
        <v>239.48</v>
      </c>
      <c r="H2453" s="2">
        <v>46003</v>
      </c>
      <c r="I2453" s="2">
        <v>46009</v>
      </c>
      <c r="J2453" t="s">
        <v>9</v>
      </c>
      <c r="K2453" s="2" t="str">
        <f>IFERROR(INDEX(Product_lookup[Category],MATCH(RawWorking[[#This Row],[ProductID]],Product_lookup[ProductID],0)),"")</f>
        <v>Sports</v>
      </c>
      <c r="L2453" s="9">
        <f>IF(OR(RawWorking[[#This Row],[ShipDate]]="",RawWorking[[#This Row],[DeliveryDate]]=""),"",RawWorking[[#This Row],[DeliveryDate]]-RawWorking[[#This Row],[ShipDate]])</f>
        <v>6</v>
      </c>
      <c r="M2453" s="9">
        <f>IF(COUNTIF(INDEX(RawWorking[OrderID],1):RawWorking[[#This Row],[OrderID]],RawWorking[[#This Row],[OrderID]])=1,1,0)</f>
        <v>1</v>
      </c>
      <c r="N2453" s="4">
        <f>IFERROR(RawWorking[[#This Row],[LineAmount]]/RawWorking[[#This Row],[Quantity]],"")</f>
        <v>119.74</v>
      </c>
    </row>
    <row r="2454" spans="1:14">
      <c r="A2454">
        <v>52453</v>
      </c>
      <c r="B2454">
        <v>31421</v>
      </c>
      <c r="C2454" s="2">
        <v>46019</v>
      </c>
      <c r="D2454">
        <v>2152</v>
      </c>
      <c r="E2454">
        <v>1010</v>
      </c>
      <c r="F2454">
        <v>1</v>
      </c>
      <c r="G2454">
        <v>121.5</v>
      </c>
      <c r="H2454" s="2">
        <v>46020</v>
      </c>
      <c r="I2454" s="2">
        <v>46113</v>
      </c>
      <c r="J2454" t="s">
        <v>9</v>
      </c>
      <c r="K2454" s="2" t="str">
        <f>IFERROR(INDEX(Product_lookup[Category],MATCH(RawWorking[[#This Row],[ProductID]],Product_lookup[ProductID],0)),"")</f>
        <v>Office</v>
      </c>
      <c r="L2454" s="9">
        <f>IF(OR(RawWorking[[#This Row],[ShipDate]]="",RawWorking[[#This Row],[DeliveryDate]]=""),"",RawWorking[[#This Row],[DeliveryDate]]-RawWorking[[#This Row],[ShipDate]])</f>
        <v>93</v>
      </c>
      <c r="M2454" s="9">
        <f>IF(COUNTIF(INDEX(RawWorking[OrderID],1):RawWorking[[#This Row],[OrderID]],RawWorking[[#This Row],[OrderID]])=1,1,0)</f>
        <v>1</v>
      </c>
      <c r="N2454" s="4">
        <f>IFERROR(RawWorking[[#This Row],[LineAmount]]/RawWorking[[#This Row],[Quantity]],"")</f>
        <v>121.5</v>
      </c>
    </row>
    <row r="2455" spans="1:14">
      <c r="A2455">
        <v>52454</v>
      </c>
      <c r="B2455">
        <v>31421</v>
      </c>
      <c r="C2455" s="2">
        <v>46019</v>
      </c>
      <c r="D2455">
        <v>2152</v>
      </c>
      <c r="E2455">
        <v>1014</v>
      </c>
      <c r="F2455">
        <v>1</v>
      </c>
      <c r="G2455">
        <v>215.34</v>
      </c>
      <c r="H2455" s="2">
        <v>46020</v>
      </c>
      <c r="I2455" s="2">
        <v>46113</v>
      </c>
      <c r="J2455" t="s">
        <v>9</v>
      </c>
      <c r="K2455" s="2" t="str">
        <f>IFERROR(INDEX(Product_lookup[Category],MATCH(RawWorking[[#This Row],[ProductID]],Product_lookup[ProductID],0)),"")</f>
        <v>Sports</v>
      </c>
      <c r="L2455" s="9">
        <f>IF(OR(RawWorking[[#This Row],[ShipDate]]="",RawWorking[[#This Row],[DeliveryDate]]=""),"",RawWorking[[#This Row],[DeliveryDate]]-RawWorking[[#This Row],[ShipDate]])</f>
        <v>93</v>
      </c>
      <c r="M2455" s="9">
        <f>IF(COUNTIF(INDEX(RawWorking[OrderID],1):RawWorking[[#This Row],[OrderID]],RawWorking[[#This Row],[OrderID]])=1,1,0)</f>
        <v>0</v>
      </c>
      <c r="N2455" s="4">
        <f>IFERROR(RawWorking[[#This Row],[LineAmount]]/RawWorking[[#This Row],[Quantity]],"")</f>
        <v>215.34</v>
      </c>
    </row>
    <row r="2456" spans="1:14">
      <c r="A2456">
        <v>52455</v>
      </c>
      <c r="B2456">
        <v>31422</v>
      </c>
      <c r="C2456" s="2">
        <v>45944</v>
      </c>
      <c r="D2456">
        <v>2421</v>
      </c>
      <c r="E2456">
        <v>1003</v>
      </c>
      <c r="F2456">
        <v>1</v>
      </c>
      <c r="G2456">
        <v>224.37</v>
      </c>
      <c r="H2456" s="2">
        <v>45947</v>
      </c>
      <c r="I2456" s="2">
        <v>45952</v>
      </c>
      <c r="J2456" t="s">
        <v>9</v>
      </c>
      <c r="K2456" s="2" t="str">
        <f>IFERROR(INDEX(Product_lookup[Category],MATCH(RawWorking[[#This Row],[ProductID]],Product_lookup[ProductID],0)),"")</f>
        <v>Electronics</v>
      </c>
      <c r="L2456" s="9">
        <f>IF(OR(RawWorking[[#This Row],[ShipDate]]="",RawWorking[[#This Row],[DeliveryDate]]=""),"",RawWorking[[#This Row],[DeliveryDate]]-RawWorking[[#This Row],[ShipDate]])</f>
        <v>5</v>
      </c>
      <c r="M2456" s="9">
        <f>IF(COUNTIF(INDEX(RawWorking[OrderID],1):RawWorking[[#This Row],[OrderID]],RawWorking[[#This Row],[OrderID]])=1,1,0)</f>
        <v>1</v>
      </c>
      <c r="N2456" s="4">
        <f>IFERROR(RawWorking[[#This Row],[LineAmount]]/RawWorking[[#This Row],[Quantity]],"")</f>
        <v>224.37</v>
      </c>
    </row>
    <row r="2457" spans="1:14">
      <c r="A2457">
        <v>52456</v>
      </c>
      <c r="B2457">
        <v>31422</v>
      </c>
      <c r="C2457" s="2">
        <v>45944</v>
      </c>
      <c r="D2457">
        <v>2421</v>
      </c>
      <c r="E2457">
        <v>1007</v>
      </c>
      <c r="F2457">
        <v>3</v>
      </c>
      <c r="G2457">
        <v>599.42999999999995</v>
      </c>
      <c r="H2457" s="2">
        <v>45945</v>
      </c>
      <c r="I2457" s="2">
        <v>45949</v>
      </c>
      <c r="J2457" t="s">
        <v>9</v>
      </c>
      <c r="K2457" s="2" t="str">
        <f>IFERROR(INDEX(Product_lookup[Category],MATCH(RawWorking[[#This Row],[ProductID]],Product_lookup[ProductID],0)),"")</f>
        <v>Home</v>
      </c>
      <c r="L2457" s="9">
        <f>IF(OR(RawWorking[[#This Row],[ShipDate]]="",RawWorking[[#This Row],[DeliveryDate]]=""),"",RawWorking[[#This Row],[DeliveryDate]]-RawWorking[[#This Row],[ShipDate]])</f>
        <v>4</v>
      </c>
      <c r="M2457" s="9">
        <f>IF(COUNTIF(INDEX(RawWorking[OrderID],1):RawWorking[[#This Row],[OrderID]],RawWorking[[#This Row],[OrderID]])=1,1,0)</f>
        <v>0</v>
      </c>
      <c r="N2457" s="4">
        <f>IFERROR(RawWorking[[#This Row],[LineAmount]]/RawWorking[[#This Row],[Quantity]],"")</f>
        <v>199.80999999999997</v>
      </c>
    </row>
    <row r="2458" spans="1:14">
      <c r="A2458">
        <v>52457</v>
      </c>
      <c r="B2458">
        <v>31423</v>
      </c>
      <c r="C2458" s="2">
        <v>45707</v>
      </c>
      <c r="D2458">
        <v>2423</v>
      </c>
      <c r="E2458">
        <v>1010</v>
      </c>
      <c r="F2458">
        <v>1</v>
      </c>
      <c r="G2458">
        <v>121.5</v>
      </c>
      <c r="H2458" s="2">
        <v>45710</v>
      </c>
      <c r="I2458" s="2">
        <v>45718</v>
      </c>
      <c r="J2458" t="s">
        <v>9</v>
      </c>
      <c r="K2458" s="2" t="str">
        <f>IFERROR(INDEX(Product_lookup[Category],MATCH(RawWorking[[#This Row],[ProductID]],Product_lookup[ProductID],0)),"")</f>
        <v>Office</v>
      </c>
      <c r="L2458" s="9">
        <f>IF(OR(RawWorking[[#This Row],[ShipDate]]="",RawWorking[[#This Row],[DeliveryDate]]=""),"",RawWorking[[#This Row],[DeliveryDate]]-RawWorking[[#This Row],[ShipDate]])</f>
        <v>8</v>
      </c>
      <c r="M2458" s="9">
        <f>IF(COUNTIF(INDEX(RawWorking[OrderID],1):RawWorking[[#This Row],[OrderID]],RawWorking[[#This Row],[OrderID]])=1,1,0)</f>
        <v>1</v>
      </c>
      <c r="N2458" s="4">
        <f>IFERROR(RawWorking[[#This Row],[LineAmount]]/RawWorking[[#This Row],[Quantity]],"")</f>
        <v>121.5</v>
      </c>
    </row>
    <row r="2459" spans="1:14">
      <c r="A2459">
        <v>52458</v>
      </c>
      <c r="B2459">
        <v>31423</v>
      </c>
      <c r="C2459" s="2">
        <v>45707</v>
      </c>
      <c r="D2459">
        <v>2423</v>
      </c>
      <c r="E2459">
        <v>1006</v>
      </c>
      <c r="F2459">
        <v>2</v>
      </c>
      <c r="G2459">
        <v>507.72</v>
      </c>
      <c r="H2459" s="2">
        <v>45710</v>
      </c>
      <c r="I2459" s="2">
        <v>45715</v>
      </c>
      <c r="J2459" t="s">
        <v>9</v>
      </c>
      <c r="K2459" s="2" t="str">
        <f>IFERROR(INDEX(Product_lookup[Category],MATCH(RawWorking[[#This Row],[ProductID]],Product_lookup[ProductID],0)),"")</f>
        <v>Home</v>
      </c>
      <c r="L2459" s="9">
        <f>IF(OR(RawWorking[[#This Row],[ShipDate]]="",RawWorking[[#This Row],[DeliveryDate]]=""),"",RawWorking[[#This Row],[DeliveryDate]]-RawWorking[[#This Row],[ShipDate]])</f>
        <v>5</v>
      </c>
      <c r="M2459" s="9">
        <f>IF(COUNTIF(INDEX(RawWorking[OrderID],1):RawWorking[[#This Row],[OrderID]],RawWorking[[#This Row],[OrderID]])=1,1,0)</f>
        <v>0</v>
      </c>
      <c r="N2459" s="4">
        <f>IFERROR(RawWorking[[#This Row],[LineAmount]]/RawWorking[[#This Row],[Quantity]],"")</f>
        <v>253.86</v>
      </c>
    </row>
    <row r="2460" spans="1:14">
      <c r="A2460">
        <v>52459</v>
      </c>
      <c r="B2460">
        <v>31423</v>
      </c>
      <c r="C2460" s="2">
        <v>45707</v>
      </c>
      <c r="D2460">
        <v>2423</v>
      </c>
      <c r="E2460">
        <v>1009</v>
      </c>
      <c r="F2460">
        <v>1</v>
      </c>
      <c r="G2460">
        <v>40.28</v>
      </c>
      <c r="H2460" s="2">
        <v>45710</v>
      </c>
      <c r="I2460" s="2">
        <v>45719</v>
      </c>
      <c r="J2460" t="s">
        <v>9</v>
      </c>
      <c r="K2460" s="2" t="str">
        <f>IFERROR(INDEX(Product_lookup[Category],MATCH(RawWorking[[#This Row],[ProductID]],Product_lookup[ProductID],0)),"")</f>
        <v>Home</v>
      </c>
      <c r="L2460" s="9">
        <f>IF(OR(RawWorking[[#This Row],[ShipDate]]="",RawWorking[[#This Row],[DeliveryDate]]=""),"",RawWorking[[#This Row],[DeliveryDate]]-RawWorking[[#This Row],[ShipDate]])</f>
        <v>9</v>
      </c>
      <c r="M2460" s="9">
        <f>IF(COUNTIF(INDEX(RawWorking[OrderID],1):RawWorking[[#This Row],[OrderID]],RawWorking[[#This Row],[OrderID]])=1,1,0)</f>
        <v>0</v>
      </c>
      <c r="N2460" s="4">
        <f>IFERROR(RawWorking[[#This Row],[LineAmount]]/RawWorking[[#This Row],[Quantity]],"")</f>
        <v>40.28</v>
      </c>
    </row>
    <row r="2461" spans="1:14">
      <c r="A2461">
        <v>52460</v>
      </c>
      <c r="B2461">
        <v>31424</v>
      </c>
      <c r="C2461" s="2">
        <v>45662</v>
      </c>
      <c r="D2461">
        <v>2242</v>
      </c>
      <c r="E2461">
        <v>1004</v>
      </c>
      <c r="F2461">
        <v>1</v>
      </c>
      <c r="G2461">
        <v>183.74</v>
      </c>
      <c r="H2461" s="2">
        <v>45664</v>
      </c>
      <c r="I2461" s="2">
        <v>45669</v>
      </c>
      <c r="J2461" t="s">
        <v>9</v>
      </c>
      <c r="K2461" s="2" t="str">
        <f>IFERROR(INDEX(Product_lookup[Category],MATCH(RawWorking[[#This Row],[ProductID]],Product_lookup[ProductID],0)),"")</f>
        <v>Electronics</v>
      </c>
      <c r="L2461" s="9">
        <f>IF(OR(RawWorking[[#This Row],[ShipDate]]="",RawWorking[[#This Row],[DeliveryDate]]=""),"",RawWorking[[#This Row],[DeliveryDate]]-RawWorking[[#This Row],[ShipDate]])</f>
        <v>5</v>
      </c>
      <c r="M2461" s="9">
        <f>IF(COUNTIF(INDEX(RawWorking[OrderID],1):RawWorking[[#This Row],[OrderID]],RawWorking[[#This Row],[OrderID]])=1,1,0)</f>
        <v>1</v>
      </c>
      <c r="N2461" s="4">
        <f>IFERROR(RawWorking[[#This Row],[LineAmount]]/RawWorking[[#This Row],[Quantity]],"")</f>
        <v>183.74</v>
      </c>
    </row>
    <row r="2462" spans="1:14">
      <c r="A2462">
        <v>52461</v>
      </c>
      <c r="B2462">
        <v>31425</v>
      </c>
      <c r="C2462" s="2">
        <v>45816</v>
      </c>
      <c r="D2462">
        <v>2154</v>
      </c>
      <c r="E2462">
        <v>1008</v>
      </c>
      <c r="F2462">
        <v>1</v>
      </c>
      <c r="G2462">
        <v>206.09</v>
      </c>
      <c r="H2462" s="2">
        <v>45818</v>
      </c>
      <c r="I2462" s="2">
        <v>45823</v>
      </c>
      <c r="J2462" t="s">
        <v>9</v>
      </c>
      <c r="K2462" s="2" t="str">
        <f>IFERROR(INDEX(Product_lookup[Category],MATCH(RawWorking[[#This Row],[ProductID]],Product_lookup[ProductID],0)),"")</f>
        <v>Home</v>
      </c>
      <c r="L2462" s="9">
        <f>IF(OR(RawWorking[[#This Row],[ShipDate]]="",RawWorking[[#This Row],[DeliveryDate]]=""),"",RawWorking[[#This Row],[DeliveryDate]]-RawWorking[[#This Row],[ShipDate]])</f>
        <v>5</v>
      </c>
      <c r="M2462" s="9">
        <f>IF(COUNTIF(INDEX(RawWorking[OrderID],1):RawWorking[[#This Row],[OrderID]],RawWorking[[#This Row],[OrderID]])=1,1,0)</f>
        <v>1</v>
      </c>
      <c r="N2462" s="4">
        <f>IFERROR(RawWorking[[#This Row],[LineAmount]]/RawWorking[[#This Row],[Quantity]],"")</f>
        <v>206.09</v>
      </c>
    </row>
    <row r="2463" spans="1:14">
      <c r="A2463">
        <v>52462</v>
      </c>
      <c r="B2463">
        <v>31425</v>
      </c>
      <c r="C2463" s="2">
        <v>45816</v>
      </c>
      <c r="D2463">
        <v>2154</v>
      </c>
      <c r="E2463">
        <v>1010</v>
      </c>
      <c r="F2463">
        <v>3</v>
      </c>
      <c r="G2463">
        <v>364.5</v>
      </c>
      <c r="H2463" s="2">
        <v>45818</v>
      </c>
      <c r="I2463" s="2">
        <v>45819</v>
      </c>
      <c r="J2463" t="s">
        <v>9</v>
      </c>
      <c r="K2463" s="2" t="str">
        <f>IFERROR(INDEX(Product_lookup[Category],MATCH(RawWorking[[#This Row],[ProductID]],Product_lookup[ProductID],0)),"")</f>
        <v>Office</v>
      </c>
      <c r="L2463" s="9">
        <f>IF(OR(RawWorking[[#This Row],[ShipDate]]="",RawWorking[[#This Row],[DeliveryDate]]=""),"",RawWorking[[#This Row],[DeliveryDate]]-RawWorking[[#This Row],[ShipDate]])</f>
        <v>1</v>
      </c>
      <c r="M2463" s="9">
        <f>IF(COUNTIF(INDEX(RawWorking[OrderID],1):RawWorking[[#This Row],[OrderID]],RawWorking[[#This Row],[OrderID]])=1,1,0)</f>
        <v>0</v>
      </c>
      <c r="N2463" s="4">
        <f>IFERROR(RawWorking[[#This Row],[LineAmount]]/RawWorking[[#This Row],[Quantity]],"")</f>
        <v>121.5</v>
      </c>
    </row>
    <row r="2464" spans="1:14">
      <c r="A2464">
        <v>52463</v>
      </c>
      <c r="B2464">
        <v>31426</v>
      </c>
      <c r="C2464" s="2">
        <v>45694</v>
      </c>
      <c r="D2464">
        <v>2476</v>
      </c>
      <c r="E2464">
        <v>1014</v>
      </c>
      <c r="F2464">
        <v>3</v>
      </c>
      <c r="G2464">
        <v>646.02</v>
      </c>
      <c r="H2464" s="2">
        <v>45696</v>
      </c>
      <c r="I2464" s="2">
        <v>45701</v>
      </c>
      <c r="J2464" t="s">
        <v>9</v>
      </c>
      <c r="K2464" s="2" t="str">
        <f>IFERROR(INDEX(Product_lookup[Category],MATCH(RawWorking[[#This Row],[ProductID]],Product_lookup[ProductID],0)),"")</f>
        <v>Sports</v>
      </c>
      <c r="L2464" s="9">
        <f>IF(OR(RawWorking[[#This Row],[ShipDate]]="",RawWorking[[#This Row],[DeliveryDate]]=""),"",RawWorking[[#This Row],[DeliveryDate]]-RawWorking[[#This Row],[ShipDate]])</f>
        <v>5</v>
      </c>
      <c r="M2464" s="9">
        <f>IF(COUNTIF(INDEX(RawWorking[OrderID],1):RawWorking[[#This Row],[OrderID]],RawWorking[[#This Row],[OrderID]])=1,1,0)</f>
        <v>1</v>
      </c>
      <c r="N2464" s="4">
        <f>IFERROR(RawWorking[[#This Row],[LineAmount]]/RawWorking[[#This Row],[Quantity]],"")</f>
        <v>215.34</v>
      </c>
    </row>
    <row r="2465" spans="1:14">
      <c r="A2465">
        <v>52464</v>
      </c>
      <c r="B2465">
        <v>31426</v>
      </c>
      <c r="C2465" s="2">
        <v>45694</v>
      </c>
      <c r="D2465">
        <v>2476</v>
      </c>
      <c r="E2465">
        <v>1014</v>
      </c>
      <c r="F2465">
        <v>3</v>
      </c>
      <c r="G2465">
        <v>646.02</v>
      </c>
      <c r="H2465" s="2">
        <v>45696</v>
      </c>
      <c r="I2465" s="2">
        <v>45702</v>
      </c>
      <c r="J2465" t="s">
        <v>9</v>
      </c>
      <c r="K2465" s="2" t="str">
        <f>IFERROR(INDEX(Product_lookup[Category],MATCH(RawWorking[[#This Row],[ProductID]],Product_lookup[ProductID],0)),"")</f>
        <v>Sports</v>
      </c>
      <c r="L2465" s="9">
        <f>IF(OR(RawWorking[[#This Row],[ShipDate]]="",RawWorking[[#This Row],[DeliveryDate]]=""),"",RawWorking[[#This Row],[DeliveryDate]]-RawWorking[[#This Row],[ShipDate]])</f>
        <v>6</v>
      </c>
      <c r="M2465" s="9">
        <f>IF(COUNTIF(INDEX(RawWorking[OrderID],1):RawWorking[[#This Row],[OrderID]],RawWorking[[#This Row],[OrderID]])=1,1,0)</f>
        <v>0</v>
      </c>
      <c r="N2465" s="4">
        <f>IFERROR(RawWorking[[#This Row],[LineAmount]]/RawWorking[[#This Row],[Quantity]],"")</f>
        <v>215.34</v>
      </c>
    </row>
    <row r="2466" spans="1:14">
      <c r="A2466">
        <v>52465</v>
      </c>
      <c r="B2466">
        <v>31427</v>
      </c>
      <c r="C2466" s="2">
        <v>45739</v>
      </c>
      <c r="D2466">
        <v>2038</v>
      </c>
      <c r="E2466">
        <v>1009</v>
      </c>
      <c r="F2466">
        <v>4</v>
      </c>
      <c r="G2466">
        <v>161.12</v>
      </c>
      <c r="H2466" s="2">
        <v>45742</v>
      </c>
      <c r="I2466" s="2">
        <v>45751</v>
      </c>
      <c r="J2466" t="s">
        <v>9</v>
      </c>
      <c r="K2466" s="2" t="str">
        <f>IFERROR(INDEX(Product_lookup[Category],MATCH(RawWorking[[#This Row],[ProductID]],Product_lookup[ProductID],0)),"")</f>
        <v>Home</v>
      </c>
      <c r="L2466" s="9">
        <f>IF(OR(RawWorking[[#This Row],[ShipDate]]="",RawWorking[[#This Row],[DeliveryDate]]=""),"",RawWorking[[#This Row],[DeliveryDate]]-RawWorking[[#This Row],[ShipDate]])</f>
        <v>9</v>
      </c>
      <c r="M2466" s="9">
        <f>IF(COUNTIF(INDEX(RawWorking[OrderID],1):RawWorking[[#This Row],[OrderID]],RawWorking[[#This Row],[OrderID]])=1,1,0)</f>
        <v>1</v>
      </c>
      <c r="N2466" s="4">
        <f>IFERROR(RawWorking[[#This Row],[LineAmount]]/RawWorking[[#This Row],[Quantity]],"")</f>
        <v>40.28</v>
      </c>
    </row>
    <row r="2467" spans="1:14">
      <c r="A2467">
        <v>52466</v>
      </c>
      <c r="B2467">
        <v>31428</v>
      </c>
      <c r="C2467" s="2">
        <v>45787</v>
      </c>
      <c r="D2467">
        <v>2140</v>
      </c>
      <c r="E2467">
        <v>1009</v>
      </c>
      <c r="F2467">
        <v>1</v>
      </c>
      <c r="G2467">
        <v>40.28</v>
      </c>
      <c r="H2467" s="2">
        <v>45789</v>
      </c>
      <c r="I2467" s="2">
        <v>45797</v>
      </c>
      <c r="J2467" t="s">
        <v>9</v>
      </c>
      <c r="K2467" s="2" t="str">
        <f>IFERROR(INDEX(Product_lookup[Category],MATCH(RawWorking[[#This Row],[ProductID]],Product_lookup[ProductID],0)),"")</f>
        <v>Home</v>
      </c>
      <c r="L2467" s="9">
        <f>IF(OR(RawWorking[[#This Row],[ShipDate]]="",RawWorking[[#This Row],[DeliveryDate]]=""),"",RawWorking[[#This Row],[DeliveryDate]]-RawWorking[[#This Row],[ShipDate]])</f>
        <v>8</v>
      </c>
      <c r="M2467" s="9">
        <f>IF(COUNTIF(INDEX(RawWorking[OrderID],1):RawWorking[[#This Row],[OrderID]],RawWorking[[#This Row],[OrderID]])=1,1,0)</f>
        <v>1</v>
      </c>
      <c r="N2467" s="4">
        <f>IFERROR(RawWorking[[#This Row],[LineAmount]]/RawWorking[[#This Row],[Quantity]],"")</f>
        <v>40.28</v>
      </c>
    </row>
    <row r="2468" spans="1:14">
      <c r="A2468">
        <v>52467</v>
      </c>
      <c r="B2468">
        <v>31429</v>
      </c>
      <c r="C2468" s="2">
        <v>45679</v>
      </c>
      <c r="D2468">
        <v>2564</v>
      </c>
      <c r="E2468">
        <v>1002</v>
      </c>
      <c r="F2468">
        <v>3</v>
      </c>
      <c r="G2468">
        <v>355.8</v>
      </c>
      <c r="H2468" s="2">
        <v>45681</v>
      </c>
      <c r="I2468" s="2">
        <v>45686</v>
      </c>
      <c r="J2468" t="s">
        <v>9</v>
      </c>
      <c r="K2468" s="2" t="str">
        <f>IFERROR(INDEX(Product_lookup[Category],MATCH(RawWorking[[#This Row],[ProductID]],Product_lookup[ProductID],0)),"")</f>
        <v>Electronics</v>
      </c>
      <c r="L2468" s="9">
        <f>IF(OR(RawWorking[[#This Row],[ShipDate]]="",RawWorking[[#This Row],[DeliveryDate]]=""),"",RawWorking[[#This Row],[DeliveryDate]]-RawWorking[[#This Row],[ShipDate]])</f>
        <v>5</v>
      </c>
      <c r="M2468" s="9">
        <f>IF(COUNTIF(INDEX(RawWorking[OrderID],1):RawWorking[[#This Row],[OrderID]],RawWorking[[#This Row],[OrderID]])=1,1,0)</f>
        <v>1</v>
      </c>
      <c r="N2468" s="4">
        <f>IFERROR(RawWorking[[#This Row],[LineAmount]]/RawWorking[[#This Row],[Quantity]],"")</f>
        <v>118.60000000000001</v>
      </c>
    </row>
    <row r="2469" spans="1:14">
      <c r="A2469">
        <v>52468</v>
      </c>
      <c r="B2469">
        <v>31429</v>
      </c>
      <c r="C2469" s="2">
        <v>45679</v>
      </c>
      <c r="D2469">
        <v>2564</v>
      </c>
      <c r="E2469">
        <v>1016</v>
      </c>
      <c r="F2469">
        <v>1</v>
      </c>
      <c r="G2469">
        <v>65.260000000000005</v>
      </c>
      <c r="H2469" s="2">
        <v>45682</v>
      </c>
      <c r="I2469" s="2">
        <v>45686</v>
      </c>
      <c r="J2469" t="s">
        <v>9</v>
      </c>
      <c r="K2469" s="2" t="str">
        <f>IFERROR(INDEX(Product_lookup[Category],MATCH(RawWorking[[#This Row],[ProductID]],Product_lookup[ProductID],0)),"")</f>
        <v>Sports</v>
      </c>
      <c r="L2469" s="9">
        <f>IF(OR(RawWorking[[#This Row],[ShipDate]]="",RawWorking[[#This Row],[DeliveryDate]]=""),"",RawWorking[[#This Row],[DeliveryDate]]-RawWorking[[#This Row],[ShipDate]])</f>
        <v>4</v>
      </c>
      <c r="M2469" s="9">
        <f>IF(COUNTIF(INDEX(RawWorking[OrderID],1):RawWorking[[#This Row],[OrderID]],RawWorking[[#This Row],[OrderID]])=1,1,0)</f>
        <v>0</v>
      </c>
      <c r="N2469" s="4">
        <f>IFERROR(RawWorking[[#This Row],[LineAmount]]/RawWorking[[#This Row],[Quantity]],"")</f>
        <v>65.260000000000005</v>
      </c>
    </row>
    <row r="2470" spans="1:14">
      <c r="A2470">
        <v>52469</v>
      </c>
      <c r="B2470">
        <v>31429</v>
      </c>
      <c r="C2470" s="2">
        <v>45679</v>
      </c>
      <c r="D2470">
        <v>2564</v>
      </c>
      <c r="E2470">
        <v>1001</v>
      </c>
      <c r="F2470">
        <v>1</v>
      </c>
      <c r="G2470">
        <v>203.04</v>
      </c>
      <c r="H2470" s="2">
        <v>45681</v>
      </c>
      <c r="I2470" s="2">
        <v>45689</v>
      </c>
      <c r="J2470" t="s">
        <v>9</v>
      </c>
      <c r="K2470" s="2" t="str">
        <f>IFERROR(INDEX(Product_lookup[Category],MATCH(RawWorking[[#This Row],[ProductID]],Product_lookup[ProductID],0)),"")</f>
        <v>Electronics</v>
      </c>
      <c r="L2470" s="9">
        <f>IF(OR(RawWorking[[#This Row],[ShipDate]]="",RawWorking[[#This Row],[DeliveryDate]]=""),"",RawWorking[[#This Row],[DeliveryDate]]-RawWorking[[#This Row],[ShipDate]])</f>
        <v>8</v>
      </c>
      <c r="M2470" s="9">
        <f>IF(COUNTIF(INDEX(RawWorking[OrderID],1):RawWorking[[#This Row],[OrderID]],RawWorking[[#This Row],[OrderID]])=1,1,0)</f>
        <v>0</v>
      </c>
      <c r="N2470" s="4">
        <f>IFERROR(RawWorking[[#This Row],[LineAmount]]/RawWorking[[#This Row],[Quantity]],"")</f>
        <v>203.04</v>
      </c>
    </row>
    <row r="2471" spans="1:14">
      <c r="A2471">
        <v>52470</v>
      </c>
      <c r="B2471">
        <v>31430</v>
      </c>
      <c r="C2471" s="2">
        <v>45866</v>
      </c>
      <c r="D2471">
        <v>2057</v>
      </c>
      <c r="E2471">
        <v>1003</v>
      </c>
      <c r="F2471">
        <v>2</v>
      </c>
      <c r="G2471">
        <v>448.74</v>
      </c>
      <c r="H2471" s="2" t="s">
        <v>1421</v>
      </c>
      <c r="I2471" s="2" t="s">
        <v>1421</v>
      </c>
      <c r="J2471" t="s">
        <v>16</v>
      </c>
      <c r="K2471" s="2" t="str">
        <f>IFERROR(INDEX(Product_lookup[Category],MATCH(RawWorking[[#This Row],[ProductID]],Product_lookup[ProductID],0)),"")</f>
        <v>Electronics</v>
      </c>
      <c r="L2471" s="9" t="str">
        <f>IF(OR(RawWorking[[#This Row],[ShipDate]]="",RawWorking[[#This Row],[DeliveryDate]]=""),"",RawWorking[[#This Row],[DeliveryDate]]-RawWorking[[#This Row],[ShipDate]])</f>
        <v/>
      </c>
      <c r="M2471" s="9">
        <f>IF(COUNTIF(INDEX(RawWorking[OrderID],1):RawWorking[[#This Row],[OrderID]],RawWorking[[#This Row],[OrderID]])=1,1,0)</f>
        <v>1</v>
      </c>
      <c r="N2471" s="4">
        <f>IFERROR(RawWorking[[#This Row],[LineAmount]]/RawWorking[[#This Row],[Quantity]],"")</f>
        <v>224.37</v>
      </c>
    </row>
    <row r="2472" spans="1:14">
      <c r="A2472">
        <v>52471</v>
      </c>
      <c r="B2472">
        <v>31431</v>
      </c>
      <c r="C2472" s="2">
        <v>45861</v>
      </c>
      <c r="D2472">
        <v>2306</v>
      </c>
      <c r="E2472">
        <v>1014</v>
      </c>
      <c r="F2472">
        <v>1</v>
      </c>
      <c r="G2472">
        <v>215.34</v>
      </c>
      <c r="H2472" s="2" t="s">
        <v>1421</v>
      </c>
      <c r="I2472" s="2" t="s">
        <v>1421</v>
      </c>
      <c r="J2472" t="s">
        <v>12</v>
      </c>
      <c r="K2472" s="2" t="str">
        <f>IFERROR(INDEX(Product_lookup[Category],MATCH(RawWorking[[#This Row],[ProductID]],Product_lookup[ProductID],0)),"")</f>
        <v>Sports</v>
      </c>
      <c r="L2472" s="9" t="str">
        <f>IF(OR(RawWorking[[#This Row],[ShipDate]]="",RawWorking[[#This Row],[DeliveryDate]]=""),"",RawWorking[[#This Row],[DeliveryDate]]-RawWorking[[#This Row],[ShipDate]])</f>
        <v/>
      </c>
      <c r="M2472" s="9">
        <f>IF(COUNTIF(INDEX(RawWorking[OrderID],1):RawWorking[[#This Row],[OrderID]],RawWorking[[#This Row],[OrderID]])=1,1,0)</f>
        <v>1</v>
      </c>
      <c r="N2472" s="4">
        <f>IFERROR(RawWorking[[#This Row],[LineAmount]]/RawWorking[[#This Row],[Quantity]],"")</f>
        <v>215.34</v>
      </c>
    </row>
    <row r="2473" spans="1:14">
      <c r="A2473">
        <v>52472</v>
      </c>
      <c r="B2473">
        <v>31431</v>
      </c>
      <c r="C2473" s="2">
        <v>45861</v>
      </c>
      <c r="D2473">
        <v>2306</v>
      </c>
      <c r="E2473">
        <v>1012</v>
      </c>
      <c r="F2473">
        <v>1</v>
      </c>
      <c r="G2473">
        <v>241.54</v>
      </c>
      <c r="H2473" s="2" t="s">
        <v>1421</v>
      </c>
      <c r="I2473" s="2" t="s">
        <v>1421</v>
      </c>
      <c r="J2473" t="s">
        <v>12</v>
      </c>
      <c r="K2473" s="2" t="str">
        <f>IFERROR(INDEX(Product_lookup[Category],MATCH(RawWorking[[#This Row],[ProductID]],Product_lookup[ProductID],0)),"")</f>
        <v>Office</v>
      </c>
      <c r="L2473" s="9" t="str">
        <f>IF(OR(RawWorking[[#This Row],[ShipDate]]="",RawWorking[[#This Row],[DeliveryDate]]=""),"",RawWorking[[#This Row],[DeliveryDate]]-RawWorking[[#This Row],[ShipDate]])</f>
        <v/>
      </c>
      <c r="M2473" s="9">
        <f>IF(COUNTIF(INDEX(RawWorking[OrderID],1):RawWorking[[#This Row],[OrderID]],RawWorking[[#This Row],[OrderID]])=1,1,0)</f>
        <v>0</v>
      </c>
      <c r="N2473" s="4">
        <f>IFERROR(RawWorking[[#This Row],[LineAmount]]/RawWorking[[#This Row],[Quantity]],"")</f>
        <v>241.54</v>
      </c>
    </row>
    <row r="2474" spans="1:14">
      <c r="A2474">
        <v>52473</v>
      </c>
      <c r="B2474">
        <v>31431</v>
      </c>
      <c r="C2474" s="2">
        <v>45861</v>
      </c>
      <c r="D2474">
        <v>2306</v>
      </c>
      <c r="E2474">
        <v>1003</v>
      </c>
      <c r="F2474">
        <v>1</v>
      </c>
      <c r="G2474">
        <v>224.37</v>
      </c>
      <c r="H2474" s="2" t="s">
        <v>1421</v>
      </c>
      <c r="I2474" s="2" t="s">
        <v>1421</v>
      </c>
      <c r="J2474" t="s">
        <v>12</v>
      </c>
      <c r="K2474" s="2" t="str">
        <f>IFERROR(INDEX(Product_lookup[Category],MATCH(RawWorking[[#This Row],[ProductID]],Product_lookup[ProductID],0)),"")</f>
        <v>Electronics</v>
      </c>
      <c r="L2474" s="9" t="str">
        <f>IF(OR(RawWorking[[#This Row],[ShipDate]]="",RawWorking[[#This Row],[DeliveryDate]]=""),"",RawWorking[[#This Row],[DeliveryDate]]-RawWorking[[#This Row],[ShipDate]])</f>
        <v/>
      </c>
      <c r="M2474" s="9">
        <f>IF(COUNTIF(INDEX(RawWorking[OrderID],1):RawWorking[[#This Row],[OrderID]],RawWorking[[#This Row],[OrderID]])=1,1,0)</f>
        <v>0</v>
      </c>
      <c r="N2474" s="4">
        <f>IFERROR(RawWorking[[#This Row],[LineAmount]]/RawWorking[[#This Row],[Quantity]],"")</f>
        <v>224.37</v>
      </c>
    </row>
    <row r="2475" spans="1:14">
      <c r="A2475">
        <v>52474</v>
      </c>
      <c r="B2475">
        <v>31431</v>
      </c>
      <c r="C2475" s="2">
        <v>45861</v>
      </c>
      <c r="D2475">
        <v>2306</v>
      </c>
      <c r="E2475">
        <v>1013</v>
      </c>
      <c r="F2475">
        <v>1</v>
      </c>
      <c r="G2475">
        <v>170.25</v>
      </c>
      <c r="H2475" s="2" t="s">
        <v>1421</v>
      </c>
      <c r="I2475" s="2" t="s">
        <v>1421</v>
      </c>
      <c r="J2475" t="s">
        <v>12</v>
      </c>
      <c r="K2475" s="2" t="str">
        <f>IFERROR(INDEX(Product_lookup[Category],MATCH(RawWorking[[#This Row],[ProductID]],Product_lookup[ProductID],0)),"")</f>
        <v>Office</v>
      </c>
      <c r="L2475" s="9" t="str">
        <f>IF(OR(RawWorking[[#This Row],[ShipDate]]="",RawWorking[[#This Row],[DeliveryDate]]=""),"",RawWorking[[#This Row],[DeliveryDate]]-RawWorking[[#This Row],[ShipDate]])</f>
        <v/>
      </c>
      <c r="M2475" s="9">
        <f>IF(COUNTIF(INDEX(RawWorking[OrderID],1):RawWorking[[#This Row],[OrderID]],RawWorking[[#This Row],[OrderID]])=1,1,0)</f>
        <v>0</v>
      </c>
      <c r="N2475" s="4">
        <f>IFERROR(RawWorking[[#This Row],[LineAmount]]/RawWorking[[#This Row],[Quantity]],"")</f>
        <v>170.25</v>
      </c>
    </row>
    <row r="2476" spans="1:14">
      <c r="A2476">
        <v>52475</v>
      </c>
      <c r="B2476">
        <v>31432</v>
      </c>
      <c r="C2476" s="2">
        <v>45816</v>
      </c>
      <c r="D2476">
        <v>2144</v>
      </c>
      <c r="E2476">
        <v>1004</v>
      </c>
      <c r="F2476">
        <v>1</v>
      </c>
      <c r="G2476">
        <v>183.74</v>
      </c>
      <c r="H2476" s="2">
        <v>45818</v>
      </c>
      <c r="I2476" s="2">
        <v>45820</v>
      </c>
      <c r="J2476" t="s">
        <v>9</v>
      </c>
      <c r="K2476" s="2" t="str">
        <f>IFERROR(INDEX(Product_lookup[Category],MATCH(RawWorking[[#This Row],[ProductID]],Product_lookup[ProductID],0)),"")</f>
        <v>Electronics</v>
      </c>
      <c r="L2476" s="9">
        <f>IF(OR(RawWorking[[#This Row],[ShipDate]]="",RawWorking[[#This Row],[DeliveryDate]]=""),"",RawWorking[[#This Row],[DeliveryDate]]-RawWorking[[#This Row],[ShipDate]])</f>
        <v>2</v>
      </c>
      <c r="M2476" s="9">
        <f>IF(COUNTIF(INDEX(RawWorking[OrderID],1):RawWorking[[#This Row],[OrderID]],RawWorking[[#This Row],[OrderID]])=1,1,0)</f>
        <v>1</v>
      </c>
      <c r="N2476" s="4">
        <f>IFERROR(RawWorking[[#This Row],[LineAmount]]/RawWorking[[#This Row],[Quantity]],"")</f>
        <v>183.74</v>
      </c>
    </row>
    <row r="2477" spans="1:14">
      <c r="A2477">
        <v>52476</v>
      </c>
      <c r="B2477">
        <v>31432</v>
      </c>
      <c r="C2477" s="2">
        <v>45816</v>
      </c>
      <c r="D2477">
        <v>2144</v>
      </c>
      <c r="E2477">
        <v>1009</v>
      </c>
      <c r="F2477">
        <v>3</v>
      </c>
      <c r="G2477">
        <v>120.84</v>
      </c>
      <c r="H2477" s="2">
        <v>45817</v>
      </c>
      <c r="I2477" s="2">
        <v>45826</v>
      </c>
      <c r="J2477" t="s">
        <v>9</v>
      </c>
      <c r="K2477" s="2" t="str">
        <f>IFERROR(INDEX(Product_lookup[Category],MATCH(RawWorking[[#This Row],[ProductID]],Product_lookup[ProductID],0)),"")</f>
        <v>Home</v>
      </c>
      <c r="L2477" s="9">
        <f>IF(OR(RawWorking[[#This Row],[ShipDate]]="",RawWorking[[#This Row],[DeliveryDate]]=""),"",RawWorking[[#This Row],[DeliveryDate]]-RawWorking[[#This Row],[ShipDate]])</f>
        <v>9</v>
      </c>
      <c r="M2477" s="9">
        <f>IF(COUNTIF(INDEX(RawWorking[OrderID],1):RawWorking[[#This Row],[OrderID]],RawWorking[[#This Row],[OrderID]])=1,1,0)</f>
        <v>0</v>
      </c>
      <c r="N2477" s="4">
        <f>IFERROR(RawWorking[[#This Row],[LineAmount]]/RawWorking[[#This Row],[Quantity]],"")</f>
        <v>40.28</v>
      </c>
    </row>
    <row r="2478" spans="1:14">
      <c r="A2478">
        <v>52477</v>
      </c>
      <c r="B2478">
        <v>31433</v>
      </c>
      <c r="C2478" s="2">
        <v>45771</v>
      </c>
      <c r="D2478">
        <v>2509</v>
      </c>
      <c r="E2478">
        <v>1008</v>
      </c>
      <c r="F2478">
        <v>2</v>
      </c>
      <c r="G2478">
        <v>412.18</v>
      </c>
      <c r="H2478" s="2" t="s">
        <v>1421</v>
      </c>
      <c r="I2478" s="2" t="s">
        <v>1421</v>
      </c>
      <c r="J2478" t="s">
        <v>12</v>
      </c>
      <c r="K2478" s="2" t="str">
        <f>IFERROR(INDEX(Product_lookup[Category],MATCH(RawWorking[[#This Row],[ProductID]],Product_lookup[ProductID],0)),"")</f>
        <v>Home</v>
      </c>
      <c r="L2478" s="9" t="str">
        <f>IF(OR(RawWorking[[#This Row],[ShipDate]]="",RawWorking[[#This Row],[DeliveryDate]]=""),"",RawWorking[[#This Row],[DeliveryDate]]-RawWorking[[#This Row],[ShipDate]])</f>
        <v/>
      </c>
      <c r="M2478" s="9">
        <f>IF(COUNTIF(INDEX(RawWorking[OrderID],1):RawWorking[[#This Row],[OrderID]],RawWorking[[#This Row],[OrderID]])=1,1,0)</f>
        <v>1</v>
      </c>
      <c r="N2478" s="4">
        <f>IFERROR(RawWorking[[#This Row],[LineAmount]]/RawWorking[[#This Row],[Quantity]],"")</f>
        <v>206.09</v>
      </c>
    </row>
    <row r="2479" spans="1:14">
      <c r="A2479">
        <v>52478</v>
      </c>
      <c r="B2479">
        <v>31433</v>
      </c>
      <c r="C2479" s="2">
        <v>45771</v>
      </c>
      <c r="D2479">
        <v>2509</v>
      </c>
      <c r="E2479">
        <v>1004</v>
      </c>
      <c r="F2479">
        <v>3</v>
      </c>
      <c r="G2479">
        <v>551.22</v>
      </c>
      <c r="H2479" s="2" t="s">
        <v>1421</v>
      </c>
      <c r="I2479" s="2" t="s">
        <v>1421</v>
      </c>
      <c r="J2479" t="s">
        <v>12</v>
      </c>
      <c r="K2479" s="2" t="str">
        <f>IFERROR(INDEX(Product_lookup[Category],MATCH(RawWorking[[#This Row],[ProductID]],Product_lookup[ProductID],0)),"")</f>
        <v>Electronics</v>
      </c>
      <c r="L2479" s="9" t="str">
        <f>IF(OR(RawWorking[[#This Row],[ShipDate]]="",RawWorking[[#This Row],[DeliveryDate]]=""),"",RawWorking[[#This Row],[DeliveryDate]]-RawWorking[[#This Row],[ShipDate]])</f>
        <v/>
      </c>
      <c r="M2479" s="9">
        <f>IF(COUNTIF(INDEX(RawWorking[OrderID],1):RawWorking[[#This Row],[OrderID]],RawWorking[[#This Row],[OrderID]])=1,1,0)</f>
        <v>0</v>
      </c>
      <c r="N2479" s="4">
        <f>IFERROR(RawWorking[[#This Row],[LineAmount]]/RawWorking[[#This Row],[Quantity]],"")</f>
        <v>183.74</v>
      </c>
    </row>
    <row r="2480" spans="1:14">
      <c r="A2480">
        <v>52479</v>
      </c>
      <c r="B2480">
        <v>31434</v>
      </c>
      <c r="C2480" s="2">
        <v>45886</v>
      </c>
      <c r="D2480">
        <v>2321</v>
      </c>
      <c r="E2480">
        <v>1013</v>
      </c>
      <c r="F2480">
        <v>2</v>
      </c>
      <c r="G2480">
        <v>340.5</v>
      </c>
      <c r="H2480" s="2">
        <v>45889</v>
      </c>
      <c r="I2480" s="2">
        <v>45893</v>
      </c>
      <c r="J2480" t="s">
        <v>9</v>
      </c>
      <c r="K2480" s="2" t="str">
        <f>IFERROR(INDEX(Product_lookup[Category],MATCH(RawWorking[[#This Row],[ProductID]],Product_lookup[ProductID],0)),"")</f>
        <v>Office</v>
      </c>
      <c r="L2480" s="9">
        <f>IF(OR(RawWorking[[#This Row],[ShipDate]]="",RawWorking[[#This Row],[DeliveryDate]]=""),"",RawWorking[[#This Row],[DeliveryDate]]-RawWorking[[#This Row],[ShipDate]])</f>
        <v>4</v>
      </c>
      <c r="M2480" s="9">
        <f>IF(COUNTIF(INDEX(RawWorking[OrderID],1):RawWorking[[#This Row],[OrderID]],RawWorking[[#This Row],[OrderID]])=1,1,0)</f>
        <v>1</v>
      </c>
      <c r="N2480" s="4">
        <f>IFERROR(RawWorking[[#This Row],[LineAmount]]/RawWorking[[#This Row],[Quantity]],"")</f>
        <v>170.25</v>
      </c>
    </row>
    <row r="2481" spans="1:14">
      <c r="A2481">
        <v>52480</v>
      </c>
      <c r="B2481">
        <v>31434</v>
      </c>
      <c r="C2481" s="2">
        <v>45886</v>
      </c>
      <c r="D2481">
        <v>2321</v>
      </c>
      <c r="E2481">
        <v>1008</v>
      </c>
      <c r="F2481">
        <v>1</v>
      </c>
      <c r="G2481">
        <v>206.09</v>
      </c>
      <c r="H2481" s="2">
        <v>45888</v>
      </c>
      <c r="I2481" s="2">
        <v>45889</v>
      </c>
      <c r="J2481" t="s">
        <v>9</v>
      </c>
      <c r="K2481" s="2" t="str">
        <f>IFERROR(INDEX(Product_lookup[Category],MATCH(RawWorking[[#This Row],[ProductID]],Product_lookup[ProductID],0)),"")</f>
        <v>Home</v>
      </c>
      <c r="L2481" s="9">
        <f>IF(OR(RawWorking[[#This Row],[ShipDate]]="",RawWorking[[#This Row],[DeliveryDate]]=""),"",RawWorking[[#This Row],[DeliveryDate]]-RawWorking[[#This Row],[ShipDate]])</f>
        <v>1</v>
      </c>
      <c r="M2481" s="9">
        <f>IF(COUNTIF(INDEX(RawWorking[OrderID],1):RawWorking[[#This Row],[OrderID]],RawWorking[[#This Row],[OrderID]])=1,1,0)</f>
        <v>0</v>
      </c>
      <c r="N2481" s="4">
        <f>IFERROR(RawWorking[[#This Row],[LineAmount]]/RawWorking[[#This Row],[Quantity]],"")</f>
        <v>206.09</v>
      </c>
    </row>
    <row r="2482" spans="1:14">
      <c r="A2482">
        <v>52481</v>
      </c>
      <c r="B2482">
        <v>31434</v>
      </c>
      <c r="C2482" s="2">
        <v>45886</v>
      </c>
      <c r="D2482">
        <v>2321</v>
      </c>
      <c r="E2482">
        <v>1014</v>
      </c>
      <c r="F2482">
        <v>1</v>
      </c>
      <c r="G2482">
        <v>215.34</v>
      </c>
      <c r="H2482" s="2">
        <v>45888</v>
      </c>
      <c r="I2482" s="2">
        <v>45889</v>
      </c>
      <c r="J2482" t="s">
        <v>9</v>
      </c>
      <c r="K2482" s="2" t="str">
        <f>IFERROR(INDEX(Product_lookup[Category],MATCH(RawWorking[[#This Row],[ProductID]],Product_lookup[ProductID],0)),"")</f>
        <v>Sports</v>
      </c>
      <c r="L2482" s="9">
        <f>IF(OR(RawWorking[[#This Row],[ShipDate]]="",RawWorking[[#This Row],[DeliveryDate]]=""),"",RawWorking[[#This Row],[DeliveryDate]]-RawWorking[[#This Row],[ShipDate]])</f>
        <v>1</v>
      </c>
      <c r="M2482" s="9">
        <f>IF(COUNTIF(INDEX(RawWorking[OrderID],1):RawWorking[[#This Row],[OrderID]],RawWorking[[#This Row],[OrderID]])=1,1,0)</f>
        <v>0</v>
      </c>
      <c r="N2482" s="4">
        <f>IFERROR(RawWorking[[#This Row],[LineAmount]]/RawWorking[[#This Row],[Quantity]],"")</f>
        <v>215.34</v>
      </c>
    </row>
    <row r="2483" spans="1:14">
      <c r="A2483">
        <v>52482</v>
      </c>
      <c r="B2483">
        <v>31435</v>
      </c>
      <c r="C2483" s="2">
        <v>45705</v>
      </c>
      <c r="D2483">
        <v>2224</v>
      </c>
      <c r="E2483">
        <v>1006</v>
      </c>
      <c r="F2483">
        <v>1</v>
      </c>
      <c r="G2483">
        <v>253.86</v>
      </c>
      <c r="H2483" s="2">
        <v>45706</v>
      </c>
      <c r="I2483" s="2">
        <v>45707</v>
      </c>
      <c r="J2483" t="s">
        <v>9</v>
      </c>
      <c r="K2483" s="2" t="str">
        <f>IFERROR(INDEX(Product_lookup[Category],MATCH(RawWorking[[#This Row],[ProductID]],Product_lookup[ProductID],0)),"")</f>
        <v>Home</v>
      </c>
      <c r="L2483" s="9">
        <f>IF(OR(RawWorking[[#This Row],[ShipDate]]="",RawWorking[[#This Row],[DeliveryDate]]=""),"",RawWorking[[#This Row],[DeliveryDate]]-RawWorking[[#This Row],[ShipDate]])</f>
        <v>1</v>
      </c>
      <c r="M2483" s="9">
        <f>IF(COUNTIF(INDEX(RawWorking[OrderID],1):RawWorking[[#This Row],[OrderID]],RawWorking[[#This Row],[OrderID]])=1,1,0)</f>
        <v>1</v>
      </c>
      <c r="N2483" s="4">
        <f>IFERROR(RawWorking[[#This Row],[LineAmount]]/RawWorking[[#This Row],[Quantity]],"")</f>
        <v>253.86</v>
      </c>
    </row>
    <row r="2484" spans="1:14">
      <c r="A2484">
        <v>52483</v>
      </c>
      <c r="B2484">
        <v>31436</v>
      </c>
      <c r="C2484" s="2">
        <v>45692</v>
      </c>
      <c r="D2484">
        <v>2220</v>
      </c>
      <c r="E2484">
        <v>1015</v>
      </c>
      <c r="F2484">
        <v>1</v>
      </c>
      <c r="G2484">
        <v>119.74</v>
      </c>
      <c r="H2484" s="2">
        <v>45720</v>
      </c>
      <c r="I2484" s="2">
        <v>45934</v>
      </c>
      <c r="J2484" t="s">
        <v>11</v>
      </c>
      <c r="K2484" s="2" t="str">
        <f>IFERROR(INDEX(Product_lookup[Category],MATCH(RawWorking[[#This Row],[ProductID]],Product_lookup[ProductID],0)),"")</f>
        <v>Sports</v>
      </c>
      <c r="L2484" s="9">
        <f>IF(OR(RawWorking[[#This Row],[ShipDate]]="",RawWorking[[#This Row],[DeliveryDate]]=""),"",RawWorking[[#This Row],[DeliveryDate]]-RawWorking[[#This Row],[ShipDate]])</f>
        <v>214</v>
      </c>
      <c r="M2484" s="9">
        <f>IF(COUNTIF(INDEX(RawWorking[OrderID],1):RawWorking[[#This Row],[OrderID]],RawWorking[[#This Row],[OrderID]])=1,1,0)</f>
        <v>1</v>
      </c>
      <c r="N2484" s="4">
        <f>IFERROR(RawWorking[[#This Row],[LineAmount]]/RawWorking[[#This Row],[Quantity]],"")</f>
        <v>119.74</v>
      </c>
    </row>
    <row r="2485" spans="1:14">
      <c r="A2485">
        <v>52484</v>
      </c>
      <c r="B2485">
        <v>31436</v>
      </c>
      <c r="C2485" s="2">
        <v>45749</v>
      </c>
      <c r="D2485">
        <v>2220</v>
      </c>
      <c r="E2485">
        <v>1014</v>
      </c>
      <c r="F2485">
        <v>1</v>
      </c>
      <c r="G2485">
        <v>215.34</v>
      </c>
      <c r="H2485" s="2">
        <v>45752</v>
      </c>
      <c r="I2485" s="2">
        <v>45760</v>
      </c>
      <c r="J2485" t="s">
        <v>11</v>
      </c>
      <c r="K2485" s="2" t="str">
        <f>IFERROR(INDEX(Product_lookup[Category],MATCH(RawWorking[[#This Row],[ProductID]],Product_lookup[ProductID],0)),"")</f>
        <v>Sports</v>
      </c>
      <c r="L2485" s="9">
        <f>IF(OR(RawWorking[[#This Row],[ShipDate]]="",RawWorking[[#This Row],[DeliveryDate]]=""),"",RawWorking[[#This Row],[DeliveryDate]]-RawWorking[[#This Row],[ShipDate]])</f>
        <v>8</v>
      </c>
      <c r="M2485" s="9">
        <f>IF(COUNTIF(INDEX(RawWorking[OrderID],1):RawWorking[[#This Row],[OrderID]],RawWorking[[#This Row],[OrderID]])=1,1,0)</f>
        <v>0</v>
      </c>
      <c r="N2485" s="4">
        <f>IFERROR(RawWorking[[#This Row],[LineAmount]]/RawWorking[[#This Row],[Quantity]],"")</f>
        <v>215.34</v>
      </c>
    </row>
    <row r="2486" spans="1:14">
      <c r="A2486">
        <v>52485</v>
      </c>
      <c r="B2486">
        <v>31437</v>
      </c>
      <c r="C2486" s="2">
        <v>45880</v>
      </c>
      <c r="D2486">
        <v>2261</v>
      </c>
      <c r="E2486">
        <v>1002</v>
      </c>
      <c r="F2486">
        <v>1</v>
      </c>
      <c r="G2486">
        <v>118.6</v>
      </c>
      <c r="H2486" s="2" t="s">
        <v>1421</v>
      </c>
      <c r="I2486" s="2" t="s">
        <v>1421</v>
      </c>
      <c r="J2486" t="s">
        <v>12</v>
      </c>
      <c r="K2486" s="2" t="str">
        <f>IFERROR(INDEX(Product_lookup[Category],MATCH(RawWorking[[#This Row],[ProductID]],Product_lookup[ProductID],0)),"")</f>
        <v>Electronics</v>
      </c>
      <c r="L2486" s="9" t="str">
        <f>IF(OR(RawWorking[[#This Row],[ShipDate]]="",RawWorking[[#This Row],[DeliveryDate]]=""),"",RawWorking[[#This Row],[DeliveryDate]]-RawWorking[[#This Row],[ShipDate]])</f>
        <v/>
      </c>
      <c r="M2486" s="9">
        <f>IF(COUNTIF(INDEX(RawWorking[OrderID],1):RawWorking[[#This Row],[OrderID]],RawWorking[[#This Row],[OrderID]])=1,1,0)</f>
        <v>1</v>
      </c>
      <c r="N2486" s="4">
        <f>IFERROR(RawWorking[[#This Row],[LineAmount]]/RawWorking[[#This Row],[Quantity]],"")</f>
        <v>118.6</v>
      </c>
    </row>
    <row r="2487" spans="1:14">
      <c r="A2487">
        <v>52486</v>
      </c>
      <c r="B2487">
        <v>31437</v>
      </c>
      <c r="C2487" s="2">
        <v>45969</v>
      </c>
      <c r="D2487">
        <v>2261</v>
      </c>
      <c r="E2487">
        <v>1016</v>
      </c>
      <c r="F2487">
        <v>4</v>
      </c>
      <c r="G2487">
        <v>261.04000000000002</v>
      </c>
      <c r="H2487" s="2" t="s">
        <v>1421</v>
      </c>
      <c r="I2487" s="2" t="s">
        <v>1421</v>
      </c>
      <c r="J2487" t="s">
        <v>199</v>
      </c>
      <c r="K2487" s="2" t="str">
        <f>IFERROR(INDEX(Product_lookup[Category],MATCH(RawWorking[[#This Row],[ProductID]],Product_lookup[ProductID],0)),"")</f>
        <v>Sports</v>
      </c>
      <c r="L2487" s="9" t="str">
        <f>IF(OR(RawWorking[[#This Row],[ShipDate]]="",RawWorking[[#This Row],[DeliveryDate]]=""),"",RawWorking[[#This Row],[DeliveryDate]]-RawWorking[[#This Row],[ShipDate]])</f>
        <v/>
      </c>
      <c r="M2487" s="9">
        <f>IF(COUNTIF(INDEX(RawWorking[OrderID],1):RawWorking[[#This Row],[OrderID]],RawWorking[[#This Row],[OrderID]])=1,1,0)</f>
        <v>0</v>
      </c>
      <c r="N2487" s="4">
        <f>IFERROR(RawWorking[[#This Row],[LineAmount]]/RawWorking[[#This Row],[Quantity]],"")</f>
        <v>65.260000000000005</v>
      </c>
    </row>
    <row r="2488" spans="1:14">
      <c r="A2488">
        <v>52487</v>
      </c>
      <c r="B2488">
        <v>31438</v>
      </c>
      <c r="C2488" s="2">
        <v>45709</v>
      </c>
      <c r="D2488">
        <v>2547</v>
      </c>
      <c r="E2488">
        <v>1004</v>
      </c>
      <c r="F2488">
        <v>2</v>
      </c>
      <c r="G2488">
        <v>367.48</v>
      </c>
      <c r="H2488" s="2">
        <v>45710</v>
      </c>
      <c r="I2488" s="2">
        <v>45714</v>
      </c>
      <c r="J2488" t="s">
        <v>9</v>
      </c>
      <c r="K2488" s="2" t="str">
        <f>IFERROR(INDEX(Product_lookup[Category],MATCH(RawWorking[[#This Row],[ProductID]],Product_lookup[ProductID],0)),"")</f>
        <v>Electronics</v>
      </c>
      <c r="L2488" s="9">
        <f>IF(OR(RawWorking[[#This Row],[ShipDate]]="",RawWorking[[#This Row],[DeliveryDate]]=""),"",RawWorking[[#This Row],[DeliveryDate]]-RawWorking[[#This Row],[ShipDate]])</f>
        <v>4</v>
      </c>
      <c r="M2488" s="9">
        <f>IF(COUNTIF(INDEX(RawWorking[OrderID],1):RawWorking[[#This Row],[OrderID]],RawWorking[[#This Row],[OrderID]])=1,1,0)</f>
        <v>1</v>
      </c>
      <c r="N2488" s="4">
        <f>IFERROR(RawWorking[[#This Row],[LineAmount]]/RawWorking[[#This Row],[Quantity]],"")</f>
        <v>183.74</v>
      </c>
    </row>
    <row r="2489" spans="1:14">
      <c r="A2489">
        <v>52488</v>
      </c>
      <c r="B2489">
        <v>31438</v>
      </c>
      <c r="C2489" s="2">
        <v>45709</v>
      </c>
      <c r="D2489">
        <v>2547</v>
      </c>
      <c r="E2489">
        <v>1011</v>
      </c>
      <c r="F2489">
        <v>2</v>
      </c>
      <c r="G2489">
        <v>202.88</v>
      </c>
      <c r="H2489" s="2">
        <v>45710</v>
      </c>
      <c r="I2489" s="2">
        <v>45712</v>
      </c>
      <c r="J2489" t="s">
        <v>9</v>
      </c>
      <c r="K2489" s="2" t="str">
        <f>IFERROR(INDEX(Product_lookup[Category],MATCH(RawWorking[[#This Row],[ProductID]],Product_lookup[ProductID],0)),"")</f>
        <v>Office</v>
      </c>
      <c r="L2489" s="9">
        <f>IF(OR(RawWorking[[#This Row],[ShipDate]]="",RawWorking[[#This Row],[DeliveryDate]]=""),"",RawWorking[[#This Row],[DeliveryDate]]-RawWorking[[#This Row],[ShipDate]])</f>
        <v>2</v>
      </c>
      <c r="M2489" s="9">
        <f>IF(COUNTIF(INDEX(RawWorking[OrderID],1):RawWorking[[#This Row],[OrderID]],RawWorking[[#This Row],[OrderID]])=1,1,0)</f>
        <v>0</v>
      </c>
      <c r="N2489" s="4">
        <f>IFERROR(RawWorking[[#This Row],[LineAmount]]/RawWorking[[#This Row],[Quantity]],"")</f>
        <v>101.44</v>
      </c>
    </row>
    <row r="2490" spans="1:14">
      <c r="A2490">
        <v>52489</v>
      </c>
      <c r="B2490">
        <v>31439</v>
      </c>
      <c r="C2490" s="2">
        <v>45790</v>
      </c>
      <c r="D2490">
        <v>2559</v>
      </c>
      <c r="E2490">
        <v>1008</v>
      </c>
      <c r="F2490">
        <v>1</v>
      </c>
      <c r="G2490">
        <v>206.09</v>
      </c>
      <c r="H2490" s="2">
        <v>45793</v>
      </c>
      <c r="I2490" s="2">
        <v>45794</v>
      </c>
      <c r="J2490" t="s">
        <v>9</v>
      </c>
      <c r="K2490" s="2" t="str">
        <f>IFERROR(INDEX(Product_lookup[Category],MATCH(RawWorking[[#This Row],[ProductID]],Product_lookup[ProductID],0)),"")</f>
        <v>Home</v>
      </c>
      <c r="L2490" s="9">
        <f>IF(OR(RawWorking[[#This Row],[ShipDate]]="",RawWorking[[#This Row],[DeliveryDate]]=""),"",RawWorking[[#This Row],[DeliveryDate]]-RawWorking[[#This Row],[ShipDate]])</f>
        <v>1</v>
      </c>
      <c r="M2490" s="9">
        <f>IF(COUNTIF(INDEX(RawWorking[OrderID],1):RawWorking[[#This Row],[OrderID]],RawWorking[[#This Row],[OrderID]])=1,1,0)</f>
        <v>1</v>
      </c>
      <c r="N2490" s="4">
        <f>IFERROR(RawWorking[[#This Row],[LineAmount]]/RawWorking[[#This Row],[Quantity]],"")</f>
        <v>206.09</v>
      </c>
    </row>
    <row r="2491" spans="1:14">
      <c r="A2491">
        <v>52490</v>
      </c>
      <c r="B2491">
        <v>31440</v>
      </c>
      <c r="C2491" s="2">
        <v>45788</v>
      </c>
      <c r="D2491">
        <v>2285</v>
      </c>
      <c r="E2491">
        <v>1005</v>
      </c>
      <c r="F2491">
        <v>1</v>
      </c>
      <c r="G2491">
        <v>31.73</v>
      </c>
      <c r="H2491" s="2" t="s">
        <v>1421</v>
      </c>
      <c r="I2491" s="2" t="s">
        <v>1421</v>
      </c>
      <c r="J2491" t="s">
        <v>12</v>
      </c>
      <c r="K2491" s="2" t="str">
        <f>IFERROR(INDEX(Product_lookup[Category],MATCH(RawWorking[[#This Row],[ProductID]],Product_lookup[ProductID],0)),"")</f>
        <v>Electronics</v>
      </c>
      <c r="L2491" s="9" t="str">
        <f>IF(OR(RawWorking[[#This Row],[ShipDate]]="",RawWorking[[#This Row],[DeliveryDate]]=""),"",RawWorking[[#This Row],[DeliveryDate]]-RawWorking[[#This Row],[ShipDate]])</f>
        <v/>
      </c>
      <c r="M2491" s="9">
        <f>IF(COUNTIF(INDEX(RawWorking[OrderID],1):RawWorking[[#This Row],[OrderID]],RawWorking[[#This Row],[OrderID]])=1,1,0)</f>
        <v>1</v>
      </c>
      <c r="N2491" s="4">
        <f>IFERROR(RawWorking[[#This Row],[LineAmount]]/RawWorking[[#This Row],[Quantity]],"")</f>
        <v>31.73</v>
      </c>
    </row>
    <row r="2492" spans="1:14">
      <c r="A2492">
        <v>52491</v>
      </c>
      <c r="B2492">
        <v>31440</v>
      </c>
      <c r="C2492" s="2">
        <v>45788</v>
      </c>
      <c r="D2492">
        <v>2285</v>
      </c>
      <c r="E2492">
        <v>1012</v>
      </c>
      <c r="F2492">
        <v>1</v>
      </c>
      <c r="G2492">
        <v>241.54</v>
      </c>
      <c r="H2492" s="2" t="s">
        <v>1421</v>
      </c>
      <c r="I2492" s="2" t="s">
        <v>1421</v>
      </c>
      <c r="J2492" t="s">
        <v>12</v>
      </c>
      <c r="K2492" s="2" t="str">
        <f>IFERROR(INDEX(Product_lookup[Category],MATCH(RawWorking[[#This Row],[ProductID]],Product_lookup[ProductID],0)),"")</f>
        <v>Office</v>
      </c>
      <c r="L2492" s="9" t="str">
        <f>IF(OR(RawWorking[[#This Row],[ShipDate]]="",RawWorking[[#This Row],[DeliveryDate]]=""),"",RawWorking[[#This Row],[DeliveryDate]]-RawWorking[[#This Row],[ShipDate]])</f>
        <v/>
      </c>
      <c r="M2492" s="9">
        <f>IF(COUNTIF(INDEX(RawWorking[OrderID],1):RawWorking[[#This Row],[OrderID]],RawWorking[[#This Row],[OrderID]])=1,1,0)</f>
        <v>0</v>
      </c>
      <c r="N2492" s="4">
        <f>IFERROR(RawWorking[[#This Row],[LineAmount]]/RawWorking[[#This Row],[Quantity]],"")</f>
        <v>241.54</v>
      </c>
    </row>
    <row r="2493" spans="1:14">
      <c r="A2493">
        <v>52492</v>
      </c>
      <c r="B2493">
        <v>31441</v>
      </c>
      <c r="C2493" s="2">
        <v>45693</v>
      </c>
      <c r="D2493">
        <v>2487</v>
      </c>
      <c r="E2493">
        <v>1010</v>
      </c>
      <c r="F2493">
        <v>1</v>
      </c>
      <c r="G2493">
        <v>121.5</v>
      </c>
      <c r="H2493" s="2">
        <v>45695</v>
      </c>
      <c r="I2493" s="2">
        <v>45698</v>
      </c>
      <c r="J2493" t="s">
        <v>9</v>
      </c>
      <c r="K2493" s="2" t="str">
        <f>IFERROR(INDEX(Product_lookup[Category],MATCH(RawWorking[[#This Row],[ProductID]],Product_lookup[ProductID],0)),"")</f>
        <v>Office</v>
      </c>
      <c r="L2493" s="9">
        <f>IF(OR(RawWorking[[#This Row],[ShipDate]]="",RawWorking[[#This Row],[DeliveryDate]]=""),"",RawWorking[[#This Row],[DeliveryDate]]-RawWorking[[#This Row],[ShipDate]])</f>
        <v>3</v>
      </c>
      <c r="M2493" s="9">
        <f>IF(COUNTIF(INDEX(RawWorking[OrderID],1):RawWorking[[#This Row],[OrderID]],RawWorking[[#This Row],[OrderID]])=1,1,0)</f>
        <v>1</v>
      </c>
      <c r="N2493" s="4">
        <f>IFERROR(RawWorking[[#This Row],[LineAmount]]/RawWorking[[#This Row],[Quantity]],"")</f>
        <v>121.5</v>
      </c>
    </row>
    <row r="2494" spans="1:14">
      <c r="A2494">
        <v>52493</v>
      </c>
      <c r="B2494">
        <v>31441</v>
      </c>
      <c r="C2494" s="2">
        <v>45693</v>
      </c>
      <c r="D2494">
        <v>2487</v>
      </c>
      <c r="E2494">
        <v>1001</v>
      </c>
      <c r="F2494">
        <v>2</v>
      </c>
      <c r="G2494">
        <v>406.08</v>
      </c>
      <c r="H2494" s="2">
        <v>45695</v>
      </c>
      <c r="I2494" s="2">
        <v>45705</v>
      </c>
      <c r="J2494" t="s">
        <v>9</v>
      </c>
      <c r="K2494" s="2" t="str">
        <f>IFERROR(INDEX(Product_lookup[Category],MATCH(RawWorking[[#This Row],[ProductID]],Product_lookup[ProductID],0)),"")</f>
        <v>Electronics</v>
      </c>
      <c r="L2494" s="9">
        <f>IF(OR(RawWorking[[#This Row],[ShipDate]]="",RawWorking[[#This Row],[DeliveryDate]]=""),"",RawWorking[[#This Row],[DeliveryDate]]-RawWorking[[#This Row],[ShipDate]])</f>
        <v>10</v>
      </c>
      <c r="M2494" s="9">
        <f>IF(COUNTIF(INDEX(RawWorking[OrderID],1):RawWorking[[#This Row],[OrderID]],RawWorking[[#This Row],[OrderID]])=1,1,0)</f>
        <v>0</v>
      </c>
      <c r="N2494" s="4">
        <f>IFERROR(RawWorking[[#This Row],[LineAmount]]/RawWorking[[#This Row],[Quantity]],"")</f>
        <v>203.04</v>
      </c>
    </row>
    <row r="2495" spans="1:14">
      <c r="A2495">
        <v>52494</v>
      </c>
      <c r="B2495">
        <v>31442</v>
      </c>
      <c r="C2495" s="2">
        <v>45833</v>
      </c>
      <c r="D2495">
        <v>2036</v>
      </c>
      <c r="E2495">
        <v>1002</v>
      </c>
      <c r="F2495">
        <v>2</v>
      </c>
      <c r="G2495">
        <v>237.2</v>
      </c>
      <c r="H2495" s="2" t="s">
        <v>1421</v>
      </c>
      <c r="I2495" s="2" t="s">
        <v>1421</v>
      </c>
      <c r="J2495" t="s">
        <v>16</v>
      </c>
      <c r="K2495" s="2" t="str">
        <f>IFERROR(INDEX(Product_lookup[Category],MATCH(RawWorking[[#This Row],[ProductID]],Product_lookup[ProductID],0)),"")</f>
        <v>Electronics</v>
      </c>
      <c r="L2495" s="9" t="str">
        <f>IF(OR(RawWorking[[#This Row],[ShipDate]]="",RawWorking[[#This Row],[DeliveryDate]]=""),"",RawWorking[[#This Row],[DeliveryDate]]-RawWorking[[#This Row],[ShipDate]])</f>
        <v/>
      </c>
      <c r="M2495" s="9">
        <f>IF(COUNTIF(INDEX(RawWorking[OrderID],1):RawWorking[[#This Row],[OrderID]],RawWorking[[#This Row],[OrderID]])=1,1,0)</f>
        <v>1</v>
      </c>
      <c r="N2495" s="4">
        <f>IFERROR(RawWorking[[#This Row],[LineAmount]]/RawWorking[[#This Row],[Quantity]],"")</f>
        <v>118.6</v>
      </c>
    </row>
    <row r="2496" spans="1:14">
      <c r="A2496">
        <v>52495</v>
      </c>
      <c r="B2496">
        <v>31443</v>
      </c>
      <c r="C2496" s="2">
        <v>45817</v>
      </c>
      <c r="D2496">
        <v>2246</v>
      </c>
      <c r="E2496">
        <v>1013</v>
      </c>
      <c r="F2496">
        <v>1</v>
      </c>
      <c r="G2496">
        <v>170.25</v>
      </c>
      <c r="H2496" s="2">
        <v>45820</v>
      </c>
      <c r="I2496" s="2">
        <v>45823</v>
      </c>
      <c r="J2496" t="s">
        <v>9</v>
      </c>
      <c r="K2496" s="2" t="str">
        <f>IFERROR(INDEX(Product_lookup[Category],MATCH(RawWorking[[#This Row],[ProductID]],Product_lookup[ProductID],0)),"")</f>
        <v>Office</v>
      </c>
      <c r="L2496" s="9">
        <f>IF(OR(RawWorking[[#This Row],[ShipDate]]="",RawWorking[[#This Row],[DeliveryDate]]=""),"",RawWorking[[#This Row],[DeliveryDate]]-RawWorking[[#This Row],[ShipDate]])</f>
        <v>3</v>
      </c>
      <c r="M2496" s="9">
        <f>IF(COUNTIF(INDEX(RawWorking[OrderID],1):RawWorking[[#This Row],[OrderID]],RawWorking[[#This Row],[OrderID]])=1,1,0)</f>
        <v>1</v>
      </c>
      <c r="N2496" s="4">
        <f>IFERROR(RawWorking[[#This Row],[LineAmount]]/RawWorking[[#This Row],[Quantity]],"")</f>
        <v>170.25</v>
      </c>
    </row>
    <row r="2497" spans="1:14">
      <c r="A2497">
        <v>52496</v>
      </c>
      <c r="B2497">
        <v>31443</v>
      </c>
      <c r="C2497" s="2">
        <v>45817</v>
      </c>
      <c r="D2497">
        <v>2246</v>
      </c>
      <c r="E2497">
        <v>1010</v>
      </c>
      <c r="F2497">
        <v>1</v>
      </c>
      <c r="G2497">
        <v>121.5</v>
      </c>
      <c r="H2497" s="2">
        <v>45818</v>
      </c>
      <c r="I2497" s="2">
        <v>45824</v>
      </c>
      <c r="J2497" t="s">
        <v>9</v>
      </c>
      <c r="K2497" s="2" t="str">
        <f>IFERROR(INDEX(Product_lookup[Category],MATCH(RawWorking[[#This Row],[ProductID]],Product_lookup[ProductID],0)),"")</f>
        <v>Office</v>
      </c>
      <c r="L2497" s="9">
        <f>IF(OR(RawWorking[[#This Row],[ShipDate]]="",RawWorking[[#This Row],[DeliveryDate]]=""),"",RawWorking[[#This Row],[DeliveryDate]]-RawWorking[[#This Row],[ShipDate]])</f>
        <v>6</v>
      </c>
      <c r="M2497" s="9">
        <f>IF(COUNTIF(INDEX(RawWorking[OrderID],1):RawWorking[[#This Row],[OrderID]],RawWorking[[#This Row],[OrderID]])=1,1,0)</f>
        <v>0</v>
      </c>
      <c r="N2497" s="4">
        <f>IFERROR(RawWorking[[#This Row],[LineAmount]]/RawWorking[[#This Row],[Quantity]],"")</f>
        <v>121.5</v>
      </c>
    </row>
    <row r="2498" spans="1:14">
      <c r="A2498">
        <v>52497</v>
      </c>
      <c r="B2498">
        <v>31443</v>
      </c>
      <c r="C2498" s="2">
        <v>45817</v>
      </c>
      <c r="D2498">
        <v>2246</v>
      </c>
      <c r="E2498">
        <v>1012</v>
      </c>
      <c r="F2498">
        <v>3</v>
      </c>
      <c r="G2498">
        <v>724.62</v>
      </c>
      <c r="H2498" s="2">
        <v>45820</v>
      </c>
      <c r="I2498" s="2">
        <v>45827</v>
      </c>
      <c r="J2498" t="s">
        <v>9</v>
      </c>
      <c r="K2498" s="2" t="str">
        <f>IFERROR(INDEX(Product_lookup[Category],MATCH(RawWorking[[#This Row],[ProductID]],Product_lookup[ProductID],0)),"")</f>
        <v>Office</v>
      </c>
      <c r="L2498" s="9">
        <f>IF(OR(RawWorking[[#This Row],[ShipDate]]="",RawWorking[[#This Row],[DeliveryDate]]=""),"",RawWorking[[#This Row],[DeliveryDate]]-RawWorking[[#This Row],[ShipDate]])</f>
        <v>7</v>
      </c>
      <c r="M2498" s="9">
        <f>IF(COUNTIF(INDEX(RawWorking[OrderID],1):RawWorking[[#This Row],[OrderID]],RawWorking[[#This Row],[OrderID]])=1,1,0)</f>
        <v>0</v>
      </c>
      <c r="N2498" s="4">
        <f>IFERROR(RawWorking[[#This Row],[LineAmount]]/RawWorking[[#This Row],[Quantity]],"")</f>
        <v>241.54</v>
      </c>
    </row>
    <row r="2499" spans="1:14">
      <c r="A2499">
        <v>52498</v>
      </c>
      <c r="B2499">
        <v>31444</v>
      </c>
      <c r="C2499" s="2">
        <v>45898</v>
      </c>
      <c r="D2499">
        <v>2125</v>
      </c>
      <c r="E2499">
        <v>1008</v>
      </c>
      <c r="F2499">
        <v>3</v>
      </c>
      <c r="G2499">
        <v>618.27</v>
      </c>
      <c r="H2499" s="2">
        <v>45899</v>
      </c>
      <c r="I2499" s="2">
        <v>45903</v>
      </c>
      <c r="J2499" t="s">
        <v>9</v>
      </c>
      <c r="K2499" s="2" t="str">
        <f>IFERROR(INDEX(Product_lookup[Category],MATCH(RawWorking[[#This Row],[ProductID]],Product_lookup[ProductID],0)),"")</f>
        <v>Home</v>
      </c>
      <c r="L2499" s="9">
        <f>IF(OR(RawWorking[[#This Row],[ShipDate]]="",RawWorking[[#This Row],[DeliveryDate]]=""),"",RawWorking[[#This Row],[DeliveryDate]]-RawWorking[[#This Row],[ShipDate]])</f>
        <v>4</v>
      </c>
      <c r="M2499" s="9">
        <f>IF(COUNTIF(INDEX(RawWorking[OrderID],1):RawWorking[[#This Row],[OrderID]],RawWorking[[#This Row],[OrderID]])=1,1,0)</f>
        <v>1</v>
      </c>
      <c r="N2499" s="4">
        <f>IFERROR(RawWorking[[#This Row],[LineAmount]]/RawWorking[[#This Row],[Quantity]],"")</f>
        <v>206.09</v>
      </c>
    </row>
    <row r="2500" spans="1:14">
      <c r="A2500">
        <v>52499</v>
      </c>
      <c r="B2500">
        <v>31444</v>
      </c>
      <c r="C2500" s="2">
        <v>45898</v>
      </c>
      <c r="D2500">
        <v>2125</v>
      </c>
      <c r="E2500">
        <v>1015</v>
      </c>
      <c r="F2500">
        <v>3</v>
      </c>
      <c r="G2500">
        <v>359.22</v>
      </c>
      <c r="H2500" s="2">
        <v>45900</v>
      </c>
      <c r="I2500" s="2">
        <v>45903</v>
      </c>
      <c r="J2500" t="s">
        <v>9</v>
      </c>
      <c r="K2500" s="2" t="str">
        <f>IFERROR(INDEX(Product_lookup[Category],MATCH(RawWorking[[#This Row],[ProductID]],Product_lookup[ProductID],0)),"")</f>
        <v>Sports</v>
      </c>
      <c r="L2500" s="9">
        <f>IF(OR(RawWorking[[#This Row],[ShipDate]]="",RawWorking[[#This Row],[DeliveryDate]]=""),"",RawWorking[[#This Row],[DeliveryDate]]-RawWorking[[#This Row],[ShipDate]])</f>
        <v>3</v>
      </c>
      <c r="M2500" s="9">
        <f>IF(COUNTIF(INDEX(RawWorking[OrderID],1):RawWorking[[#This Row],[OrderID]],RawWorking[[#This Row],[OrderID]])=1,1,0)</f>
        <v>0</v>
      </c>
      <c r="N2500" s="4">
        <f>IFERROR(RawWorking[[#This Row],[LineAmount]]/RawWorking[[#This Row],[Quantity]],"")</f>
        <v>119.74000000000001</v>
      </c>
    </row>
    <row r="2501" spans="1:14">
      <c r="A2501">
        <v>52500</v>
      </c>
      <c r="B2501">
        <v>31445</v>
      </c>
      <c r="C2501" s="2">
        <v>45801</v>
      </c>
      <c r="D2501">
        <v>2398</v>
      </c>
      <c r="E2501">
        <v>1013</v>
      </c>
      <c r="F2501">
        <v>2</v>
      </c>
      <c r="G2501">
        <v>340.5</v>
      </c>
      <c r="H2501" s="2">
        <v>45804</v>
      </c>
      <c r="I2501" s="2">
        <v>45809</v>
      </c>
      <c r="J2501" t="s">
        <v>9</v>
      </c>
      <c r="K2501" s="2" t="str">
        <f>IFERROR(INDEX(Product_lookup[Category],MATCH(RawWorking[[#This Row],[ProductID]],Product_lookup[ProductID],0)),"")</f>
        <v>Office</v>
      </c>
      <c r="L2501" s="9">
        <f>IF(OR(RawWorking[[#This Row],[ShipDate]]="",RawWorking[[#This Row],[DeliveryDate]]=""),"",RawWorking[[#This Row],[DeliveryDate]]-RawWorking[[#This Row],[ShipDate]])</f>
        <v>5</v>
      </c>
      <c r="M2501" s="9">
        <f>IF(COUNTIF(INDEX(RawWorking[OrderID],1):RawWorking[[#This Row],[OrderID]],RawWorking[[#This Row],[OrderID]])=1,1,0)</f>
        <v>1</v>
      </c>
      <c r="N2501" s="4">
        <f>IFERROR(RawWorking[[#This Row],[LineAmount]]/RawWorking[[#This Row],[Quantity]],"")</f>
        <v>170.25</v>
      </c>
    </row>
    <row r="2502" spans="1:14">
      <c r="A2502">
        <v>52501</v>
      </c>
      <c r="B2502">
        <v>31446</v>
      </c>
      <c r="C2502" s="2">
        <v>45990</v>
      </c>
      <c r="D2502">
        <v>2262</v>
      </c>
      <c r="E2502">
        <v>1008</v>
      </c>
      <c r="F2502">
        <v>1</v>
      </c>
      <c r="G2502">
        <v>206.09</v>
      </c>
      <c r="H2502" s="2">
        <v>45993</v>
      </c>
      <c r="I2502" s="2">
        <v>46002</v>
      </c>
      <c r="J2502" t="s">
        <v>9</v>
      </c>
      <c r="K2502" s="2" t="str">
        <f>IFERROR(INDEX(Product_lookup[Category],MATCH(RawWorking[[#This Row],[ProductID]],Product_lookup[ProductID],0)),"")</f>
        <v>Home</v>
      </c>
      <c r="L2502" s="9">
        <f>IF(OR(RawWorking[[#This Row],[ShipDate]]="",RawWorking[[#This Row],[DeliveryDate]]=""),"",RawWorking[[#This Row],[DeliveryDate]]-RawWorking[[#This Row],[ShipDate]])</f>
        <v>9</v>
      </c>
      <c r="M2502" s="9">
        <f>IF(COUNTIF(INDEX(RawWorking[OrderID],1):RawWorking[[#This Row],[OrderID]],RawWorking[[#This Row],[OrderID]])=1,1,0)</f>
        <v>1</v>
      </c>
      <c r="N2502" s="4">
        <f>IFERROR(RawWorking[[#This Row],[LineAmount]]/RawWorking[[#This Row],[Quantity]],"")</f>
        <v>206.09</v>
      </c>
    </row>
    <row r="2503" spans="1:14">
      <c r="A2503">
        <v>52502</v>
      </c>
      <c r="B2503">
        <v>31447</v>
      </c>
      <c r="C2503" s="2">
        <v>45802</v>
      </c>
      <c r="D2503">
        <v>2305</v>
      </c>
      <c r="E2503">
        <v>1006</v>
      </c>
      <c r="F2503">
        <v>1</v>
      </c>
      <c r="G2503">
        <v>253.86</v>
      </c>
      <c r="H2503" s="2">
        <v>45804</v>
      </c>
      <c r="I2503" s="2">
        <v>45812</v>
      </c>
      <c r="J2503" t="s">
        <v>9</v>
      </c>
      <c r="K2503" s="2" t="str">
        <f>IFERROR(INDEX(Product_lookup[Category],MATCH(RawWorking[[#This Row],[ProductID]],Product_lookup[ProductID],0)),"")</f>
        <v>Home</v>
      </c>
      <c r="L2503" s="9">
        <f>IF(OR(RawWorking[[#This Row],[ShipDate]]="",RawWorking[[#This Row],[DeliveryDate]]=""),"",RawWorking[[#This Row],[DeliveryDate]]-RawWorking[[#This Row],[ShipDate]])</f>
        <v>8</v>
      </c>
      <c r="M2503" s="9">
        <f>IF(COUNTIF(INDEX(RawWorking[OrderID],1):RawWorking[[#This Row],[OrderID]],RawWorking[[#This Row],[OrderID]])=1,1,0)</f>
        <v>1</v>
      </c>
      <c r="N2503" s="4">
        <f>IFERROR(RawWorking[[#This Row],[LineAmount]]/RawWorking[[#This Row],[Quantity]],"")</f>
        <v>253.86</v>
      </c>
    </row>
    <row r="2504" spans="1:14">
      <c r="A2504">
        <v>52503</v>
      </c>
      <c r="B2504">
        <v>31447</v>
      </c>
      <c r="C2504" s="2">
        <v>45802</v>
      </c>
      <c r="D2504">
        <v>2305</v>
      </c>
      <c r="E2504">
        <v>1015</v>
      </c>
      <c r="F2504">
        <v>1</v>
      </c>
      <c r="G2504">
        <v>119.74</v>
      </c>
      <c r="H2504" s="2">
        <v>45803</v>
      </c>
      <c r="I2504" s="2">
        <v>45807</v>
      </c>
      <c r="J2504" t="s">
        <v>9</v>
      </c>
      <c r="K2504" s="2" t="str">
        <f>IFERROR(INDEX(Product_lookup[Category],MATCH(RawWorking[[#This Row],[ProductID]],Product_lookup[ProductID],0)),"")</f>
        <v>Sports</v>
      </c>
      <c r="L2504" s="9">
        <f>IF(OR(RawWorking[[#This Row],[ShipDate]]="",RawWorking[[#This Row],[DeliveryDate]]=""),"",RawWorking[[#This Row],[DeliveryDate]]-RawWorking[[#This Row],[ShipDate]])</f>
        <v>4</v>
      </c>
      <c r="M2504" s="9">
        <f>IF(COUNTIF(INDEX(RawWorking[OrderID],1):RawWorking[[#This Row],[OrderID]],RawWorking[[#This Row],[OrderID]])=1,1,0)</f>
        <v>0</v>
      </c>
      <c r="N2504" s="4">
        <f>IFERROR(RawWorking[[#This Row],[LineAmount]]/RawWorking[[#This Row],[Quantity]],"")</f>
        <v>119.74</v>
      </c>
    </row>
    <row r="2505" spans="1:14">
      <c r="A2505">
        <v>52504</v>
      </c>
      <c r="B2505">
        <v>31448</v>
      </c>
      <c r="C2505" s="2">
        <v>45869</v>
      </c>
      <c r="D2505">
        <v>2325</v>
      </c>
      <c r="E2505">
        <v>1014</v>
      </c>
      <c r="F2505">
        <v>2</v>
      </c>
      <c r="G2505">
        <v>430.68</v>
      </c>
      <c r="H2505" s="2" t="s">
        <v>1421</v>
      </c>
      <c r="I2505" s="2" t="s">
        <v>1421</v>
      </c>
      <c r="J2505" t="s">
        <v>12</v>
      </c>
      <c r="K2505" s="2" t="str">
        <f>IFERROR(INDEX(Product_lookup[Category],MATCH(RawWorking[[#This Row],[ProductID]],Product_lookup[ProductID],0)),"")</f>
        <v>Sports</v>
      </c>
      <c r="L2505" s="9" t="str">
        <f>IF(OR(RawWorking[[#This Row],[ShipDate]]="",RawWorking[[#This Row],[DeliveryDate]]=""),"",RawWorking[[#This Row],[DeliveryDate]]-RawWorking[[#This Row],[ShipDate]])</f>
        <v/>
      </c>
      <c r="M2505" s="9">
        <f>IF(COUNTIF(INDEX(RawWorking[OrderID],1):RawWorking[[#This Row],[OrderID]],RawWorking[[#This Row],[OrderID]])=1,1,0)</f>
        <v>1</v>
      </c>
      <c r="N2505" s="4">
        <f>IFERROR(RawWorking[[#This Row],[LineAmount]]/RawWorking[[#This Row],[Quantity]],"")</f>
        <v>215.34</v>
      </c>
    </row>
    <row r="2506" spans="1:14">
      <c r="A2506">
        <v>52505</v>
      </c>
      <c r="B2506">
        <v>31449</v>
      </c>
      <c r="C2506" s="2">
        <v>45883</v>
      </c>
      <c r="D2506">
        <v>2035</v>
      </c>
      <c r="E2506">
        <v>1003</v>
      </c>
      <c r="F2506">
        <v>1</v>
      </c>
      <c r="G2506">
        <v>224.37</v>
      </c>
      <c r="H2506" s="2">
        <v>45885</v>
      </c>
      <c r="I2506" s="2">
        <v>45893</v>
      </c>
      <c r="J2506" t="s">
        <v>9</v>
      </c>
      <c r="K2506" s="2" t="str">
        <f>IFERROR(INDEX(Product_lookup[Category],MATCH(RawWorking[[#This Row],[ProductID]],Product_lookup[ProductID],0)),"")</f>
        <v>Electronics</v>
      </c>
      <c r="L2506" s="9">
        <f>IF(OR(RawWorking[[#This Row],[ShipDate]]="",RawWorking[[#This Row],[DeliveryDate]]=""),"",RawWorking[[#This Row],[DeliveryDate]]-RawWorking[[#This Row],[ShipDate]])</f>
        <v>8</v>
      </c>
      <c r="M2506" s="9">
        <f>IF(COUNTIF(INDEX(RawWorking[OrderID],1):RawWorking[[#This Row],[OrderID]],RawWorking[[#This Row],[OrderID]])=1,1,0)</f>
        <v>1</v>
      </c>
      <c r="N2506" s="4">
        <f>IFERROR(RawWorking[[#This Row],[LineAmount]]/RawWorking[[#This Row],[Quantity]],"")</f>
        <v>224.37</v>
      </c>
    </row>
    <row r="2507" spans="1:14">
      <c r="A2507">
        <v>52506</v>
      </c>
      <c r="B2507">
        <v>31450</v>
      </c>
      <c r="C2507" s="2">
        <v>45918</v>
      </c>
      <c r="D2507">
        <v>2504</v>
      </c>
      <c r="E2507">
        <v>1014</v>
      </c>
      <c r="F2507">
        <v>1</v>
      </c>
      <c r="G2507">
        <v>215.34</v>
      </c>
      <c r="H2507" s="2">
        <v>45921</v>
      </c>
      <c r="I2507" s="2">
        <v>45929</v>
      </c>
      <c r="J2507" t="s">
        <v>9</v>
      </c>
      <c r="K2507" s="2" t="str">
        <f>IFERROR(INDEX(Product_lookup[Category],MATCH(RawWorking[[#This Row],[ProductID]],Product_lookup[ProductID],0)),"")</f>
        <v>Sports</v>
      </c>
      <c r="L2507" s="9">
        <f>IF(OR(RawWorking[[#This Row],[ShipDate]]="",RawWorking[[#This Row],[DeliveryDate]]=""),"",RawWorking[[#This Row],[DeliveryDate]]-RawWorking[[#This Row],[ShipDate]])</f>
        <v>8</v>
      </c>
      <c r="M2507" s="9">
        <f>IF(COUNTIF(INDEX(RawWorking[OrderID],1):RawWorking[[#This Row],[OrderID]],RawWorking[[#This Row],[OrderID]])=1,1,0)</f>
        <v>1</v>
      </c>
      <c r="N2507" s="4">
        <f>IFERROR(RawWorking[[#This Row],[LineAmount]]/RawWorking[[#This Row],[Quantity]],"")</f>
        <v>215.34</v>
      </c>
    </row>
    <row r="2508" spans="1:14">
      <c r="A2508">
        <v>52507</v>
      </c>
      <c r="B2508">
        <v>31450</v>
      </c>
      <c r="C2508" s="2">
        <v>45918</v>
      </c>
      <c r="D2508">
        <v>2504</v>
      </c>
      <c r="E2508">
        <v>1011</v>
      </c>
      <c r="F2508">
        <v>2</v>
      </c>
      <c r="G2508">
        <v>202.88</v>
      </c>
      <c r="H2508" s="2">
        <v>45919</v>
      </c>
      <c r="I2508" s="2">
        <v>45926</v>
      </c>
      <c r="J2508" t="s">
        <v>9</v>
      </c>
      <c r="K2508" s="2" t="str">
        <f>IFERROR(INDEX(Product_lookup[Category],MATCH(RawWorking[[#This Row],[ProductID]],Product_lookup[ProductID],0)),"")</f>
        <v>Office</v>
      </c>
      <c r="L2508" s="9">
        <f>IF(OR(RawWorking[[#This Row],[ShipDate]]="",RawWorking[[#This Row],[DeliveryDate]]=""),"",RawWorking[[#This Row],[DeliveryDate]]-RawWorking[[#This Row],[ShipDate]])</f>
        <v>7</v>
      </c>
      <c r="M2508" s="9">
        <f>IF(COUNTIF(INDEX(RawWorking[OrderID],1):RawWorking[[#This Row],[OrderID]],RawWorking[[#This Row],[OrderID]])=1,1,0)</f>
        <v>0</v>
      </c>
      <c r="N2508" s="4">
        <f>IFERROR(RawWorking[[#This Row],[LineAmount]]/RawWorking[[#This Row],[Quantity]],"")</f>
        <v>101.44</v>
      </c>
    </row>
    <row r="2509" spans="1:14">
      <c r="A2509">
        <v>52508</v>
      </c>
      <c r="B2509">
        <v>31450</v>
      </c>
      <c r="C2509" s="2">
        <v>45918</v>
      </c>
      <c r="D2509">
        <v>2504</v>
      </c>
      <c r="E2509">
        <v>1014</v>
      </c>
      <c r="F2509">
        <v>2</v>
      </c>
      <c r="G2509">
        <v>430.68</v>
      </c>
      <c r="H2509" s="2">
        <v>45920</v>
      </c>
      <c r="I2509" s="2">
        <v>45922</v>
      </c>
      <c r="J2509" t="s">
        <v>9</v>
      </c>
      <c r="K2509" s="2" t="str">
        <f>IFERROR(INDEX(Product_lookup[Category],MATCH(RawWorking[[#This Row],[ProductID]],Product_lookup[ProductID],0)),"")</f>
        <v>Sports</v>
      </c>
      <c r="L2509" s="9">
        <f>IF(OR(RawWorking[[#This Row],[ShipDate]]="",RawWorking[[#This Row],[DeliveryDate]]=""),"",RawWorking[[#This Row],[DeliveryDate]]-RawWorking[[#This Row],[ShipDate]])</f>
        <v>2</v>
      </c>
      <c r="M2509" s="9">
        <f>IF(COUNTIF(INDEX(RawWorking[OrderID],1):RawWorking[[#This Row],[OrderID]],RawWorking[[#This Row],[OrderID]])=1,1,0)</f>
        <v>0</v>
      </c>
      <c r="N2509" s="4">
        <f>IFERROR(RawWorking[[#This Row],[LineAmount]]/RawWorking[[#This Row],[Quantity]],"")</f>
        <v>215.34</v>
      </c>
    </row>
    <row r="2510" spans="1:14">
      <c r="A2510">
        <v>52509</v>
      </c>
      <c r="B2510">
        <v>31451</v>
      </c>
      <c r="C2510" s="2">
        <v>45860</v>
      </c>
      <c r="D2510">
        <v>2103</v>
      </c>
      <c r="E2510">
        <v>1009</v>
      </c>
      <c r="F2510">
        <v>1</v>
      </c>
      <c r="G2510">
        <v>40.28</v>
      </c>
      <c r="H2510" s="2" t="s">
        <v>1421</v>
      </c>
      <c r="I2510" s="2" t="s">
        <v>1421</v>
      </c>
      <c r="J2510" t="s">
        <v>16</v>
      </c>
      <c r="K2510" s="2" t="str">
        <f>IFERROR(INDEX(Product_lookup[Category],MATCH(RawWorking[[#This Row],[ProductID]],Product_lookup[ProductID],0)),"")</f>
        <v>Home</v>
      </c>
      <c r="L2510" s="9" t="str">
        <f>IF(OR(RawWorking[[#This Row],[ShipDate]]="",RawWorking[[#This Row],[DeliveryDate]]=""),"",RawWorking[[#This Row],[DeliveryDate]]-RawWorking[[#This Row],[ShipDate]])</f>
        <v/>
      </c>
      <c r="M2510" s="9">
        <f>IF(COUNTIF(INDEX(RawWorking[OrderID],1):RawWorking[[#This Row],[OrderID]],RawWorking[[#This Row],[OrderID]])=1,1,0)</f>
        <v>1</v>
      </c>
      <c r="N2510" s="4">
        <f>IFERROR(RawWorking[[#This Row],[LineAmount]]/RawWorking[[#This Row],[Quantity]],"")</f>
        <v>40.28</v>
      </c>
    </row>
    <row r="2511" spans="1:14">
      <c r="A2511">
        <v>52510</v>
      </c>
      <c r="B2511">
        <v>31451</v>
      </c>
      <c r="C2511" s="2">
        <v>45860</v>
      </c>
      <c r="D2511">
        <v>2103</v>
      </c>
      <c r="E2511">
        <v>1012</v>
      </c>
      <c r="F2511">
        <v>1</v>
      </c>
      <c r="G2511">
        <v>241.54</v>
      </c>
      <c r="H2511" s="2" t="s">
        <v>1421</v>
      </c>
      <c r="I2511" s="2" t="s">
        <v>1421</v>
      </c>
      <c r="J2511" t="s">
        <v>16</v>
      </c>
      <c r="K2511" s="2" t="str">
        <f>IFERROR(INDEX(Product_lookup[Category],MATCH(RawWorking[[#This Row],[ProductID]],Product_lookup[ProductID],0)),"")</f>
        <v>Office</v>
      </c>
      <c r="L2511" s="9" t="str">
        <f>IF(OR(RawWorking[[#This Row],[ShipDate]]="",RawWorking[[#This Row],[DeliveryDate]]=""),"",RawWorking[[#This Row],[DeliveryDate]]-RawWorking[[#This Row],[ShipDate]])</f>
        <v/>
      </c>
      <c r="M2511" s="9">
        <f>IF(COUNTIF(INDEX(RawWorking[OrderID],1):RawWorking[[#This Row],[OrderID]],RawWorking[[#This Row],[OrderID]])=1,1,0)</f>
        <v>0</v>
      </c>
      <c r="N2511" s="4">
        <f>IFERROR(RawWorking[[#This Row],[LineAmount]]/RawWorking[[#This Row],[Quantity]],"")</f>
        <v>241.54</v>
      </c>
    </row>
    <row r="2512" spans="1:14">
      <c r="A2512">
        <v>52511</v>
      </c>
      <c r="B2512">
        <v>31452</v>
      </c>
      <c r="C2512" s="2">
        <v>46005</v>
      </c>
      <c r="D2512">
        <v>2561</v>
      </c>
      <c r="E2512">
        <v>1015</v>
      </c>
      <c r="F2512">
        <v>2</v>
      </c>
      <c r="G2512">
        <v>239.48</v>
      </c>
      <c r="H2512" s="2">
        <v>46006</v>
      </c>
      <c r="I2512" s="2">
        <v>46009</v>
      </c>
      <c r="J2512" t="s">
        <v>9</v>
      </c>
      <c r="K2512" s="2" t="str">
        <f>IFERROR(INDEX(Product_lookup[Category],MATCH(RawWorking[[#This Row],[ProductID]],Product_lookup[ProductID],0)),"")</f>
        <v>Sports</v>
      </c>
      <c r="L2512" s="9">
        <f>IF(OR(RawWorking[[#This Row],[ShipDate]]="",RawWorking[[#This Row],[DeliveryDate]]=""),"",RawWorking[[#This Row],[DeliveryDate]]-RawWorking[[#This Row],[ShipDate]])</f>
        <v>3</v>
      </c>
      <c r="M2512" s="9">
        <f>IF(COUNTIF(INDEX(RawWorking[OrderID],1):RawWorking[[#This Row],[OrderID]],RawWorking[[#This Row],[OrderID]])=1,1,0)</f>
        <v>1</v>
      </c>
      <c r="N2512" s="4">
        <f>IFERROR(RawWorking[[#This Row],[LineAmount]]/RawWorking[[#This Row],[Quantity]],"")</f>
        <v>119.74</v>
      </c>
    </row>
    <row r="2513" spans="1:14">
      <c r="A2513">
        <v>52512</v>
      </c>
      <c r="B2513">
        <v>31453</v>
      </c>
      <c r="C2513" s="2">
        <v>45837</v>
      </c>
      <c r="D2513">
        <v>2029</v>
      </c>
      <c r="E2513">
        <v>1006</v>
      </c>
      <c r="F2513">
        <v>3</v>
      </c>
      <c r="G2513">
        <v>761.58</v>
      </c>
      <c r="H2513" s="2" t="s">
        <v>1421</v>
      </c>
      <c r="I2513" s="2" t="s">
        <v>1421</v>
      </c>
      <c r="J2513" t="s">
        <v>16</v>
      </c>
      <c r="K2513" s="2" t="str">
        <f>IFERROR(INDEX(Product_lookup[Category],MATCH(RawWorking[[#This Row],[ProductID]],Product_lookup[ProductID],0)),"")</f>
        <v>Home</v>
      </c>
      <c r="L2513" s="9" t="str">
        <f>IF(OR(RawWorking[[#This Row],[ShipDate]]="",RawWorking[[#This Row],[DeliveryDate]]=""),"",RawWorking[[#This Row],[DeliveryDate]]-RawWorking[[#This Row],[ShipDate]])</f>
        <v/>
      </c>
      <c r="M2513" s="9">
        <f>IF(COUNTIF(INDEX(RawWorking[OrderID],1):RawWorking[[#This Row],[OrderID]],RawWorking[[#This Row],[OrderID]])=1,1,0)</f>
        <v>1</v>
      </c>
      <c r="N2513" s="4">
        <f>IFERROR(RawWorking[[#This Row],[LineAmount]]/RawWorking[[#This Row],[Quantity]],"")</f>
        <v>253.86</v>
      </c>
    </row>
    <row r="2514" spans="1:14">
      <c r="A2514">
        <v>52513</v>
      </c>
      <c r="B2514">
        <v>31454</v>
      </c>
      <c r="C2514" s="2">
        <v>45758</v>
      </c>
      <c r="D2514">
        <v>2140</v>
      </c>
      <c r="E2514">
        <v>1007</v>
      </c>
      <c r="F2514">
        <v>4</v>
      </c>
      <c r="G2514">
        <v>799.24</v>
      </c>
      <c r="H2514" s="2">
        <v>45761</v>
      </c>
      <c r="I2514" s="2">
        <v>45768</v>
      </c>
      <c r="J2514" t="s">
        <v>9</v>
      </c>
      <c r="K2514" s="2" t="str">
        <f>IFERROR(INDEX(Product_lookup[Category],MATCH(RawWorking[[#This Row],[ProductID]],Product_lookup[ProductID],0)),"")</f>
        <v>Home</v>
      </c>
      <c r="L2514" s="9">
        <f>IF(OR(RawWorking[[#This Row],[ShipDate]]="",RawWorking[[#This Row],[DeliveryDate]]=""),"",RawWorking[[#This Row],[DeliveryDate]]-RawWorking[[#This Row],[ShipDate]])</f>
        <v>7</v>
      </c>
      <c r="M2514" s="9">
        <f>IF(COUNTIF(INDEX(RawWorking[OrderID],1):RawWorking[[#This Row],[OrderID]],RawWorking[[#This Row],[OrderID]])=1,1,0)</f>
        <v>1</v>
      </c>
      <c r="N2514" s="4">
        <f>IFERROR(RawWorking[[#This Row],[LineAmount]]/RawWorking[[#This Row],[Quantity]],"")</f>
        <v>199.81</v>
      </c>
    </row>
    <row r="2515" spans="1:14">
      <c r="A2515">
        <v>52514</v>
      </c>
      <c r="B2515">
        <v>31454</v>
      </c>
      <c r="C2515" s="2">
        <v>45758</v>
      </c>
      <c r="D2515">
        <v>2140</v>
      </c>
      <c r="E2515">
        <v>1010</v>
      </c>
      <c r="F2515">
        <v>2</v>
      </c>
      <c r="G2515">
        <v>243</v>
      </c>
      <c r="H2515" s="2">
        <v>45760</v>
      </c>
      <c r="I2515" s="2">
        <v>45768</v>
      </c>
      <c r="J2515" t="s">
        <v>9</v>
      </c>
      <c r="K2515" s="2" t="str">
        <f>IFERROR(INDEX(Product_lookup[Category],MATCH(RawWorking[[#This Row],[ProductID]],Product_lookup[ProductID],0)),"")</f>
        <v>Office</v>
      </c>
      <c r="L2515" s="9">
        <f>IF(OR(RawWorking[[#This Row],[ShipDate]]="",RawWorking[[#This Row],[DeliveryDate]]=""),"",RawWorking[[#This Row],[DeliveryDate]]-RawWorking[[#This Row],[ShipDate]])</f>
        <v>8</v>
      </c>
      <c r="M2515" s="9">
        <f>IF(COUNTIF(INDEX(RawWorking[OrderID],1):RawWorking[[#This Row],[OrderID]],RawWorking[[#This Row],[OrderID]])=1,1,0)</f>
        <v>0</v>
      </c>
      <c r="N2515" s="4">
        <f>IFERROR(RawWorking[[#This Row],[LineAmount]]/RawWorking[[#This Row],[Quantity]],"")</f>
        <v>121.5</v>
      </c>
    </row>
    <row r="2516" spans="1:14">
      <c r="A2516">
        <v>52515</v>
      </c>
      <c r="B2516">
        <v>31455</v>
      </c>
      <c r="C2516" s="2">
        <v>45719</v>
      </c>
      <c r="D2516">
        <v>2322</v>
      </c>
      <c r="E2516">
        <v>1004</v>
      </c>
      <c r="F2516">
        <v>1</v>
      </c>
      <c r="G2516">
        <v>183.74</v>
      </c>
      <c r="H2516" s="2">
        <v>45720</v>
      </c>
      <c r="I2516" s="2">
        <v>45722</v>
      </c>
      <c r="J2516" t="s">
        <v>9</v>
      </c>
      <c r="K2516" s="2" t="str">
        <f>IFERROR(INDEX(Product_lookup[Category],MATCH(RawWorking[[#This Row],[ProductID]],Product_lookup[ProductID],0)),"")</f>
        <v>Electronics</v>
      </c>
      <c r="L2516" s="9">
        <f>IF(OR(RawWorking[[#This Row],[ShipDate]]="",RawWorking[[#This Row],[DeliveryDate]]=""),"",RawWorking[[#This Row],[DeliveryDate]]-RawWorking[[#This Row],[ShipDate]])</f>
        <v>2</v>
      </c>
      <c r="M2516" s="9">
        <f>IF(COUNTIF(INDEX(RawWorking[OrderID],1):RawWorking[[#This Row],[OrderID]],RawWorking[[#This Row],[OrderID]])=1,1,0)</f>
        <v>1</v>
      </c>
      <c r="N2516" s="4">
        <f>IFERROR(RawWorking[[#This Row],[LineAmount]]/RawWorking[[#This Row],[Quantity]],"")</f>
        <v>183.74</v>
      </c>
    </row>
    <row r="2517" spans="1:14">
      <c r="A2517">
        <v>52516</v>
      </c>
      <c r="B2517">
        <v>31456</v>
      </c>
      <c r="C2517" s="2">
        <v>45923</v>
      </c>
      <c r="D2517">
        <v>2162</v>
      </c>
      <c r="E2517">
        <v>1005</v>
      </c>
      <c r="F2517">
        <v>2</v>
      </c>
      <c r="G2517">
        <v>63.46</v>
      </c>
      <c r="H2517" s="2">
        <v>45925</v>
      </c>
      <c r="I2517" s="2">
        <v>45931</v>
      </c>
      <c r="J2517" t="s">
        <v>9</v>
      </c>
      <c r="K2517" s="2" t="str">
        <f>IFERROR(INDEX(Product_lookup[Category],MATCH(RawWorking[[#This Row],[ProductID]],Product_lookup[ProductID],0)),"")</f>
        <v>Electronics</v>
      </c>
      <c r="L2517" s="9">
        <f>IF(OR(RawWorking[[#This Row],[ShipDate]]="",RawWorking[[#This Row],[DeliveryDate]]=""),"",RawWorking[[#This Row],[DeliveryDate]]-RawWorking[[#This Row],[ShipDate]])</f>
        <v>6</v>
      </c>
      <c r="M2517" s="9">
        <f>IF(COUNTIF(INDEX(RawWorking[OrderID],1):RawWorking[[#This Row],[OrderID]],RawWorking[[#This Row],[OrderID]])=1,1,0)</f>
        <v>1</v>
      </c>
      <c r="N2517" s="4">
        <f>IFERROR(RawWorking[[#This Row],[LineAmount]]/RawWorking[[#This Row],[Quantity]],"")</f>
        <v>31.73</v>
      </c>
    </row>
    <row r="2518" spans="1:14">
      <c r="A2518">
        <v>52517</v>
      </c>
      <c r="B2518">
        <v>31457</v>
      </c>
      <c r="C2518" s="2">
        <v>45727</v>
      </c>
      <c r="D2518">
        <v>2421</v>
      </c>
      <c r="E2518">
        <v>1011</v>
      </c>
      <c r="F2518">
        <v>4</v>
      </c>
      <c r="G2518">
        <v>405.76</v>
      </c>
      <c r="H2518" s="2" t="s">
        <v>1421</v>
      </c>
      <c r="I2518" s="2" t="s">
        <v>1421</v>
      </c>
      <c r="J2518" t="s">
        <v>16</v>
      </c>
      <c r="K2518" s="2" t="str">
        <f>IFERROR(INDEX(Product_lookup[Category],MATCH(RawWorking[[#This Row],[ProductID]],Product_lookup[ProductID],0)),"")</f>
        <v>Office</v>
      </c>
      <c r="L2518" s="9" t="str">
        <f>IF(OR(RawWorking[[#This Row],[ShipDate]]="",RawWorking[[#This Row],[DeliveryDate]]=""),"",RawWorking[[#This Row],[DeliveryDate]]-RawWorking[[#This Row],[ShipDate]])</f>
        <v/>
      </c>
      <c r="M2518" s="9">
        <f>IF(COUNTIF(INDEX(RawWorking[OrderID],1):RawWorking[[#This Row],[OrderID]],RawWorking[[#This Row],[OrderID]])=1,1,0)</f>
        <v>1</v>
      </c>
      <c r="N2518" s="4">
        <f>IFERROR(RawWorking[[#This Row],[LineAmount]]/RawWorking[[#This Row],[Quantity]],"")</f>
        <v>101.44</v>
      </c>
    </row>
    <row r="2519" spans="1:14">
      <c r="A2519">
        <v>52518</v>
      </c>
      <c r="B2519">
        <v>31458</v>
      </c>
      <c r="C2519" s="2">
        <v>45792</v>
      </c>
      <c r="D2519">
        <v>2137</v>
      </c>
      <c r="E2519">
        <v>1011</v>
      </c>
      <c r="F2519">
        <v>1</v>
      </c>
      <c r="G2519">
        <v>101.44</v>
      </c>
      <c r="H2519" s="2">
        <v>45794</v>
      </c>
      <c r="I2519" s="2">
        <v>45799</v>
      </c>
      <c r="J2519" t="s">
        <v>9</v>
      </c>
      <c r="K2519" s="2" t="str">
        <f>IFERROR(INDEX(Product_lookup[Category],MATCH(RawWorking[[#This Row],[ProductID]],Product_lookup[ProductID],0)),"")</f>
        <v>Office</v>
      </c>
      <c r="L2519" s="9">
        <f>IF(OR(RawWorking[[#This Row],[ShipDate]]="",RawWorking[[#This Row],[DeliveryDate]]=""),"",RawWorking[[#This Row],[DeliveryDate]]-RawWorking[[#This Row],[ShipDate]])</f>
        <v>5</v>
      </c>
      <c r="M2519" s="9">
        <f>IF(COUNTIF(INDEX(RawWorking[OrderID],1):RawWorking[[#This Row],[OrderID]],RawWorking[[#This Row],[OrderID]])=1,1,0)</f>
        <v>1</v>
      </c>
      <c r="N2519" s="4">
        <f>IFERROR(RawWorking[[#This Row],[LineAmount]]/RawWorking[[#This Row],[Quantity]],"")</f>
        <v>101.44</v>
      </c>
    </row>
    <row r="2520" spans="1:14">
      <c r="A2520">
        <v>52519</v>
      </c>
      <c r="B2520">
        <v>31458</v>
      </c>
      <c r="C2520" s="2">
        <v>45792</v>
      </c>
      <c r="D2520">
        <v>2137</v>
      </c>
      <c r="E2520">
        <v>1010</v>
      </c>
      <c r="F2520">
        <v>1</v>
      </c>
      <c r="G2520">
        <v>121.5</v>
      </c>
      <c r="H2520" s="2">
        <v>45793</v>
      </c>
      <c r="I2520" s="2">
        <v>45797</v>
      </c>
      <c r="J2520" t="s">
        <v>9</v>
      </c>
      <c r="K2520" s="2" t="str">
        <f>IFERROR(INDEX(Product_lookup[Category],MATCH(RawWorking[[#This Row],[ProductID]],Product_lookup[ProductID],0)),"")</f>
        <v>Office</v>
      </c>
      <c r="L2520" s="9">
        <f>IF(OR(RawWorking[[#This Row],[ShipDate]]="",RawWorking[[#This Row],[DeliveryDate]]=""),"",RawWorking[[#This Row],[DeliveryDate]]-RawWorking[[#This Row],[ShipDate]])</f>
        <v>4</v>
      </c>
      <c r="M2520" s="9">
        <f>IF(COUNTIF(INDEX(RawWorking[OrderID],1):RawWorking[[#This Row],[OrderID]],RawWorking[[#This Row],[OrderID]])=1,1,0)</f>
        <v>0</v>
      </c>
      <c r="N2520" s="4">
        <f>IFERROR(RawWorking[[#This Row],[LineAmount]]/RawWorking[[#This Row],[Quantity]],"")</f>
        <v>121.5</v>
      </c>
    </row>
    <row r="2521" spans="1:14">
      <c r="A2521">
        <v>52520</v>
      </c>
      <c r="B2521">
        <v>31458</v>
      </c>
      <c r="C2521" s="2">
        <v>45792</v>
      </c>
      <c r="D2521">
        <v>2137</v>
      </c>
      <c r="E2521">
        <v>1007</v>
      </c>
      <c r="F2521">
        <v>1</v>
      </c>
      <c r="G2521">
        <v>199.81</v>
      </c>
      <c r="H2521" s="2">
        <v>45794</v>
      </c>
      <c r="I2521" s="2">
        <v>45801</v>
      </c>
      <c r="J2521" t="s">
        <v>9</v>
      </c>
      <c r="K2521" s="2" t="str">
        <f>IFERROR(INDEX(Product_lookup[Category],MATCH(RawWorking[[#This Row],[ProductID]],Product_lookup[ProductID],0)),"")</f>
        <v>Home</v>
      </c>
      <c r="L2521" s="9">
        <f>IF(OR(RawWorking[[#This Row],[ShipDate]]="",RawWorking[[#This Row],[DeliveryDate]]=""),"",RawWorking[[#This Row],[DeliveryDate]]-RawWorking[[#This Row],[ShipDate]])</f>
        <v>7</v>
      </c>
      <c r="M2521" s="9">
        <f>IF(COUNTIF(INDEX(RawWorking[OrderID],1):RawWorking[[#This Row],[OrderID]],RawWorking[[#This Row],[OrderID]])=1,1,0)</f>
        <v>0</v>
      </c>
      <c r="N2521" s="4">
        <f>IFERROR(RawWorking[[#This Row],[LineAmount]]/RawWorking[[#This Row],[Quantity]],"")</f>
        <v>199.81</v>
      </c>
    </row>
    <row r="2522" spans="1:14">
      <c r="A2522">
        <v>52521</v>
      </c>
      <c r="B2522">
        <v>31459</v>
      </c>
      <c r="C2522" s="2">
        <v>45972</v>
      </c>
      <c r="D2522">
        <v>2087</v>
      </c>
      <c r="E2522">
        <v>1006</v>
      </c>
      <c r="F2522">
        <v>2</v>
      </c>
      <c r="G2522">
        <v>507.72</v>
      </c>
      <c r="H2522" s="2">
        <v>45975</v>
      </c>
      <c r="I2522" s="2">
        <v>45980</v>
      </c>
      <c r="J2522" t="s">
        <v>9</v>
      </c>
      <c r="K2522" s="2" t="str">
        <f>IFERROR(INDEX(Product_lookup[Category],MATCH(RawWorking[[#This Row],[ProductID]],Product_lookup[ProductID],0)),"")</f>
        <v>Home</v>
      </c>
      <c r="L2522" s="9">
        <f>IF(OR(RawWorking[[#This Row],[ShipDate]]="",RawWorking[[#This Row],[DeliveryDate]]=""),"",RawWorking[[#This Row],[DeliveryDate]]-RawWorking[[#This Row],[ShipDate]])</f>
        <v>5</v>
      </c>
      <c r="M2522" s="9">
        <f>IF(COUNTIF(INDEX(RawWorking[OrderID],1):RawWorking[[#This Row],[OrderID]],RawWorking[[#This Row],[OrderID]])=1,1,0)</f>
        <v>1</v>
      </c>
      <c r="N2522" s="4">
        <f>IFERROR(RawWorking[[#This Row],[LineAmount]]/RawWorking[[#This Row],[Quantity]],"")</f>
        <v>253.86</v>
      </c>
    </row>
    <row r="2523" spans="1:14">
      <c r="A2523">
        <v>52522</v>
      </c>
      <c r="B2523">
        <v>31459</v>
      </c>
      <c r="C2523" s="2">
        <v>45972</v>
      </c>
      <c r="D2523">
        <v>2087</v>
      </c>
      <c r="E2523">
        <v>1013</v>
      </c>
      <c r="F2523">
        <v>2</v>
      </c>
      <c r="G2523">
        <v>340.5</v>
      </c>
      <c r="H2523" s="2">
        <v>45973</v>
      </c>
      <c r="I2523" s="2">
        <v>45976</v>
      </c>
      <c r="J2523" t="s">
        <v>9</v>
      </c>
      <c r="K2523" s="2" t="str">
        <f>IFERROR(INDEX(Product_lookup[Category],MATCH(RawWorking[[#This Row],[ProductID]],Product_lookup[ProductID],0)),"")</f>
        <v>Office</v>
      </c>
      <c r="L2523" s="9">
        <f>IF(OR(RawWorking[[#This Row],[ShipDate]]="",RawWorking[[#This Row],[DeliveryDate]]=""),"",RawWorking[[#This Row],[DeliveryDate]]-RawWorking[[#This Row],[ShipDate]])</f>
        <v>3</v>
      </c>
      <c r="M2523" s="9">
        <f>IF(COUNTIF(INDEX(RawWorking[OrderID],1):RawWorking[[#This Row],[OrderID]],RawWorking[[#This Row],[OrderID]])=1,1,0)</f>
        <v>0</v>
      </c>
      <c r="N2523" s="4">
        <f>IFERROR(RawWorking[[#This Row],[LineAmount]]/RawWorking[[#This Row],[Quantity]],"")</f>
        <v>170.25</v>
      </c>
    </row>
    <row r="2524" spans="1:14">
      <c r="A2524">
        <v>52523</v>
      </c>
      <c r="B2524">
        <v>31460</v>
      </c>
      <c r="C2524" s="2">
        <v>45947</v>
      </c>
      <c r="D2524">
        <v>2387</v>
      </c>
      <c r="E2524">
        <v>1008</v>
      </c>
      <c r="F2524">
        <v>1</v>
      </c>
      <c r="G2524">
        <v>206.09</v>
      </c>
      <c r="H2524" s="2">
        <v>45950</v>
      </c>
      <c r="I2524" s="2">
        <v>45953</v>
      </c>
      <c r="J2524" t="s">
        <v>11</v>
      </c>
      <c r="K2524" s="2" t="str">
        <f>IFERROR(INDEX(Product_lookup[Category],MATCH(RawWorking[[#This Row],[ProductID]],Product_lookup[ProductID],0)),"")</f>
        <v>Home</v>
      </c>
      <c r="L2524" s="9">
        <f>IF(OR(RawWorking[[#This Row],[ShipDate]]="",RawWorking[[#This Row],[DeliveryDate]]=""),"",RawWorking[[#This Row],[DeliveryDate]]-RawWorking[[#This Row],[ShipDate]])</f>
        <v>3</v>
      </c>
      <c r="M2524" s="9">
        <f>IF(COUNTIF(INDEX(RawWorking[OrderID],1):RawWorking[[#This Row],[OrderID]],RawWorking[[#This Row],[OrderID]])=1,1,0)</f>
        <v>1</v>
      </c>
      <c r="N2524" s="4">
        <f>IFERROR(RawWorking[[#This Row],[LineAmount]]/RawWorking[[#This Row],[Quantity]],"")</f>
        <v>206.09</v>
      </c>
    </row>
    <row r="2525" spans="1:14">
      <c r="A2525">
        <v>52524</v>
      </c>
      <c r="B2525">
        <v>31461</v>
      </c>
      <c r="C2525" s="2">
        <v>45678</v>
      </c>
      <c r="D2525">
        <v>2022</v>
      </c>
      <c r="E2525">
        <v>1008</v>
      </c>
      <c r="F2525">
        <v>5</v>
      </c>
      <c r="G2525">
        <v>1030.45</v>
      </c>
      <c r="H2525" s="2">
        <v>45681</v>
      </c>
      <c r="I2525" s="2">
        <v>45690</v>
      </c>
      <c r="J2525" t="s">
        <v>11</v>
      </c>
      <c r="K2525" s="2" t="str">
        <f>IFERROR(INDEX(Product_lookup[Category],MATCH(RawWorking[[#This Row],[ProductID]],Product_lookup[ProductID],0)),"")</f>
        <v>Home</v>
      </c>
      <c r="L2525" s="9">
        <f>IF(OR(RawWorking[[#This Row],[ShipDate]]="",RawWorking[[#This Row],[DeliveryDate]]=""),"",RawWorking[[#This Row],[DeliveryDate]]-RawWorking[[#This Row],[ShipDate]])</f>
        <v>9</v>
      </c>
      <c r="M2525" s="9">
        <f>IF(COUNTIF(INDEX(RawWorking[OrderID],1):RawWorking[[#This Row],[OrderID]],RawWorking[[#This Row],[OrderID]])=1,1,0)</f>
        <v>1</v>
      </c>
      <c r="N2525" s="4">
        <f>IFERROR(RawWorking[[#This Row],[LineAmount]]/RawWorking[[#This Row],[Quantity]],"")</f>
        <v>206.09</v>
      </c>
    </row>
    <row r="2526" spans="1:14">
      <c r="A2526">
        <v>52525</v>
      </c>
      <c r="B2526">
        <v>31461</v>
      </c>
      <c r="C2526" s="2">
        <v>45678</v>
      </c>
      <c r="D2526">
        <v>2022</v>
      </c>
      <c r="E2526">
        <v>1003</v>
      </c>
      <c r="F2526">
        <v>2</v>
      </c>
      <c r="G2526">
        <v>448.74</v>
      </c>
      <c r="H2526" s="2">
        <v>45680</v>
      </c>
      <c r="I2526" s="2">
        <v>45690</v>
      </c>
      <c r="J2526" t="s">
        <v>11</v>
      </c>
      <c r="K2526" s="2" t="str">
        <f>IFERROR(INDEX(Product_lookup[Category],MATCH(RawWorking[[#This Row],[ProductID]],Product_lookup[ProductID],0)),"")</f>
        <v>Electronics</v>
      </c>
      <c r="L2526" s="9">
        <f>IF(OR(RawWorking[[#This Row],[ShipDate]]="",RawWorking[[#This Row],[DeliveryDate]]=""),"",RawWorking[[#This Row],[DeliveryDate]]-RawWorking[[#This Row],[ShipDate]])</f>
        <v>10</v>
      </c>
      <c r="M2526" s="9">
        <f>IF(COUNTIF(INDEX(RawWorking[OrderID],1):RawWorking[[#This Row],[OrderID]],RawWorking[[#This Row],[OrderID]])=1,1,0)</f>
        <v>0</v>
      </c>
      <c r="N2526" s="4">
        <f>IFERROR(RawWorking[[#This Row],[LineAmount]]/RawWorking[[#This Row],[Quantity]],"")</f>
        <v>224.37</v>
      </c>
    </row>
    <row r="2527" spans="1:14">
      <c r="A2527">
        <v>52526</v>
      </c>
      <c r="B2527">
        <v>31462</v>
      </c>
      <c r="C2527" s="2">
        <v>45692</v>
      </c>
      <c r="D2527">
        <v>2474</v>
      </c>
      <c r="E2527">
        <v>1006</v>
      </c>
      <c r="F2527">
        <v>2</v>
      </c>
      <c r="G2527">
        <v>507.72</v>
      </c>
      <c r="H2527" s="2">
        <v>45695</v>
      </c>
      <c r="I2527" s="2">
        <v>45703</v>
      </c>
      <c r="J2527" t="s">
        <v>9</v>
      </c>
      <c r="K2527" s="2" t="str">
        <f>IFERROR(INDEX(Product_lookup[Category],MATCH(RawWorking[[#This Row],[ProductID]],Product_lookup[ProductID],0)),"")</f>
        <v>Home</v>
      </c>
      <c r="L2527" s="9">
        <f>IF(OR(RawWorking[[#This Row],[ShipDate]]="",RawWorking[[#This Row],[DeliveryDate]]=""),"",RawWorking[[#This Row],[DeliveryDate]]-RawWorking[[#This Row],[ShipDate]])</f>
        <v>8</v>
      </c>
      <c r="M2527" s="9">
        <f>IF(COUNTIF(INDEX(RawWorking[OrderID],1):RawWorking[[#This Row],[OrderID]],RawWorking[[#This Row],[OrderID]])=1,1,0)</f>
        <v>1</v>
      </c>
      <c r="N2527" s="4">
        <f>IFERROR(RawWorking[[#This Row],[LineAmount]]/RawWorking[[#This Row],[Quantity]],"")</f>
        <v>253.86</v>
      </c>
    </row>
    <row r="2528" spans="1:14">
      <c r="A2528">
        <v>52527</v>
      </c>
      <c r="B2528">
        <v>31463</v>
      </c>
      <c r="C2528" s="2">
        <v>45687</v>
      </c>
      <c r="D2528">
        <v>2051</v>
      </c>
      <c r="E2528">
        <v>1014</v>
      </c>
      <c r="F2528">
        <v>1</v>
      </c>
      <c r="G2528">
        <v>215.34</v>
      </c>
      <c r="H2528" s="2">
        <v>45689</v>
      </c>
      <c r="I2528" s="2">
        <v>45692</v>
      </c>
      <c r="J2528" t="s">
        <v>9</v>
      </c>
      <c r="K2528" s="2" t="str">
        <f>IFERROR(INDEX(Product_lookup[Category],MATCH(RawWorking[[#This Row],[ProductID]],Product_lookup[ProductID],0)),"")</f>
        <v>Sports</v>
      </c>
      <c r="L2528" s="9">
        <f>IF(OR(RawWorking[[#This Row],[ShipDate]]="",RawWorking[[#This Row],[DeliveryDate]]=""),"",RawWorking[[#This Row],[DeliveryDate]]-RawWorking[[#This Row],[ShipDate]])</f>
        <v>3</v>
      </c>
      <c r="M2528" s="9">
        <f>IF(COUNTIF(INDEX(RawWorking[OrderID],1):RawWorking[[#This Row],[OrderID]],RawWorking[[#This Row],[OrderID]])=1,1,0)</f>
        <v>1</v>
      </c>
      <c r="N2528" s="4">
        <f>IFERROR(RawWorking[[#This Row],[LineAmount]]/RawWorking[[#This Row],[Quantity]],"")</f>
        <v>215.34</v>
      </c>
    </row>
    <row r="2529" spans="1:14">
      <c r="A2529">
        <v>52528</v>
      </c>
      <c r="B2529">
        <v>31464</v>
      </c>
      <c r="C2529" s="2">
        <v>45800</v>
      </c>
      <c r="D2529">
        <v>2267</v>
      </c>
      <c r="E2529">
        <v>1012</v>
      </c>
      <c r="F2529">
        <v>1</v>
      </c>
      <c r="G2529">
        <v>241.54</v>
      </c>
      <c r="H2529" s="2">
        <v>45803</v>
      </c>
      <c r="I2529" s="2">
        <v>45809</v>
      </c>
      <c r="J2529" t="s">
        <v>9</v>
      </c>
      <c r="K2529" s="2" t="str">
        <f>IFERROR(INDEX(Product_lookup[Category],MATCH(RawWorking[[#This Row],[ProductID]],Product_lookup[ProductID],0)),"")</f>
        <v>Office</v>
      </c>
      <c r="L2529" s="9">
        <f>IF(OR(RawWorking[[#This Row],[ShipDate]]="",RawWorking[[#This Row],[DeliveryDate]]=""),"",RawWorking[[#This Row],[DeliveryDate]]-RawWorking[[#This Row],[ShipDate]])</f>
        <v>6</v>
      </c>
      <c r="M2529" s="9">
        <f>IF(COUNTIF(INDEX(RawWorking[OrderID],1):RawWorking[[#This Row],[OrderID]],RawWorking[[#This Row],[OrderID]])=1,1,0)</f>
        <v>1</v>
      </c>
      <c r="N2529" s="4">
        <f>IFERROR(RawWorking[[#This Row],[LineAmount]]/RawWorking[[#This Row],[Quantity]],"")</f>
        <v>241.54</v>
      </c>
    </row>
    <row r="2530" spans="1:14">
      <c r="A2530">
        <v>52529</v>
      </c>
      <c r="B2530">
        <v>31464</v>
      </c>
      <c r="C2530" s="2">
        <v>45800</v>
      </c>
      <c r="D2530">
        <v>2267</v>
      </c>
      <c r="E2530">
        <v>1006</v>
      </c>
      <c r="F2530">
        <v>1</v>
      </c>
      <c r="G2530">
        <v>253.86</v>
      </c>
      <c r="H2530" s="2">
        <v>45803</v>
      </c>
      <c r="I2530" s="2">
        <v>45807</v>
      </c>
      <c r="J2530" t="s">
        <v>9</v>
      </c>
      <c r="K2530" s="2" t="str">
        <f>IFERROR(INDEX(Product_lookup[Category],MATCH(RawWorking[[#This Row],[ProductID]],Product_lookup[ProductID],0)),"")</f>
        <v>Home</v>
      </c>
      <c r="L2530" s="9">
        <f>IF(OR(RawWorking[[#This Row],[ShipDate]]="",RawWorking[[#This Row],[DeliveryDate]]=""),"",RawWorking[[#This Row],[DeliveryDate]]-RawWorking[[#This Row],[ShipDate]])</f>
        <v>4</v>
      </c>
      <c r="M2530" s="9">
        <f>IF(COUNTIF(INDEX(RawWorking[OrderID],1):RawWorking[[#This Row],[OrderID]],RawWorking[[#This Row],[OrderID]])=1,1,0)</f>
        <v>0</v>
      </c>
      <c r="N2530" s="4">
        <f>IFERROR(RawWorking[[#This Row],[LineAmount]]/RawWorking[[#This Row],[Quantity]],"")</f>
        <v>253.86</v>
      </c>
    </row>
    <row r="2531" spans="1:14">
      <c r="A2531">
        <v>52530</v>
      </c>
      <c r="B2531">
        <v>31464</v>
      </c>
      <c r="C2531" s="2">
        <v>45800</v>
      </c>
      <c r="D2531">
        <v>2267</v>
      </c>
      <c r="E2531">
        <v>1004</v>
      </c>
      <c r="F2531">
        <v>1</v>
      </c>
      <c r="G2531">
        <v>183.74</v>
      </c>
      <c r="H2531" s="2">
        <v>45801</v>
      </c>
      <c r="I2531" s="2">
        <v>45809</v>
      </c>
      <c r="J2531" t="s">
        <v>9</v>
      </c>
      <c r="K2531" s="2" t="str">
        <f>IFERROR(INDEX(Product_lookup[Category],MATCH(RawWorking[[#This Row],[ProductID]],Product_lookup[ProductID],0)),"")</f>
        <v>Electronics</v>
      </c>
      <c r="L2531" s="9">
        <f>IF(OR(RawWorking[[#This Row],[ShipDate]]="",RawWorking[[#This Row],[DeliveryDate]]=""),"",RawWorking[[#This Row],[DeliveryDate]]-RawWorking[[#This Row],[ShipDate]])</f>
        <v>8</v>
      </c>
      <c r="M2531" s="9">
        <f>IF(COUNTIF(INDEX(RawWorking[OrderID],1):RawWorking[[#This Row],[OrderID]],RawWorking[[#This Row],[OrderID]])=1,1,0)</f>
        <v>0</v>
      </c>
      <c r="N2531" s="4">
        <f>IFERROR(RawWorking[[#This Row],[LineAmount]]/RawWorking[[#This Row],[Quantity]],"")</f>
        <v>183.74</v>
      </c>
    </row>
    <row r="2532" spans="1:14">
      <c r="A2532">
        <v>52531</v>
      </c>
      <c r="B2532">
        <v>31464</v>
      </c>
      <c r="C2532" s="2">
        <v>45800</v>
      </c>
      <c r="D2532">
        <v>2267</v>
      </c>
      <c r="E2532">
        <v>1001</v>
      </c>
      <c r="F2532">
        <v>1</v>
      </c>
      <c r="G2532">
        <v>203.04</v>
      </c>
      <c r="H2532" s="2">
        <v>45801</v>
      </c>
      <c r="I2532" s="2">
        <v>45807</v>
      </c>
      <c r="J2532" t="s">
        <v>9</v>
      </c>
      <c r="K2532" s="2" t="str">
        <f>IFERROR(INDEX(Product_lookup[Category],MATCH(RawWorking[[#This Row],[ProductID]],Product_lookup[ProductID],0)),"")</f>
        <v>Electronics</v>
      </c>
      <c r="L2532" s="9">
        <f>IF(OR(RawWorking[[#This Row],[ShipDate]]="",RawWorking[[#This Row],[DeliveryDate]]=""),"",RawWorking[[#This Row],[DeliveryDate]]-RawWorking[[#This Row],[ShipDate]])</f>
        <v>6</v>
      </c>
      <c r="M2532" s="9">
        <f>IF(COUNTIF(INDEX(RawWorking[OrderID],1):RawWorking[[#This Row],[OrderID]],RawWorking[[#This Row],[OrderID]])=1,1,0)</f>
        <v>0</v>
      </c>
      <c r="N2532" s="4">
        <f>IFERROR(RawWorking[[#This Row],[LineAmount]]/RawWorking[[#This Row],[Quantity]],"")</f>
        <v>203.04</v>
      </c>
    </row>
    <row r="2533" spans="1:14">
      <c r="A2533">
        <v>52532</v>
      </c>
      <c r="B2533">
        <v>31465</v>
      </c>
      <c r="C2533" s="2">
        <v>45736</v>
      </c>
      <c r="D2533">
        <v>2539</v>
      </c>
      <c r="E2533">
        <v>1015</v>
      </c>
      <c r="F2533">
        <v>1</v>
      </c>
      <c r="G2533">
        <v>119.74</v>
      </c>
      <c r="H2533" s="2">
        <v>45739</v>
      </c>
      <c r="I2533" s="2">
        <v>45749</v>
      </c>
      <c r="J2533" t="s">
        <v>9</v>
      </c>
      <c r="K2533" s="2" t="str">
        <f>IFERROR(INDEX(Product_lookup[Category],MATCH(RawWorking[[#This Row],[ProductID]],Product_lookup[ProductID],0)),"")</f>
        <v>Sports</v>
      </c>
      <c r="L2533" s="9">
        <f>IF(OR(RawWorking[[#This Row],[ShipDate]]="",RawWorking[[#This Row],[DeliveryDate]]=""),"",RawWorking[[#This Row],[DeliveryDate]]-RawWorking[[#This Row],[ShipDate]])</f>
        <v>10</v>
      </c>
      <c r="M2533" s="9">
        <f>IF(COUNTIF(INDEX(RawWorking[OrderID],1):RawWorking[[#This Row],[OrderID]],RawWorking[[#This Row],[OrderID]])=1,1,0)</f>
        <v>1</v>
      </c>
      <c r="N2533" s="4">
        <f>IFERROR(RawWorking[[#This Row],[LineAmount]]/RawWorking[[#This Row],[Quantity]],"")</f>
        <v>119.74</v>
      </c>
    </row>
    <row r="2534" spans="1:14">
      <c r="A2534">
        <v>52533</v>
      </c>
      <c r="B2534">
        <v>31466</v>
      </c>
      <c r="C2534" s="2">
        <v>45793</v>
      </c>
      <c r="D2534">
        <v>2507</v>
      </c>
      <c r="E2534">
        <v>1007</v>
      </c>
      <c r="F2534">
        <v>1</v>
      </c>
      <c r="G2534">
        <v>199.81</v>
      </c>
      <c r="H2534" s="2">
        <v>45794</v>
      </c>
      <c r="I2534" s="2">
        <v>45798</v>
      </c>
      <c r="J2534" t="s">
        <v>9</v>
      </c>
      <c r="K2534" s="2" t="str">
        <f>IFERROR(INDEX(Product_lookup[Category],MATCH(RawWorking[[#This Row],[ProductID]],Product_lookup[ProductID],0)),"")</f>
        <v>Home</v>
      </c>
      <c r="L2534" s="9">
        <f>IF(OR(RawWorking[[#This Row],[ShipDate]]="",RawWorking[[#This Row],[DeliveryDate]]=""),"",RawWorking[[#This Row],[DeliveryDate]]-RawWorking[[#This Row],[ShipDate]])</f>
        <v>4</v>
      </c>
      <c r="M2534" s="9">
        <f>IF(COUNTIF(INDEX(RawWorking[OrderID],1):RawWorking[[#This Row],[OrderID]],RawWorking[[#This Row],[OrderID]])=1,1,0)</f>
        <v>1</v>
      </c>
      <c r="N2534" s="4">
        <f>IFERROR(RawWorking[[#This Row],[LineAmount]]/RawWorking[[#This Row],[Quantity]],"")</f>
        <v>199.81</v>
      </c>
    </row>
    <row r="2535" spans="1:14">
      <c r="A2535">
        <v>52534</v>
      </c>
      <c r="B2535">
        <v>31467</v>
      </c>
      <c r="C2535" s="2">
        <v>45787</v>
      </c>
      <c r="D2535">
        <v>2196</v>
      </c>
      <c r="E2535">
        <v>1009</v>
      </c>
      <c r="F2535">
        <v>1</v>
      </c>
      <c r="G2535">
        <v>40.28</v>
      </c>
      <c r="H2535" s="2">
        <v>45789</v>
      </c>
      <c r="I2535" s="2">
        <v>45796</v>
      </c>
      <c r="J2535" t="s">
        <v>11</v>
      </c>
      <c r="K2535" s="2" t="str">
        <f>IFERROR(INDEX(Product_lookup[Category],MATCH(RawWorking[[#This Row],[ProductID]],Product_lookup[ProductID],0)),"")</f>
        <v>Home</v>
      </c>
      <c r="L2535" s="9">
        <f>IF(OR(RawWorking[[#This Row],[ShipDate]]="",RawWorking[[#This Row],[DeliveryDate]]=""),"",RawWorking[[#This Row],[DeliveryDate]]-RawWorking[[#This Row],[ShipDate]])</f>
        <v>7</v>
      </c>
      <c r="M2535" s="9">
        <f>IF(COUNTIF(INDEX(RawWorking[OrderID],1):RawWorking[[#This Row],[OrderID]],RawWorking[[#This Row],[OrderID]])=1,1,0)</f>
        <v>1</v>
      </c>
      <c r="N2535" s="4">
        <f>IFERROR(RawWorking[[#This Row],[LineAmount]]/RawWorking[[#This Row],[Quantity]],"")</f>
        <v>40.28</v>
      </c>
    </row>
    <row r="2536" spans="1:14">
      <c r="A2536">
        <v>52535</v>
      </c>
      <c r="B2536">
        <v>31468</v>
      </c>
      <c r="C2536" s="2">
        <v>45725</v>
      </c>
      <c r="D2536">
        <v>2295</v>
      </c>
      <c r="E2536">
        <v>1013</v>
      </c>
      <c r="F2536">
        <v>1</v>
      </c>
      <c r="G2536">
        <v>170.25</v>
      </c>
      <c r="H2536" s="2">
        <v>45905</v>
      </c>
      <c r="I2536" s="2">
        <v>45909</v>
      </c>
      <c r="J2536" t="s">
        <v>9</v>
      </c>
      <c r="K2536" s="2" t="str">
        <f>IFERROR(INDEX(Product_lookup[Category],MATCH(RawWorking[[#This Row],[ProductID]],Product_lookup[ProductID],0)),"")</f>
        <v>Office</v>
      </c>
      <c r="L2536" s="9">
        <f>IF(OR(RawWorking[[#This Row],[ShipDate]]="",RawWorking[[#This Row],[DeliveryDate]]=""),"",RawWorking[[#This Row],[DeliveryDate]]-RawWorking[[#This Row],[ShipDate]])</f>
        <v>4</v>
      </c>
      <c r="M2536" s="9">
        <f>IF(COUNTIF(INDEX(RawWorking[OrderID],1):RawWorking[[#This Row],[OrderID]],RawWorking[[#This Row],[OrderID]])=1,1,0)</f>
        <v>1</v>
      </c>
      <c r="N2536" s="4">
        <f>IFERROR(RawWorking[[#This Row],[LineAmount]]/RawWorking[[#This Row],[Quantity]],"")</f>
        <v>170.25</v>
      </c>
    </row>
    <row r="2537" spans="1:14">
      <c r="A2537">
        <v>52536</v>
      </c>
      <c r="B2537">
        <v>31468</v>
      </c>
      <c r="C2537" s="2">
        <v>45903</v>
      </c>
      <c r="D2537">
        <v>2295</v>
      </c>
      <c r="E2537">
        <v>1005</v>
      </c>
      <c r="F2537">
        <v>1</v>
      </c>
      <c r="G2537">
        <v>31.73</v>
      </c>
      <c r="H2537" s="2">
        <v>45905</v>
      </c>
      <c r="I2537" s="2">
        <v>45907</v>
      </c>
      <c r="J2537" t="s">
        <v>9</v>
      </c>
      <c r="K2537" s="2" t="str">
        <f>IFERROR(INDEX(Product_lookup[Category],MATCH(RawWorking[[#This Row],[ProductID]],Product_lookup[ProductID],0)),"")</f>
        <v>Electronics</v>
      </c>
      <c r="L2537" s="9">
        <f>IF(OR(RawWorking[[#This Row],[ShipDate]]="",RawWorking[[#This Row],[DeliveryDate]]=""),"",RawWorking[[#This Row],[DeliveryDate]]-RawWorking[[#This Row],[ShipDate]])</f>
        <v>2</v>
      </c>
      <c r="M2537" s="9">
        <f>IF(COUNTIF(INDEX(RawWorking[OrderID],1):RawWorking[[#This Row],[OrderID]],RawWorking[[#This Row],[OrderID]])=1,1,0)</f>
        <v>0</v>
      </c>
      <c r="N2537" s="4">
        <f>IFERROR(RawWorking[[#This Row],[LineAmount]]/RawWorking[[#This Row],[Quantity]],"")</f>
        <v>31.73</v>
      </c>
    </row>
    <row r="2538" spans="1:14">
      <c r="A2538">
        <v>52537</v>
      </c>
      <c r="B2538">
        <v>31469</v>
      </c>
      <c r="C2538" s="2">
        <v>45740</v>
      </c>
      <c r="D2538">
        <v>2442</v>
      </c>
      <c r="E2538">
        <v>1007</v>
      </c>
      <c r="F2538">
        <v>1</v>
      </c>
      <c r="G2538">
        <v>199.81</v>
      </c>
      <c r="H2538" s="2" t="s">
        <v>1421</v>
      </c>
      <c r="I2538" s="2" t="s">
        <v>1421</v>
      </c>
      <c r="J2538" t="s">
        <v>16</v>
      </c>
      <c r="K2538" s="2" t="str">
        <f>IFERROR(INDEX(Product_lookup[Category],MATCH(RawWorking[[#This Row],[ProductID]],Product_lookup[ProductID],0)),"")</f>
        <v>Home</v>
      </c>
      <c r="L2538" s="9" t="str">
        <f>IF(OR(RawWorking[[#This Row],[ShipDate]]="",RawWorking[[#This Row],[DeliveryDate]]=""),"",RawWorking[[#This Row],[DeliveryDate]]-RawWorking[[#This Row],[ShipDate]])</f>
        <v/>
      </c>
      <c r="M2538" s="9">
        <f>IF(COUNTIF(INDEX(RawWorking[OrderID],1):RawWorking[[#This Row],[OrderID]],RawWorking[[#This Row],[OrderID]])=1,1,0)</f>
        <v>1</v>
      </c>
      <c r="N2538" s="4">
        <f>IFERROR(RawWorking[[#This Row],[LineAmount]]/RawWorking[[#This Row],[Quantity]],"")</f>
        <v>199.81</v>
      </c>
    </row>
    <row r="2539" spans="1:14">
      <c r="A2539">
        <v>52538</v>
      </c>
      <c r="B2539">
        <v>31470</v>
      </c>
      <c r="C2539" s="2">
        <v>45985</v>
      </c>
      <c r="D2539">
        <v>2290</v>
      </c>
      <c r="E2539">
        <v>1007</v>
      </c>
      <c r="F2539">
        <v>1</v>
      </c>
      <c r="G2539">
        <v>199.81</v>
      </c>
      <c r="H2539" s="2">
        <v>45986</v>
      </c>
      <c r="I2539" s="2">
        <v>45996</v>
      </c>
      <c r="J2539" t="s">
        <v>9</v>
      </c>
      <c r="K2539" s="2" t="str">
        <f>IFERROR(INDEX(Product_lookup[Category],MATCH(RawWorking[[#This Row],[ProductID]],Product_lookup[ProductID],0)),"")</f>
        <v>Home</v>
      </c>
      <c r="L2539" s="9">
        <f>IF(OR(RawWorking[[#This Row],[ShipDate]]="",RawWorking[[#This Row],[DeliveryDate]]=""),"",RawWorking[[#This Row],[DeliveryDate]]-RawWorking[[#This Row],[ShipDate]])</f>
        <v>10</v>
      </c>
      <c r="M2539" s="9">
        <f>IF(COUNTIF(INDEX(RawWorking[OrderID],1):RawWorking[[#This Row],[OrderID]],RawWorking[[#This Row],[OrderID]])=1,1,0)</f>
        <v>1</v>
      </c>
      <c r="N2539" s="4">
        <f>IFERROR(RawWorking[[#This Row],[LineAmount]]/RawWorking[[#This Row],[Quantity]],"")</f>
        <v>199.81</v>
      </c>
    </row>
    <row r="2540" spans="1:14">
      <c r="A2540">
        <v>52539</v>
      </c>
      <c r="B2540">
        <v>31470</v>
      </c>
      <c r="C2540" s="2">
        <v>45985</v>
      </c>
      <c r="D2540">
        <v>2290</v>
      </c>
      <c r="E2540">
        <v>1014</v>
      </c>
      <c r="F2540">
        <v>2</v>
      </c>
      <c r="G2540">
        <v>430.68</v>
      </c>
      <c r="H2540" s="2">
        <v>45986</v>
      </c>
      <c r="I2540" s="2">
        <v>45991</v>
      </c>
      <c r="J2540" t="s">
        <v>9</v>
      </c>
      <c r="K2540" s="2" t="str">
        <f>IFERROR(INDEX(Product_lookup[Category],MATCH(RawWorking[[#This Row],[ProductID]],Product_lookup[ProductID],0)),"")</f>
        <v>Sports</v>
      </c>
      <c r="L2540" s="9">
        <f>IF(OR(RawWorking[[#This Row],[ShipDate]]="",RawWorking[[#This Row],[DeliveryDate]]=""),"",RawWorking[[#This Row],[DeliveryDate]]-RawWorking[[#This Row],[ShipDate]])</f>
        <v>5</v>
      </c>
      <c r="M2540" s="9">
        <f>IF(COUNTIF(INDEX(RawWorking[OrderID],1):RawWorking[[#This Row],[OrderID]],RawWorking[[#This Row],[OrderID]])=1,1,0)</f>
        <v>0</v>
      </c>
      <c r="N2540" s="4">
        <f>IFERROR(RawWorking[[#This Row],[LineAmount]]/RawWorking[[#This Row],[Quantity]],"")</f>
        <v>215.34</v>
      </c>
    </row>
    <row r="2541" spans="1:14">
      <c r="A2541">
        <v>52540</v>
      </c>
      <c r="B2541">
        <v>31471</v>
      </c>
      <c r="C2541" s="2">
        <v>45803</v>
      </c>
      <c r="D2541">
        <v>2185</v>
      </c>
      <c r="E2541">
        <v>1005</v>
      </c>
      <c r="F2541">
        <v>4</v>
      </c>
      <c r="G2541">
        <v>126.92</v>
      </c>
      <c r="H2541" s="2">
        <v>45806</v>
      </c>
      <c r="I2541" s="2">
        <v>45816</v>
      </c>
      <c r="J2541" t="s">
        <v>9</v>
      </c>
      <c r="K2541" s="2" t="str">
        <f>IFERROR(INDEX(Product_lookup[Category],MATCH(RawWorking[[#This Row],[ProductID]],Product_lookup[ProductID],0)),"")</f>
        <v>Electronics</v>
      </c>
      <c r="L2541" s="9">
        <f>IF(OR(RawWorking[[#This Row],[ShipDate]]="",RawWorking[[#This Row],[DeliveryDate]]=""),"",RawWorking[[#This Row],[DeliveryDate]]-RawWorking[[#This Row],[ShipDate]])</f>
        <v>10</v>
      </c>
      <c r="M2541" s="9">
        <f>IF(COUNTIF(INDEX(RawWorking[OrderID],1):RawWorking[[#This Row],[OrderID]],RawWorking[[#This Row],[OrderID]])=1,1,0)</f>
        <v>1</v>
      </c>
      <c r="N2541" s="4">
        <f>IFERROR(RawWorking[[#This Row],[LineAmount]]/RawWorking[[#This Row],[Quantity]],"")</f>
        <v>31.73</v>
      </c>
    </row>
    <row r="2542" spans="1:14">
      <c r="A2542">
        <v>52541</v>
      </c>
      <c r="B2542">
        <v>31471</v>
      </c>
      <c r="C2542" s="2">
        <v>45803</v>
      </c>
      <c r="D2542">
        <v>2185</v>
      </c>
      <c r="E2542">
        <v>1001</v>
      </c>
      <c r="F2542">
        <v>1</v>
      </c>
      <c r="G2542">
        <v>203.04</v>
      </c>
      <c r="H2542" s="2">
        <v>45806</v>
      </c>
      <c r="I2542" s="2">
        <v>45809</v>
      </c>
      <c r="J2542" t="s">
        <v>9</v>
      </c>
      <c r="K2542" s="2" t="str">
        <f>IFERROR(INDEX(Product_lookup[Category],MATCH(RawWorking[[#This Row],[ProductID]],Product_lookup[ProductID],0)),"")</f>
        <v>Electronics</v>
      </c>
      <c r="L2542" s="9">
        <f>IF(OR(RawWorking[[#This Row],[ShipDate]]="",RawWorking[[#This Row],[DeliveryDate]]=""),"",RawWorking[[#This Row],[DeliveryDate]]-RawWorking[[#This Row],[ShipDate]])</f>
        <v>3</v>
      </c>
      <c r="M2542" s="9">
        <f>IF(COUNTIF(INDEX(RawWorking[OrderID],1):RawWorking[[#This Row],[OrderID]],RawWorking[[#This Row],[OrderID]])=1,1,0)</f>
        <v>0</v>
      </c>
      <c r="N2542" s="4">
        <f>IFERROR(RawWorking[[#This Row],[LineAmount]]/RawWorking[[#This Row],[Quantity]],"")</f>
        <v>203.04</v>
      </c>
    </row>
    <row r="2543" spans="1:14">
      <c r="A2543">
        <v>52542</v>
      </c>
      <c r="B2543">
        <v>31471</v>
      </c>
      <c r="C2543" s="2">
        <v>45803</v>
      </c>
      <c r="D2543">
        <v>2185</v>
      </c>
      <c r="E2543">
        <v>1010</v>
      </c>
      <c r="F2543">
        <v>2</v>
      </c>
      <c r="G2543">
        <v>243</v>
      </c>
      <c r="H2543" s="2">
        <v>45805</v>
      </c>
      <c r="I2543" s="2">
        <v>45812</v>
      </c>
      <c r="J2543" t="s">
        <v>9</v>
      </c>
      <c r="K2543" s="2" t="str">
        <f>IFERROR(INDEX(Product_lookup[Category],MATCH(RawWorking[[#This Row],[ProductID]],Product_lookup[ProductID],0)),"")</f>
        <v>Office</v>
      </c>
      <c r="L2543" s="9">
        <f>IF(OR(RawWorking[[#This Row],[ShipDate]]="",RawWorking[[#This Row],[DeliveryDate]]=""),"",RawWorking[[#This Row],[DeliveryDate]]-RawWorking[[#This Row],[ShipDate]])</f>
        <v>7</v>
      </c>
      <c r="M2543" s="9">
        <f>IF(COUNTIF(INDEX(RawWorking[OrderID],1):RawWorking[[#This Row],[OrderID]],RawWorking[[#This Row],[OrderID]])=1,1,0)</f>
        <v>0</v>
      </c>
      <c r="N2543" s="4">
        <f>IFERROR(RawWorking[[#This Row],[LineAmount]]/RawWorking[[#This Row],[Quantity]],"")</f>
        <v>121.5</v>
      </c>
    </row>
    <row r="2544" spans="1:14">
      <c r="A2544">
        <v>52543</v>
      </c>
      <c r="B2544">
        <v>31472</v>
      </c>
      <c r="C2544" s="2">
        <v>45759</v>
      </c>
      <c r="D2544">
        <v>2269</v>
      </c>
      <c r="E2544">
        <v>1015</v>
      </c>
      <c r="F2544">
        <v>1</v>
      </c>
      <c r="G2544">
        <v>119.74</v>
      </c>
      <c r="H2544" s="2">
        <v>45761</v>
      </c>
      <c r="I2544" s="2">
        <v>45769</v>
      </c>
      <c r="J2544" t="s">
        <v>9</v>
      </c>
      <c r="K2544" s="2" t="str">
        <f>IFERROR(INDEX(Product_lookup[Category],MATCH(RawWorking[[#This Row],[ProductID]],Product_lookup[ProductID],0)),"")</f>
        <v>Sports</v>
      </c>
      <c r="L2544" s="9">
        <f>IF(OR(RawWorking[[#This Row],[ShipDate]]="",RawWorking[[#This Row],[DeliveryDate]]=""),"",RawWorking[[#This Row],[DeliveryDate]]-RawWorking[[#This Row],[ShipDate]])</f>
        <v>8</v>
      </c>
      <c r="M2544" s="9">
        <f>IF(COUNTIF(INDEX(RawWorking[OrderID],1):RawWorking[[#This Row],[OrderID]],RawWorking[[#This Row],[OrderID]])=1,1,0)</f>
        <v>1</v>
      </c>
      <c r="N2544" s="4">
        <f>IFERROR(RawWorking[[#This Row],[LineAmount]]/RawWorking[[#This Row],[Quantity]],"")</f>
        <v>119.74</v>
      </c>
    </row>
    <row r="2545" spans="1:14">
      <c r="A2545">
        <v>52544</v>
      </c>
      <c r="B2545">
        <v>31473</v>
      </c>
      <c r="C2545" s="2">
        <v>45734</v>
      </c>
      <c r="D2545">
        <v>2255</v>
      </c>
      <c r="E2545">
        <v>1015</v>
      </c>
      <c r="F2545">
        <v>1</v>
      </c>
      <c r="G2545">
        <v>119.74</v>
      </c>
      <c r="H2545" s="2">
        <v>45737</v>
      </c>
      <c r="I2545" s="2">
        <v>45747</v>
      </c>
      <c r="J2545" t="s">
        <v>9</v>
      </c>
      <c r="K2545" s="2" t="str">
        <f>IFERROR(INDEX(Product_lookup[Category],MATCH(RawWorking[[#This Row],[ProductID]],Product_lookup[ProductID],0)),"")</f>
        <v>Sports</v>
      </c>
      <c r="L2545" s="9">
        <f>IF(OR(RawWorking[[#This Row],[ShipDate]]="",RawWorking[[#This Row],[DeliveryDate]]=""),"",RawWorking[[#This Row],[DeliveryDate]]-RawWorking[[#This Row],[ShipDate]])</f>
        <v>10</v>
      </c>
      <c r="M2545" s="9">
        <f>IF(COUNTIF(INDEX(RawWorking[OrderID],1):RawWorking[[#This Row],[OrderID]],RawWorking[[#This Row],[OrderID]])=1,1,0)</f>
        <v>1</v>
      </c>
      <c r="N2545" s="4">
        <f>IFERROR(RawWorking[[#This Row],[LineAmount]]/RawWorking[[#This Row],[Quantity]],"")</f>
        <v>119.74</v>
      </c>
    </row>
    <row r="2546" spans="1:14">
      <c r="A2546">
        <v>52545</v>
      </c>
      <c r="B2546">
        <v>31474</v>
      </c>
      <c r="C2546" s="2">
        <v>45871</v>
      </c>
      <c r="D2546">
        <v>2088</v>
      </c>
      <c r="E2546">
        <v>1005</v>
      </c>
      <c r="F2546">
        <v>4</v>
      </c>
      <c r="G2546">
        <v>126.92</v>
      </c>
      <c r="H2546" s="2">
        <v>45872</v>
      </c>
      <c r="I2546" s="2">
        <v>45877</v>
      </c>
      <c r="J2546" t="s">
        <v>9</v>
      </c>
      <c r="K2546" s="2" t="str">
        <f>IFERROR(INDEX(Product_lookup[Category],MATCH(RawWorking[[#This Row],[ProductID]],Product_lookup[ProductID],0)),"")</f>
        <v>Electronics</v>
      </c>
      <c r="L2546" s="9">
        <f>IF(OR(RawWorking[[#This Row],[ShipDate]]="",RawWorking[[#This Row],[DeliveryDate]]=""),"",RawWorking[[#This Row],[DeliveryDate]]-RawWorking[[#This Row],[ShipDate]])</f>
        <v>5</v>
      </c>
      <c r="M2546" s="9">
        <f>IF(COUNTIF(INDEX(RawWorking[OrderID],1):RawWorking[[#This Row],[OrderID]],RawWorking[[#This Row],[OrderID]])=1,1,0)</f>
        <v>1</v>
      </c>
      <c r="N2546" s="4">
        <f>IFERROR(RawWorking[[#This Row],[LineAmount]]/RawWorking[[#This Row],[Quantity]],"")</f>
        <v>31.73</v>
      </c>
    </row>
    <row r="2547" spans="1:14">
      <c r="A2547">
        <v>52546</v>
      </c>
      <c r="B2547">
        <v>31474</v>
      </c>
      <c r="C2547" s="2">
        <v>45871</v>
      </c>
      <c r="D2547">
        <v>2088</v>
      </c>
      <c r="E2547">
        <v>1011</v>
      </c>
      <c r="F2547">
        <v>1</v>
      </c>
      <c r="G2547">
        <v>101.44</v>
      </c>
      <c r="H2547" s="2">
        <v>45873</v>
      </c>
      <c r="I2547" s="2">
        <v>45999</v>
      </c>
      <c r="J2547" t="s">
        <v>9</v>
      </c>
      <c r="K2547" s="2" t="str">
        <f>IFERROR(INDEX(Product_lookup[Category],MATCH(RawWorking[[#This Row],[ProductID]],Product_lookup[ProductID],0)),"")</f>
        <v>Office</v>
      </c>
      <c r="L2547" s="9">
        <f>IF(OR(RawWorking[[#This Row],[ShipDate]]="",RawWorking[[#This Row],[DeliveryDate]]=""),"",RawWorking[[#This Row],[DeliveryDate]]-RawWorking[[#This Row],[ShipDate]])</f>
        <v>126</v>
      </c>
      <c r="M2547" s="9">
        <f>IF(COUNTIF(INDEX(RawWorking[OrderID],1):RawWorking[[#This Row],[OrderID]],RawWorking[[#This Row],[OrderID]])=1,1,0)</f>
        <v>0</v>
      </c>
      <c r="N2547" s="4">
        <f>IFERROR(RawWorking[[#This Row],[LineAmount]]/RawWorking[[#This Row],[Quantity]],"")</f>
        <v>101.44</v>
      </c>
    </row>
    <row r="2548" spans="1:14">
      <c r="A2548">
        <v>52547</v>
      </c>
      <c r="B2548">
        <v>31475</v>
      </c>
      <c r="C2548" s="2">
        <v>45911</v>
      </c>
      <c r="D2548">
        <v>2408</v>
      </c>
      <c r="E2548">
        <v>1013</v>
      </c>
      <c r="F2548">
        <v>1</v>
      </c>
      <c r="G2548">
        <v>170.25</v>
      </c>
      <c r="H2548" s="2">
        <v>45913</v>
      </c>
      <c r="I2548" s="2">
        <v>45922</v>
      </c>
      <c r="J2548" t="s">
        <v>9</v>
      </c>
      <c r="K2548" s="2" t="str">
        <f>IFERROR(INDEX(Product_lookup[Category],MATCH(RawWorking[[#This Row],[ProductID]],Product_lookup[ProductID],0)),"")</f>
        <v>Office</v>
      </c>
      <c r="L2548" s="9">
        <f>IF(OR(RawWorking[[#This Row],[ShipDate]]="",RawWorking[[#This Row],[DeliveryDate]]=""),"",RawWorking[[#This Row],[DeliveryDate]]-RawWorking[[#This Row],[ShipDate]])</f>
        <v>9</v>
      </c>
      <c r="M2548" s="9">
        <f>IF(COUNTIF(INDEX(RawWorking[OrderID],1):RawWorking[[#This Row],[OrderID]],RawWorking[[#This Row],[OrderID]])=1,1,0)</f>
        <v>1</v>
      </c>
      <c r="N2548" s="4">
        <f>IFERROR(RawWorking[[#This Row],[LineAmount]]/RawWorking[[#This Row],[Quantity]],"")</f>
        <v>170.25</v>
      </c>
    </row>
    <row r="2549" spans="1:14">
      <c r="A2549">
        <v>52548</v>
      </c>
      <c r="B2549">
        <v>31476</v>
      </c>
      <c r="C2549" s="2">
        <v>45755</v>
      </c>
      <c r="D2549">
        <v>2434</v>
      </c>
      <c r="E2549">
        <v>1009</v>
      </c>
      <c r="F2549">
        <v>5</v>
      </c>
      <c r="G2549">
        <v>201.4</v>
      </c>
      <c r="H2549" s="2">
        <v>45758</v>
      </c>
      <c r="I2549" s="2">
        <v>45765</v>
      </c>
      <c r="J2549" t="s">
        <v>9</v>
      </c>
      <c r="K2549" s="2" t="str">
        <f>IFERROR(INDEX(Product_lookup[Category],MATCH(RawWorking[[#This Row],[ProductID]],Product_lookup[ProductID],0)),"")</f>
        <v>Home</v>
      </c>
      <c r="L2549" s="9">
        <f>IF(OR(RawWorking[[#This Row],[ShipDate]]="",RawWorking[[#This Row],[DeliveryDate]]=""),"",RawWorking[[#This Row],[DeliveryDate]]-RawWorking[[#This Row],[ShipDate]])</f>
        <v>7</v>
      </c>
      <c r="M2549" s="9">
        <f>IF(COUNTIF(INDEX(RawWorking[OrderID],1):RawWorking[[#This Row],[OrderID]],RawWorking[[#This Row],[OrderID]])=1,1,0)</f>
        <v>1</v>
      </c>
      <c r="N2549" s="4">
        <f>IFERROR(RawWorking[[#This Row],[LineAmount]]/RawWorking[[#This Row],[Quantity]],"")</f>
        <v>40.28</v>
      </c>
    </row>
    <row r="2550" spans="1:14">
      <c r="A2550">
        <v>52549</v>
      </c>
      <c r="B2550">
        <v>31476</v>
      </c>
      <c r="C2550" s="2">
        <v>45755</v>
      </c>
      <c r="D2550">
        <v>2434</v>
      </c>
      <c r="E2550">
        <v>1003</v>
      </c>
      <c r="F2550">
        <v>2</v>
      </c>
      <c r="G2550">
        <v>448.74</v>
      </c>
      <c r="H2550" s="2">
        <v>45757</v>
      </c>
      <c r="I2550" s="2">
        <v>45760</v>
      </c>
      <c r="J2550" t="s">
        <v>9</v>
      </c>
      <c r="K2550" s="2" t="str">
        <f>IFERROR(INDEX(Product_lookup[Category],MATCH(RawWorking[[#This Row],[ProductID]],Product_lookup[ProductID],0)),"")</f>
        <v>Electronics</v>
      </c>
      <c r="L2550" s="9">
        <f>IF(OR(RawWorking[[#This Row],[ShipDate]]="",RawWorking[[#This Row],[DeliveryDate]]=""),"",RawWorking[[#This Row],[DeliveryDate]]-RawWorking[[#This Row],[ShipDate]])</f>
        <v>3</v>
      </c>
      <c r="M2550" s="9">
        <f>IF(COUNTIF(INDEX(RawWorking[OrderID],1):RawWorking[[#This Row],[OrderID]],RawWorking[[#This Row],[OrderID]])=1,1,0)</f>
        <v>0</v>
      </c>
      <c r="N2550" s="4">
        <f>IFERROR(RawWorking[[#This Row],[LineAmount]]/RawWorking[[#This Row],[Quantity]],"")</f>
        <v>224.37</v>
      </c>
    </row>
    <row r="2551" spans="1:14">
      <c r="A2551">
        <v>52550</v>
      </c>
      <c r="B2551">
        <v>31476</v>
      </c>
      <c r="C2551" s="2">
        <v>45755</v>
      </c>
      <c r="D2551">
        <v>2434</v>
      </c>
      <c r="E2551">
        <v>1004</v>
      </c>
      <c r="F2551">
        <v>2</v>
      </c>
      <c r="G2551">
        <v>367.48</v>
      </c>
      <c r="H2551" s="2">
        <v>45757</v>
      </c>
      <c r="I2551" s="2">
        <v>45762</v>
      </c>
      <c r="J2551" t="s">
        <v>9</v>
      </c>
      <c r="K2551" s="2" t="str">
        <f>IFERROR(INDEX(Product_lookup[Category],MATCH(RawWorking[[#This Row],[ProductID]],Product_lookup[ProductID],0)),"")</f>
        <v>Electronics</v>
      </c>
      <c r="L2551" s="9">
        <f>IF(OR(RawWorking[[#This Row],[ShipDate]]="",RawWorking[[#This Row],[DeliveryDate]]=""),"",RawWorking[[#This Row],[DeliveryDate]]-RawWorking[[#This Row],[ShipDate]])</f>
        <v>5</v>
      </c>
      <c r="M2551" s="9">
        <f>IF(COUNTIF(INDEX(RawWorking[OrderID],1):RawWorking[[#This Row],[OrderID]],RawWorking[[#This Row],[OrderID]])=1,1,0)</f>
        <v>0</v>
      </c>
      <c r="N2551" s="4">
        <f>IFERROR(RawWorking[[#This Row],[LineAmount]]/RawWorking[[#This Row],[Quantity]],"")</f>
        <v>183.74</v>
      </c>
    </row>
    <row r="2552" spans="1:14">
      <c r="A2552">
        <v>52551</v>
      </c>
      <c r="B2552">
        <v>31477</v>
      </c>
      <c r="C2552" s="2">
        <v>45928</v>
      </c>
      <c r="D2552">
        <v>2571</v>
      </c>
      <c r="E2552">
        <v>1011</v>
      </c>
      <c r="F2552">
        <v>3</v>
      </c>
      <c r="G2552">
        <v>304.32</v>
      </c>
      <c r="H2552" s="2">
        <v>45931</v>
      </c>
      <c r="I2552" s="2">
        <v>45935</v>
      </c>
      <c r="J2552" t="s">
        <v>9</v>
      </c>
      <c r="K2552" s="2" t="str">
        <f>IFERROR(INDEX(Product_lookup[Category],MATCH(RawWorking[[#This Row],[ProductID]],Product_lookup[ProductID],0)),"")</f>
        <v>Office</v>
      </c>
      <c r="L2552" s="9">
        <f>IF(OR(RawWorking[[#This Row],[ShipDate]]="",RawWorking[[#This Row],[DeliveryDate]]=""),"",RawWorking[[#This Row],[DeliveryDate]]-RawWorking[[#This Row],[ShipDate]])</f>
        <v>4</v>
      </c>
      <c r="M2552" s="9">
        <f>IF(COUNTIF(INDEX(RawWorking[OrderID],1):RawWorking[[#This Row],[OrderID]],RawWorking[[#This Row],[OrderID]])=1,1,0)</f>
        <v>1</v>
      </c>
      <c r="N2552" s="4">
        <f>IFERROR(RawWorking[[#This Row],[LineAmount]]/RawWorking[[#This Row],[Quantity]],"")</f>
        <v>101.44</v>
      </c>
    </row>
    <row r="2553" spans="1:14">
      <c r="A2553">
        <v>52552</v>
      </c>
      <c r="B2553">
        <v>31477</v>
      </c>
      <c r="C2553" s="2">
        <v>45928</v>
      </c>
      <c r="D2553">
        <v>2571</v>
      </c>
      <c r="E2553">
        <v>1008</v>
      </c>
      <c r="F2553">
        <v>2</v>
      </c>
      <c r="G2553">
        <v>412.18</v>
      </c>
      <c r="H2553" s="2">
        <v>45929</v>
      </c>
      <c r="I2553" s="2">
        <v>45932</v>
      </c>
      <c r="J2553" t="s">
        <v>9</v>
      </c>
      <c r="K2553" s="2" t="str">
        <f>IFERROR(INDEX(Product_lookup[Category],MATCH(RawWorking[[#This Row],[ProductID]],Product_lookup[ProductID],0)),"")</f>
        <v>Home</v>
      </c>
      <c r="L2553" s="9">
        <f>IF(OR(RawWorking[[#This Row],[ShipDate]]="",RawWorking[[#This Row],[DeliveryDate]]=""),"",RawWorking[[#This Row],[DeliveryDate]]-RawWorking[[#This Row],[ShipDate]])</f>
        <v>3</v>
      </c>
      <c r="M2553" s="9">
        <f>IF(COUNTIF(INDEX(RawWorking[OrderID],1):RawWorking[[#This Row],[OrderID]],RawWorking[[#This Row],[OrderID]])=1,1,0)</f>
        <v>0</v>
      </c>
      <c r="N2553" s="4">
        <f>IFERROR(RawWorking[[#This Row],[LineAmount]]/RawWorking[[#This Row],[Quantity]],"")</f>
        <v>206.09</v>
      </c>
    </row>
    <row r="2554" spans="1:14">
      <c r="A2554">
        <v>52553</v>
      </c>
      <c r="B2554">
        <v>31478</v>
      </c>
      <c r="C2554" s="2">
        <v>45914</v>
      </c>
      <c r="D2554">
        <v>2483</v>
      </c>
      <c r="E2554">
        <v>1002</v>
      </c>
      <c r="F2554">
        <v>2</v>
      </c>
      <c r="G2554">
        <v>237.2</v>
      </c>
      <c r="H2554" s="2" t="s">
        <v>1421</v>
      </c>
      <c r="I2554" s="2" t="s">
        <v>1421</v>
      </c>
      <c r="J2554" t="s">
        <v>12</v>
      </c>
      <c r="K2554" s="2" t="str">
        <f>IFERROR(INDEX(Product_lookup[Category],MATCH(RawWorking[[#This Row],[ProductID]],Product_lookup[ProductID],0)),"")</f>
        <v>Electronics</v>
      </c>
      <c r="L2554" s="9" t="str">
        <f>IF(OR(RawWorking[[#This Row],[ShipDate]]="",RawWorking[[#This Row],[DeliveryDate]]=""),"",RawWorking[[#This Row],[DeliveryDate]]-RawWorking[[#This Row],[ShipDate]])</f>
        <v/>
      </c>
      <c r="M2554" s="9">
        <f>IF(COUNTIF(INDEX(RawWorking[OrderID],1):RawWorking[[#This Row],[OrderID]],RawWorking[[#This Row],[OrderID]])=1,1,0)</f>
        <v>1</v>
      </c>
      <c r="N2554" s="4">
        <f>IFERROR(RawWorking[[#This Row],[LineAmount]]/RawWorking[[#This Row],[Quantity]],"")</f>
        <v>118.6</v>
      </c>
    </row>
    <row r="2555" spans="1:14">
      <c r="A2555">
        <v>52554</v>
      </c>
      <c r="B2555">
        <v>31478</v>
      </c>
      <c r="C2555" s="2">
        <v>45914</v>
      </c>
      <c r="D2555">
        <v>2483</v>
      </c>
      <c r="E2555">
        <v>1001</v>
      </c>
      <c r="F2555">
        <v>1</v>
      </c>
      <c r="G2555">
        <v>203.04</v>
      </c>
      <c r="H2555" s="2" t="s">
        <v>1421</v>
      </c>
      <c r="I2555" s="2" t="s">
        <v>1421</v>
      </c>
      <c r="J2555" t="s">
        <v>12</v>
      </c>
      <c r="K2555" s="2" t="str">
        <f>IFERROR(INDEX(Product_lookup[Category],MATCH(RawWorking[[#This Row],[ProductID]],Product_lookup[ProductID],0)),"")</f>
        <v>Electronics</v>
      </c>
      <c r="L2555" s="9" t="str">
        <f>IF(OR(RawWorking[[#This Row],[ShipDate]]="",RawWorking[[#This Row],[DeliveryDate]]=""),"",RawWorking[[#This Row],[DeliveryDate]]-RawWorking[[#This Row],[ShipDate]])</f>
        <v/>
      </c>
      <c r="M2555" s="9">
        <f>IF(COUNTIF(INDEX(RawWorking[OrderID],1):RawWorking[[#This Row],[OrderID]],RawWorking[[#This Row],[OrderID]])=1,1,0)</f>
        <v>0</v>
      </c>
      <c r="N2555" s="4">
        <f>IFERROR(RawWorking[[#This Row],[LineAmount]]/RawWorking[[#This Row],[Quantity]],"")</f>
        <v>203.04</v>
      </c>
    </row>
    <row r="2556" spans="1:14">
      <c r="A2556">
        <v>52555</v>
      </c>
      <c r="B2556">
        <v>31479</v>
      </c>
      <c r="C2556" s="2">
        <v>45875</v>
      </c>
      <c r="D2556">
        <v>2260</v>
      </c>
      <c r="E2556">
        <v>1013</v>
      </c>
      <c r="F2556">
        <v>1</v>
      </c>
      <c r="G2556">
        <v>170.25</v>
      </c>
      <c r="H2556" s="2">
        <v>45876</v>
      </c>
      <c r="I2556" s="2">
        <v>45878</v>
      </c>
      <c r="J2556" t="s">
        <v>9</v>
      </c>
      <c r="K2556" s="2" t="str">
        <f>IFERROR(INDEX(Product_lookup[Category],MATCH(RawWorking[[#This Row],[ProductID]],Product_lookup[ProductID],0)),"")</f>
        <v>Office</v>
      </c>
      <c r="L2556" s="9">
        <f>IF(OR(RawWorking[[#This Row],[ShipDate]]="",RawWorking[[#This Row],[DeliveryDate]]=""),"",RawWorking[[#This Row],[DeliveryDate]]-RawWorking[[#This Row],[ShipDate]])</f>
        <v>2</v>
      </c>
      <c r="M2556" s="9">
        <f>IF(COUNTIF(INDEX(RawWorking[OrderID],1):RawWorking[[#This Row],[OrderID]],RawWorking[[#This Row],[OrderID]])=1,1,0)</f>
        <v>1</v>
      </c>
      <c r="N2556" s="4">
        <f>IFERROR(RawWorking[[#This Row],[LineAmount]]/RawWorking[[#This Row],[Quantity]],"")</f>
        <v>170.25</v>
      </c>
    </row>
    <row r="2557" spans="1:14">
      <c r="A2557">
        <v>52556</v>
      </c>
      <c r="B2557">
        <v>31480</v>
      </c>
      <c r="C2557" s="2">
        <v>45782</v>
      </c>
      <c r="D2557">
        <v>2310</v>
      </c>
      <c r="E2557">
        <v>1012</v>
      </c>
      <c r="F2557">
        <v>1</v>
      </c>
      <c r="G2557">
        <v>241.54</v>
      </c>
      <c r="H2557" s="2">
        <v>45783</v>
      </c>
      <c r="I2557" s="2">
        <v>45843</v>
      </c>
      <c r="J2557" t="s">
        <v>11</v>
      </c>
      <c r="K2557" s="2" t="str">
        <f>IFERROR(INDEX(Product_lookup[Category],MATCH(RawWorking[[#This Row],[ProductID]],Product_lookup[ProductID],0)),"")</f>
        <v>Office</v>
      </c>
      <c r="L2557" s="9">
        <f>IF(OR(RawWorking[[#This Row],[ShipDate]]="",RawWorking[[#This Row],[DeliveryDate]]=""),"",RawWorking[[#This Row],[DeliveryDate]]-RawWorking[[#This Row],[ShipDate]])</f>
        <v>60</v>
      </c>
      <c r="M2557" s="9">
        <f>IF(COUNTIF(INDEX(RawWorking[OrderID],1):RawWorking[[#This Row],[OrderID]],RawWorking[[#This Row],[OrderID]])=1,1,0)</f>
        <v>1</v>
      </c>
      <c r="N2557" s="4">
        <f>IFERROR(RawWorking[[#This Row],[LineAmount]]/RawWorking[[#This Row],[Quantity]],"")</f>
        <v>241.54</v>
      </c>
    </row>
    <row r="2558" spans="1:14">
      <c r="A2558">
        <v>52557</v>
      </c>
      <c r="B2558">
        <v>31480</v>
      </c>
      <c r="C2558" s="2">
        <v>45782</v>
      </c>
      <c r="D2558">
        <v>2310</v>
      </c>
      <c r="E2558">
        <v>1005</v>
      </c>
      <c r="F2558">
        <v>1</v>
      </c>
      <c r="G2558">
        <v>31.73</v>
      </c>
      <c r="H2558" s="2">
        <v>45785</v>
      </c>
      <c r="I2558" s="2">
        <v>45790</v>
      </c>
      <c r="J2558" t="s">
        <v>11</v>
      </c>
      <c r="K2558" s="2" t="str">
        <f>IFERROR(INDEX(Product_lookup[Category],MATCH(RawWorking[[#This Row],[ProductID]],Product_lookup[ProductID],0)),"")</f>
        <v>Electronics</v>
      </c>
      <c r="L2558" s="9">
        <f>IF(OR(RawWorking[[#This Row],[ShipDate]]="",RawWorking[[#This Row],[DeliveryDate]]=""),"",RawWorking[[#This Row],[DeliveryDate]]-RawWorking[[#This Row],[ShipDate]])</f>
        <v>5</v>
      </c>
      <c r="M2558" s="9">
        <f>IF(COUNTIF(INDEX(RawWorking[OrderID],1):RawWorking[[#This Row],[OrderID]],RawWorking[[#This Row],[OrderID]])=1,1,0)</f>
        <v>0</v>
      </c>
      <c r="N2558" s="4">
        <f>IFERROR(RawWorking[[#This Row],[LineAmount]]/RawWorking[[#This Row],[Quantity]],"")</f>
        <v>31.73</v>
      </c>
    </row>
    <row r="2559" spans="1:14">
      <c r="A2559">
        <v>52558</v>
      </c>
      <c r="B2559">
        <v>31480</v>
      </c>
      <c r="C2559" s="2">
        <v>45782</v>
      </c>
      <c r="D2559">
        <v>2310</v>
      </c>
      <c r="E2559">
        <v>1002</v>
      </c>
      <c r="F2559">
        <v>1</v>
      </c>
      <c r="G2559">
        <v>118.6</v>
      </c>
      <c r="H2559" s="2">
        <v>45785</v>
      </c>
      <c r="I2559" s="2">
        <v>45788</v>
      </c>
      <c r="J2559" t="s">
        <v>11</v>
      </c>
      <c r="K2559" s="2" t="str">
        <f>IFERROR(INDEX(Product_lookup[Category],MATCH(RawWorking[[#This Row],[ProductID]],Product_lookup[ProductID],0)),"")</f>
        <v>Electronics</v>
      </c>
      <c r="L2559" s="9">
        <f>IF(OR(RawWorking[[#This Row],[ShipDate]]="",RawWorking[[#This Row],[DeliveryDate]]=""),"",RawWorking[[#This Row],[DeliveryDate]]-RawWorking[[#This Row],[ShipDate]])</f>
        <v>3</v>
      </c>
      <c r="M2559" s="9">
        <f>IF(COUNTIF(INDEX(RawWorking[OrderID],1):RawWorking[[#This Row],[OrderID]],RawWorking[[#This Row],[OrderID]])=1,1,0)</f>
        <v>0</v>
      </c>
      <c r="N2559" s="4">
        <f>IFERROR(RawWorking[[#This Row],[LineAmount]]/RawWorking[[#This Row],[Quantity]],"")</f>
        <v>118.6</v>
      </c>
    </row>
    <row r="2560" spans="1:14">
      <c r="A2560">
        <v>52559</v>
      </c>
      <c r="B2560">
        <v>31481</v>
      </c>
      <c r="C2560" s="2">
        <v>45912</v>
      </c>
      <c r="D2560">
        <v>2595</v>
      </c>
      <c r="E2560">
        <v>1006</v>
      </c>
      <c r="F2560">
        <v>2</v>
      </c>
      <c r="G2560">
        <v>507.72</v>
      </c>
      <c r="H2560" s="2">
        <v>45913</v>
      </c>
      <c r="I2560" s="2">
        <v>45923</v>
      </c>
      <c r="J2560" t="s">
        <v>9</v>
      </c>
      <c r="K2560" s="2" t="str">
        <f>IFERROR(INDEX(Product_lookup[Category],MATCH(RawWorking[[#This Row],[ProductID]],Product_lookup[ProductID],0)),"")</f>
        <v>Home</v>
      </c>
      <c r="L2560" s="9">
        <f>IF(OR(RawWorking[[#This Row],[ShipDate]]="",RawWorking[[#This Row],[DeliveryDate]]=""),"",RawWorking[[#This Row],[DeliveryDate]]-RawWorking[[#This Row],[ShipDate]])</f>
        <v>10</v>
      </c>
      <c r="M2560" s="9">
        <f>IF(COUNTIF(INDEX(RawWorking[OrderID],1):RawWorking[[#This Row],[OrderID]],RawWorking[[#This Row],[OrderID]])=1,1,0)</f>
        <v>1</v>
      </c>
      <c r="N2560" s="4">
        <f>IFERROR(RawWorking[[#This Row],[LineAmount]]/RawWorking[[#This Row],[Quantity]],"")</f>
        <v>253.86</v>
      </c>
    </row>
    <row r="2561" spans="1:14">
      <c r="A2561">
        <v>52560</v>
      </c>
      <c r="B2561">
        <v>31481</v>
      </c>
      <c r="C2561" s="2">
        <v>45912</v>
      </c>
      <c r="D2561">
        <v>2595</v>
      </c>
      <c r="E2561">
        <v>1016</v>
      </c>
      <c r="F2561">
        <v>1</v>
      </c>
      <c r="G2561">
        <v>65.260000000000005</v>
      </c>
      <c r="H2561" s="2">
        <v>45914</v>
      </c>
      <c r="I2561" s="2">
        <v>45915</v>
      </c>
      <c r="J2561" t="s">
        <v>9</v>
      </c>
      <c r="K2561" s="2" t="str">
        <f>IFERROR(INDEX(Product_lookup[Category],MATCH(RawWorking[[#This Row],[ProductID]],Product_lookup[ProductID],0)),"")</f>
        <v>Sports</v>
      </c>
      <c r="L2561" s="9">
        <f>IF(OR(RawWorking[[#This Row],[ShipDate]]="",RawWorking[[#This Row],[DeliveryDate]]=""),"",RawWorking[[#This Row],[DeliveryDate]]-RawWorking[[#This Row],[ShipDate]])</f>
        <v>1</v>
      </c>
      <c r="M2561" s="9">
        <f>IF(COUNTIF(INDEX(RawWorking[OrderID],1):RawWorking[[#This Row],[OrderID]],RawWorking[[#This Row],[OrderID]])=1,1,0)</f>
        <v>0</v>
      </c>
      <c r="N2561" s="4">
        <f>IFERROR(RawWorking[[#This Row],[LineAmount]]/RawWorking[[#This Row],[Quantity]],"")</f>
        <v>65.260000000000005</v>
      </c>
    </row>
    <row r="2562" spans="1:14">
      <c r="A2562">
        <v>52561</v>
      </c>
      <c r="B2562">
        <v>31482</v>
      </c>
      <c r="C2562" s="2">
        <v>45977</v>
      </c>
      <c r="D2562">
        <v>2348</v>
      </c>
      <c r="E2562">
        <v>1005</v>
      </c>
      <c r="F2562">
        <v>1</v>
      </c>
      <c r="G2562">
        <v>31.73</v>
      </c>
      <c r="H2562" s="2" t="s">
        <v>1421</v>
      </c>
      <c r="I2562" s="2" t="s">
        <v>1421</v>
      </c>
      <c r="J2562" t="s">
        <v>12</v>
      </c>
      <c r="K2562" s="2" t="str">
        <f>IFERROR(INDEX(Product_lookup[Category],MATCH(RawWorking[[#This Row],[ProductID]],Product_lookup[ProductID],0)),"")</f>
        <v>Electronics</v>
      </c>
      <c r="L2562" s="9" t="str">
        <f>IF(OR(RawWorking[[#This Row],[ShipDate]]="",RawWorking[[#This Row],[DeliveryDate]]=""),"",RawWorking[[#This Row],[DeliveryDate]]-RawWorking[[#This Row],[ShipDate]])</f>
        <v/>
      </c>
      <c r="M2562" s="9">
        <f>IF(COUNTIF(INDEX(RawWorking[OrderID],1):RawWorking[[#This Row],[OrderID]],RawWorking[[#This Row],[OrderID]])=1,1,0)</f>
        <v>1</v>
      </c>
      <c r="N2562" s="4">
        <f>IFERROR(RawWorking[[#This Row],[LineAmount]]/RawWorking[[#This Row],[Quantity]],"")</f>
        <v>31.73</v>
      </c>
    </row>
    <row r="2563" spans="1:14">
      <c r="A2563">
        <v>52562</v>
      </c>
      <c r="B2563">
        <v>31482</v>
      </c>
      <c r="C2563" s="2">
        <v>45977</v>
      </c>
      <c r="D2563">
        <v>2348</v>
      </c>
      <c r="E2563">
        <v>1003</v>
      </c>
      <c r="F2563">
        <v>1</v>
      </c>
      <c r="G2563">
        <v>224.37</v>
      </c>
      <c r="H2563" s="2" t="s">
        <v>1421</v>
      </c>
      <c r="I2563" s="2" t="s">
        <v>1421</v>
      </c>
      <c r="J2563" t="s">
        <v>12</v>
      </c>
      <c r="K2563" s="2" t="str">
        <f>IFERROR(INDEX(Product_lookup[Category],MATCH(RawWorking[[#This Row],[ProductID]],Product_lookup[ProductID],0)),"")</f>
        <v>Electronics</v>
      </c>
      <c r="L2563" s="9" t="str">
        <f>IF(OR(RawWorking[[#This Row],[ShipDate]]="",RawWorking[[#This Row],[DeliveryDate]]=""),"",RawWorking[[#This Row],[DeliveryDate]]-RawWorking[[#This Row],[ShipDate]])</f>
        <v/>
      </c>
      <c r="M2563" s="9">
        <f>IF(COUNTIF(INDEX(RawWorking[OrderID],1):RawWorking[[#This Row],[OrderID]],RawWorking[[#This Row],[OrderID]])=1,1,0)</f>
        <v>0</v>
      </c>
      <c r="N2563" s="4">
        <f>IFERROR(RawWorking[[#This Row],[LineAmount]]/RawWorking[[#This Row],[Quantity]],"")</f>
        <v>224.37</v>
      </c>
    </row>
    <row r="2564" spans="1:14">
      <c r="A2564">
        <v>52563</v>
      </c>
      <c r="B2564">
        <v>31483</v>
      </c>
      <c r="C2564" s="2">
        <v>45756</v>
      </c>
      <c r="D2564">
        <v>2325</v>
      </c>
      <c r="E2564">
        <v>1014</v>
      </c>
      <c r="F2564">
        <v>1</v>
      </c>
      <c r="G2564">
        <v>215.34</v>
      </c>
      <c r="H2564" s="2">
        <v>45759</v>
      </c>
      <c r="I2564" s="2">
        <v>45767</v>
      </c>
      <c r="J2564" t="s">
        <v>9</v>
      </c>
      <c r="K2564" s="2" t="str">
        <f>IFERROR(INDEX(Product_lookup[Category],MATCH(RawWorking[[#This Row],[ProductID]],Product_lookup[ProductID],0)),"")</f>
        <v>Sports</v>
      </c>
      <c r="L2564" s="9">
        <f>IF(OR(RawWorking[[#This Row],[ShipDate]]="",RawWorking[[#This Row],[DeliveryDate]]=""),"",RawWorking[[#This Row],[DeliveryDate]]-RawWorking[[#This Row],[ShipDate]])</f>
        <v>8</v>
      </c>
      <c r="M2564" s="9">
        <f>IF(COUNTIF(INDEX(RawWorking[OrderID],1):RawWorking[[#This Row],[OrderID]],RawWorking[[#This Row],[OrderID]])=1,1,0)</f>
        <v>1</v>
      </c>
      <c r="N2564" s="4">
        <f>IFERROR(RawWorking[[#This Row],[LineAmount]]/RawWorking[[#This Row],[Quantity]],"")</f>
        <v>215.34</v>
      </c>
    </row>
    <row r="2565" spans="1:14">
      <c r="A2565">
        <v>52564</v>
      </c>
      <c r="B2565">
        <v>31483</v>
      </c>
      <c r="C2565" s="2">
        <v>45756</v>
      </c>
      <c r="D2565">
        <v>2325</v>
      </c>
      <c r="E2565">
        <v>1005</v>
      </c>
      <c r="F2565">
        <v>2</v>
      </c>
      <c r="G2565">
        <v>63.46</v>
      </c>
      <c r="H2565" s="2">
        <v>45759</v>
      </c>
      <c r="I2565" s="2">
        <v>45767</v>
      </c>
      <c r="J2565" t="s">
        <v>9</v>
      </c>
      <c r="K2565" s="2" t="str">
        <f>IFERROR(INDEX(Product_lookup[Category],MATCH(RawWorking[[#This Row],[ProductID]],Product_lookup[ProductID],0)),"")</f>
        <v>Electronics</v>
      </c>
      <c r="L2565" s="9">
        <f>IF(OR(RawWorking[[#This Row],[ShipDate]]="",RawWorking[[#This Row],[DeliveryDate]]=""),"",RawWorking[[#This Row],[DeliveryDate]]-RawWorking[[#This Row],[ShipDate]])</f>
        <v>8</v>
      </c>
      <c r="M2565" s="9">
        <f>IF(COUNTIF(INDEX(RawWorking[OrderID],1):RawWorking[[#This Row],[OrderID]],RawWorking[[#This Row],[OrderID]])=1,1,0)</f>
        <v>0</v>
      </c>
      <c r="N2565" s="4">
        <f>IFERROR(RawWorking[[#This Row],[LineAmount]]/RawWorking[[#This Row],[Quantity]],"")</f>
        <v>31.73</v>
      </c>
    </row>
    <row r="2566" spans="1:14">
      <c r="A2566">
        <v>52565</v>
      </c>
      <c r="B2566">
        <v>31484</v>
      </c>
      <c r="C2566" s="2">
        <v>46014</v>
      </c>
      <c r="D2566">
        <v>2267</v>
      </c>
      <c r="E2566">
        <v>1002</v>
      </c>
      <c r="F2566">
        <v>2</v>
      </c>
      <c r="G2566">
        <v>237.2</v>
      </c>
      <c r="H2566" s="2">
        <v>46017</v>
      </c>
      <c r="I2566" s="2">
        <v>46082</v>
      </c>
      <c r="J2566" t="s">
        <v>9</v>
      </c>
      <c r="K2566" s="2" t="str">
        <f>IFERROR(INDEX(Product_lookup[Category],MATCH(RawWorking[[#This Row],[ProductID]],Product_lookup[ProductID],0)),"")</f>
        <v>Electronics</v>
      </c>
      <c r="L2566" s="9">
        <f>IF(OR(RawWorking[[#This Row],[ShipDate]]="",RawWorking[[#This Row],[DeliveryDate]]=""),"",RawWorking[[#This Row],[DeliveryDate]]-RawWorking[[#This Row],[ShipDate]])</f>
        <v>65</v>
      </c>
      <c r="M2566" s="9">
        <f>IF(COUNTIF(INDEX(RawWorking[OrderID],1):RawWorking[[#This Row],[OrderID]],RawWorking[[#This Row],[OrderID]])=1,1,0)</f>
        <v>1</v>
      </c>
      <c r="N2566" s="4">
        <f>IFERROR(RawWorking[[#This Row],[LineAmount]]/RawWorking[[#This Row],[Quantity]],"")</f>
        <v>118.6</v>
      </c>
    </row>
    <row r="2567" spans="1:14">
      <c r="A2567">
        <v>52566</v>
      </c>
      <c r="B2567">
        <v>31484</v>
      </c>
      <c r="C2567" s="2">
        <v>46014</v>
      </c>
      <c r="D2567">
        <v>2267</v>
      </c>
      <c r="E2567">
        <v>1005</v>
      </c>
      <c r="F2567">
        <v>1</v>
      </c>
      <c r="G2567">
        <v>31.73</v>
      </c>
      <c r="H2567" s="2">
        <v>46017</v>
      </c>
      <c r="I2567" s="2">
        <v>46026</v>
      </c>
      <c r="J2567" t="s">
        <v>9</v>
      </c>
      <c r="K2567" s="2" t="str">
        <f>IFERROR(INDEX(Product_lookup[Category],MATCH(RawWorking[[#This Row],[ProductID]],Product_lookup[ProductID],0)),"")</f>
        <v>Electronics</v>
      </c>
      <c r="L2567" s="9">
        <f>IF(OR(RawWorking[[#This Row],[ShipDate]]="",RawWorking[[#This Row],[DeliveryDate]]=""),"",RawWorking[[#This Row],[DeliveryDate]]-RawWorking[[#This Row],[ShipDate]])</f>
        <v>9</v>
      </c>
      <c r="M2567" s="9">
        <f>IF(COUNTIF(INDEX(RawWorking[OrderID],1):RawWorking[[#This Row],[OrderID]],RawWorking[[#This Row],[OrderID]])=1,1,0)</f>
        <v>0</v>
      </c>
      <c r="N2567" s="4">
        <f>IFERROR(RawWorking[[#This Row],[LineAmount]]/RawWorking[[#This Row],[Quantity]],"")</f>
        <v>31.73</v>
      </c>
    </row>
    <row r="2568" spans="1:14">
      <c r="A2568">
        <v>52567</v>
      </c>
      <c r="B2568">
        <v>31484</v>
      </c>
      <c r="C2568" s="2">
        <v>46014</v>
      </c>
      <c r="D2568">
        <v>2267</v>
      </c>
      <c r="E2568">
        <v>1016</v>
      </c>
      <c r="F2568">
        <v>2</v>
      </c>
      <c r="G2568">
        <v>130.52000000000001</v>
      </c>
      <c r="H2568" s="2">
        <v>46016</v>
      </c>
      <c r="I2568" s="2">
        <v>46017</v>
      </c>
      <c r="J2568" t="s">
        <v>9</v>
      </c>
      <c r="K2568" s="2" t="str">
        <f>IFERROR(INDEX(Product_lookup[Category],MATCH(RawWorking[[#This Row],[ProductID]],Product_lookup[ProductID],0)),"")</f>
        <v>Sports</v>
      </c>
      <c r="L2568" s="9">
        <f>IF(OR(RawWorking[[#This Row],[ShipDate]]="",RawWorking[[#This Row],[DeliveryDate]]=""),"",RawWorking[[#This Row],[DeliveryDate]]-RawWorking[[#This Row],[ShipDate]])</f>
        <v>1</v>
      </c>
      <c r="M2568" s="9">
        <f>IF(COUNTIF(INDEX(RawWorking[OrderID],1):RawWorking[[#This Row],[OrderID]],RawWorking[[#This Row],[OrderID]])=1,1,0)</f>
        <v>0</v>
      </c>
      <c r="N2568" s="4">
        <f>IFERROR(RawWorking[[#This Row],[LineAmount]]/RawWorking[[#This Row],[Quantity]],"")</f>
        <v>65.260000000000005</v>
      </c>
    </row>
    <row r="2569" spans="1:14">
      <c r="A2569">
        <v>52568</v>
      </c>
      <c r="B2569">
        <v>31485</v>
      </c>
      <c r="C2569" s="2">
        <v>45832</v>
      </c>
      <c r="D2569">
        <v>2288</v>
      </c>
      <c r="E2569">
        <v>1014</v>
      </c>
      <c r="F2569">
        <v>1</v>
      </c>
      <c r="G2569">
        <v>215.34</v>
      </c>
      <c r="H2569" s="2">
        <v>45833</v>
      </c>
      <c r="I2569" s="2">
        <v>45837</v>
      </c>
      <c r="J2569" t="s">
        <v>9</v>
      </c>
      <c r="K2569" s="2" t="str">
        <f>IFERROR(INDEX(Product_lookup[Category],MATCH(RawWorking[[#This Row],[ProductID]],Product_lookup[ProductID],0)),"")</f>
        <v>Sports</v>
      </c>
      <c r="L2569" s="9">
        <f>IF(OR(RawWorking[[#This Row],[ShipDate]]="",RawWorking[[#This Row],[DeliveryDate]]=""),"",RawWorking[[#This Row],[DeliveryDate]]-RawWorking[[#This Row],[ShipDate]])</f>
        <v>4</v>
      </c>
      <c r="M2569" s="9">
        <f>IF(COUNTIF(INDEX(RawWorking[OrderID],1):RawWorking[[#This Row],[OrderID]],RawWorking[[#This Row],[OrderID]])=1,1,0)</f>
        <v>1</v>
      </c>
      <c r="N2569" s="4">
        <f>IFERROR(RawWorking[[#This Row],[LineAmount]]/RawWorking[[#This Row],[Quantity]],"")</f>
        <v>215.34</v>
      </c>
    </row>
    <row r="2570" spans="1:14">
      <c r="A2570">
        <v>52569</v>
      </c>
      <c r="B2570">
        <v>31486</v>
      </c>
      <c r="C2570" s="2">
        <v>45746</v>
      </c>
      <c r="D2570">
        <v>2290</v>
      </c>
      <c r="E2570">
        <v>1009</v>
      </c>
      <c r="F2570">
        <v>1</v>
      </c>
      <c r="G2570">
        <v>40.28</v>
      </c>
      <c r="H2570" s="2" t="s">
        <v>1421</v>
      </c>
      <c r="I2570" s="2" t="s">
        <v>1421</v>
      </c>
      <c r="J2570" t="s">
        <v>12</v>
      </c>
      <c r="K2570" s="2" t="str">
        <f>IFERROR(INDEX(Product_lookup[Category],MATCH(RawWorking[[#This Row],[ProductID]],Product_lookup[ProductID],0)),"")</f>
        <v>Home</v>
      </c>
      <c r="L2570" s="9" t="str">
        <f>IF(OR(RawWorking[[#This Row],[ShipDate]]="",RawWorking[[#This Row],[DeliveryDate]]=""),"",RawWorking[[#This Row],[DeliveryDate]]-RawWorking[[#This Row],[ShipDate]])</f>
        <v/>
      </c>
      <c r="M2570" s="9">
        <f>IF(COUNTIF(INDEX(RawWorking[OrderID],1):RawWorking[[#This Row],[OrderID]],RawWorking[[#This Row],[OrderID]])=1,1,0)</f>
        <v>1</v>
      </c>
      <c r="N2570" s="4">
        <f>IFERROR(RawWorking[[#This Row],[LineAmount]]/RawWorking[[#This Row],[Quantity]],"")</f>
        <v>40.28</v>
      </c>
    </row>
    <row r="2571" spans="1:14">
      <c r="A2571">
        <v>52570</v>
      </c>
      <c r="B2571">
        <v>31487</v>
      </c>
      <c r="C2571" s="2">
        <v>45989</v>
      </c>
      <c r="D2571">
        <v>2271</v>
      </c>
      <c r="E2571">
        <v>1014</v>
      </c>
      <c r="F2571">
        <v>1</v>
      </c>
      <c r="G2571">
        <v>215.34</v>
      </c>
      <c r="H2571" s="2">
        <v>45992</v>
      </c>
      <c r="I2571" s="2">
        <v>45993</v>
      </c>
      <c r="J2571" t="s">
        <v>9</v>
      </c>
      <c r="K2571" s="2" t="str">
        <f>IFERROR(INDEX(Product_lookup[Category],MATCH(RawWorking[[#This Row],[ProductID]],Product_lookup[ProductID],0)),"")</f>
        <v>Sports</v>
      </c>
      <c r="L2571" s="9">
        <f>IF(OR(RawWorking[[#This Row],[ShipDate]]="",RawWorking[[#This Row],[DeliveryDate]]=""),"",RawWorking[[#This Row],[DeliveryDate]]-RawWorking[[#This Row],[ShipDate]])</f>
        <v>1</v>
      </c>
      <c r="M2571" s="9">
        <f>IF(COUNTIF(INDEX(RawWorking[OrderID],1):RawWorking[[#This Row],[OrderID]],RawWorking[[#This Row],[OrderID]])=1,1,0)</f>
        <v>1</v>
      </c>
      <c r="N2571" s="4">
        <f>IFERROR(RawWorking[[#This Row],[LineAmount]]/RawWorking[[#This Row],[Quantity]],"")</f>
        <v>215.34</v>
      </c>
    </row>
    <row r="2572" spans="1:14">
      <c r="A2572">
        <v>52571</v>
      </c>
      <c r="B2572">
        <v>31487</v>
      </c>
      <c r="C2572" s="2">
        <v>45989</v>
      </c>
      <c r="D2572">
        <v>2271</v>
      </c>
      <c r="E2572">
        <v>1006</v>
      </c>
      <c r="F2572">
        <v>1</v>
      </c>
      <c r="G2572">
        <v>253.86</v>
      </c>
      <c r="H2572" s="2">
        <v>45990</v>
      </c>
      <c r="I2572" s="2">
        <v>45996</v>
      </c>
      <c r="J2572" t="s">
        <v>9</v>
      </c>
      <c r="K2572" s="2" t="str">
        <f>IFERROR(INDEX(Product_lookup[Category],MATCH(RawWorking[[#This Row],[ProductID]],Product_lookup[ProductID],0)),"")</f>
        <v>Home</v>
      </c>
      <c r="L2572" s="9">
        <f>IF(OR(RawWorking[[#This Row],[ShipDate]]="",RawWorking[[#This Row],[DeliveryDate]]=""),"",RawWorking[[#This Row],[DeliveryDate]]-RawWorking[[#This Row],[ShipDate]])</f>
        <v>6</v>
      </c>
      <c r="M2572" s="9">
        <f>IF(COUNTIF(INDEX(RawWorking[OrderID],1):RawWorking[[#This Row],[OrderID]],RawWorking[[#This Row],[OrderID]])=1,1,0)</f>
        <v>0</v>
      </c>
      <c r="N2572" s="4">
        <f>IFERROR(RawWorking[[#This Row],[LineAmount]]/RawWorking[[#This Row],[Quantity]],"")</f>
        <v>253.86</v>
      </c>
    </row>
    <row r="2573" spans="1:14">
      <c r="A2573">
        <v>52572</v>
      </c>
      <c r="B2573">
        <v>31488</v>
      </c>
      <c r="C2573" s="2">
        <v>45968</v>
      </c>
      <c r="D2573">
        <v>2324</v>
      </c>
      <c r="E2573">
        <v>1016</v>
      </c>
      <c r="F2573">
        <v>1</v>
      </c>
      <c r="G2573">
        <v>65.260000000000005</v>
      </c>
      <c r="H2573" s="2">
        <v>45969</v>
      </c>
      <c r="I2573" s="2">
        <v>45977</v>
      </c>
      <c r="J2573" t="s">
        <v>9</v>
      </c>
      <c r="K2573" s="2" t="str">
        <f>IFERROR(INDEX(Product_lookup[Category],MATCH(RawWorking[[#This Row],[ProductID]],Product_lookup[ProductID],0)),"")</f>
        <v>Sports</v>
      </c>
      <c r="L2573" s="9">
        <f>IF(OR(RawWorking[[#This Row],[ShipDate]]="",RawWorking[[#This Row],[DeliveryDate]]=""),"",RawWorking[[#This Row],[DeliveryDate]]-RawWorking[[#This Row],[ShipDate]])</f>
        <v>8</v>
      </c>
      <c r="M2573" s="9">
        <f>IF(COUNTIF(INDEX(RawWorking[OrderID],1):RawWorking[[#This Row],[OrderID]],RawWorking[[#This Row],[OrderID]])=1,1,0)</f>
        <v>1</v>
      </c>
      <c r="N2573" s="4">
        <f>IFERROR(RawWorking[[#This Row],[LineAmount]]/RawWorking[[#This Row],[Quantity]],"")</f>
        <v>65.260000000000005</v>
      </c>
    </row>
    <row r="2574" spans="1:14">
      <c r="A2574">
        <v>52573</v>
      </c>
      <c r="B2574">
        <v>31488</v>
      </c>
      <c r="C2574" s="2">
        <v>45968</v>
      </c>
      <c r="D2574">
        <v>2324</v>
      </c>
      <c r="E2574">
        <v>1005</v>
      </c>
      <c r="F2574">
        <v>1</v>
      </c>
      <c r="G2574">
        <v>31.73</v>
      </c>
      <c r="H2574" s="2">
        <v>45971</v>
      </c>
      <c r="I2574" s="2">
        <v>45979</v>
      </c>
      <c r="J2574" t="s">
        <v>9</v>
      </c>
      <c r="K2574" s="2" t="str">
        <f>IFERROR(INDEX(Product_lookup[Category],MATCH(RawWorking[[#This Row],[ProductID]],Product_lookup[ProductID],0)),"")</f>
        <v>Electronics</v>
      </c>
      <c r="L2574" s="9">
        <f>IF(OR(RawWorking[[#This Row],[ShipDate]]="",RawWorking[[#This Row],[DeliveryDate]]=""),"",RawWorking[[#This Row],[DeliveryDate]]-RawWorking[[#This Row],[ShipDate]])</f>
        <v>8</v>
      </c>
      <c r="M2574" s="9">
        <f>IF(COUNTIF(INDEX(RawWorking[OrderID],1):RawWorking[[#This Row],[OrderID]],RawWorking[[#This Row],[OrderID]])=1,1,0)</f>
        <v>0</v>
      </c>
      <c r="N2574" s="4">
        <f>IFERROR(RawWorking[[#This Row],[LineAmount]]/RawWorking[[#This Row],[Quantity]],"")</f>
        <v>31.73</v>
      </c>
    </row>
    <row r="2575" spans="1:14">
      <c r="A2575">
        <v>52574</v>
      </c>
      <c r="B2575">
        <v>31489</v>
      </c>
      <c r="C2575" s="2">
        <v>45661</v>
      </c>
      <c r="D2575">
        <v>2570</v>
      </c>
      <c r="E2575">
        <v>1015</v>
      </c>
      <c r="F2575">
        <v>1</v>
      </c>
      <c r="G2575">
        <v>119.74</v>
      </c>
      <c r="H2575" s="2">
        <v>45781</v>
      </c>
      <c r="I2575" s="2" t="s">
        <v>1421</v>
      </c>
      <c r="J2575" t="s">
        <v>16</v>
      </c>
      <c r="K2575" s="2" t="str">
        <f>IFERROR(INDEX(Product_lookup[Category],MATCH(RawWorking[[#This Row],[ProductID]],Product_lookup[ProductID],0)),"")</f>
        <v>Sports</v>
      </c>
      <c r="L2575" s="9" t="str">
        <f>IF(OR(RawWorking[[#This Row],[ShipDate]]="",RawWorking[[#This Row],[DeliveryDate]]=""),"",RawWorking[[#This Row],[DeliveryDate]]-RawWorking[[#This Row],[ShipDate]])</f>
        <v/>
      </c>
      <c r="M2575" s="9">
        <f>IF(COUNTIF(INDEX(RawWorking[OrderID],1):RawWorking[[#This Row],[OrderID]],RawWorking[[#This Row],[OrderID]])=1,1,0)</f>
        <v>1</v>
      </c>
      <c r="N2575" s="4">
        <f>IFERROR(RawWorking[[#This Row],[LineAmount]]/RawWorking[[#This Row],[Quantity]],"")</f>
        <v>119.74</v>
      </c>
    </row>
    <row r="2576" spans="1:14">
      <c r="A2576">
        <v>52575</v>
      </c>
      <c r="B2576">
        <v>31489</v>
      </c>
      <c r="C2576" s="2">
        <v>45661</v>
      </c>
      <c r="D2576">
        <v>2570</v>
      </c>
      <c r="E2576">
        <v>1005</v>
      </c>
      <c r="F2576">
        <v>3</v>
      </c>
      <c r="G2576">
        <v>95.19</v>
      </c>
      <c r="H2576" s="2">
        <v>45749</v>
      </c>
      <c r="I2576" s="2" t="s">
        <v>1421</v>
      </c>
      <c r="J2576" t="s">
        <v>16</v>
      </c>
      <c r="K2576" s="2" t="str">
        <f>IFERROR(INDEX(Product_lookup[Category],MATCH(RawWorking[[#This Row],[ProductID]],Product_lookup[ProductID],0)),"")</f>
        <v>Electronics</v>
      </c>
      <c r="L2576" s="9" t="str">
        <f>IF(OR(RawWorking[[#This Row],[ShipDate]]="",RawWorking[[#This Row],[DeliveryDate]]=""),"",RawWorking[[#This Row],[DeliveryDate]]-RawWorking[[#This Row],[ShipDate]])</f>
        <v/>
      </c>
      <c r="M2576" s="9">
        <f>IF(COUNTIF(INDEX(RawWorking[OrderID],1):RawWorking[[#This Row],[OrderID]],RawWorking[[#This Row],[OrderID]])=1,1,0)</f>
        <v>0</v>
      </c>
      <c r="N2576" s="4">
        <f>IFERROR(RawWorking[[#This Row],[LineAmount]]/RawWorking[[#This Row],[Quantity]],"")</f>
        <v>31.73</v>
      </c>
    </row>
    <row r="2577" spans="1:14">
      <c r="A2577">
        <v>52576</v>
      </c>
      <c r="B2577">
        <v>31489</v>
      </c>
      <c r="C2577" s="2">
        <v>45748</v>
      </c>
      <c r="D2577">
        <v>2570</v>
      </c>
      <c r="E2577">
        <v>1006</v>
      </c>
      <c r="F2577">
        <v>1</v>
      </c>
      <c r="G2577">
        <v>253.86</v>
      </c>
      <c r="H2577" s="2">
        <v>45752</v>
      </c>
      <c r="I2577" s="2" t="s">
        <v>1421</v>
      </c>
      <c r="J2577" t="s">
        <v>16</v>
      </c>
      <c r="K2577" s="2" t="str">
        <f>IFERROR(INDEX(Product_lookup[Category],MATCH(RawWorking[[#This Row],[ProductID]],Product_lookup[ProductID],0)),"")</f>
        <v>Home</v>
      </c>
      <c r="L2577" s="9" t="str">
        <f>IF(OR(RawWorking[[#This Row],[ShipDate]]="",RawWorking[[#This Row],[DeliveryDate]]=""),"",RawWorking[[#This Row],[DeliveryDate]]-RawWorking[[#This Row],[ShipDate]])</f>
        <v/>
      </c>
      <c r="M2577" s="9">
        <f>IF(COUNTIF(INDEX(RawWorking[OrderID],1):RawWorking[[#This Row],[OrderID]],RawWorking[[#This Row],[OrderID]])=1,1,0)</f>
        <v>0</v>
      </c>
      <c r="N2577" s="4">
        <f>IFERROR(RawWorking[[#This Row],[LineAmount]]/RawWorking[[#This Row],[Quantity]],"")</f>
        <v>253.86</v>
      </c>
    </row>
    <row r="2578" spans="1:14">
      <c r="A2578">
        <v>52577</v>
      </c>
      <c r="B2578">
        <v>31489</v>
      </c>
      <c r="C2578" s="2">
        <v>45661</v>
      </c>
      <c r="D2578">
        <v>2570</v>
      </c>
      <c r="E2578">
        <v>1009</v>
      </c>
      <c r="F2578">
        <v>2</v>
      </c>
      <c r="G2578">
        <v>80.56</v>
      </c>
      <c r="H2578" s="2">
        <v>45752</v>
      </c>
      <c r="I2578" s="2" t="s">
        <v>1421</v>
      </c>
      <c r="J2578" t="s">
        <v>16</v>
      </c>
      <c r="K2578" s="2" t="str">
        <f>IFERROR(INDEX(Product_lookup[Category],MATCH(RawWorking[[#This Row],[ProductID]],Product_lookup[ProductID],0)),"")</f>
        <v>Home</v>
      </c>
      <c r="L2578" s="9" t="str">
        <f>IF(OR(RawWorking[[#This Row],[ShipDate]]="",RawWorking[[#This Row],[DeliveryDate]]=""),"",RawWorking[[#This Row],[DeliveryDate]]-RawWorking[[#This Row],[ShipDate]])</f>
        <v/>
      </c>
      <c r="M2578" s="9">
        <f>IF(COUNTIF(INDEX(RawWorking[OrderID],1):RawWorking[[#This Row],[OrderID]],RawWorking[[#This Row],[OrderID]])=1,1,0)</f>
        <v>0</v>
      </c>
      <c r="N2578" s="4">
        <f>IFERROR(RawWorking[[#This Row],[LineAmount]]/RawWorking[[#This Row],[Quantity]],"")</f>
        <v>40.28</v>
      </c>
    </row>
    <row r="2579" spans="1:14">
      <c r="A2579">
        <v>52578</v>
      </c>
      <c r="B2579">
        <v>31490</v>
      </c>
      <c r="C2579" s="2">
        <v>45886</v>
      </c>
      <c r="D2579">
        <v>2479</v>
      </c>
      <c r="E2579">
        <v>1016</v>
      </c>
      <c r="F2579">
        <v>1</v>
      </c>
      <c r="G2579">
        <v>65.260000000000005</v>
      </c>
      <c r="H2579" s="2">
        <v>45889</v>
      </c>
      <c r="I2579" s="2">
        <v>45893</v>
      </c>
      <c r="J2579" t="s">
        <v>9</v>
      </c>
      <c r="K2579" s="2" t="str">
        <f>IFERROR(INDEX(Product_lookup[Category],MATCH(RawWorking[[#This Row],[ProductID]],Product_lookup[ProductID],0)),"")</f>
        <v>Sports</v>
      </c>
      <c r="L2579" s="9">
        <f>IF(OR(RawWorking[[#This Row],[ShipDate]]="",RawWorking[[#This Row],[DeliveryDate]]=""),"",RawWorking[[#This Row],[DeliveryDate]]-RawWorking[[#This Row],[ShipDate]])</f>
        <v>4</v>
      </c>
      <c r="M2579" s="9">
        <f>IF(COUNTIF(INDEX(RawWorking[OrderID],1):RawWorking[[#This Row],[OrderID]],RawWorking[[#This Row],[OrderID]])=1,1,0)</f>
        <v>1</v>
      </c>
      <c r="N2579" s="4">
        <f>IFERROR(RawWorking[[#This Row],[LineAmount]]/RawWorking[[#This Row],[Quantity]],"")</f>
        <v>65.260000000000005</v>
      </c>
    </row>
    <row r="2580" spans="1:14">
      <c r="A2580">
        <v>52579</v>
      </c>
      <c r="B2580">
        <v>31490</v>
      </c>
      <c r="C2580" s="2">
        <v>45886</v>
      </c>
      <c r="D2580">
        <v>2479</v>
      </c>
      <c r="E2580">
        <v>1002</v>
      </c>
      <c r="F2580">
        <v>1</v>
      </c>
      <c r="G2580">
        <v>118.6</v>
      </c>
      <c r="H2580" s="2">
        <v>45889</v>
      </c>
      <c r="I2580" s="2">
        <v>45899</v>
      </c>
      <c r="J2580" t="s">
        <v>9</v>
      </c>
      <c r="K2580" s="2" t="str">
        <f>IFERROR(INDEX(Product_lookup[Category],MATCH(RawWorking[[#This Row],[ProductID]],Product_lookup[ProductID],0)),"")</f>
        <v>Electronics</v>
      </c>
      <c r="L2580" s="9">
        <f>IF(OR(RawWorking[[#This Row],[ShipDate]]="",RawWorking[[#This Row],[DeliveryDate]]=""),"",RawWorking[[#This Row],[DeliveryDate]]-RawWorking[[#This Row],[ShipDate]])</f>
        <v>10</v>
      </c>
      <c r="M2580" s="9">
        <f>IF(COUNTIF(INDEX(RawWorking[OrderID],1):RawWorking[[#This Row],[OrderID]],RawWorking[[#This Row],[OrderID]])=1,1,0)</f>
        <v>0</v>
      </c>
      <c r="N2580" s="4">
        <f>IFERROR(RawWorking[[#This Row],[LineAmount]]/RawWorking[[#This Row],[Quantity]],"")</f>
        <v>118.6</v>
      </c>
    </row>
    <row r="2581" spans="1:14">
      <c r="A2581">
        <v>52580</v>
      </c>
      <c r="B2581">
        <v>31490</v>
      </c>
      <c r="C2581" s="2">
        <v>45886</v>
      </c>
      <c r="D2581">
        <v>2479</v>
      </c>
      <c r="E2581">
        <v>1015</v>
      </c>
      <c r="F2581">
        <v>2</v>
      </c>
      <c r="G2581">
        <v>239.48</v>
      </c>
      <c r="H2581" s="2">
        <v>45888</v>
      </c>
      <c r="I2581" s="2">
        <v>45897</v>
      </c>
      <c r="J2581" t="s">
        <v>9</v>
      </c>
      <c r="K2581" s="2" t="str">
        <f>IFERROR(INDEX(Product_lookup[Category],MATCH(RawWorking[[#This Row],[ProductID]],Product_lookup[ProductID],0)),"")</f>
        <v>Sports</v>
      </c>
      <c r="L2581" s="9">
        <f>IF(OR(RawWorking[[#This Row],[ShipDate]]="",RawWorking[[#This Row],[DeliveryDate]]=""),"",RawWorking[[#This Row],[DeliveryDate]]-RawWorking[[#This Row],[ShipDate]])</f>
        <v>9</v>
      </c>
      <c r="M2581" s="9">
        <f>IF(COUNTIF(INDEX(RawWorking[OrderID],1):RawWorking[[#This Row],[OrderID]],RawWorking[[#This Row],[OrderID]])=1,1,0)</f>
        <v>0</v>
      </c>
      <c r="N2581" s="4">
        <f>IFERROR(RawWorking[[#This Row],[LineAmount]]/RawWorking[[#This Row],[Quantity]],"")</f>
        <v>119.74</v>
      </c>
    </row>
    <row r="2582" spans="1:14">
      <c r="A2582">
        <v>52581</v>
      </c>
      <c r="B2582">
        <v>31490</v>
      </c>
      <c r="C2582" s="2">
        <v>45886</v>
      </c>
      <c r="D2582">
        <v>2479</v>
      </c>
      <c r="E2582">
        <v>1012</v>
      </c>
      <c r="F2582">
        <v>1</v>
      </c>
      <c r="G2582">
        <v>241.54</v>
      </c>
      <c r="H2582" s="2">
        <v>45887</v>
      </c>
      <c r="I2582" s="2">
        <v>45893</v>
      </c>
      <c r="J2582" t="s">
        <v>9</v>
      </c>
      <c r="K2582" s="2" t="str">
        <f>IFERROR(INDEX(Product_lookup[Category],MATCH(RawWorking[[#This Row],[ProductID]],Product_lookup[ProductID],0)),"")</f>
        <v>Office</v>
      </c>
      <c r="L2582" s="9">
        <f>IF(OR(RawWorking[[#This Row],[ShipDate]]="",RawWorking[[#This Row],[DeliveryDate]]=""),"",RawWorking[[#This Row],[DeliveryDate]]-RawWorking[[#This Row],[ShipDate]])</f>
        <v>6</v>
      </c>
      <c r="M2582" s="9">
        <f>IF(COUNTIF(INDEX(RawWorking[OrderID],1):RawWorking[[#This Row],[OrderID]],RawWorking[[#This Row],[OrderID]])=1,1,0)</f>
        <v>0</v>
      </c>
      <c r="N2582" s="4">
        <f>IFERROR(RawWorking[[#This Row],[LineAmount]]/RawWorking[[#This Row],[Quantity]],"")</f>
        <v>241.54</v>
      </c>
    </row>
    <row r="2583" spans="1:14">
      <c r="A2583">
        <v>52582</v>
      </c>
      <c r="B2583">
        <v>31491</v>
      </c>
      <c r="C2583" s="2">
        <v>45679</v>
      </c>
      <c r="D2583">
        <v>2575</v>
      </c>
      <c r="E2583">
        <v>1016</v>
      </c>
      <c r="F2583">
        <v>1</v>
      </c>
      <c r="G2583">
        <v>65.260000000000005</v>
      </c>
      <c r="H2583" s="2">
        <v>45682</v>
      </c>
      <c r="I2583" s="2">
        <v>45692</v>
      </c>
      <c r="J2583" t="s">
        <v>9</v>
      </c>
      <c r="K2583" s="2" t="str">
        <f>IFERROR(INDEX(Product_lookup[Category],MATCH(RawWorking[[#This Row],[ProductID]],Product_lookup[ProductID],0)),"")</f>
        <v>Sports</v>
      </c>
      <c r="L2583" s="9">
        <f>IF(OR(RawWorking[[#This Row],[ShipDate]]="",RawWorking[[#This Row],[DeliveryDate]]=""),"",RawWorking[[#This Row],[DeliveryDate]]-RawWorking[[#This Row],[ShipDate]])</f>
        <v>10</v>
      </c>
      <c r="M2583" s="9">
        <f>IF(COUNTIF(INDEX(RawWorking[OrderID],1):RawWorking[[#This Row],[OrderID]],RawWorking[[#This Row],[OrderID]])=1,1,0)</f>
        <v>1</v>
      </c>
      <c r="N2583" s="4">
        <f>IFERROR(RawWorking[[#This Row],[LineAmount]]/RawWorking[[#This Row],[Quantity]],"")</f>
        <v>65.260000000000005</v>
      </c>
    </row>
    <row r="2584" spans="1:14">
      <c r="A2584">
        <v>52583</v>
      </c>
      <c r="B2584">
        <v>31492</v>
      </c>
      <c r="C2584" s="2">
        <v>45749</v>
      </c>
      <c r="D2584">
        <v>2116</v>
      </c>
      <c r="E2584">
        <v>1005</v>
      </c>
      <c r="F2584">
        <v>3</v>
      </c>
      <c r="G2584">
        <v>95.19</v>
      </c>
      <c r="H2584" s="2">
        <v>45752</v>
      </c>
      <c r="I2584" s="2" t="s">
        <v>1421</v>
      </c>
      <c r="J2584" t="s">
        <v>16</v>
      </c>
      <c r="K2584" s="2" t="str">
        <f>IFERROR(INDEX(Product_lookup[Category],MATCH(RawWorking[[#This Row],[ProductID]],Product_lookup[ProductID],0)),"")</f>
        <v>Electronics</v>
      </c>
      <c r="L2584" s="9" t="str">
        <f>IF(OR(RawWorking[[#This Row],[ShipDate]]="",RawWorking[[#This Row],[DeliveryDate]]=""),"",RawWorking[[#This Row],[DeliveryDate]]-RawWorking[[#This Row],[ShipDate]])</f>
        <v/>
      </c>
      <c r="M2584" s="9">
        <f>IF(COUNTIF(INDEX(RawWorking[OrderID],1):RawWorking[[#This Row],[OrderID]],RawWorking[[#This Row],[OrderID]])=1,1,0)</f>
        <v>1</v>
      </c>
      <c r="N2584" s="4">
        <f>IFERROR(RawWorking[[#This Row],[LineAmount]]/RawWorking[[#This Row],[Quantity]],"")</f>
        <v>31.73</v>
      </c>
    </row>
    <row r="2585" spans="1:14">
      <c r="A2585">
        <v>52584</v>
      </c>
      <c r="B2585">
        <v>31492</v>
      </c>
      <c r="C2585" s="2">
        <v>45692</v>
      </c>
      <c r="D2585">
        <v>2116</v>
      </c>
      <c r="E2585">
        <v>1003</v>
      </c>
      <c r="F2585">
        <v>2</v>
      </c>
      <c r="G2585">
        <v>448.74</v>
      </c>
      <c r="H2585" s="2">
        <v>45781</v>
      </c>
      <c r="I2585" s="2" t="s">
        <v>1421</v>
      </c>
      <c r="J2585" t="s">
        <v>16</v>
      </c>
      <c r="K2585" s="2" t="str">
        <f>IFERROR(INDEX(Product_lookup[Category],MATCH(RawWorking[[#This Row],[ProductID]],Product_lookup[ProductID],0)),"")</f>
        <v>Electronics</v>
      </c>
      <c r="L2585" s="9" t="str">
        <f>IF(OR(RawWorking[[#This Row],[ShipDate]]="",RawWorking[[#This Row],[DeliveryDate]]=""),"",RawWorking[[#This Row],[DeliveryDate]]-RawWorking[[#This Row],[ShipDate]])</f>
        <v/>
      </c>
      <c r="M2585" s="9">
        <f>IF(COUNTIF(INDEX(RawWorking[OrderID],1):RawWorking[[#This Row],[OrderID]],RawWorking[[#This Row],[OrderID]])=1,1,0)</f>
        <v>0</v>
      </c>
      <c r="N2585" s="4">
        <f>IFERROR(RawWorking[[#This Row],[LineAmount]]/RawWorking[[#This Row],[Quantity]],"")</f>
        <v>224.37</v>
      </c>
    </row>
    <row r="2586" spans="1:14">
      <c r="A2586">
        <v>52585</v>
      </c>
      <c r="B2586">
        <v>31493</v>
      </c>
      <c r="C2586" s="2">
        <v>45800</v>
      </c>
      <c r="D2586">
        <v>2291</v>
      </c>
      <c r="E2586">
        <v>1006</v>
      </c>
      <c r="F2586">
        <v>2</v>
      </c>
      <c r="G2586">
        <v>507.72</v>
      </c>
      <c r="H2586" s="2">
        <v>45802</v>
      </c>
      <c r="I2586" s="2">
        <v>45810</v>
      </c>
      <c r="J2586" t="s">
        <v>9</v>
      </c>
      <c r="K2586" s="2" t="str">
        <f>IFERROR(INDEX(Product_lookup[Category],MATCH(RawWorking[[#This Row],[ProductID]],Product_lookup[ProductID],0)),"")</f>
        <v>Home</v>
      </c>
      <c r="L2586" s="9">
        <f>IF(OR(RawWorking[[#This Row],[ShipDate]]="",RawWorking[[#This Row],[DeliveryDate]]=""),"",RawWorking[[#This Row],[DeliveryDate]]-RawWorking[[#This Row],[ShipDate]])</f>
        <v>8</v>
      </c>
      <c r="M2586" s="9">
        <f>IF(COUNTIF(INDEX(RawWorking[OrderID],1):RawWorking[[#This Row],[OrderID]],RawWorking[[#This Row],[OrderID]])=1,1,0)</f>
        <v>1</v>
      </c>
      <c r="N2586" s="4">
        <f>IFERROR(RawWorking[[#This Row],[LineAmount]]/RawWorking[[#This Row],[Quantity]],"")</f>
        <v>253.86</v>
      </c>
    </row>
    <row r="2587" spans="1:14">
      <c r="A2587">
        <v>52586</v>
      </c>
      <c r="B2587">
        <v>31493</v>
      </c>
      <c r="C2587" s="2">
        <v>45800</v>
      </c>
      <c r="D2587">
        <v>2291</v>
      </c>
      <c r="E2587">
        <v>1009</v>
      </c>
      <c r="F2587">
        <v>3</v>
      </c>
      <c r="G2587">
        <v>120.84</v>
      </c>
      <c r="H2587" s="2">
        <v>45802</v>
      </c>
      <c r="I2587" s="2">
        <v>45808</v>
      </c>
      <c r="J2587" t="s">
        <v>9</v>
      </c>
      <c r="K2587" s="2" t="str">
        <f>IFERROR(INDEX(Product_lookup[Category],MATCH(RawWorking[[#This Row],[ProductID]],Product_lookup[ProductID],0)),"")</f>
        <v>Home</v>
      </c>
      <c r="L2587" s="9">
        <f>IF(OR(RawWorking[[#This Row],[ShipDate]]="",RawWorking[[#This Row],[DeliveryDate]]=""),"",RawWorking[[#This Row],[DeliveryDate]]-RawWorking[[#This Row],[ShipDate]])</f>
        <v>6</v>
      </c>
      <c r="M2587" s="9">
        <f>IF(COUNTIF(INDEX(RawWorking[OrderID],1):RawWorking[[#This Row],[OrderID]],RawWorking[[#This Row],[OrderID]])=1,1,0)</f>
        <v>0</v>
      </c>
      <c r="N2587" s="4">
        <f>IFERROR(RawWorking[[#This Row],[LineAmount]]/RawWorking[[#This Row],[Quantity]],"")</f>
        <v>40.28</v>
      </c>
    </row>
    <row r="2588" spans="1:14">
      <c r="A2588">
        <v>52587</v>
      </c>
      <c r="B2588">
        <v>31493</v>
      </c>
      <c r="C2588" s="2">
        <v>45800</v>
      </c>
      <c r="D2588">
        <v>2291</v>
      </c>
      <c r="E2588">
        <v>1007</v>
      </c>
      <c r="F2588">
        <v>1</v>
      </c>
      <c r="G2588">
        <v>199.81</v>
      </c>
      <c r="H2588" s="2">
        <v>45801</v>
      </c>
      <c r="I2588" s="2">
        <v>45810</v>
      </c>
      <c r="J2588" t="s">
        <v>9</v>
      </c>
      <c r="K2588" s="2" t="str">
        <f>IFERROR(INDEX(Product_lookup[Category],MATCH(RawWorking[[#This Row],[ProductID]],Product_lookup[ProductID],0)),"")</f>
        <v>Home</v>
      </c>
      <c r="L2588" s="9">
        <f>IF(OR(RawWorking[[#This Row],[ShipDate]]="",RawWorking[[#This Row],[DeliveryDate]]=""),"",RawWorking[[#This Row],[DeliveryDate]]-RawWorking[[#This Row],[ShipDate]])</f>
        <v>9</v>
      </c>
      <c r="M2588" s="9">
        <f>IF(COUNTIF(INDEX(RawWorking[OrderID],1):RawWorking[[#This Row],[OrderID]],RawWorking[[#This Row],[OrderID]])=1,1,0)</f>
        <v>0</v>
      </c>
      <c r="N2588" s="4">
        <f>IFERROR(RawWorking[[#This Row],[LineAmount]]/RawWorking[[#This Row],[Quantity]],"")</f>
        <v>199.81</v>
      </c>
    </row>
    <row r="2589" spans="1:14">
      <c r="A2589">
        <v>52588</v>
      </c>
      <c r="B2589">
        <v>31494</v>
      </c>
      <c r="C2589" s="2">
        <v>45931</v>
      </c>
      <c r="D2589">
        <v>2598</v>
      </c>
      <c r="E2589">
        <v>1001</v>
      </c>
      <c r="F2589">
        <v>1</v>
      </c>
      <c r="G2589">
        <v>203.04</v>
      </c>
      <c r="H2589" s="2">
        <v>45933</v>
      </c>
      <c r="I2589" s="2">
        <v>45936</v>
      </c>
      <c r="J2589" t="s">
        <v>11</v>
      </c>
      <c r="K2589" s="2" t="str">
        <f>IFERROR(INDEX(Product_lookup[Category],MATCH(RawWorking[[#This Row],[ProductID]],Product_lookup[ProductID],0)),"")</f>
        <v>Electronics</v>
      </c>
      <c r="L2589" s="9">
        <f>IF(OR(RawWorking[[#This Row],[ShipDate]]="",RawWorking[[#This Row],[DeliveryDate]]=""),"",RawWorking[[#This Row],[DeliveryDate]]-RawWorking[[#This Row],[ShipDate]])</f>
        <v>3</v>
      </c>
      <c r="M2589" s="9">
        <f>IF(COUNTIF(INDEX(RawWorking[OrderID],1):RawWorking[[#This Row],[OrderID]],RawWorking[[#This Row],[OrderID]])=1,1,0)</f>
        <v>1</v>
      </c>
      <c r="N2589" s="4">
        <f>IFERROR(RawWorking[[#This Row],[LineAmount]]/RawWorking[[#This Row],[Quantity]],"")</f>
        <v>203.04</v>
      </c>
    </row>
    <row r="2590" spans="1:14">
      <c r="A2590">
        <v>52589</v>
      </c>
      <c r="B2590">
        <v>31494</v>
      </c>
      <c r="C2590" s="2">
        <v>45931</v>
      </c>
      <c r="D2590">
        <v>2598</v>
      </c>
      <c r="E2590">
        <v>1006</v>
      </c>
      <c r="F2590">
        <v>1</v>
      </c>
      <c r="G2590">
        <v>253.86</v>
      </c>
      <c r="H2590" s="2">
        <v>45932</v>
      </c>
      <c r="I2590" s="2">
        <v>45938</v>
      </c>
      <c r="J2590" t="s">
        <v>11</v>
      </c>
      <c r="K2590" s="2" t="str">
        <f>IFERROR(INDEX(Product_lookup[Category],MATCH(RawWorking[[#This Row],[ProductID]],Product_lookup[ProductID],0)),"")</f>
        <v>Home</v>
      </c>
      <c r="L2590" s="9">
        <f>IF(OR(RawWorking[[#This Row],[ShipDate]]="",RawWorking[[#This Row],[DeliveryDate]]=""),"",RawWorking[[#This Row],[DeliveryDate]]-RawWorking[[#This Row],[ShipDate]])</f>
        <v>6</v>
      </c>
      <c r="M2590" s="9">
        <f>IF(COUNTIF(INDEX(RawWorking[OrderID],1):RawWorking[[#This Row],[OrderID]],RawWorking[[#This Row],[OrderID]])=1,1,0)</f>
        <v>0</v>
      </c>
      <c r="N2590" s="4">
        <f>IFERROR(RawWorking[[#This Row],[LineAmount]]/RawWorking[[#This Row],[Quantity]],"")</f>
        <v>253.86</v>
      </c>
    </row>
    <row r="2591" spans="1:14">
      <c r="A2591">
        <v>52590</v>
      </c>
      <c r="B2591">
        <v>31494</v>
      </c>
      <c r="C2591" s="2">
        <v>45667</v>
      </c>
      <c r="D2591">
        <v>2598</v>
      </c>
      <c r="E2591">
        <v>1014</v>
      </c>
      <c r="F2591">
        <v>4</v>
      </c>
      <c r="G2591">
        <v>861.36</v>
      </c>
      <c r="H2591" s="2">
        <v>45698</v>
      </c>
      <c r="I2591" s="2">
        <v>45938</v>
      </c>
      <c r="J2591" t="s">
        <v>11</v>
      </c>
      <c r="K2591" s="2" t="str">
        <f>IFERROR(INDEX(Product_lookup[Category],MATCH(RawWorking[[#This Row],[ProductID]],Product_lookup[ProductID],0)),"")</f>
        <v>Sports</v>
      </c>
      <c r="L2591" s="9">
        <f>IF(OR(RawWorking[[#This Row],[ShipDate]]="",RawWorking[[#This Row],[DeliveryDate]]=""),"",RawWorking[[#This Row],[DeliveryDate]]-RawWorking[[#This Row],[ShipDate]])</f>
        <v>240</v>
      </c>
      <c r="M2591" s="9">
        <f>IF(COUNTIF(INDEX(RawWorking[OrderID],1):RawWorking[[#This Row],[OrderID]],RawWorking[[#This Row],[OrderID]])=1,1,0)</f>
        <v>0</v>
      </c>
      <c r="N2591" s="4">
        <f>IFERROR(RawWorking[[#This Row],[LineAmount]]/RawWorking[[#This Row],[Quantity]],"")</f>
        <v>215.34</v>
      </c>
    </row>
    <row r="2592" spans="1:14">
      <c r="A2592">
        <v>52591</v>
      </c>
      <c r="B2592">
        <v>31495</v>
      </c>
      <c r="C2592" s="2">
        <v>45660</v>
      </c>
      <c r="D2592">
        <v>2079</v>
      </c>
      <c r="E2592">
        <v>1016</v>
      </c>
      <c r="F2592">
        <v>1</v>
      </c>
      <c r="G2592">
        <v>65.260000000000005</v>
      </c>
      <c r="H2592" s="2">
        <v>45663</v>
      </c>
      <c r="I2592" s="2">
        <v>45673</v>
      </c>
      <c r="J2592" t="s">
        <v>9</v>
      </c>
      <c r="K2592" s="2" t="str">
        <f>IFERROR(INDEX(Product_lookup[Category],MATCH(RawWorking[[#This Row],[ProductID]],Product_lookup[ProductID],0)),"")</f>
        <v>Sports</v>
      </c>
      <c r="L2592" s="9">
        <f>IF(OR(RawWorking[[#This Row],[ShipDate]]="",RawWorking[[#This Row],[DeliveryDate]]=""),"",RawWorking[[#This Row],[DeliveryDate]]-RawWorking[[#This Row],[ShipDate]])</f>
        <v>10</v>
      </c>
      <c r="M2592" s="9">
        <f>IF(COUNTIF(INDEX(RawWorking[OrderID],1):RawWorking[[#This Row],[OrderID]],RawWorking[[#This Row],[OrderID]])=1,1,0)</f>
        <v>1</v>
      </c>
      <c r="N2592" s="4">
        <f>IFERROR(RawWorking[[#This Row],[LineAmount]]/RawWorking[[#This Row],[Quantity]],"")</f>
        <v>65.260000000000005</v>
      </c>
    </row>
    <row r="2593" spans="1:14">
      <c r="A2593">
        <v>52592</v>
      </c>
      <c r="B2593">
        <v>31495</v>
      </c>
      <c r="C2593" s="2">
        <v>45660</v>
      </c>
      <c r="D2593">
        <v>2079</v>
      </c>
      <c r="E2593">
        <v>1004</v>
      </c>
      <c r="F2593">
        <v>1</v>
      </c>
      <c r="G2593">
        <v>183.74</v>
      </c>
      <c r="H2593" s="2">
        <v>45662</v>
      </c>
      <c r="I2593" s="2">
        <v>45663</v>
      </c>
      <c r="J2593" t="s">
        <v>9</v>
      </c>
      <c r="K2593" s="2" t="str">
        <f>IFERROR(INDEX(Product_lookup[Category],MATCH(RawWorking[[#This Row],[ProductID]],Product_lookup[ProductID],0)),"")</f>
        <v>Electronics</v>
      </c>
      <c r="L2593" s="9">
        <f>IF(OR(RawWorking[[#This Row],[ShipDate]]="",RawWorking[[#This Row],[DeliveryDate]]=""),"",RawWorking[[#This Row],[DeliveryDate]]-RawWorking[[#This Row],[ShipDate]])</f>
        <v>1</v>
      </c>
      <c r="M2593" s="9">
        <f>IF(COUNTIF(INDEX(RawWorking[OrderID],1):RawWorking[[#This Row],[OrderID]],RawWorking[[#This Row],[OrderID]])=1,1,0)</f>
        <v>0</v>
      </c>
      <c r="N2593" s="4">
        <f>IFERROR(RawWorking[[#This Row],[LineAmount]]/RawWorking[[#This Row],[Quantity]],"")</f>
        <v>183.74</v>
      </c>
    </row>
    <row r="2594" spans="1:14">
      <c r="A2594">
        <v>52593</v>
      </c>
      <c r="B2594">
        <v>31496</v>
      </c>
      <c r="C2594" s="2">
        <v>45849</v>
      </c>
      <c r="D2594">
        <v>2337</v>
      </c>
      <c r="E2594">
        <v>1004</v>
      </c>
      <c r="F2594">
        <v>5</v>
      </c>
      <c r="G2594">
        <v>918.7</v>
      </c>
      <c r="H2594" s="2">
        <v>45850</v>
      </c>
      <c r="I2594" s="2">
        <v>45856</v>
      </c>
      <c r="J2594" t="s">
        <v>9</v>
      </c>
      <c r="K2594" s="2" t="str">
        <f>IFERROR(INDEX(Product_lookup[Category],MATCH(RawWorking[[#This Row],[ProductID]],Product_lookup[ProductID],0)),"")</f>
        <v>Electronics</v>
      </c>
      <c r="L2594" s="9">
        <f>IF(OR(RawWorking[[#This Row],[ShipDate]]="",RawWorking[[#This Row],[DeliveryDate]]=""),"",RawWorking[[#This Row],[DeliveryDate]]-RawWorking[[#This Row],[ShipDate]])</f>
        <v>6</v>
      </c>
      <c r="M2594" s="9">
        <f>IF(COUNTIF(INDEX(RawWorking[OrderID],1):RawWorking[[#This Row],[OrderID]],RawWorking[[#This Row],[OrderID]])=1,1,0)</f>
        <v>1</v>
      </c>
      <c r="N2594" s="4">
        <f>IFERROR(RawWorking[[#This Row],[LineAmount]]/RawWorking[[#This Row],[Quantity]],"")</f>
        <v>183.74</v>
      </c>
    </row>
    <row r="2595" spans="1:14">
      <c r="A2595">
        <v>52594</v>
      </c>
      <c r="B2595">
        <v>31496</v>
      </c>
      <c r="C2595" s="2">
        <v>45849</v>
      </c>
      <c r="D2595">
        <v>2337</v>
      </c>
      <c r="E2595">
        <v>1013</v>
      </c>
      <c r="F2595">
        <v>1</v>
      </c>
      <c r="G2595">
        <v>170.25</v>
      </c>
      <c r="H2595" s="2">
        <v>45852</v>
      </c>
      <c r="I2595" s="2">
        <v>45862</v>
      </c>
      <c r="J2595" t="s">
        <v>9</v>
      </c>
      <c r="K2595" s="2" t="str">
        <f>IFERROR(INDEX(Product_lookup[Category],MATCH(RawWorking[[#This Row],[ProductID]],Product_lookup[ProductID],0)),"")</f>
        <v>Office</v>
      </c>
      <c r="L2595" s="9">
        <f>IF(OR(RawWorking[[#This Row],[ShipDate]]="",RawWorking[[#This Row],[DeliveryDate]]=""),"",RawWorking[[#This Row],[DeliveryDate]]-RawWorking[[#This Row],[ShipDate]])</f>
        <v>10</v>
      </c>
      <c r="M2595" s="9">
        <f>IF(COUNTIF(INDEX(RawWorking[OrderID],1):RawWorking[[#This Row],[OrderID]],RawWorking[[#This Row],[OrderID]])=1,1,0)</f>
        <v>0</v>
      </c>
      <c r="N2595" s="4">
        <f>IFERROR(RawWorking[[#This Row],[LineAmount]]/RawWorking[[#This Row],[Quantity]],"")</f>
        <v>170.25</v>
      </c>
    </row>
    <row r="2596" spans="1:14">
      <c r="A2596">
        <v>52595</v>
      </c>
      <c r="B2596">
        <v>31497</v>
      </c>
      <c r="C2596" s="2">
        <v>45834</v>
      </c>
      <c r="D2596">
        <v>2383</v>
      </c>
      <c r="E2596">
        <v>1004</v>
      </c>
      <c r="F2596">
        <v>1</v>
      </c>
      <c r="G2596">
        <v>183.74</v>
      </c>
      <c r="H2596" s="2">
        <v>45835</v>
      </c>
      <c r="I2596" s="2">
        <v>45841</v>
      </c>
      <c r="J2596" t="s">
        <v>9</v>
      </c>
      <c r="K2596" s="2" t="str">
        <f>IFERROR(INDEX(Product_lookup[Category],MATCH(RawWorking[[#This Row],[ProductID]],Product_lookup[ProductID],0)),"")</f>
        <v>Electronics</v>
      </c>
      <c r="L2596" s="9">
        <f>IF(OR(RawWorking[[#This Row],[ShipDate]]="",RawWorking[[#This Row],[DeliveryDate]]=""),"",RawWorking[[#This Row],[DeliveryDate]]-RawWorking[[#This Row],[ShipDate]])</f>
        <v>6</v>
      </c>
      <c r="M2596" s="9">
        <f>IF(COUNTIF(INDEX(RawWorking[OrderID],1):RawWorking[[#This Row],[OrderID]],RawWorking[[#This Row],[OrderID]])=1,1,0)</f>
        <v>1</v>
      </c>
      <c r="N2596" s="4">
        <f>IFERROR(RawWorking[[#This Row],[LineAmount]]/RawWorking[[#This Row],[Quantity]],"")</f>
        <v>183.74</v>
      </c>
    </row>
    <row r="2597" spans="1:14">
      <c r="A2597">
        <v>52596</v>
      </c>
      <c r="B2597">
        <v>31498</v>
      </c>
      <c r="C2597" s="2">
        <v>45687</v>
      </c>
      <c r="D2597">
        <v>2332</v>
      </c>
      <c r="E2597">
        <v>1003</v>
      </c>
      <c r="F2597">
        <v>3</v>
      </c>
      <c r="G2597">
        <v>673.11</v>
      </c>
      <c r="H2597" s="2">
        <v>45688</v>
      </c>
      <c r="I2597" s="2">
        <v>45697</v>
      </c>
      <c r="J2597" t="s">
        <v>9</v>
      </c>
      <c r="K2597" s="2" t="str">
        <f>IFERROR(INDEX(Product_lookup[Category],MATCH(RawWorking[[#This Row],[ProductID]],Product_lookup[ProductID],0)),"")</f>
        <v>Electronics</v>
      </c>
      <c r="L2597" s="9">
        <f>IF(OR(RawWorking[[#This Row],[ShipDate]]="",RawWorking[[#This Row],[DeliveryDate]]=""),"",RawWorking[[#This Row],[DeliveryDate]]-RawWorking[[#This Row],[ShipDate]])</f>
        <v>9</v>
      </c>
      <c r="M2597" s="9">
        <f>IF(COUNTIF(INDEX(RawWorking[OrderID],1):RawWorking[[#This Row],[OrderID]],RawWorking[[#This Row],[OrderID]])=1,1,0)</f>
        <v>1</v>
      </c>
      <c r="N2597" s="4">
        <f>IFERROR(RawWorking[[#This Row],[LineAmount]]/RawWorking[[#This Row],[Quantity]],"")</f>
        <v>224.37</v>
      </c>
    </row>
    <row r="2598" spans="1:14">
      <c r="A2598">
        <v>52597</v>
      </c>
      <c r="B2598">
        <v>31498</v>
      </c>
      <c r="C2598" s="2">
        <v>45687</v>
      </c>
      <c r="D2598">
        <v>2332</v>
      </c>
      <c r="E2598">
        <v>1015</v>
      </c>
      <c r="F2598">
        <v>1</v>
      </c>
      <c r="G2598">
        <v>119.74</v>
      </c>
      <c r="H2598" s="2">
        <v>45688</v>
      </c>
      <c r="I2598" s="2">
        <v>45718</v>
      </c>
      <c r="J2598" t="s">
        <v>9</v>
      </c>
      <c r="K2598" s="2" t="str">
        <f>IFERROR(INDEX(Product_lookup[Category],MATCH(RawWorking[[#This Row],[ProductID]],Product_lookup[ProductID],0)),"")</f>
        <v>Sports</v>
      </c>
      <c r="L2598" s="9">
        <f>IF(OR(RawWorking[[#This Row],[ShipDate]]="",RawWorking[[#This Row],[DeliveryDate]]=""),"",RawWorking[[#This Row],[DeliveryDate]]-RawWorking[[#This Row],[ShipDate]])</f>
        <v>30</v>
      </c>
      <c r="M2598" s="9">
        <f>IF(COUNTIF(INDEX(RawWorking[OrderID],1):RawWorking[[#This Row],[OrderID]],RawWorking[[#This Row],[OrderID]])=1,1,0)</f>
        <v>0</v>
      </c>
      <c r="N2598" s="4">
        <f>IFERROR(RawWorking[[#This Row],[LineAmount]]/RawWorking[[#This Row],[Quantity]],"")</f>
        <v>119.74</v>
      </c>
    </row>
    <row r="2599" spans="1:14">
      <c r="A2599">
        <v>52598</v>
      </c>
      <c r="B2599">
        <v>31499</v>
      </c>
      <c r="C2599" s="2">
        <v>45734</v>
      </c>
      <c r="D2599">
        <v>2492</v>
      </c>
      <c r="E2599">
        <v>1009</v>
      </c>
      <c r="F2599">
        <v>1</v>
      </c>
      <c r="G2599">
        <v>40.28</v>
      </c>
      <c r="H2599" s="2">
        <v>45736</v>
      </c>
      <c r="I2599" s="2">
        <v>45743</v>
      </c>
      <c r="J2599" t="s">
        <v>9</v>
      </c>
      <c r="K2599" s="2" t="str">
        <f>IFERROR(INDEX(Product_lookup[Category],MATCH(RawWorking[[#This Row],[ProductID]],Product_lookup[ProductID],0)),"")</f>
        <v>Home</v>
      </c>
      <c r="L2599" s="9">
        <f>IF(OR(RawWorking[[#This Row],[ShipDate]]="",RawWorking[[#This Row],[DeliveryDate]]=""),"",RawWorking[[#This Row],[DeliveryDate]]-RawWorking[[#This Row],[ShipDate]])</f>
        <v>7</v>
      </c>
      <c r="M2599" s="9">
        <f>IF(COUNTIF(INDEX(RawWorking[OrderID],1):RawWorking[[#This Row],[OrderID]],RawWorking[[#This Row],[OrderID]])=1,1,0)</f>
        <v>1</v>
      </c>
      <c r="N2599" s="4">
        <f>IFERROR(RawWorking[[#This Row],[LineAmount]]/RawWorking[[#This Row],[Quantity]],"")</f>
        <v>40.28</v>
      </c>
    </row>
    <row r="2600" spans="1:14">
      <c r="A2600">
        <v>52599</v>
      </c>
      <c r="B2600">
        <v>31500</v>
      </c>
      <c r="C2600" s="2">
        <v>45723</v>
      </c>
      <c r="D2600">
        <v>2006</v>
      </c>
      <c r="E2600">
        <v>1002</v>
      </c>
      <c r="F2600">
        <v>3</v>
      </c>
      <c r="G2600">
        <v>355.8</v>
      </c>
      <c r="H2600" s="2">
        <v>45724</v>
      </c>
      <c r="I2600" s="2">
        <v>45727</v>
      </c>
      <c r="J2600" t="s">
        <v>9</v>
      </c>
      <c r="K2600" s="2" t="str">
        <f>IFERROR(INDEX(Product_lookup[Category],MATCH(RawWorking[[#This Row],[ProductID]],Product_lookup[ProductID],0)),"")</f>
        <v>Electronics</v>
      </c>
      <c r="L2600" s="9">
        <f>IF(OR(RawWorking[[#This Row],[ShipDate]]="",RawWorking[[#This Row],[DeliveryDate]]=""),"",RawWorking[[#This Row],[DeliveryDate]]-RawWorking[[#This Row],[ShipDate]])</f>
        <v>3</v>
      </c>
      <c r="M2600" s="9">
        <f>IF(COUNTIF(INDEX(RawWorking[OrderID],1):RawWorking[[#This Row],[OrderID]],RawWorking[[#This Row],[OrderID]])=1,1,0)</f>
        <v>1</v>
      </c>
      <c r="N2600" s="4">
        <f>IFERROR(RawWorking[[#This Row],[LineAmount]]/RawWorking[[#This Row],[Quantity]],"")</f>
        <v>118.60000000000001</v>
      </c>
    </row>
    <row r="2601" spans="1:14">
      <c r="A2601">
        <v>52600</v>
      </c>
      <c r="B2601">
        <v>31500</v>
      </c>
      <c r="C2601" s="2">
        <v>45723</v>
      </c>
      <c r="D2601">
        <v>2006</v>
      </c>
      <c r="E2601">
        <v>1015</v>
      </c>
      <c r="F2601">
        <v>2</v>
      </c>
      <c r="G2601">
        <v>239.48</v>
      </c>
      <c r="H2601" s="2">
        <v>45726</v>
      </c>
      <c r="I2601" s="2">
        <v>45727</v>
      </c>
      <c r="J2601" t="s">
        <v>9</v>
      </c>
      <c r="K2601" s="2" t="str">
        <f>IFERROR(INDEX(Product_lookup[Category],MATCH(RawWorking[[#This Row],[ProductID]],Product_lookup[ProductID],0)),"")</f>
        <v>Sports</v>
      </c>
      <c r="L2601" s="9">
        <f>IF(OR(RawWorking[[#This Row],[ShipDate]]="",RawWorking[[#This Row],[DeliveryDate]]=""),"",RawWorking[[#This Row],[DeliveryDate]]-RawWorking[[#This Row],[ShipDate]])</f>
        <v>1</v>
      </c>
      <c r="M2601" s="9">
        <f>IF(COUNTIF(INDEX(RawWorking[OrderID],1):RawWorking[[#This Row],[OrderID]],RawWorking[[#This Row],[OrderID]])=1,1,0)</f>
        <v>0</v>
      </c>
      <c r="N2601" s="4">
        <f>IFERROR(RawWorking[[#This Row],[LineAmount]]/RawWorking[[#This Row],[Quantity]],"")</f>
        <v>119.74</v>
      </c>
    </row>
    <row r="2602" spans="1:14">
      <c r="A2602">
        <v>52601</v>
      </c>
      <c r="B2602">
        <v>31501</v>
      </c>
      <c r="C2602" s="2">
        <v>45730</v>
      </c>
      <c r="D2602">
        <v>2333</v>
      </c>
      <c r="E2602">
        <v>1005</v>
      </c>
      <c r="F2602">
        <v>1</v>
      </c>
      <c r="G2602">
        <v>31.73</v>
      </c>
      <c r="H2602" s="2">
        <v>45731</v>
      </c>
      <c r="I2602" s="2">
        <v>45741</v>
      </c>
      <c r="J2602" t="s">
        <v>11</v>
      </c>
      <c r="K2602" s="2" t="str">
        <f>IFERROR(INDEX(Product_lookup[Category],MATCH(RawWorking[[#This Row],[ProductID]],Product_lookup[ProductID],0)),"")</f>
        <v>Electronics</v>
      </c>
      <c r="L2602" s="9">
        <f>IF(OR(RawWorking[[#This Row],[ShipDate]]="",RawWorking[[#This Row],[DeliveryDate]]=""),"",RawWorking[[#This Row],[DeliveryDate]]-RawWorking[[#This Row],[ShipDate]])</f>
        <v>10</v>
      </c>
      <c r="M2602" s="9">
        <f>IF(COUNTIF(INDEX(RawWorking[OrderID],1):RawWorking[[#This Row],[OrderID]],RawWorking[[#This Row],[OrderID]])=1,1,0)</f>
        <v>1</v>
      </c>
      <c r="N2602" s="4">
        <f>IFERROR(RawWorking[[#This Row],[LineAmount]]/RawWorking[[#This Row],[Quantity]],"")</f>
        <v>31.73</v>
      </c>
    </row>
    <row r="2603" spans="1:14">
      <c r="A2603">
        <v>52602</v>
      </c>
      <c r="B2603">
        <v>31502</v>
      </c>
      <c r="C2603" s="2">
        <v>46016</v>
      </c>
      <c r="D2603">
        <v>2217</v>
      </c>
      <c r="E2603">
        <v>1010</v>
      </c>
      <c r="F2603">
        <v>1</v>
      </c>
      <c r="G2603">
        <v>121.5</v>
      </c>
      <c r="H2603" s="2" t="s">
        <v>1421</v>
      </c>
      <c r="I2603" s="2" t="s">
        <v>1421</v>
      </c>
      <c r="J2603" t="s">
        <v>12</v>
      </c>
      <c r="K2603" s="2" t="str">
        <f>IFERROR(INDEX(Product_lookup[Category],MATCH(RawWorking[[#This Row],[ProductID]],Product_lookup[ProductID],0)),"")</f>
        <v>Office</v>
      </c>
      <c r="L2603" s="9" t="str">
        <f>IF(OR(RawWorking[[#This Row],[ShipDate]]="",RawWorking[[#This Row],[DeliveryDate]]=""),"",RawWorking[[#This Row],[DeliveryDate]]-RawWorking[[#This Row],[ShipDate]])</f>
        <v/>
      </c>
      <c r="M2603" s="9">
        <f>IF(COUNTIF(INDEX(RawWorking[OrderID],1):RawWorking[[#This Row],[OrderID]],RawWorking[[#This Row],[OrderID]])=1,1,0)</f>
        <v>1</v>
      </c>
      <c r="N2603" s="4">
        <f>IFERROR(RawWorking[[#This Row],[LineAmount]]/RawWorking[[#This Row],[Quantity]],"")</f>
        <v>121.5</v>
      </c>
    </row>
    <row r="2604" spans="1:14">
      <c r="A2604">
        <v>52603</v>
      </c>
      <c r="B2604">
        <v>31503</v>
      </c>
      <c r="C2604" s="2">
        <v>46009</v>
      </c>
      <c r="D2604">
        <v>2331</v>
      </c>
      <c r="E2604">
        <v>1003</v>
      </c>
      <c r="F2604">
        <v>1</v>
      </c>
      <c r="G2604">
        <v>224.37</v>
      </c>
      <c r="H2604" s="2" t="s">
        <v>1421</v>
      </c>
      <c r="I2604" s="2" t="s">
        <v>1421</v>
      </c>
      <c r="J2604" t="s">
        <v>16</v>
      </c>
      <c r="K2604" s="2" t="str">
        <f>IFERROR(INDEX(Product_lookup[Category],MATCH(RawWorking[[#This Row],[ProductID]],Product_lookup[ProductID],0)),"")</f>
        <v>Electronics</v>
      </c>
      <c r="L2604" s="9" t="str">
        <f>IF(OR(RawWorking[[#This Row],[ShipDate]]="",RawWorking[[#This Row],[DeliveryDate]]=""),"",RawWorking[[#This Row],[DeliveryDate]]-RawWorking[[#This Row],[ShipDate]])</f>
        <v/>
      </c>
      <c r="M2604" s="9">
        <f>IF(COUNTIF(INDEX(RawWorking[OrderID],1):RawWorking[[#This Row],[OrderID]],RawWorking[[#This Row],[OrderID]])=1,1,0)</f>
        <v>1</v>
      </c>
      <c r="N2604" s="4">
        <f>IFERROR(RawWorking[[#This Row],[LineAmount]]/RawWorking[[#This Row],[Quantity]],"")</f>
        <v>224.37</v>
      </c>
    </row>
    <row r="2605" spans="1:14">
      <c r="A2605">
        <v>52604</v>
      </c>
      <c r="B2605">
        <v>31504</v>
      </c>
      <c r="C2605" s="2">
        <v>46015</v>
      </c>
      <c r="D2605">
        <v>2391</v>
      </c>
      <c r="E2605">
        <v>1009</v>
      </c>
      <c r="F2605">
        <v>1</v>
      </c>
      <c r="G2605">
        <v>40.28</v>
      </c>
      <c r="H2605" s="2">
        <v>46018</v>
      </c>
      <c r="I2605" s="2">
        <v>46174</v>
      </c>
      <c r="J2605" t="s">
        <v>9</v>
      </c>
      <c r="K2605" s="2" t="str">
        <f>IFERROR(INDEX(Product_lookup[Category],MATCH(RawWorking[[#This Row],[ProductID]],Product_lookup[ProductID],0)),"")</f>
        <v>Home</v>
      </c>
      <c r="L2605" s="9">
        <f>IF(OR(RawWorking[[#This Row],[ShipDate]]="",RawWorking[[#This Row],[DeliveryDate]]=""),"",RawWorking[[#This Row],[DeliveryDate]]-RawWorking[[#This Row],[ShipDate]])</f>
        <v>156</v>
      </c>
      <c r="M2605" s="9">
        <f>IF(COUNTIF(INDEX(RawWorking[OrderID],1):RawWorking[[#This Row],[OrderID]],RawWorking[[#This Row],[OrderID]])=1,1,0)</f>
        <v>1</v>
      </c>
      <c r="N2605" s="4">
        <f>IFERROR(RawWorking[[#This Row],[LineAmount]]/RawWorking[[#This Row],[Quantity]],"")</f>
        <v>40.28</v>
      </c>
    </row>
    <row r="2606" spans="1:14">
      <c r="A2606">
        <v>52605</v>
      </c>
      <c r="B2606">
        <v>31505</v>
      </c>
      <c r="C2606" s="2">
        <v>45814</v>
      </c>
      <c r="D2606">
        <v>2183</v>
      </c>
      <c r="E2606">
        <v>1013</v>
      </c>
      <c r="F2606">
        <v>1</v>
      </c>
      <c r="G2606">
        <v>170.25</v>
      </c>
      <c r="H2606" s="2">
        <v>45815</v>
      </c>
      <c r="I2606" s="2">
        <v>45824</v>
      </c>
      <c r="J2606" t="s">
        <v>9</v>
      </c>
      <c r="K2606" s="2" t="str">
        <f>IFERROR(INDEX(Product_lookup[Category],MATCH(RawWorking[[#This Row],[ProductID]],Product_lookup[ProductID],0)),"")</f>
        <v>Office</v>
      </c>
      <c r="L2606" s="9">
        <f>IF(OR(RawWorking[[#This Row],[ShipDate]]="",RawWorking[[#This Row],[DeliveryDate]]=""),"",RawWorking[[#This Row],[DeliveryDate]]-RawWorking[[#This Row],[ShipDate]])</f>
        <v>9</v>
      </c>
      <c r="M2606" s="9">
        <f>IF(COUNTIF(INDEX(RawWorking[OrderID],1):RawWorking[[#This Row],[OrderID]],RawWorking[[#This Row],[OrderID]])=1,1,0)</f>
        <v>1</v>
      </c>
      <c r="N2606" s="4">
        <f>IFERROR(RawWorking[[#This Row],[LineAmount]]/RawWorking[[#This Row],[Quantity]],"")</f>
        <v>170.25</v>
      </c>
    </row>
    <row r="2607" spans="1:14">
      <c r="A2607">
        <v>52606</v>
      </c>
      <c r="B2607">
        <v>31506</v>
      </c>
      <c r="C2607" s="2">
        <v>45983</v>
      </c>
      <c r="D2607">
        <v>2092</v>
      </c>
      <c r="E2607">
        <v>1007</v>
      </c>
      <c r="F2607">
        <v>1</v>
      </c>
      <c r="G2607">
        <v>199.81</v>
      </c>
      <c r="H2607" s="2">
        <v>45984</v>
      </c>
      <c r="I2607" s="2">
        <v>45989</v>
      </c>
      <c r="J2607" t="s">
        <v>9</v>
      </c>
      <c r="K2607" s="2" t="str">
        <f>IFERROR(INDEX(Product_lookup[Category],MATCH(RawWorking[[#This Row],[ProductID]],Product_lookup[ProductID],0)),"")</f>
        <v>Home</v>
      </c>
      <c r="L2607" s="9">
        <f>IF(OR(RawWorking[[#This Row],[ShipDate]]="",RawWorking[[#This Row],[DeliveryDate]]=""),"",RawWorking[[#This Row],[DeliveryDate]]-RawWorking[[#This Row],[ShipDate]])</f>
        <v>5</v>
      </c>
      <c r="M2607" s="9">
        <f>IF(COUNTIF(INDEX(RawWorking[OrderID],1):RawWorking[[#This Row],[OrderID]],RawWorking[[#This Row],[OrderID]])=1,1,0)</f>
        <v>1</v>
      </c>
      <c r="N2607" s="4">
        <f>IFERROR(RawWorking[[#This Row],[LineAmount]]/RawWorking[[#This Row],[Quantity]],"")</f>
        <v>199.81</v>
      </c>
    </row>
    <row r="2608" spans="1:14">
      <c r="A2608">
        <v>52607</v>
      </c>
      <c r="B2608">
        <v>31506</v>
      </c>
      <c r="C2608" s="2">
        <v>45983</v>
      </c>
      <c r="D2608">
        <v>2092</v>
      </c>
      <c r="E2608">
        <v>1006</v>
      </c>
      <c r="F2608">
        <v>1</v>
      </c>
      <c r="G2608">
        <v>253.86</v>
      </c>
      <c r="H2608" s="2">
        <v>45984</v>
      </c>
      <c r="I2608" s="2">
        <v>45985</v>
      </c>
      <c r="J2608" t="s">
        <v>9</v>
      </c>
      <c r="K2608" s="2" t="str">
        <f>IFERROR(INDEX(Product_lookup[Category],MATCH(RawWorking[[#This Row],[ProductID]],Product_lookup[ProductID],0)),"")</f>
        <v>Home</v>
      </c>
      <c r="L2608" s="9">
        <f>IF(OR(RawWorking[[#This Row],[ShipDate]]="",RawWorking[[#This Row],[DeliveryDate]]=""),"",RawWorking[[#This Row],[DeliveryDate]]-RawWorking[[#This Row],[ShipDate]])</f>
        <v>1</v>
      </c>
      <c r="M2608" s="9">
        <f>IF(COUNTIF(INDEX(RawWorking[OrderID],1):RawWorking[[#This Row],[OrderID]],RawWorking[[#This Row],[OrderID]])=1,1,0)</f>
        <v>0</v>
      </c>
      <c r="N2608" s="4">
        <f>IFERROR(RawWorking[[#This Row],[LineAmount]]/RawWorking[[#This Row],[Quantity]],"")</f>
        <v>253.86</v>
      </c>
    </row>
    <row r="2609" spans="1:14">
      <c r="A2609">
        <v>52608</v>
      </c>
      <c r="B2609">
        <v>31507</v>
      </c>
      <c r="C2609" s="2">
        <v>45757</v>
      </c>
      <c r="D2609">
        <v>2398</v>
      </c>
      <c r="E2609">
        <v>1010</v>
      </c>
      <c r="F2609">
        <v>1</v>
      </c>
      <c r="G2609">
        <v>121.5</v>
      </c>
      <c r="H2609" s="2" t="s">
        <v>1421</v>
      </c>
      <c r="I2609" s="2" t="s">
        <v>1421</v>
      </c>
      <c r="J2609" t="s">
        <v>16</v>
      </c>
      <c r="K2609" s="2" t="str">
        <f>IFERROR(INDEX(Product_lookup[Category],MATCH(RawWorking[[#This Row],[ProductID]],Product_lookup[ProductID],0)),"")</f>
        <v>Office</v>
      </c>
      <c r="L2609" s="9" t="str">
        <f>IF(OR(RawWorking[[#This Row],[ShipDate]]="",RawWorking[[#This Row],[DeliveryDate]]=""),"",RawWorking[[#This Row],[DeliveryDate]]-RawWorking[[#This Row],[ShipDate]])</f>
        <v/>
      </c>
      <c r="M2609" s="9">
        <f>IF(COUNTIF(INDEX(RawWorking[OrderID],1):RawWorking[[#This Row],[OrderID]],RawWorking[[#This Row],[OrderID]])=1,1,0)</f>
        <v>1</v>
      </c>
      <c r="N2609" s="4">
        <f>IFERROR(RawWorking[[#This Row],[LineAmount]]/RawWorking[[#This Row],[Quantity]],"")</f>
        <v>121.5</v>
      </c>
    </row>
    <row r="2610" spans="1:14">
      <c r="A2610">
        <v>52609</v>
      </c>
      <c r="B2610">
        <v>31508</v>
      </c>
      <c r="C2610" s="2">
        <v>45703</v>
      </c>
      <c r="D2610">
        <v>2158</v>
      </c>
      <c r="E2610">
        <v>1016</v>
      </c>
      <c r="F2610">
        <v>4</v>
      </c>
      <c r="G2610">
        <v>261.04000000000002</v>
      </c>
      <c r="H2610" s="2">
        <v>45706</v>
      </c>
      <c r="I2610" s="2">
        <v>45710</v>
      </c>
      <c r="J2610" t="s">
        <v>9</v>
      </c>
      <c r="K2610" s="2" t="str">
        <f>IFERROR(INDEX(Product_lookup[Category],MATCH(RawWorking[[#This Row],[ProductID]],Product_lookup[ProductID],0)),"")</f>
        <v>Sports</v>
      </c>
      <c r="L2610" s="9">
        <f>IF(OR(RawWorking[[#This Row],[ShipDate]]="",RawWorking[[#This Row],[DeliveryDate]]=""),"",RawWorking[[#This Row],[DeliveryDate]]-RawWorking[[#This Row],[ShipDate]])</f>
        <v>4</v>
      </c>
      <c r="M2610" s="9">
        <f>IF(COUNTIF(INDEX(RawWorking[OrderID],1):RawWorking[[#This Row],[OrderID]],RawWorking[[#This Row],[OrderID]])=1,1,0)</f>
        <v>1</v>
      </c>
      <c r="N2610" s="4">
        <f>IFERROR(RawWorking[[#This Row],[LineAmount]]/RawWorking[[#This Row],[Quantity]],"")</f>
        <v>65.260000000000005</v>
      </c>
    </row>
    <row r="2611" spans="1:14">
      <c r="A2611">
        <v>52610</v>
      </c>
      <c r="B2611">
        <v>31508</v>
      </c>
      <c r="C2611" s="2">
        <v>45703</v>
      </c>
      <c r="D2611">
        <v>2158</v>
      </c>
      <c r="E2611">
        <v>1014</v>
      </c>
      <c r="F2611">
        <v>2</v>
      </c>
      <c r="G2611">
        <v>430.68</v>
      </c>
      <c r="H2611" s="2">
        <v>45705</v>
      </c>
      <c r="I2611" s="2">
        <v>45706</v>
      </c>
      <c r="J2611" t="s">
        <v>9</v>
      </c>
      <c r="K2611" s="2" t="str">
        <f>IFERROR(INDEX(Product_lookup[Category],MATCH(RawWorking[[#This Row],[ProductID]],Product_lookup[ProductID],0)),"")</f>
        <v>Sports</v>
      </c>
      <c r="L2611" s="9">
        <f>IF(OR(RawWorking[[#This Row],[ShipDate]]="",RawWorking[[#This Row],[DeliveryDate]]=""),"",RawWorking[[#This Row],[DeliveryDate]]-RawWorking[[#This Row],[ShipDate]])</f>
        <v>1</v>
      </c>
      <c r="M2611" s="9">
        <f>IF(COUNTIF(INDEX(RawWorking[OrderID],1):RawWorking[[#This Row],[OrderID]],RawWorking[[#This Row],[OrderID]])=1,1,0)</f>
        <v>0</v>
      </c>
      <c r="N2611" s="4">
        <f>IFERROR(RawWorking[[#This Row],[LineAmount]]/RawWorking[[#This Row],[Quantity]],"")</f>
        <v>215.34</v>
      </c>
    </row>
    <row r="2612" spans="1:14">
      <c r="A2612">
        <v>52611</v>
      </c>
      <c r="B2612">
        <v>31509</v>
      </c>
      <c r="C2612" s="2">
        <v>45900</v>
      </c>
      <c r="D2612">
        <v>2318</v>
      </c>
      <c r="E2612">
        <v>1005</v>
      </c>
      <c r="F2612">
        <v>1</v>
      </c>
      <c r="G2612">
        <v>31.73</v>
      </c>
      <c r="H2612" s="2" t="s">
        <v>1421</v>
      </c>
      <c r="I2612" s="2" t="s">
        <v>1421</v>
      </c>
      <c r="J2612" t="s">
        <v>12</v>
      </c>
      <c r="K2612" s="2" t="str">
        <f>IFERROR(INDEX(Product_lookup[Category],MATCH(RawWorking[[#This Row],[ProductID]],Product_lookup[ProductID],0)),"")</f>
        <v>Electronics</v>
      </c>
      <c r="L2612" s="9" t="str">
        <f>IF(OR(RawWorking[[#This Row],[ShipDate]]="",RawWorking[[#This Row],[DeliveryDate]]=""),"",RawWorking[[#This Row],[DeliveryDate]]-RawWorking[[#This Row],[ShipDate]])</f>
        <v/>
      </c>
      <c r="M2612" s="9">
        <f>IF(COUNTIF(INDEX(RawWorking[OrderID],1):RawWorking[[#This Row],[OrderID]],RawWorking[[#This Row],[OrderID]])=1,1,0)</f>
        <v>1</v>
      </c>
      <c r="N2612" s="4">
        <f>IFERROR(RawWorking[[#This Row],[LineAmount]]/RawWorking[[#This Row],[Quantity]],"")</f>
        <v>31.73</v>
      </c>
    </row>
    <row r="2613" spans="1:14">
      <c r="A2613">
        <v>52612</v>
      </c>
      <c r="B2613">
        <v>31510</v>
      </c>
      <c r="C2613" s="2">
        <v>45803</v>
      </c>
      <c r="D2613">
        <v>2368</v>
      </c>
      <c r="E2613">
        <v>1012</v>
      </c>
      <c r="F2613">
        <v>1</v>
      </c>
      <c r="G2613">
        <v>241.54</v>
      </c>
      <c r="H2613" s="2">
        <v>45805</v>
      </c>
      <c r="I2613" s="2">
        <v>45814</v>
      </c>
      <c r="J2613" t="s">
        <v>9</v>
      </c>
      <c r="K2613" s="2" t="str">
        <f>IFERROR(INDEX(Product_lookup[Category],MATCH(RawWorking[[#This Row],[ProductID]],Product_lookup[ProductID],0)),"")</f>
        <v>Office</v>
      </c>
      <c r="L2613" s="9">
        <f>IF(OR(RawWorking[[#This Row],[ShipDate]]="",RawWorking[[#This Row],[DeliveryDate]]=""),"",RawWorking[[#This Row],[DeliveryDate]]-RawWorking[[#This Row],[ShipDate]])</f>
        <v>9</v>
      </c>
      <c r="M2613" s="9">
        <f>IF(COUNTIF(INDEX(RawWorking[OrderID],1):RawWorking[[#This Row],[OrderID]],RawWorking[[#This Row],[OrderID]])=1,1,0)</f>
        <v>1</v>
      </c>
      <c r="N2613" s="4">
        <f>IFERROR(RawWorking[[#This Row],[LineAmount]]/RawWorking[[#This Row],[Quantity]],"")</f>
        <v>241.54</v>
      </c>
    </row>
    <row r="2614" spans="1:14">
      <c r="A2614">
        <v>52613</v>
      </c>
      <c r="B2614">
        <v>31510</v>
      </c>
      <c r="C2614" s="2">
        <v>45803</v>
      </c>
      <c r="D2614">
        <v>2368</v>
      </c>
      <c r="E2614">
        <v>1007</v>
      </c>
      <c r="F2614">
        <v>5</v>
      </c>
      <c r="G2614">
        <v>999.05</v>
      </c>
      <c r="H2614" s="2">
        <v>45804</v>
      </c>
      <c r="I2614" s="2">
        <v>45808</v>
      </c>
      <c r="J2614" t="s">
        <v>9</v>
      </c>
      <c r="K2614" s="2" t="str">
        <f>IFERROR(INDEX(Product_lookup[Category],MATCH(RawWorking[[#This Row],[ProductID]],Product_lookup[ProductID],0)),"")</f>
        <v>Home</v>
      </c>
      <c r="L2614" s="9">
        <f>IF(OR(RawWorking[[#This Row],[ShipDate]]="",RawWorking[[#This Row],[DeliveryDate]]=""),"",RawWorking[[#This Row],[DeliveryDate]]-RawWorking[[#This Row],[ShipDate]])</f>
        <v>4</v>
      </c>
      <c r="M2614" s="9">
        <f>IF(COUNTIF(INDEX(RawWorking[OrderID],1):RawWorking[[#This Row],[OrderID]],RawWorking[[#This Row],[OrderID]])=1,1,0)</f>
        <v>0</v>
      </c>
      <c r="N2614" s="4">
        <f>IFERROR(RawWorking[[#This Row],[LineAmount]]/RawWorking[[#This Row],[Quantity]],"")</f>
        <v>199.81</v>
      </c>
    </row>
    <row r="2615" spans="1:14">
      <c r="A2615">
        <v>52614</v>
      </c>
      <c r="B2615">
        <v>31511</v>
      </c>
      <c r="C2615" s="2">
        <v>45700</v>
      </c>
      <c r="D2615">
        <v>2502</v>
      </c>
      <c r="E2615">
        <v>1013</v>
      </c>
      <c r="F2615">
        <v>2</v>
      </c>
      <c r="G2615">
        <v>340.5</v>
      </c>
      <c r="H2615" s="2">
        <v>45701</v>
      </c>
      <c r="I2615" s="2">
        <v>45710</v>
      </c>
      <c r="J2615" t="s">
        <v>9</v>
      </c>
      <c r="K2615" s="2" t="str">
        <f>IFERROR(INDEX(Product_lookup[Category],MATCH(RawWorking[[#This Row],[ProductID]],Product_lookup[ProductID],0)),"")</f>
        <v>Office</v>
      </c>
      <c r="L2615" s="9">
        <f>IF(OR(RawWorking[[#This Row],[ShipDate]]="",RawWorking[[#This Row],[DeliveryDate]]=""),"",RawWorking[[#This Row],[DeliveryDate]]-RawWorking[[#This Row],[ShipDate]])</f>
        <v>9</v>
      </c>
      <c r="M2615" s="9">
        <f>IF(COUNTIF(INDEX(RawWorking[OrderID],1):RawWorking[[#This Row],[OrderID]],RawWorking[[#This Row],[OrderID]])=1,1,0)</f>
        <v>1</v>
      </c>
      <c r="N2615" s="4">
        <f>IFERROR(RawWorking[[#This Row],[LineAmount]]/RawWorking[[#This Row],[Quantity]],"")</f>
        <v>170.25</v>
      </c>
    </row>
    <row r="2616" spans="1:14">
      <c r="A2616">
        <v>52615</v>
      </c>
      <c r="B2616">
        <v>31511</v>
      </c>
      <c r="C2616" s="2">
        <v>45700</v>
      </c>
      <c r="D2616">
        <v>2502</v>
      </c>
      <c r="E2616">
        <v>1016</v>
      </c>
      <c r="F2616">
        <v>2</v>
      </c>
      <c r="G2616">
        <v>130.52000000000001</v>
      </c>
      <c r="H2616" s="2">
        <v>45703</v>
      </c>
      <c r="I2616" s="2">
        <v>45706</v>
      </c>
      <c r="J2616" t="s">
        <v>9</v>
      </c>
      <c r="K2616" s="2" t="str">
        <f>IFERROR(INDEX(Product_lookup[Category],MATCH(RawWorking[[#This Row],[ProductID]],Product_lookup[ProductID],0)),"")</f>
        <v>Sports</v>
      </c>
      <c r="L2616" s="9">
        <f>IF(OR(RawWorking[[#This Row],[ShipDate]]="",RawWorking[[#This Row],[DeliveryDate]]=""),"",RawWorking[[#This Row],[DeliveryDate]]-RawWorking[[#This Row],[ShipDate]])</f>
        <v>3</v>
      </c>
      <c r="M2616" s="9">
        <f>IF(COUNTIF(INDEX(RawWorking[OrderID],1):RawWorking[[#This Row],[OrderID]],RawWorking[[#This Row],[OrderID]])=1,1,0)</f>
        <v>0</v>
      </c>
      <c r="N2616" s="4">
        <f>IFERROR(RawWorking[[#This Row],[LineAmount]]/RawWorking[[#This Row],[Quantity]],"")</f>
        <v>65.260000000000005</v>
      </c>
    </row>
    <row r="2617" spans="1:14">
      <c r="A2617">
        <v>52616</v>
      </c>
      <c r="B2617">
        <v>31511</v>
      </c>
      <c r="C2617" s="2">
        <v>45700</v>
      </c>
      <c r="D2617">
        <v>2502</v>
      </c>
      <c r="E2617">
        <v>1009</v>
      </c>
      <c r="F2617">
        <v>2</v>
      </c>
      <c r="G2617">
        <v>80.56</v>
      </c>
      <c r="H2617" s="2">
        <v>45703</v>
      </c>
      <c r="I2617" s="2">
        <v>45711</v>
      </c>
      <c r="J2617" t="s">
        <v>9</v>
      </c>
      <c r="K2617" s="2" t="str">
        <f>IFERROR(INDEX(Product_lookup[Category],MATCH(RawWorking[[#This Row],[ProductID]],Product_lookup[ProductID],0)),"")</f>
        <v>Home</v>
      </c>
      <c r="L2617" s="9">
        <f>IF(OR(RawWorking[[#This Row],[ShipDate]]="",RawWorking[[#This Row],[DeliveryDate]]=""),"",RawWorking[[#This Row],[DeliveryDate]]-RawWorking[[#This Row],[ShipDate]])</f>
        <v>8</v>
      </c>
      <c r="M2617" s="9">
        <f>IF(COUNTIF(INDEX(RawWorking[OrderID],1):RawWorking[[#This Row],[OrderID]],RawWorking[[#This Row],[OrderID]])=1,1,0)</f>
        <v>0</v>
      </c>
      <c r="N2617" s="4">
        <f>IFERROR(RawWorking[[#This Row],[LineAmount]]/RawWorking[[#This Row],[Quantity]],"")</f>
        <v>40.28</v>
      </c>
    </row>
    <row r="2618" spans="1:14">
      <c r="A2618">
        <v>52617</v>
      </c>
      <c r="B2618">
        <v>31511</v>
      </c>
      <c r="C2618" s="2">
        <v>45700</v>
      </c>
      <c r="D2618">
        <v>2502</v>
      </c>
      <c r="E2618">
        <v>1014</v>
      </c>
      <c r="F2618">
        <v>2</v>
      </c>
      <c r="G2618">
        <v>430.68</v>
      </c>
      <c r="H2618" s="2">
        <v>45701</v>
      </c>
      <c r="I2618" s="2">
        <v>45704</v>
      </c>
      <c r="J2618" t="s">
        <v>9</v>
      </c>
      <c r="K2618" s="2" t="str">
        <f>IFERROR(INDEX(Product_lookup[Category],MATCH(RawWorking[[#This Row],[ProductID]],Product_lookup[ProductID],0)),"")</f>
        <v>Sports</v>
      </c>
      <c r="L2618" s="9">
        <f>IF(OR(RawWorking[[#This Row],[ShipDate]]="",RawWorking[[#This Row],[DeliveryDate]]=""),"",RawWorking[[#This Row],[DeliveryDate]]-RawWorking[[#This Row],[ShipDate]])</f>
        <v>3</v>
      </c>
      <c r="M2618" s="9">
        <f>IF(COUNTIF(INDEX(RawWorking[OrderID],1):RawWorking[[#This Row],[OrderID]],RawWorking[[#This Row],[OrderID]])=1,1,0)</f>
        <v>0</v>
      </c>
      <c r="N2618" s="4">
        <f>IFERROR(RawWorking[[#This Row],[LineAmount]]/RawWorking[[#This Row],[Quantity]],"")</f>
        <v>215.34</v>
      </c>
    </row>
    <row r="2619" spans="1:14">
      <c r="A2619">
        <v>52618</v>
      </c>
      <c r="B2619">
        <v>31512</v>
      </c>
      <c r="C2619" s="2">
        <v>45700</v>
      </c>
      <c r="D2619">
        <v>2093</v>
      </c>
      <c r="E2619">
        <v>1012</v>
      </c>
      <c r="F2619">
        <v>1</v>
      </c>
      <c r="G2619">
        <v>241.54</v>
      </c>
      <c r="H2619" s="2">
        <v>45701</v>
      </c>
      <c r="I2619" s="2">
        <v>45709</v>
      </c>
      <c r="J2619" t="s">
        <v>9</v>
      </c>
      <c r="K2619" s="2" t="str">
        <f>IFERROR(INDEX(Product_lookup[Category],MATCH(RawWorking[[#This Row],[ProductID]],Product_lookup[ProductID],0)),"")</f>
        <v>Office</v>
      </c>
      <c r="L2619" s="9">
        <f>IF(OR(RawWorking[[#This Row],[ShipDate]]="",RawWorking[[#This Row],[DeliveryDate]]=""),"",RawWorking[[#This Row],[DeliveryDate]]-RawWorking[[#This Row],[ShipDate]])</f>
        <v>8</v>
      </c>
      <c r="M2619" s="9">
        <f>IF(COUNTIF(INDEX(RawWorking[OrderID],1):RawWorking[[#This Row],[OrderID]],RawWorking[[#This Row],[OrderID]])=1,1,0)</f>
        <v>1</v>
      </c>
      <c r="N2619" s="4">
        <f>IFERROR(RawWorking[[#This Row],[LineAmount]]/RawWorking[[#This Row],[Quantity]],"")</f>
        <v>241.54</v>
      </c>
    </row>
    <row r="2620" spans="1:14">
      <c r="A2620">
        <v>52619</v>
      </c>
      <c r="B2620">
        <v>31513</v>
      </c>
      <c r="C2620" s="2">
        <v>45867</v>
      </c>
      <c r="D2620">
        <v>2191</v>
      </c>
      <c r="E2620">
        <v>1014</v>
      </c>
      <c r="F2620">
        <v>2</v>
      </c>
      <c r="G2620">
        <v>430.68</v>
      </c>
      <c r="H2620" s="2">
        <v>45870</v>
      </c>
      <c r="I2620" s="2">
        <v>45877</v>
      </c>
      <c r="J2620" t="s">
        <v>9</v>
      </c>
      <c r="K2620" s="2" t="str">
        <f>IFERROR(INDEX(Product_lookup[Category],MATCH(RawWorking[[#This Row],[ProductID]],Product_lookup[ProductID],0)),"")</f>
        <v>Sports</v>
      </c>
      <c r="L2620" s="9">
        <f>IF(OR(RawWorking[[#This Row],[ShipDate]]="",RawWorking[[#This Row],[DeliveryDate]]=""),"",RawWorking[[#This Row],[DeliveryDate]]-RawWorking[[#This Row],[ShipDate]])</f>
        <v>7</v>
      </c>
      <c r="M2620" s="9">
        <f>IF(COUNTIF(INDEX(RawWorking[OrderID],1):RawWorking[[#This Row],[OrderID]],RawWorking[[#This Row],[OrderID]])=1,1,0)</f>
        <v>1</v>
      </c>
      <c r="N2620" s="4">
        <f>IFERROR(RawWorking[[#This Row],[LineAmount]]/RawWorking[[#This Row],[Quantity]],"")</f>
        <v>215.34</v>
      </c>
    </row>
    <row r="2621" spans="1:14">
      <c r="A2621">
        <v>52620</v>
      </c>
      <c r="B2621">
        <v>31513</v>
      </c>
      <c r="C2621" s="2">
        <v>45867</v>
      </c>
      <c r="D2621">
        <v>2191</v>
      </c>
      <c r="E2621">
        <v>1003</v>
      </c>
      <c r="F2621">
        <v>1</v>
      </c>
      <c r="G2621">
        <v>224.37</v>
      </c>
      <c r="H2621" s="2">
        <v>45869</v>
      </c>
      <c r="I2621" s="2">
        <v>45874</v>
      </c>
      <c r="J2621" t="s">
        <v>9</v>
      </c>
      <c r="K2621" s="2" t="str">
        <f>IFERROR(INDEX(Product_lookup[Category],MATCH(RawWorking[[#This Row],[ProductID]],Product_lookup[ProductID],0)),"")</f>
        <v>Electronics</v>
      </c>
      <c r="L2621" s="9">
        <f>IF(OR(RawWorking[[#This Row],[ShipDate]]="",RawWorking[[#This Row],[DeliveryDate]]=""),"",RawWorking[[#This Row],[DeliveryDate]]-RawWorking[[#This Row],[ShipDate]])</f>
        <v>5</v>
      </c>
      <c r="M2621" s="9">
        <f>IF(COUNTIF(INDEX(RawWorking[OrderID],1):RawWorking[[#This Row],[OrderID]],RawWorking[[#This Row],[OrderID]])=1,1,0)</f>
        <v>0</v>
      </c>
      <c r="N2621" s="4">
        <f>IFERROR(RawWorking[[#This Row],[LineAmount]]/RawWorking[[#This Row],[Quantity]],"")</f>
        <v>224.37</v>
      </c>
    </row>
    <row r="2622" spans="1:14">
      <c r="A2622">
        <v>52621</v>
      </c>
      <c r="B2622">
        <v>31513</v>
      </c>
      <c r="C2622" s="2">
        <v>45867</v>
      </c>
      <c r="D2622">
        <v>2191</v>
      </c>
      <c r="E2622">
        <v>1002</v>
      </c>
      <c r="F2622">
        <v>1</v>
      </c>
      <c r="G2622">
        <v>118.6</v>
      </c>
      <c r="H2622" s="2">
        <v>45868</v>
      </c>
      <c r="I2622" s="2">
        <v>45871</v>
      </c>
      <c r="J2622" t="s">
        <v>9</v>
      </c>
      <c r="K2622" s="2" t="str">
        <f>IFERROR(INDEX(Product_lookup[Category],MATCH(RawWorking[[#This Row],[ProductID]],Product_lookup[ProductID],0)),"")</f>
        <v>Electronics</v>
      </c>
      <c r="L2622" s="9">
        <f>IF(OR(RawWorking[[#This Row],[ShipDate]]="",RawWorking[[#This Row],[DeliveryDate]]=""),"",RawWorking[[#This Row],[DeliveryDate]]-RawWorking[[#This Row],[ShipDate]])</f>
        <v>3</v>
      </c>
      <c r="M2622" s="9">
        <f>IF(COUNTIF(INDEX(RawWorking[OrderID],1):RawWorking[[#This Row],[OrderID]],RawWorking[[#This Row],[OrderID]])=1,1,0)</f>
        <v>0</v>
      </c>
      <c r="N2622" s="4">
        <f>IFERROR(RawWorking[[#This Row],[LineAmount]]/RawWorking[[#This Row],[Quantity]],"")</f>
        <v>118.6</v>
      </c>
    </row>
    <row r="2623" spans="1:14">
      <c r="A2623">
        <v>52622</v>
      </c>
      <c r="B2623">
        <v>31514</v>
      </c>
      <c r="C2623" s="2">
        <v>45943</v>
      </c>
      <c r="D2623">
        <v>2526</v>
      </c>
      <c r="E2623">
        <v>1015</v>
      </c>
      <c r="F2623">
        <v>1</v>
      </c>
      <c r="G2623">
        <v>119.74</v>
      </c>
      <c r="H2623" s="2">
        <v>45944</v>
      </c>
      <c r="I2623" s="2">
        <v>45953</v>
      </c>
      <c r="J2623" t="s">
        <v>9</v>
      </c>
      <c r="K2623" s="2" t="str">
        <f>IFERROR(INDEX(Product_lookup[Category],MATCH(RawWorking[[#This Row],[ProductID]],Product_lookup[ProductID],0)),"")</f>
        <v>Sports</v>
      </c>
      <c r="L2623" s="9">
        <f>IF(OR(RawWorking[[#This Row],[ShipDate]]="",RawWorking[[#This Row],[DeliveryDate]]=""),"",RawWorking[[#This Row],[DeliveryDate]]-RawWorking[[#This Row],[ShipDate]])</f>
        <v>9</v>
      </c>
      <c r="M2623" s="9">
        <f>IF(COUNTIF(INDEX(RawWorking[OrderID],1):RawWorking[[#This Row],[OrderID]],RawWorking[[#This Row],[OrderID]])=1,1,0)</f>
        <v>1</v>
      </c>
      <c r="N2623" s="4">
        <f>IFERROR(RawWorking[[#This Row],[LineAmount]]/RawWorking[[#This Row],[Quantity]],"")</f>
        <v>119.74</v>
      </c>
    </row>
    <row r="2624" spans="1:14">
      <c r="A2624">
        <v>52623</v>
      </c>
      <c r="B2624">
        <v>31515</v>
      </c>
      <c r="C2624" s="2">
        <v>45866</v>
      </c>
      <c r="D2624">
        <v>2230</v>
      </c>
      <c r="E2624">
        <v>1005</v>
      </c>
      <c r="F2624">
        <v>1</v>
      </c>
      <c r="G2624">
        <v>31.73</v>
      </c>
      <c r="H2624" s="2">
        <v>45868</v>
      </c>
      <c r="I2624" s="2">
        <v>45869</v>
      </c>
      <c r="J2624" t="s">
        <v>9</v>
      </c>
      <c r="K2624" s="2" t="str">
        <f>IFERROR(INDEX(Product_lookup[Category],MATCH(RawWorking[[#This Row],[ProductID]],Product_lookup[ProductID],0)),"")</f>
        <v>Electronics</v>
      </c>
      <c r="L2624" s="9">
        <f>IF(OR(RawWorking[[#This Row],[ShipDate]]="",RawWorking[[#This Row],[DeliveryDate]]=""),"",RawWorking[[#This Row],[DeliveryDate]]-RawWorking[[#This Row],[ShipDate]])</f>
        <v>1</v>
      </c>
      <c r="M2624" s="9">
        <f>IF(COUNTIF(INDEX(RawWorking[OrderID],1):RawWorking[[#This Row],[OrderID]],RawWorking[[#This Row],[OrderID]])=1,1,0)</f>
        <v>1</v>
      </c>
      <c r="N2624" s="4">
        <f>IFERROR(RawWorking[[#This Row],[LineAmount]]/RawWorking[[#This Row],[Quantity]],"")</f>
        <v>31.73</v>
      </c>
    </row>
    <row r="2625" spans="1:14">
      <c r="A2625">
        <v>52624</v>
      </c>
      <c r="B2625">
        <v>31516</v>
      </c>
      <c r="C2625" s="2">
        <v>46006</v>
      </c>
      <c r="D2625">
        <v>2508</v>
      </c>
      <c r="E2625">
        <v>1003</v>
      </c>
      <c r="F2625">
        <v>1</v>
      </c>
      <c r="G2625">
        <v>224.37</v>
      </c>
      <c r="H2625" s="2">
        <v>46008</v>
      </c>
      <c r="I2625" s="2">
        <v>46013</v>
      </c>
      <c r="J2625" t="s">
        <v>9</v>
      </c>
      <c r="K2625" s="2" t="str">
        <f>IFERROR(INDEX(Product_lookup[Category],MATCH(RawWorking[[#This Row],[ProductID]],Product_lookup[ProductID],0)),"")</f>
        <v>Electronics</v>
      </c>
      <c r="L2625" s="9">
        <f>IF(OR(RawWorking[[#This Row],[ShipDate]]="",RawWorking[[#This Row],[DeliveryDate]]=""),"",RawWorking[[#This Row],[DeliveryDate]]-RawWorking[[#This Row],[ShipDate]])</f>
        <v>5</v>
      </c>
      <c r="M2625" s="9">
        <f>IF(COUNTIF(INDEX(RawWorking[OrderID],1):RawWorking[[#This Row],[OrderID]],RawWorking[[#This Row],[OrderID]])=1,1,0)</f>
        <v>1</v>
      </c>
      <c r="N2625" s="4">
        <f>IFERROR(RawWorking[[#This Row],[LineAmount]]/RawWorking[[#This Row],[Quantity]],"")</f>
        <v>224.37</v>
      </c>
    </row>
    <row r="2626" spans="1:14">
      <c r="A2626">
        <v>52625</v>
      </c>
      <c r="B2626">
        <v>31516</v>
      </c>
      <c r="C2626" s="2">
        <v>46006</v>
      </c>
      <c r="D2626">
        <v>2508</v>
      </c>
      <c r="E2626">
        <v>1010</v>
      </c>
      <c r="F2626">
        <v>4</v>
      </c>
      <c r="G2626">
        <v>486</v>
      </c>
      <c r="H2626" s="2">
        <v>46007</v>
      </c>
      <c r="I2626" s="2">
        <v>46013</v>
      </c>
      <c r="J2626" t="s">
        <v>9</v>
      </c>
      <c r="K2626" s="2" t="str">
        <f>IFERROR(INDEX(Product_lookup[Category],MATCH(RawWorking[[#This Row],[ProductID]],Product_lookup[ProductID],0)),"")</f>
        <v>Office</v>
      </c>
      <c r="L2626" s="9">
        <f>IF(OR(RawWorking[[#This Row],[ShipDate]]="",RawWorking[[#This Row],[DeliveryDate]]=""),"",RawWorking[[#This Row],[DeliveryDate]]-RawWorking[[#This Row],[ShipDate]])</f>
        <v>6</v>
      </c>
      <c r="M2626" s="9">
        <f>IF(COUNTIF(INDEX(RawWorking[OrderID],1):RawWorking[[#This Row],[OrderID]],RawWorking[[#This Row],[OrderID]])=1,1,0)</f>
        <v>0</v>
      </c>
      <c r="N2626" s="4">
        <f>IFERROR(RawWorking[[#This Row],[LineAmount]]/RawWorking[[#This Row],[Quantity]],"")</f>
        <v>121.5</v>
      </c>
    </row>
    <row r="2627" spans="1:14">
      <c r="A2627">
        <v>52626</v>
      </c>
      <c r="B2627">
        <v>31517</v>
      </c>
      <c r="C2627" s="2">
        <v>45696</v>
      </c>
      <c r="D2627">
        <v>2480</v>
      </c>
      <c r="E2627">
        <v>1016</v>
      </c>
      <c r="F2627">
        <v>1</v>
      </c>
      <c r="G2627">
        <v>65.260000000000005</v>
      </c>
      <c r="H2627" s="2">
        <v>45874</v>
      </c>
      <c r="I2627" s="2">
        <v>45883</v>
      </c>
      <c r="J2627" t="s">
        <v>9</v>
      </c>
      <c r="K2627" s="2" t="str">
        <f>IFERROR(INDEX(Product_lookup[Category],MATCH(RawWorking[[#This Row],[ProductID]],Product_lookup[ProductID],0)),"")</f>
        <v>Sports</v>
      </c>
      <c r="L2627" s="9">
        <f>IF(OR(RawWorking[[#This Row],[ShipDate]]="",RawWorking[[#This Row],[DeliveryDate]]=""),"",RawWorking[[#This Row],[DeliveryDate]]-RawWorking[[#This Row],[ShipDate]])</f>
        <v>9</v>
      </c>
      <c r="M2627" s="9">
        <f>IF(COUNTIF(INDEX(RawWorking[OrderID],1):RawWorking[[#This Row],[OrderID]],RawWorking[[#This Row],[OrderID]])=1,1,0)</f>
        <v>1</v>
      </c>
      <c r="N2627" s="4">
        <f>IFERROR(RawWorking[[#This Row],[LineAmount]]/RawWorking[[#This Row],[Quantity]],"")</f>
        <v>65.260000000000005</v>
      </c>
    </row>
    <row r="2628" spans="1:14">
      <c r="A2628">
        <v>52627</v>
      </c>
      <c r="B2628">
        <v>31517</v>
      </c>
      <c r="C2628" s="2">
        <v>45871</v>
      </c>
      <c r="D2628">
        <v>2480</v>
      </c>
      <c r="E2628">
        <v>1010</v>
      </c>
      <c r="F2628">
        <v>3</v>
      </c>
      <c r="G2628">
        <v>364.5</v>
      </c>
      <c r="H2628" s="2">
        <v>45873</v>
      </c>
      <c r="I2628" s="2">
        <v>45877</v>
      </c>
      <c r="J2628" t="s">
        <v>9</v>
      </c>
      <c r="K2628" s="2" t="str">
        <f>IFERROR(INDEX(Product_lookup[Category],MATCH(RawWorking[[#This Row],[ProductID]],Product_lookup[ProductID],0)),"")</f>
        <v>Office</v>
      </c>
      <c r="L2628" s="9">
        <f>IF(OR(RawWorking[[#This Row],[ShipDate]]="",RawWorking[[#This Row],[DeliveryDate]]=""),"",RawWorking[[#This Row],[DeliveryDate]]-RawWorking[[#This Row],[ShipDate]])</f>
        <v>4</v>
      </c>
      <c r="M2628" s="9">
        <f>IF(COUNTIF(INDEX(RawWorking[OrderID],1):RawWorking[[#This Row],[OrderID]],RawWorking[[#This Row],[OrderID]])=1,1,0)</f>
        <v>0</v>
      </c>
      <c r="N2628" s="4">
        <f>IFERROR(RawWorking[[#This Row],[LineAmount]]/RawWorking[[#This Row],[Quantity]],"")</f>
        <v>121.5</v>
      </c>
    </row>
    <row r="2629" spans="1:14">
      <c r="A2629">
        <v>52628</v>
      </c>
      <c r="B2629">
        <v>31518</v>
      </c>
      <c r="C2629" s="2">
        <v>45819</v>
      </c>
      <c r="D2629">
        <v>2153</v>
      </c>
      <c r="E2629">
        <v>1010</v>
      </c>
      <c r="F2629">
        <v>2</v>
      </c>
      <c r="G2629">
        <v>243</v>
      </c>
      <c r="H2629" s="2">
        <v>45822</v>
      </c>
      <c r="I2629" s="2">
        <v>45830</v>
      </c>
      <c r="J2629" t="s">
        <v>11</v>
      </c>
      <c r="K2629" s="2" t="str">
        <f>IFERROR(INDEX(Product_lookup[Category],MATCH(RawWorking[[#This Row],[ProductID]],Product_lookup[ProductID],0)),"")</f>
        <v>Office</v>
      </c>
      <c r="L2629" s="9">
        <f>IF(OR(RawWorking[[#This Row],[ShipDate]]="",RawWorking[[#This Row],[DeliveryDate]]=""),"",RawWorking[[#This Row],[DeliveryDate]]-RawWorking[[#This Row],[ShipDate]])</f>
        <v>8</v>
      </c>
      <c r="M2629" s="9">
        <f>IF(COUNTIF(INDEX(RawWorking[OrderID],1):RawWorking[[#This Row],[OrderID]],RawWorking[[#This Row],[OrderID]])=1,1,0)</f>
        <v>1</v>
      </c>
      <c r="N2629" s="4">
        <f>IFERROR(RawWorking[[#This Row],[LineAmount]]/RawWorking[[#This Row],[Quantity]],"")</f>
        <v>121.5</v>
      </c>
    </row>
    <row r="2630" spans="1:14">
      <c r="A2630">
        <v>52629</v>
      </c>
      <c r="B2630">
        <v>31519</v>
      </c>
      <c r="C2630" s="2">
        <v>45803</v>
      </c>
      <c r="D2630">
        <v>2255</v>
      </c>
      <c r="E2630">
        <v>1010</v>
      </c>
      <c r="F2630">
        <v>4</v>
      </c>
      <c r="G2630">
        <v>486</v>
      </c>
      <c r="H2630" s="2">
        <v>45805</v>
      </c>
      <c r="I2630" s="2">
        <v>45814</v>
      </c>
      <c r="J2630" t="s">
        <v>9</v>
      </c>
      <c r="K2630" s="2" t="str">
        <f>IFERROR(INDEX(Product_lookup[Category],MATCH(RawWorking[[#This Row],[ProductID]],Product_lookup[ProductID],0)),"")</f>
        <v>Office</v>
      </c>
      <c r="L2630" s="9">
        <f>IF(OR(RawWorking[[#This Row],[ShipDate]]="",RawWorking[[#This Row],[DeliveryDate]]=""),"",RawWorking[[#This Row],[DeliveryDate]]-RawWorking[[#This Row],[ShipDate]])</f>
        <v>9</v>
      </c>
      <c r="M2630" s="9">
        <f>IF(COUNTIF(INDEX(RawWorking[OrderID],1):RawWorking[[#This Row],[OrderID]],RawWorking[[#This Row],[OrderID]])=1,1,0)</f>
        <v>1</v>
      </c>
      <c r="N2630" s="4">
        <f>IFERROR(RawWorking[[#This Row],[LineAmount]]/RawWorking[[#This Row],[Quantity]],"")</f>
        <v>121.5</v>
      </c>
    </row>
    <row r="2631" spans="1:14">
      <c r="A2631">
        <v>52630</v>
      </c>
      <c r="B2631">
        <v>31520</v>
      </c>
      <c r="C2631" s="2">
        <v>45737</v>
      </c>
      <c r="D2631">
        <v>2583</v>
      </c>
      <c r="E2631">
        <v>1003</v>
      </c>
      <c r="F2631">
        <v>1</v>
      </c>
      <c r="G2631">
        <v>224.37</v>
      </c>
      <c r="H2631" s="2">
        <v>45738</v>
      </c>
      <c r="I2631" s="2">
        <v>45747</v>
      </c>
      <c r="J2631" t="s">
        <v>9</v>
      </c>
      <c r="K2631" s="2" t="str">
        <f>IFERROR(INDEX(Product_lookup[Category],MATCH(RawWorking[[#This Row],[ProductID]],Product_lookup[ProductID],0)),"")</f>
        <v>Electronics</v>
      </c>
      <c r="L2631" s="9">
        <f>IF(OR(RawWorking[[#This Row],[ShipDate]]="",RawWorking[[#This Row],[DeliveryDate]]=""),"",RawWorking[[#This Row],[DeliveryDate]]-RawWorking[[#This Row],[ShipDate]])</f>
        <v>9</v>
      </c>
      <c r="M2631" s="9">
        <f>IF(COUNTIF(INDEX(RawWorking[OrderID],1):RawWorking[[#This Row],[OrderID]],RawWorking[[#This Row],[OrderID]])=1,1,0)</f>
        <v>1</v>
      </c>
      <c r="N2631" s="4">
        <f>IFERROR(RawWorking[[#This Row],[LineAmount]]/RawWorking[[#This Row],[Quantity]],"")</f>
        <v>224.37</v>
      </c>
    </row>
    <row r="2632" spans="1:14">
      <c r="A2632">
        <v>52631</v>
      </c>
      <c r="B2632">
        <v>31520</v>
      </c>
      <c r="C2632" s="2">
        <v>45737</v>
      </c>
      <c r="D2632">
        <v>2583</v>
      </c>
      <c r="E2632">
        <v>1002</v>
      </c>
      <c r="F2632">
        <v>3</v>
      </c>
      <c r="G2632">
        <v>355.8</v>
      </c>
      <c r="H2632" s="2">
        <v>45739</v>
      </c>
      <c r="I2632" s="2">
        <v>45744</v>
      </c>
      <c r="J2632" t="s">
        <v>9</v>
      </c>
      <c r="K2632" s="2" t="str">
        <f>IFERROR(INDEX(Product_lookup[Category],MATCH(RawWorking[[#This Row],[ProductID]],Product_lookup[ProductID],0)),"")</f>
        <v>Electronics</v>
      </c>
      <c r="L2632" s="9">
        <f>IF(OR(RawWorking[[#This Row],[ShipDate]]="",RawWorking[[#This Row],[DeliveryDate]]=""),"",RawWorking[[#This Row],[DeliveryDate]]-RawWorking[[#This Row],[ShipDate]])</f>
        <v>5</v>
      </c>
      <c r="M2632" s="9">
        <f>IF(COUNTIF(INDEX(RawWorking[OrderID],1):RawWorking[[#This Row],[OrderID]],RawWorking[[#This Row],[OrderID]])=1,1,0)</f>
        <v>0</v>
      </c>
      <c r="N2632" s="4">
        <f>IFERROR(RawWorking[[#This Row],[LineAmount]]/RawWorking[[#This Row],[Quantity]],"")</f>
        <v>118.60000000000001</v>
      </c>
    </row>
    <row r="2633" spans="1:14">
      <c r="A2633">
        <v>52632</v>
      </c>
      <c r="B2633">
        <v>31520</v>
      </c>
      <c r="C2633" s="2">
        <v>45737</v>
      </c>
      <c r="D2633">
        <v>2583</v>
      </c>
      <c r="E2633">
        <v>1004</v>
      </c>
      <c r="F2633">
        <v>1</v>
      </c>
      <c r="G2633">
        <v>183.74</v>
      </c>
      <c r="H2633" s="2">
        <v>45738</v>
      </c>
      <c r="I2633" s="2">
        <v>45743</v>
      </c>
      <c r="J2633" t="s">
        <v>9</v>
      </c>
      <c r="K2633" s="2" t="str">
        <f>IFERROR(INDEX(Product_lookup[Category],MATCH(RawWorking[[#This Row],[ProductID]],Product_lookup[ProductID],0)),"")</f>
        <v>Electronics</v>
      </c>
      <c r="L2633" s="9">
        <f>IF(OR(RawWorking[[#This Row],[ShipDate]]="",RawWorking[[#This Row],[DeliveryDate]]=""),"",RawWorking[[#This Row],[DeliveryDate]]-RawWorking[[#This Row],[ShipDate]])</f>
        <v>5</v>
      </c>
      <c r="M2633" s="9">
        <f>IF(COUNTIF(INDEX(RawWorking[OrderID],1):RawWorking[[#This Row],[OrderID]],RawWorking[[#This Row],[OrderID]])=1,1,0)</f>
        <v>0</v>
      </c>
      <c r="N2633" s="4">
        <f>IFERROR(RawWorking[[#This Row],[LineAmount]]/RawWorking[[#This Row],[Quantity]],"")</f>
        <v>183.74</v>
      </c>
    </row>
    <row r="2634" spans="1:14">
      <c r="A2634">
        <v>52633</v>
      </c>
      <c r="B2634">
        <v>31520</v>
      </c>
      <c r="C2634" s="2">
        <v>45737</v>
      </c>
      <c r="D2634">
        <v>2583</v>
      </c>
      <c r="E2634">
        <v>1014</v>
      </c>
      <c r="F2634">
        <v>1</v>
      </c>
      <c r="G2634">
        <v>215.34</v>
      </c>
      <c r="H2634" s="2">
        <v>45739</v>
      </c>
      <c r="I2634" s="2">
        <v>45749</v>
      </c>
      <c r="J2634" t="s">
        <v>9</v>
      </c>
      <c r="K2634" s="2" t="str">
        <f>IFERROR(INDEX(Product_lookup[Category],MATCH(RawWorking[[#This Row],[ProductID]],Product_lookup[ProductID],0)),"")</f>
        <v>Sports</v>
      </c>
      <c r="L2634" s="9">
        <f>IF(OR(RawWorking[[#This Row],[ShipDate]]="",RawWorking[[#This Row],[DeliveryDate]]=""),"",RawWorking[[#This Row],[DeliveryDate]]-RawWorking[[#This Row],[ShipDate]])</f>
        <v>10</v>
      </c>
      <c r="M2634" s="9">
        <f>IF(COUNTIF(INDEX(RawWorking[OrderID],1):RawWorking[[#This Row],[OrderID]],RawWorking[[#This Row],[OrderID]])=1,1,0)</f>
        <v>0</v>
      </c>
      <c r="N2634" s="4">
        <f>IFERROR(RawWorking[[#This Row],[LineAmount]]/RawWorking[[#This Row],[Quantity]],"")</f>
        <v>215.34</v>
      </c>
    </row>
    <row r="2635" spans="1:14">
      <c r="A2635">
        <v>52634</v>
      </c>
      <c r="B2635">
        <v>31521</v>
      </c>
      <c r="C2635" s="2">
        <v>45812</v>
      </c>
      <c r="D2635">
        <v>2423</v>
      </c>
      <c r="E2635">
        <v>1009</v>
      </c>
      <c r="F2635">
        <v>2</v>
      </c>
      <c r="G2635">
        <v>80.56</v>
      </c>
      <c r="H2635" s="2">
        <v>45814</v>
      </c>
      <c r="I2635" s="2">
        <v>45816</v>
      </c>
      <c r="J2635" t="s">
        <v>9</v>
      </c>
      <c r="K2635" s="2" t="str">
        <f>IFERROR(INDEX(Product_lookup[Category],MATCH(RawWorking[[#This Row],[ProductID]],Product_lookup[ProductID],0)),"")</f>
        <v>Home</v>
      </c>
      <c r="L2635" s="9">
        <f>IF(OR(RawWorking[[#This Row],[ShipDate]]="",RawWorking[[#This Row],[DeliveryDate]]=""),"",RawWorking[[#This Row],[DeliveryDate]]-RawWorking[[#This Row],[ShipDate]])</f>
        <v>2</v>
      </c>
      <c r="M2635" s="9">
        <f>IF(COUNTIF(INDEX(RawWorking[OrderID],1):RawWorking[[#This Row],[OrderID]],RawWorking[[#This Row],[OrderID]])=1,1,0)</f>
        <v>1</v>
      </c>
      <c r="N2635" s="4">
        <f>IFERROR(RawWorking[[#This Row],[LineAmount]]/RawWorking[[#This Row],[Quantity]],"")</f>
        <v>40.28</v>
      </c>
    </row>
    <row r="2636" spans="1:14">
      <c r="A2636">
        <v>52635</v>
      </c>
      <c r="B2636">
        <v>31522</v>
      </c>
      <c r="C2636" s="2">
        <v>45836</v>
      </c>
      <c r="D2636">
        <v>2364</v>
      </c>
      <c r="E2636">
        <v>1003</v>
      </c>
      <c r="F2636">
        <v>1</v>
      </c>
      <c r="G2636">
        <v>224.37</v>
      </c>
      <c r="H2636" s="2">
        <v>45837</v>
      </c>
      <c r="I2636" s="2">
        <v>45844</v>
      </c>
      <c r="J2636" t="s">
        <v>9</v>
      </c>
      <c r="K2636" s="2" t="str">
        <f>IFERROR(INDEX(Product_lookup[Category],MATCH(RawWorking[[#This Row],[ProductID]],Product_lookup[ProductID],0)),"")</f>
        <v>Electronics</v>
      </c>
      <c r="L2636" s="9">
        <f>IF(OR(RawWorking[[#This Row],[ShipDate]]="",RawWorking[[#This Row],[DeliveryDate]]=""),"",RawWorking[[#This Row],[DeliveryDate]]-RawWorking[[#This Row],[ShipDate]])</f>
        <v>7</v>
      </c>
      <c r="M2636" s="9">
        <f>IF(COUNTIF(INDEX(RawWorking[OrderID],1):RawWorking[[#This Row],[OrderID]],RawWorking[[#This Row],[OrderID]])=1,1,0)</f>
        <v>1</v>
      </c>
      <c r="N2636" s="4">
        <f>IFERROR(RawWorking[[#This Row],[LineAmount]]/RawWorking[[#This Row],[Quantity]],"")</f>
        <v>224.37</v>
      </c>
    </row>
    <row r="2637" spans="1:14">
      <c r="A2637">
        <v>52636</v>
      </c>
      <c r="B2637">
        <v>31522</v>
      </c>
      <c r="C2637" s="2">
        <v>45836</v>
      </c>
      <c r="D2637">
        <v>2364</v>
      </c>
      <c r="E2637">
        <v>1001</v>
      </c>
      <c r="F2637">
        <v>2</v>
      </c>
      <c r="G2637">
        <v>406.08</v>
      </c>
      <c r="H2637" s="2">
        <v>45838</v>
      </c>
      <c r="I2637" s="2">
        <v>45841</v>
      </c>
      <c r="J2637" t="s">
        <v>9</v>
      </c>
      <c r="K2637" s="2" t="str">
        <f>IFERROR(INDEX(Product_lookup[Category],MATCH(RawWorking[[#This Row],[ProductID]],Product_lookup[ProductID],0)),"")</f>
        <v>Electronics</v>
      </c>
      <c r="L2637" s="9">
        <f>IF(OR(RawWorking[[#This Row],[ShipDate]]="",RawWorking[[#This Row],[DeliveryDate]]=""),"",RawWorking[[#This Row],[DeliveryDate]]-RawWorking[[#This Row],[ShipDate]])</f>
        <v>3</v>
      </c>
      <c r="M2637" s="9">
        <f>IF(COUNTIF(INDEX(RawWorking[OrderID],1):RawWorking[[#This Row],[OrderID]],RawWorking[[#This Row],[OrderID]])=1,1,0)</f>
        <v>0</v>
      </c>
      <c r="N2637" s="4">
        <f>IFERROR(RawWorking[[#This Row],[LineAmount]]/RawWorking[[#This Row],[Quantity]],"")</f>
        <v>203.04</v>
      </c>
    </row>
    <row r="2638" spans="1:14">
      <c r="A2638">
        <v>52637</v>
      </c>
      <c r="B2638">
        <v>31523</v>
      </c>
      <c r="C2638" s="2">
        <v>45937</v>
      </c>
      <c r="D2638">
        <v>2117</v>
      </c>
      <c r="E2638">
        <v>1015</v>
      </c>
      <c r="F2638">
        <v>3</v>
      </c>
      <c r="G2638">
        <v>359.22</v>
      </c>
      <c r="H2638" s="2">
        <v>45939</v>
      </c>
      <c r="I2638" s="2">
        <v>45947</v>
      </c>
      <c r="J2638" t="s">
        <v>9</v>
      </c>
      <c r="K2638" s="2" t="str">
        <f>IFERROR(INDEX(Product_lookup[Category],MATCH(RawWorking[[#This Row],[ProductID]],Product_lookup[ProductID],0)),"")</f>
        <v>Sports</v>
      </c>
      <c r="L2638" s="9">
        <f>IF(OR(RawWorking[[#This Row],[ShipDate]]="",RawWorking[[#This Row],[DeliveryDate]]=""),"",RawWorking[[#This Row],[DeliveryDate]]-RawWorking[[#This Row],[ShipDate]])</f>
        <v>8</v>
      </c>
      <c r="M2638" s="9">
        <f>IF(COUNTIF(INDEX(RawWorking[OrderID],1):RawWorking[[#This Row],[OrderID]],RawWorking[[#This Row],[OrderID]])=1,1,0)</f>
        <v>1</v>
      </c>
      <c r="N2638" s="4">
        <f>IFERROR(RawWorking[[#This Row],[LineAmount]]/RawWorking[[#This Row],[Quantity]],"")</f>
        <v>119.74000000000001</v>
      </c>
    </row>
    <row r="2639" spans="1:14">
      <c r="A2639">
        <v>52638</v>
      </c>
      <c r="B2639">
        <v>31524</v>
      </c>
      <c r="C2639" s="2">
        <v>45711</v>
      </c>
      <c r="D2639">
        <v>2184</v>
      </c>
      <c r="E2639">
        <v>1013</v>
      </c>
      <c r="F2639">
        <v>2</v>
      </c>
      <c r="G2639">
        <v>340.5</v>
      </c>
      <c r="H2639" s="2">
        <v>45713</v>
      </c>
      <c r="I2639" s="2" t="s">
        <v>1421</v>
      </c>
      <c r="J2639" t="s">
        <v>16</v>
      </c>
      <c r="K2639" s="2" t="str">
        <f>IFERROR(INDEX(Product_lookup[Category],MATCH(RawWorking[[#This Row],[ProductID]],Product_lookup[ProductID],0)),"")</f>
        <v>Office</v>
      </c>
      <c r="L2639" s="9" t="str">
        <f>IF(OR(RawWorking[[#This Row],[ShipDate]]="",RawWorking[[#This Row],[DeliveryDate]]=""),"",RawWorking[[#This Row],[DeliveryDate]]-RawWorking[[#This Row],[ShipDate]])</f>
        <v/>
      </c>
      <c r="M2639" s="9">
        <f>IF(COUNTIF(INDEX(RawWorking[OrderID],1):RawWorking[[#This Row],[OrderID]],RawWorking[[#This Row],[OrderID]])=1,1,0)</f>
        <v>1</v>
      </c>
      <c r="N2639" s="4">
        <f>IFERROR(RawWorking[[#This Row],[LineAmount]]/RawWorking[[#This Row],[Quantity]],"")</f>
        <v>170.25</v>
      </c>
    </row>
    <row r="2640" spans="1:14">
      <c r="A2640">
        <v>52639</v>
      </c>
      <c r="B2640">
        <v>31524</v>
      </c>
      <c r="C2640" s="2">
        <v>45711</v>
      </c>
      <c r="D2640">
        <v>2184</v>
      </c>
      <c r="E2640">
        <v>1014</v>
      </c>
      <c r="F2640">
        <v>2</v>
      </c>
      <c r="G2640">
        <v>430.68</v>
      </c>
      <c r="H2640" s="2" t="s">
        <v>1421</v>
      </c>
      <c r="I2640" s="2" t="s">
        <v>1421</v>
      </c>
      <c r="J2640" t="s">
        <v>16</v>
      </c>
      <c r="K2640" s="2" t="str">
        <f>IFERROR(INDEX(Product_lookup[Category],MATCH(RawWorking[[#This Row],[ProductID]],Product_lookup[ProductID],0)),"")</f>
        <v>Sports</v>
      </c>
      <c r="L2640" s="9" t="str">
        <f>IF(OR(RawWorking[[#This Row],[ShipDate]]="",RawWorking[[#This Row],[DeliveryDate]]=""),"",RawWorking[[#This Row],[DeliveryDate]]-RawWorking[[#This Row],[ShipDate]])</f>
        <v/>
      </c>
      <c r="M2640" s="9">
        <f>IF(COUNTIF(INDEX(RawWorking[OrderID],1):RawWorking[[#This Row],[OrderID]],RawWorking[[#This Row],[OrderID]])=1,1,0)</f>
        <v>0</v>
      </c>
      <c r="N2640" s="4">
        <f>IFERROR(RawWorking[[#This Row],[LineAmount]]/RawWorking[[#This Row],[Quantity]],"")</f>
        <v>215.34</v>
      </c>
    </row>
    <row r="2641" spans="1:14">
      <c r="A2641">
        <v>52640</v>
      </c>
      <c r="B2641">
        <v>31525</v>
      </c>
      <c r="C2641" s="2">
        <v>45734</v>
      </c>
      <c r="D2641">
        <v>2305</v>
      </c>
      <c r="E2641">
        <v>1015</v>
      </c>
      <c r="F2641">
        <v>5</v>
      </c>
      <c r="G2641">
        <v>598.70000000000005</v>
      </c>
      <c r="H2641" s="2">
        <v>45736</v>
      </c>
      <c r="I2641" s="2">
        <v>45745</v>
      </c>
      <c r="J2641" t="s">
        <v>9</v>
      </c>
      <c r="K2641" s="2" t="str">
        <f>IFERROR(INDEX(Product_lookup[Category],MATCH(RawWorking[[#This Row],[ProductID]],Product_lookup[ProductID],0)),"")</f>
        <v>Sports</v>
      </c>
      <c r="L2641" s="9">
        <f>IF(OR(RawWorking[[#This Row],[ShipDate]]="",RawWorking[[#This Row],[DeliveryDate]]=""),"",RawWorking[[#This Row],[DeliveryDate]]-RawWorking[[#This Row],[ShipDate]])</f>
        <v>9</v>
      </c>
      <c r="M2641" s="9">
        <f>IF(COUNTIF(INDEX(RawWorking[OrderID],1):RawWorking[[#This Row],[OrderID]],RawWorking[[#This Row],[OrderID]])=1,1,0)</f>
        <v>1</v>
      </c>
      <c r="N2641" s="4">
        <f>IFERROR(RawWorking[[#This Row],[LineAmount]]/RawWorking[[#This Row],[Quantity]],"")</f>
        <v>119.74000000000001</v>
      </c>
    </row>
    <row r="2642" spans="1:14">
      <c r="A2642">
        <v>52641</v>
      </c>
      <c r="B2642">
        <v>31525</v>
      </c>
      <c r="C2642" s="2">
        <v>45734</v>
      </c>
      <c r="D2642">
        <v>2305</v>
      </c>
      <c r="E2642">
        <v>1015</v>
      </c>
      <c r="F2642">
        <v>2</v>
      </c>
      <c r="G2642">
        <v>239.48</v>
      </c>
      <c r="H2642" s="2">
        <v>45736</v>
      </c>
      <c r="I2642" s="2">
        <v>45738</v>
      </c>
      <c r="J2642" t="s">
        <v>9</v>
      </c>
      <c r="K2642" s="2" t="str">
        <f>IFERROR(INDEX(Product_lookup[Category],MATCH(RawWorking[[#This Row],[ProductID]],Product_lookup[ProductID],0)),"")</f>
        <v>Sports</v>
      </c>
      <c r="L2642" s="9">
        <f>IF(OR(RawWorking[[#This Row],[ShipDate]]="",RawWorking[[#This Row],[DeliveryDate]]=""),"",RawWorking[[#This Row],[DeliveryDate]]-RawWorking[[#This Row],[ShipDate]])</f>
        <v>2</v>
      </c>
      <c r="M2642" s="9">
        <f>IF(COUNTIF(INDEX(RawWorking[OrderID],1):RawWorking[[#This Row],[OrderID]],RawWorking[[#This Row],[OrderID]])=1,1,0)</f>
        <v>0</v>
      </c>
      <c r="N2642" s="4">
        <f>IFERROR(RawWorking[[#This Row],[LineAmount]]/RawWorking[[#This Row],[Quantity]],"")</f>
        <v>119.74</v>
      </c>
    </row>
    <row r="2643" spans="1:14">
      <c r="A2643">
        <v>52642</v>
      </c>
      <c r="B2643">
        <v>31526</v>
      </c>
      <c r="C2643" s="2">
        <v>45929</v>
      </c>
      <c r="D2643">
        <v>2272</v>
      </c>
      <c r="E2643">
        <v>1006</v>
      </c>
      <c r="F2643">
        <v>4</v>
      </c>
      <c r="G2643">
        <v>1015.44</v>
      </c>
      <c r="H2643" s="2">
        <v>45931</v>
      </c>
      <c r="I2643" s="2">
        <v>45933</v>
      </c>
      <c r="J2643" t="s">
        <v>9</v>
      </c>
      <c r="K2643" s="2" t="str">
        <f>IFERROR(INDEX(Product_lookup[Category],MATCH(RawWorking[[#This Row],[ProductID]],Product_lookup[ProductID],0)),"")</f>
        <v>Home</v>
      </c>
      <c r="L2643" s="9">
        <f>IF(OR(RawWorking[[#This Row],[ShipDate]]="",RawWorking[[#This Row],[DeliveryDate]]=""),"",RawWorking[[#This Row],[DeliveryDate]]-RawWorking[[#This Row],[ShipDate]])</f>
        <v>2</v>
      </c>
      <c r="M2643" s="9">
        <f>IF(COUNTIF(INDEX(RawWorking[OrderID],1):RawWorking[[#This Row],[OrderID]],RawWorking[[#This Row],[OrderID]])=1,1,0)</f>
        <v>1</v>
      </c>
      <c r="N2643" s="4">
        <f>IFERROR(RawWorking[[#This Row],[LineAmount]]/RawWorking[[#This Row],[Quantity]],"")</f>
        <v>253.86</v>
      </c>
    </row>
    <row r="2644" spans="1:14">
      <c r="A2644">
        <v>52643</v>
      </c>
      <c r="B2644">
        <v>31526</v>
      </c>
      <c r="C2644" s="2">
        <v>45929</v>
      </c>
      <c r="D2644">
        <v>2272</v>
      </c>
      <c r="E2644">
        <v>1007</v>
      </c>
      <c r="F2644">
        <v>1</v>
      </c>
      <c r="G2644">
        <v>199.81</v>
      </c>
      <c r="H2644" s="2">
        <v>45932</v>
      </c>
      <c r="I2644" s="2">
        <v>45938</v>
      </c>
      <c r="J2644" t="s">
        <v>9</v>
      </c>
      <c r="K2644" s="2" t="str">
        <f>IFERROR(INDEX(Product_lookup[Category],MATCH(RawWorking[[#This Row],[ProductID]],Product_lookup[ProductID],0)),"")</f>
        <v>Home</v>
      </c>
      <c r="L2644" s="9">
        <f>IF(OR(RawWorking[[#This Row],[ShipDate]]="",RawWorking[[#This Row],[DeliveryDate]]=""),"",RawWorking[[#This Row],[DeliveryDate]]-RawWorking[[#This Row],[ShipDate]])</f>
        <v>6</v>
      </c>
      <c r="M2644" s="9">
        <f>IF(COUNTIF(INDEX(RawWorking[OrderID],1):RawWorking[[#This Row],[OrderID]],RawWorking[[#This Row],[OrderID]])=1,1,0)</f>
        <v>0</v>
      </c>
      <c r="N2644" s="4">
        <f>IFERROR(RawWorking[[#This Row],[LineAmount]]/RawWorking[[#This Row],[Quantity]],"")</f>
        <v>199.81</v>
      </c>
    </row>
    <row r="2645" spans="1:14">
      <c r="A2645">
        <v>52644</v>
      </c>
      <c r="B2645">
        <v>31526</v>
      </c>
      <c r="C2645" s="2">
        <v>45929</v>
      </c>
      <c r="D2645">
        <v>2272</v>
      </c>
      <c r="E2645">
        <v>1006</v>
      </c>
      <c r="F2645">
        <v>1</v>
      </c>
      <c r="G2645">
        <v>253.86</v>
      </c>
      <c r="H2645" s="2">
        <v>45930</v>
      </c>
      <c r="I2645" s="2">
        <v>45936</v>
      </c>
      <c r="J2645" t="s">
        <v>9</v>
      </c>
      <c r="K2645" s="2" t="str">
        <f>IFERROR(INDEX(Product_lookup[Category],MATCH(RawWorking[[#This Row],[ProductID]],Product_lookup[ProductID],0)),"")</f>
        <v>Home</v>
      </c>
      <c r="L2645" s="9">
        <f>IF(OR(RawWorking[[#This Row],[ShipDate]]="",RawWorking[[#This Row],[DeliveryDate]]=""),"",RawWorking[[#This Row],[DeliveryDate]]-RawWorking[[#This Row],[ShipDate]])</f>
        <v>6</v>
      </c>
      <c r="M2645" s="9">
        <f>IF(COUNTIF(INDEX(RawWorking[OrderID],1):RawWorking[[#This Row],[OrderID]],RawWorking[[#This Row],[OrderID]])=1,1,0)</f>
        <v>0</v>
      </c>
      <c r="N2645" s="4">
        <f>IFERROR(RawWorking[[#This Row],[LineAmount]]/RawWorking[[#This Row],[Quantity]],"")</f>
        <v>253.86</v>
      </c>
    </row>
    <row r="2646" spans="1:14">
      <c r="A2646">
        <v>52645</v>
      </c>
      <c r="B2646">
        <v>31527</v>
      </c>
      <c r="C2646" s="2">
        <v>45783</v>
      </c>
      <c r="D2646">
        <v>2081</v>
      </c>
      <c r="E2646">
        <v>1009</v>
      </c>
      <c r="F2646">
        <v>1</v>
      </c>
      <c r="G2646">
        <v>40.28</v>
      </c>
      <c r="H2646" s="2">
        <v>45816</v>
      </c>
      <c r="I2646" s="2">
        <v>45820</v>
      </c>
      <c r="J2646" t="s">
        <v>9</v>
      </c>
      <c r="K2646" s="2" t="str">
        <f>IFERROR(INDEX(Product_lookup[Category],MATCH(RawWorking[[#This Row],[ProductID]],Product_lookup[ProductID],0)),"")</f>
        <v>Home</v>
      </c>
      <c r="L2646" s="9">
        <f>IF(OR(RawWorking[[#This Row],[ShipDate]]="",RawWorking[[#This Row],[DeliveryDate]]=""),"",RawWorking[[#This Row],[DeliveryDate]]-RawWorking[[#This Row],[ShipDate]])</f>
        <v>4</v>
      </c>
      <c r="M2646" s="9">
        <f>IF(COUNTIF(INDEX(RawWorking[OrderID],1):RawWorking[[#This Row],[OrderID]],RawWorking[[#This Row],[OrderID]])=1,1,0)</f>
        <v>1</v>
      </c>
      <c r="N2646" s="4">
        <f>IFERROR(RawWorking[[#This Row],[LineAmount]]/RawWorking[[#This Row],[Quantity]],"")</f>
        <v>40.28</v>
      </c>
    </row>
    <row r="2647" spans="1:14">
      <c r="A2647">
        <v>52646</v>
      </c>
      <c r="B2647">
        <v>31527</v>
      </c>
      <c r="C2647" s="2">
        <v>45813</v>
      </c>
      <c r="D2647">
        <v>2081</v>
      </c>
      <c r="E2647">
        <v>1004</v>
      </c>
      <c r="F2647">
        <v>1</v>
      </c>
      <c r="G2647">
        <v>183.74</v>
      </c>
      <c r="H2647" s="2">
        <v>45816</v>
      </c>
      <c r="I2647" s="2">
        <v>45821</v>
      </c>
      <c r="J2647" t="s">
        <v>9</v>
      </c>
      <c r="K2647" s="2" t="str">
        <f>IFERROR(INDEX(Product_lookup[Category],MATCH(RawWorking[[#This Row],[ProductID]],Product_lookup[ProductID],0)),"")</f>
        <v>Electronics</v>
      </c>
      <c r="L2647" s="9">
        <f>IF(OR(RawWorking[[#This Row],[ShipDate]]="",RawWorking[[#This Row],[DeliveryDate]]=""),"",RawWorking[[#This Row],[DeliveryDate]]-RawWorking[[#This Row],[ShipDate]])</f>
        <v>5</v>
      </c>
      <c r="M2647" s="9">
        <f>IF(COUNTIF(INDEX(RawWorking[OrderID],1):RawWorking[[#This Row],[OrderID]],RawWorking[[#This Row],[OrderID]])=1,1,0)</f>
        <v>0</v>
      </c>
      <c r="N2647" s="4">
        <f>IFERROR(RawWorking[[#This Row],[LineAmount]]/RawWorking[[#This Row],[Quantity]],"")</f>
        <v>183.74</v>
      </c>
    </row>
    <row r="2648" spans="1:14">
      <c r="A2648">
        <v>52647</v>
      </c>
      <c r="B2648">
        <v>31527</v>
      </c>
      <c r="C2648" s="2">
        <v>45813</v>
      </c>
      <c r="D2648">
        <v>2081</v>
      </c>
      <c r="E2648">
        <v>1014</v>
      </c>
      <c r="F2648">
        <v>1</v>
      </c>
      <c r="G2648">
        <v>215.34</v>
      </c>
      <c r="H2648" s="2">
        <v>45815</v>
      </c>
      <c r="I2648" s="2">
        <v>45906</v>
      </c>
      <c r="J2648" t="s">
        <v>9</v>
      </c>
      <c r="K2648" s="2" t="str">
        <f>IFERROR(INDEX(Product_lookup[Category],MATCH(RawWorking[[#This Row],[ProductID]],Product_lookup[ProductID],0)),"")</f>
        <v>Sports</v>
      </c>
      <c r="L2648" s="9">
        <f>IF(OR(RawWorking[[#This Row],[ShipDate]]="",RawWorking[[#This Row],[DeliveryDate]]=""),"",RawWorking[[#This Row],[DeliveryDate]]-RawWorking[[#This Row],[ShipDate]])</f>
        <v>91</v>
      </c>
      <c r="M2648" s="9">
        <f>IF(COUNTIF(INDEX(RawWorking[OrderID],1):RawWorking[[#This Row],[OrderID]],RawWorking[[#This Row],[OrderID]])=1,1,0)</f>
        <v>0</v>
      </c>
      <c r="N2648" s="4">
        <f>IFERROR(RawWorking[[#This Row],[LineAmount]]/RawWorking[[#This Row],[Quantity]],"")</f>
        <v>215.34</v>
      </c>
    </row>
    <row r="2649" spans="1:14">
      <c r="A2649">
        <v>52648</v>
      </c>
      <c r="B2649">
        <v>31528</v>
      </c>
      <c r="C2649" s="2">
        <v>45841</v>
      </c>
      <c r="D2649">
        <v>2548</v>
      </c>
      <c r="E2649">
        <v>1013</v>
      </c>
      <c r="F2649">
        <v>2</v>
      </c>
      <c r="G2649">
        <v>340.5</v>
      </c>
      <c r="H2649" s="2">
        <v>45842</v>
      </c>
      <c r="I2649" s="2">
        <v>45968</v>
      </c>
      <c r="J2649" t="s">
        <v>9</v>
      </c>
      <c r="K2649" s="2" t="str">
        <f>IFERROR(INDEX(Product_lookup[Category],MATCH(RawWorking[[#This Row],[ProductID]],Product_lookup[ProductID],0)),"")</f>
        <v>Office</v>
      </c>
      <c r="L2649" s="9">
        <f>IF(OR(RawWorking[[#This Row],[ShipDate]]="",RawWorking[[#This Row],[DeliveryDate]]=""),"",RawWorking[[#This Row],[DeliveryDate]]-RawWorking[[#This Row],[ShipDate]])</f>
        <v>126</v>
      </c>
      <c r="M2649" s="9">
        <f>IF(COUNTIF(INDEX(RawWorking[OrderID],1):RawWorking[[#This Row],[OrderID]],RawWorking[[#This Row],[OrderID]])=1,1,0)</f>
        <v>1</v>
      </c>
      <c r="N2649" s="4">
        <f>IFERROR(RawWorking[[#This Row],[LineAmount]]/RawWorking[[#This Row],[Quantity]],"")</f>
        <v>170.25</v>
      </c>
    </row>
    <row r="2650" spans="1:14">
      <c r="A2650">
        <v>52649</v>
      </c>
      <c r="B2650">
        <v>31528</v>
      </c>
      <c r="C2650" s="2">
        <v>45841</v>
      </c>
      <c r="D2650">
        <v>2548</v>
      </c>
      <c r="E2650">
        <v>1004</v>
      </c>
      <c r="F2650">
        <v>1</v>
      </c>
      <c r="G2650">
        <v>183.74</v>
      </c>
      <c r="H2650" s="2">
        <v>45842</v>
      </c>
      <c r="I2650" s="2">
        <v>45843</v>
      </c>
      <c r="J2650" t="s">
        <v>9</v>
      </c>
      <c r="K2650" s="2" t="str">
        <f>IFERROR(INDEX(Product_lookup[Category],MATCH(RawWorking[[#This Row],[ProductID]],Product_lookup[ProductID],0)),"")</f>
        <v>Electronics</v>
      </c>
      <c r="L2650" s="9">
        <f>IF(OR(RawWorking[[#This Row],[ShipDate]]="",RawWorking[[#This Row],[DeliveryDate]]=""),"",RawWorking[[#This Row],[DeliveryDate]]-RawWorking[[#This Row],[ShipDate]])</f>
        <v>1</v>
      </c>
      <c r="M2650" s="9">
        <f>IF(COUNTIF(INDEX(RawWorking[OrderID],1):RawWorking[[#This Row],[OrderID]],RawWorking[[#This Row],[OrderID]])=1,1,0)</f>
        <v>0</v>
      </c>
      <c r="N2650" s="4">
        <f>IFERROR(RawWorking[[#This Row],[LineAmount]]/RawWorking[[#This Row],[Quantity]],"")</f>
        <v>183.74</v>
      </c>
    </row>
    <row r="2651" spans="1:14">
      <c r="A2651">
        <v>52650</v>
      </c>
      <c r="B2651">
        <v>31529</v>
      </c>
      <c r="C2651" s="2">
        <v>45789</v>
      </c>
      <c r="D2651">
        <v>2014</v>
      </c>
      <c r="E2651">
        <v>1016</v>
      </c>
      <c r="F2651">
        <v>4</v>
      </c>
      <c r="G2651">
        <v>261.04000000000002</v>
      </c>
      <c r="H2651" s="2">
        <v>45790</v>
      </c>
      <c r="I2651" s="2">
        <v>45796</v>
      </c>
      <c r="J2651" t="s">
        <v>9</v>
      </c>
      <c r="K2651" s="2" t="str">
        <f>IFERROR(INDEX(Product_lookup[Category],MATCH(RawWorking[[#This Row],[ProductID]],Product_lookup[ProductID],0)),"")</f>
        <v>Sports</v>
      </c>
      <c r="L2651" s="9">
        <f>IF(OR(RawWorking[[#This Row],[ShipDate]]="",RawWorking[[#This Row],[DeliveryDate]]=""),"",RawWorking[[#This Row],[DeliveryDate]]-RawWorking[[#This Row],[ShipDate]])</f>
        <v>6</v>
      </c>
      <c r="M2651" s="9">
        <f>IF(COUNTIF(INDEX(RawWorking[OrderID],1):RawWorking[[#This Row],[OrderID]],RawWorking[[#This Row],[OrderID]])=1,1,0)</f>
        <v>1</v>
      </c>
      <c r="N2651" s="4">
        <f>IFERROR(RawWorking[[#This Row],[LineAmount]]/RawWorking[[#This Row],[Quantity]],"")</f>
        <v>65.260000000000005</v>
      </c>
    </row>
    <row r="2652" spans="1:14">
      <c r="A2652">
        <v>52651</v>
      </c>
      <c r="B2652">
        <v>31529</v>
      </c>
      <c r="C2652" s="2">
        <v>45789</v>
      </c>
      <c r="D2652">
        <v>2014</v>
      </c>
      <c r="E2652">
        <v>1015</v>
      </c>
      <c r="F2652">
        <v>1</v>
      </c>
      <c r="G2652">
        <v>119.74</v>
      </c>
      <c r="H2652" s="2">
        <v>45790</v>
      </c>
      <c r="I2652" s="2">
        <v>45799</v>
      </c>
      <c r="J2652" t="s">
        <v>9</v>
      </c>
      <c r="K2652" s="2" t="str">
        <f>IFERROR(INDEX(Product_lookup[Category],MATCH(RawWorking[[#This Row],[ProductID]],Product_lookup[ProductID],0)),"")</f>
        <v>Sports</v>
      </c>
      <c r="L2652" s="9">
        <f>IF(OR(RawWorking[[#This Row],[ShipDate]]="",RawWorking[[#This Row],[DeliveryDate]]=""),"",RawWorking[[#This Row],[DeliveryDate]]-RawWorking[[#This Row],[ShipDate]])</f>
        <v>9</v>
      </c>
      <c r="M2652" s="9">
        <f>IF(COUNTIF(INDEX(RawWorking[OrderID],1):RawWorking[[#This Row],[OrderID]],RawWorking[[#This Row],[OrderID]])=1,1,0)</f>
        <v>0</v>
      </c>
      <c r="N2652" s="4">
        <f>IFERROR(RawWorking[[#This Row],[LineAmount]]/RawWorking[[#This Row],[Quantity]],"")</f>
        <v>119.74</v>
      </c>
    </row>
    <row r="2653" spans="1:14">
      <c r="A2653">
        <v>52652</v>
      </c>
      <c r="B2653">
        <v>31529</v>
      </c>
      <c r="C2653" s="2">
        <v>45789</v>
      </c>
      <c r="D2653">
        <v>2014</v>
      </c>
      <c r="E2653">
        <v>1013</v>
      </c>
      <c r="F2653">
        <v>2</v>
      </c>
      <c r="G2653">
        <v>340.5</v>
      </c>
      <c r="H2653" s="2">
        <v>45791</v>
      </c>
      <c r="I2653" s="2">
        <v>45795</v>
      </c>
      <c r="J2653" t="s">
        <v>9</v>
      </c>
      <c r="K2653" s="2" t="str">
        <f>IFERROR(INDEX(Product_lookup[Category],MATCH(RawWorking[[#This Row],[ProductID]],Product_lookup[ProductID],0)),"")</f>
        <v>Office</v>
      </c>
      <c r="L2653" s="9">
        <f>IF(OR(RawWorking[[#This Row],[ShipDate]]="",RawWorking[[#This Row],[DeliveryDate]]=""),"",RawWorking[[#This Row],[DeliveryDate]]-RawWorking[[#This Row],[ShipDate]])</f>
        <v>4</v>
      </c>
      <c r="M2653" s="9">
        <f>IF(COUNTIF(INDEX(RawWorking[OrderID],1):RawWorking[[#This Row],[OrderID]],RawWorking[[#This Row],[OrderID]])=1,1,0)</f>
        <v>0</v>
      </c>
      <c r="N2653" s="4">
        <f>IFERROR(RawWorking[[#This Row],[LineAmount]]/RawWorking[[#This Row],[Quantity]],"")</f>
        <v>170.25</v>
      </c>
    </row>
    <row r="2654" spans="1:14">
      <c r="A2654">
        <v>52653</v>
      </c>
      <c r="B2654">
        <v>31529</v>
      </c>
      <c r="C2654" s="2">
        <v>45789</v>
      </c>
      <c r="D2654">
        <v>2014</v>
      </c>
      <c r="E2654">
        <v>1016</v>
      </c>
      <c r="F2654">
        <v>1</v>
      </c>
      <c r="G2654">
        <v>65.260000000000005</v>
      </c>
      <c r="H2654" s="2">
        <v>45791</v>
      </c>
      <c r="I2654" s="2">
        <v>45792</v>
      </c>
      <c r="J2654" t="s">
        <v>9</v>
      </c>
      <c r="K2654" s="2" t="str">
        <f>IFERROR(INDEX(Product_lookup[Category],MATCH(RawWorking[[#This Row],[ProductID]],Product_lookup[ProductID],0)),"")</f>
        <v>Sports</v>
      </c>
      <c r="L2654" s="9">
        <f>IF(OR(RawWorking[[#This Row],[ShipDate]]="",RawWorking[[#This Row],[DeliveryDate]]=""),"",RawWorking[[#This Row],[DeliveryDate]]-RawWorking[[#This Row],[ShipDate]])</f>
        <v>1</v>
      </c>
      <c r="M2654" s="9">
        <f>IF(COUNTIF(INDEX(RawWorking[OrderID],1):RawWorking[[#This Row],[OrderID]],RawWorking[[#This Row],[OrderID]])=1,1,0)</f>
        <v>0</v>
      </c>
      <c r="N2654" s="4">
        <f>IFERROR(RawWorking[[#This Row],[LineAmount]]/RawWorking[[#This Row],[Quantity]],"")</f>
        <v>65.260000000000005</v>
      </c>
    </row>
    <row r="2655" spans="1:14">
      <c r="A2655">
        <v>52654</v>
      </c>
      <c r="B2655">
        <v>31530</v>
      </c>
      <c r="C2655" s="2">
        <v>45805</v>
      </c>
      <c r="D2655">
        <v>2311</v>
      </c>
      <c r="E2655">
        <v>1012</v>
      </c>
      <c r="F2655">
        <v>1</v>
      </c>
      <c r="G2655">
        <v>241.54</v>
      </c>
      <c r="H2655" s="2">
        <v>45806</v>
      </c>
      <c r="I2655" s="2">
        <v>45808</v>
      </c>
      <c r="J2655" t="s">
        <v>9</v>
      </c>
      <c r="K2655" s="2" t="str">
        <f>IFERROR(INDEX(Product_lookup[Category],MATCH(RawWorking[[#This Row],[ProductID]],Product_lookup[ProductID],0)),"")</f>
        <v>Office</v>
      </c>
      <c r="L2655" s="9">
        <f>IF(OR(RawWorking[[#This Row],[ShipDate]]="",RawWorking[[#This Row],[DeliveryDate]]=""),"",RawWorking[[#This Row],[DeliveryDate]]-RawWorking[[#This Row],[ShipDate]])</f>
        <v>2</v>
      </c>
      <c r="M2655" s="9">
        <f>IF(COUNTIF(INDEX(RawWorking[OrderID],1):RawWorking[[#This Row],[OrderID]],RawWorking[[#This Row],[OrderID]])=1,1,0)</f>
        <v>1</v>
      </c>
      <c r="N2655" s="4">
        <f>IFERROR(RawWorking[[#This Row],[LineAmount]]/RawWorking[[#This Row],[Quantity]],"")</f>
        <v>241.54</v>
      </c>
    </row>
    <row r="2656" spans="1:14">
      <c r="A2656">
        <v>52655</v>
      </c>
      <c r="B2656">
        <v>31531</v>
      </c>
      <c r="C2656" s="2">
        <v>45863</v>
      </c>
      <c r="D2656">
        <v>2405</v>
      </c>
      <c r="E2656">
        <v>1003</v>
      </c>
      <c r="F2656">
        <v>1</v>
      </c>
      <c r="G2656">
        <v>224.37</v>
      </c>
      <c r="H2656" s="2">
        <v>45866</v>
      </c>
      <c r="I2656" s="2" t="s">
        <v>1421</v>
      </c>
      <c r="J2656" t="s">
        <v>16</v>
      </c>
      <c r="K2656" s="2" t="str">
        <f>IFERROR(INDEX(Product_lookup[Category],MATCH(RawWorking[[#This Row],[ProductID]],Product_lookup[ProductID],0)),"")</f>
        <v>Electronics</v>
      </c>
      <c r="L2656" s="9" t="str">
        <f>IF(OR(RawWorking[[#This Row],[ShipDate]]="",RawWorking[[#This Row],[DeliveryDate]]=""),"",RawWorking[[#This Row],[DeliveryDate]]-RawWorking[[#This Row],[ShipDate]])</f>
        <v/>
      </c>
      <c r="M2656" s="9">
        <f>IF(COUNTIF(INDEX(RawWorking[OrderID],1):RawWorking[[#This Row],[OrderID]],RawWorking[[#This Row],[OrderID]])=1,1,0)</f>
        <v>1</v>
      </c>
      <c r="N2656" s="4">
        <f>IFERROR(RawWorking[[#This Row],[LineAmount]]/RawWorking[[#This Row],[Quantity]],"")</f>
        <v>224.37</v>
      </c>
    </row>
    <row r="2657" spans="1:14">
      <c r="A2657">
        <v>52656</v>
      </c>
      <c r="B2657">
        <v>31531</v>
      </c>
      <c r="C2657" s="2">
        <v>45863</v>
      </c>
      <c r="D2657">
        <v>2405</v>
      </c>
      <c r="E2657">
        <v>1001</v>
      </c>
      <c r="F2657">
        <v>1</v>
      </c>
      <c r="G2657">
        <v>203.04</v>
      </c>
      <c r="H2657" s="2">
        <v>45864</v>
      </c>
      <c r="I2657" s="2" t="s">
        <v>1421</v>
      </c>
      <c r="J2657" t="s">
        <v>16</v>
      </c>
      <c r="K2657" s="2" t="str">
        <f>IFERROR(INDEX(Product_lookup[Category],MATCH(RawWorking[[#This Row],[ProductID]],Product_lookup[ProductID],0)),"")</f>
        <v>Electronics</v>
      </c>
      <c r="L2657" s="9" t="str">
        <f>IF(OR(RawWorking[[#This Row],[ShipDate]]="",RawWorking[[#This Row],[DeliveryDate]]=""),"",RawWorking[[#This Row],[DeliveryDate]]-RawWorking[[#This Row],[ShipDate]])</f>
        <v/>
      </c>
      <c r="M2657" s="9">
        <f>IF(COUNTIF(INDEX(RawWorking[OrderID],1):RawWorking[[#This Row],[OrderID]],RawWorking[[#This Row],[OrderID]])=1,1,0)</f>
        <v>0</v>
      </c>
      <c r="N2657" s="4">
        <f>IFERROR(RawWorking[[#This Row],[LineAmount]]/RawWorking[[#This Row],[Quantity]],"")</f>
        <v>203.04</v>
      </c>
    </row>
    <row r="2658" spans="1:14">
      <c r="A2658">
        <v>52657</v>
      </c>
      <c r="B2658">
        <v>31532</v>
      </c>
      <c r="C2658" s="2">
        <v>45837</v>
      </c>
      <c r="D2658">
        <v>2017</v>
      </c>
      <c r="E2658">
        <v>1007</v>
      </c>
      <c r="F2658">
        <v>4</v>
      </c>
      <c r="G2658">
        <v>799.24</v>
      </c>
      <c r="H2658" s="2">
        <v>45839</v>
      </c>
      <c r="I2658" s="2">
        <v>45841</v>
      </c>
      <c r="J2658" t="s">
        <v>9</v>
      </c>
      <c r="K2658" s="2" t="str">
        <f>IFERROR(INDEX(Product_lookup[Category],MATCH(RawWorking[[#This Row],[ProductID]],Product_lookup[ProductID],0)),"")</f>
        <v>Home</v>
      </c>
      <c r="L2658" s="9">
        <f>IF(OR(RawWorking[[#This Row],[ShipDate]]="",RawWorking[[#This Row],[DeliveryDate]]=""),"",RawWorking[[#This Row],[DeliveryDate]]-RawWorking[[#This Row],[ShipDate]])</f>
        <v>2</v>
      </c>
      <c r="M2658" s="9">
        <f>IF(COUNTIF(INDEX(RawWorking[OrderID],1):RawWorking[[#This Row],[OrderID]],RawWorking[[#This Row],[OrderID]])=1,1,0)</f>
        <v>1</v>
      </c>
      <c r="N2658" s="4">
        <f>IFERROR(RawWorking[[#This Row],[LineAmount]]/RawWorking[[#This Row],[Quantity]],"")</f>
        <v>199.81</v>
      </c>
    </row>
    <row r="2659" spans="1:14">
      <c r="A2659">
        <v>52658</v>
      </c>
      <c r="B2659">
        <v>31532</v>
      </c>
      <c r="C2659" s="2">
        <v>45837</v>
      </c>
      <c r="D2659">
        <v>2017</v>
      </c>
      <c r="E2659">
        <v>1001</v>
      </c>
      <c r="F2659">
        <v>3</v>
      </c>
      <c r="G2659">
        <v>609.12</v>
      </c>
      <c r="H2659" s="2">
        <v>45838</v>
      </c>
      <c r="I2659" s="2">
        <v>45876</v>
      </c>
      <c r="J2659" t="s">
        <v>9</v>
      </c>
      <c r="K2659" s="2" t="str">
        <f>IFERROR(INDEX(Product_lookup[Category],MATCH(RawWorking[[#This Row],[ProductID]],Product_lookup[ProductID],0)),"")</f>
        <v>Electronics</v>
      </c>
      <c r="L2659" s="9">
        <f>IF(OR(RawWorking[[#This Row],[ShipDate]]="",RawWorking[[#This Row],[DeliveryDate]]=""),"",RawWorking[[#This Row],[DeliveryDate]]-RawWorking[[#This Row],[ShipDate]])</f>
        <v>38</v>
      </c>
      <c r="M2659" s="9">
        <f>IF(COUNTIF(INDEX(RawWorking[OrderID],1):RawWorking[[#This Row],[OrderID]],RawWorking[[#This Row],[OrderID]])=1,1,0)</f>
        <v>0</v>
      </c>
      <c r="N2659" s="4">
        <f>IFERROR(RawWorking[[#This Row],[LineAmount]]/RawWorking[[#This Row],[Quantity]],"")</f>
        <v>203.04</v>
      </c>
    </row>
    <row r="2660" spans="1:14">
      <c r="A2660">
        <v>52659</v>
      </c>
      <c r="B2660">
        <v>31533</v>
      </c>
      <c r="C2660" s="2">
        <v>45943</v>
      </c>
      <c r="D2660">
        <v>2215</v>
      </c>
      <c r="E2660">
        <v>1005</v>
      </c>
      <c r="F2660">
        <v>1</v>
      </c>
      <c r="G2660">
        <v>31.73</v>
      </c>
      <c r="H2660" s="2">
        <v>45946</v>
      </c>
      <c r="I2660" s="2">
        <v>45955</v>
      </c>
      <c r="J2660" t="s">
        <v>9</v>
      </c>
      <c r="K2660" s="2" t="str">
        <f>IFERROR(INDEX(Product_lookup[Category],MATCH(RawWorking[[#This Row],[ProductID]],Product_lookup[ProductID],0)),"")</f>
        <v>Electronics</v>
      </c>
      <c r="L2660" s="9">
        <f>IF(OR(RawWorking[[#This Row],[ShipDate]]="",RawWorking[[#This Row],[DeliveryDate]]=""),"",RawWorking[[#This Row],[DeliveryDate]]-RawWorking[[#This Row],[ShipDate]])</f>
        <v>9</v>
      </c>
      <c r="M2660" s="9">
        <f>IF(COUNTIF(INDEX(RawWorking[OrderID],1):RawWorking[[#This Row],[OrderID]],RawWorking[[#This Row],[OrderID]])=1,1,0)</f>
        <v>1</v>
      </c>
      <c r="N2660" s="4">
        <f>IFERROR(RawWorking[[#This Row],[LineAmount]]/RawWorking[[#This Row],[Quantity]],"")</f>
        <v>31.73</v>
      </c>
    </row>
    <row r="2661" spans="1:14">
      <c r="A2661">
        <v>52660</v>
      </c>
      <c r="B2661">
        <v>31534</v>
      </c>
      <c r="C2661" s="2">
        <v>45660</v>
      </c>
      <c r="D2661">
        <v>2248</v>
      </c>
      <c r="E2661">
        <v>1007</v>
      </c>
      <c r="F2661">
        <v>2</v>
      </c>
      <c r="G2661">
        <v>399.62</v>
      </c>
      <c r="H2661" s="2">
        <v>45663</v>
      </c>
      <c r="I2661" s="2">
        <v>45668</v>
      </c>
      <c r="J2661" t="s">
        <v>9</v>
      </c>
      <c r="K2661" s="2" t="str">
        <f>IFERROR(INDEX(Product_lookup[Category],MATCH(RawWorking[[#This Row],[ProductID]],Product_lookup[ProductID],0)),"")</f>
        <v>Home</v>
      </c>
      <c r="L2661" s="9">
        <f>IF(OR(RawWorking[[#This Row],[ShipDate]]="",RawWorking[[#This Row],[DeliveryDate]]=""),"",RawWorking[[#This Row],[DeliveryDate]]-RawWorking[[#This Row],[ShipDate]])</f>
        <v>5</v>
      </c>
      <c r="M2661" s="9">
        <f>IF(COUNTIF(INDEX(RawWorking[OrderID],1):RawWorking[[#This Row],[OrderID]],RawWorking[[#This Row],[OrderID]])=1,1,0)</f>
        <v>1</v>
      </c>
      <c r="N2661" s="4">
        <f>IFERROR(RawWorking[[#This Row],[LineAmount]]/RawWorking[[#This Row],[Quantity]],"")</f>
        <v>199.81</v>
      </c>
    </row>
    <row r="2662" spans="1:14">
      <c r="A2662">
        <v>52661</v>
      </c>
      <c r="B2662">
        <v>31534</v>
      </c>
      <c r="C2662" s="2">
        <v>45660</v>
      </c>
      <c r="D2662">
        <v>2248</v>
      </c>
      <c r="E2662">
        <v>1003</v>
      </c>
      <c r="F2662">
        <v>1</v>
      </c>
      <c r="G2662">
        <v>224.37</v>
      </c>
      <c r="H2662" s="2">
        <v>45661</v>
      </c>
      <c r="I2662" s="2">
        <v>45662</v>
      </c>
      <c r="J2662" t="s">
        <v>9</v>
      </c>
      <c r="K2662" s="2" t="str">
        <f>IFERROR(INDEX(Product_lookup[Category],MATCH(RawWorking[[#This Row],[ProductID]],Product_lookup[ProductID],0)),"")</f>
        <v>Electronics</v>
      </c>
      <c r="L2662" s="9">
        <f>IF(OR(RawWorking[[#This Row],[ShipDate]]="",RawWorking[[#This Row],[DeliveryDate]]=""),"",RawWorking[[#This Row],[DeliveryDate]]-RawWorking[[#This Row],[ShipDate]])</f>
        <v>1</v>
      </c>
      <c r="M2662" s="9">
        <f>IF(COUNTIF(INDEX(RawWorking[OrderID],1):RawWorking[[#This Row],[OrderID]],RawWorking[[#This Row],[OrderID]])=1,1,0)</f>
        <v>0</v>
      </c>
      <c r="N2662" s="4">
        <f>IFERROR(RawWorking[[#This Row],[LineAmount]]/RawWorking[[#This Row],[Quantity]],"")</f>
        <v>224.37</v>
      </c>
    </row>
    <row r="2663" spans="1:14">
      <c r="A2663">
        <v>52662</v>
      </c>
      <c r="B2663">
        <v>31534</v>
      </c>
      <c r="C2663" s="2">
        <v>45660</v>
      </c>
      <c r="D2663">
        <v>2248</v>
      </c>
      <c r="E2663">
        <v>1010</v>
      </c>
      <c r="F2663">
        <v>1</v>
      </c>
      <c r="G2663">
        <v>121.5</v>
      </c>
      <c r="H2663" s="2">
        <v>45662</v>
      </c>
      <c r="I2663" s="2">
        <v>45669</v>
      </c>
      <c r="J2663" t="s">
        <v>9</v>
      </c>
      <c r="K2663" s="2" t="str">
        <f>IFERROR(INDEX(Product_lookup[Category],MATCH(RawWorking[[#This Row],[ProductID]],Product_lookup[ProductID],0)),"")</f>
        <v>Office</v>
      </c>
      <c r="L2663" s="9">
        <f>IF(OR(RawWorking[[#This Row],[ShipDate]]="",RawWorking[[#This Row],[DeliveryDate]]=""),"",RawWorking[[#This Row],[DeliveryDate]]-RawWorking[[#This Row],[ShipDate]])</f>
        <v>7</v>
      </c>
      <c r="M2663" s="9">
        <f>IF(COUNTIF(INDEX(RawWorking[OrderID],1):RawWorking[[#This Row],[OrderID]],RawWorking[[#This Row],[OrderID]])=1,1,0)</f>
        <v>0</v>
      </c>
      <c r="N2663" s="4">
        <f>IFERROR(RawWorking[[#This Row],[LineAmount]]/RawWorking[[#This Row],[Quantity]],"")</f>
        <v>121.5</v>
      </c>
    </row>
    <row r="2664" spans="1:14">
      <c r="A2664">
        <v>52663</v>
      </c>
      <c r="B2664">
        <v>31534</v>
      </c>
      <c r="C2664" s="2">
        <v>45660</v>
      </c>
      <c r="D2664">
        <v>2248</v>
      </c>
      <c r="E2664">
        <v>1015</v>
      </c>
      <c r="F2664">
        <v>1</v>
      </c>
      <c r="G2664">
        <v>119.74</v>
      </c>
      <c r="H2664" s="2">
        <v>45663</v>
      </c>
      <c r="I2664" s="2">
        <v>45671</v>
      </c>
      <c r="J2664" t="s">
        <v>9</v>
      </c>
      <c r="K2664" s="2" t="str">
        <f>IFERROR(INDEX(Product_lookup[Category],MATCH(RawWorking[[#This Row],[ProductID]],Product_lookup[ProductID],0)),"")</f>
        <v>Sports</v>
      </c>
      <c r="L2664" s="9">
        <f>IF(OR(RawWorking[[#This Row],[ShipDate]]="",RawWorking[[#This Row],[DeliveryDate]]=""),"",RawWorking[[#This Row],[DeliveryDate]]-RawWorking[[#This Row],[ShipDate]])</f>
        <v>8</v>
      </c>
      <c r="M2664" s="9">
        <f>IF(COUNTIF(INDEX(RawWorking[OrderID],1):RawWorking[[#This Row],[OrderID]],RawWorking[[#This Row],[OrderID]])=1,1,0)</f>
        <v>0</v>
      </c>
      <c r="N2664" s="4">
        <f>IFERROR(RawWorking[[#This Row],[LineAmount]]/RawWorking[[#This Row],[Quantity]],"")</f>
        <v>119.74</v>
      </c>
    </row>
    <row r="2665" spans="1:14">
      <c r="A2665">
        <v>52664</v>
      </c>
      <c r="B2665">
        <v>31535</v>
      </c>
      <c r="C2665" s="2">
        <v>46001</v>
      </c>
      <c r="D2665">
        <v>2152</v>
      </c>
      <c r="E2665">
        <v>1001</v>
      </c>
      <c r="F2665">
        <v>3</v>
      </c>
      <c r="G2665">
        <v>609.12</v>
      </c>
      <c r="H2665" s="2">
        <v>46003</v>
      </c>
      <c r="I2665" s="2">
        <v>46012</v>
      </c>
      <c r="J2665" t="s">
        <v>9</v>
      </c>
      <c r="K2665" s="2" t="str">
        <f>IFERROR(INDEX(Product_lookup[Category],MATCH(RawWorking[[#This Row],[ProductID]],Product_lookup[ProductID],0)),"")</f>
        <v>Electronics</v>
      </c>
      <c r="L2665" s="9">
        <f>IF(OR(RawWorking[[#This Row],[ShipDate]]="",RawWorking[[#This Row],[DeliveryDate]]=""),"",RawWorking[[#This Row],[DeliveryDate]]-RawWorking[[#This Row],[ShipDate]])</f>
        <v>9</v>
      </c>
      <c r="M2665" s="9">
        <f>IF(COUNTIF(INDEX(RawWorking[OrderID],1):RawWorking[[#This Row],[OrderID]],RawWorking[[#This Row],[OrderID]])=1,1,0)</f>
        <v>1</v>
      </c>
      <c r="N2665" s="4">
        <f>IFERROR(RawWorking[[#This Row],[LineAmount]]/RawWorking[[#This Row],[Quantity]],"")</f>
        <v>203.04</v>
      </c>
    </row>
    <row r="2666" spans="1:14">
      <c r="A2666">
        <v>52665</v>
      </c>
      <c r="B2666">
        <v>31535</v>
      </c>
      <c r="C2666" s="2">
        <v>46001</v>
      </c>
      <c r="D2666">
        <v>2152</v>
      </c>
      <c r="E2666">
        <v>1004</v>
      </c>
      <c r="F2666">
        <v>2</v>
      </c>
      <c r="G2666">
        <v>367.48</v>
      </c>
      <c r="H2666" s="2">
        <v>46002</v>
      </c>
      <c r="I2666" s="2">
        <v>46011</v>
      </c>
      <c r="J2666" t="s">
        <v>9</v>
      </c>
      <c r="K2666" s="2" t="str">
        <f>IFERROR(INDEX(Product_lookup[Category],MATCH(RawWorking[[#This Row],[ProductID]],Product_lookup[ProductID],0)),"")</f>
        <v>Electronics</v>
      </c>
      <c r="L2666" s="9">
        <f>IF(OR(RawWorking[[#This Row],[ShipDate]]="",RawWorking[[#This Row],[DeliveryDate]]=""),"",RawWorking[[#This Row],[DeliveryDate]]-RawWorking[[#This Row],[ShipDate]])</f>
        <v>9</v>
      </c>
      <c r="M2666" s="9">
        <f>IF(COUNTIF(INDEX(RawWorking[OrderID],1):RawWorking[[#This Row],[OrderID]],RawWorking[[#This Row],[OrderID]])=1,1,0)</f>
        <v>0</v>
      </c>
      <c r="N2666" s="4">
        <f>IFERROR(RawWorking[[#This Row],[LineAmount]]/RawWorking[[#This Row],[Quantity]],"")</f>
        <v>183.74</v>
      </c>
    </row>
    <row r="2667" spans="1:14">
      <c r="A2667">
        <v>52666</v>
      </c>
      <c r="B2667">
        <v>31536</v>
      </c>
      <c r="C2667" s="2">
        <v>45919</v>
      </c>
      <c r="D2667">
        <v>2171</v>
      </c>
      <c r="E2667">
        <v>1015</v>
      </c>
      <c r="F2667">
        <v>1</v>
      </c>
      <c r="G2667">
        <v>119.74</v>
      </c>
      <c r="H2667" s="2" t="s">
        <v>1421</v>
      </c>
      <c r="I2667" s="2" t="s">
        <v>1421</v>
      </c>
      <c r="J2667" t="s">
        <v>12</v>
      </c>
      <c r="K2667" s="2" t="str">
        <f>IFERROR(INDEX(Product_lookup[Category],MATCH(RawWorking[[#This Row],[ProductID]],Product_lookup[ProductID],0)),"")</f>
        <v>Sports</v>
      </c>
      <c r="L2667" s="9" t="str">
        <f>IF(OR(RawWorking[[#This Row],[ShipDate]]="",RawWorking[[#This Row],[DeliveryDate]]=""),"",RawWorking[[#This Row],[DeliveryDate]]-RawWorking[[#This Row],[ShipDate]])</f>
        <v/>
      </c>
      <c r="M2667" s="9">
        <f>IF(COUNTIF(INDEX(RawWorking[OrderID],1):RawWorking[[#This Row],[OrderID]],RawWorking[[#This Row],[OrderID]])=1,1,0)</f>
        <v>1</v>
      </c>
      <c r="N2667" s="4">
        <f>IFERROR(RawWorking[[#This Row],[LineAmount]]/RawWorking[[#This Row],[Quantity]],"")</f>
        <v>119.74</v>
      </c>
    </row>
    <row r="2668" spans="1:14">
      <c r="A2668">
        <v>52667</v>
      </c>
      <c r="B2668">
        <v>31537</v>
      </c>
      <c r="C2668" s="2">
        <v>45720</v>
      </c>
      <c r="D2668">
        <v>2497</v>
      </c>
      <c r="E2668">
        <v>1015</v>
      </c>
      <c r="F2668">
        <v>1</v>
      </c>
      <c r="G2668">
        <v>119.74</v>
      </c>
      <c r="H2668" s="2">
        <v>45751</v>
      </c>
      <c r="I2668" s="2">
        <v>45759</v>
      </c>
      <c r="J2668" t="s">
        <v>9</v>
      </c>
      <c r="K2668" s="2" t="str">
        <f>IFERROR(INDEX(Product_lookup[Category],MATCH(RawWorking[[#This Row],[ProductID]],Product_lookup[ProductID],0)),"")</f>
        <v>Sports</v>
      </c>
      <c r="L2668" s="9">
        <f>IF(OR(RawWorking[[#This Row],[ShipDate]]="",RawWorking[[#This Row],[DeliveryDate]]=""),"",RawWorking[[#This Row],[DeliveryDate]]-RawWorking[[#This Row],[ShipDate]])</f>
        <v>8</v>
      </c>
      <c r="M2668" s="9">
        <f>IF(COUNTIF(INDEX(RawWorking[OrderID],1):RawWorking[[#This Row],[OrderID]],RawWorking[[#This Row],[OrderID]])=1,1,0)</f>
        <v>1</v>
      </c>
      <c r="N2668" s="4">
        <f>IFERROR(RawWorking[[#This Row],[LineAmount]]/RawWorking[[#This Row],[Quantity]],"")</f>
        <v>119.74</v>
      </c>
    </row>
    <row r="2669" spans="1:14">
      <c r="A2669">
        <v>52668</v>
      </c>
      <c r="B2669">
        <v>31538</v>
      </c>
      <c r="C2669" s="2">
        <v>45707</v>
      </c>
      <c r="D2669">
        <v>2600</v>
      </c>
      <c r="E2669">
        <v>1010</v>
      </c>
      <c r="F2669">
        <v>1</v>
      </c>
      <c r="G2669">
        <v>121.5</v>
      </c>
      <c r="H2669" s="2">
        <v>45710</v>
      </c>
      <c r="I2669" s="2">
        <v>45711</v>
      </c>
      <c r="J2669" t="s">
        <v>9</v>
      </c>
      <c r="K2669" s="2" t="str">
        <f>IFERROR(INDEX(Product_lookup[Category],MATCH(RawWorking[[#This Row],[ProductID]],Product_lookup[ProductID],0)),"")</f>
        <v>Office</v>
      </c>
      <c r="L2669" s="9">
        <f>IF(OR(RawWorking[[#This Row],[ShipDate]]="",RawWorking[[#This Row],[DeliveryDate]]=""),"",RawWorking[[#This Row],[DeliveryDate]]-RawWorking[[#This Row],[ShipDate]])</f>
        <v>1</v>
      </c>
      <c r="M2669" s="9">
        <f>IF(COUNTIF(INDEX(RawWorking[OrderID],1):RawWorking[[#This Row],[OrderID]],RawWorking[[#This Row],[OrderID]])=1,1,0)</f>
        <v>1</v>
      </c>
      <c r="N2669" s="4">
        <f>IFERROR(RawWorking[[#This Row],[LineAmount]]/RawWorking[[#This Row],[Quantity]],"")</f>
        <v>121.5</v>
      </c>
    </row>
    <row r="2670" spans="1:14">
      <c r="A2670">
        <v>52669</v>
      </c>
      <c r="B2670">
        <v>31538</v>
      </c>
      <c r="C2670" s="2">
        <v>45707</v>
      </c>
      <c r="D2670">
        <v>2600</v>
      </c>
      <c r="E2670">
        <v>1013</v>
      </c>
      <c r="F2670">
        <v>1</v>
      </c>
      <c r="G2670">
        <v>170.25</v>
      </c>
      <c r="H2670" s="2">
        <v>45710</v>
      </c>
      <c r="I2670" s="2">
        <v>45712</v>
      </c>
      <c r="J2670" t="s">
        <v>9</v>
      </c>
      <c r="K2670" s="2" t="str">
        <f>IFERROR(INDEX(Product_lookup[Category],MATCH(RawWorking[[#This Row],[ProductID]],Product_lookup[ProductID],0)),"")</f>
        <v>Office</v>
      </c>
      <c r="L2670" s="9">
        <f>IF(OR(RawWorking[[#This Row],[ShipDate]]="",RawWorking[[#This Row],[DeliveryDate]]=""),"",RawWorking[[#This Row],[DeliveryDate]]-RawWorking[[#This Row],[ShipDate]])</f>
        <v>2</v>
      </c>
      <c r="M2670" s="9">
        <f>IF(COUNTIF(INDEX(RawWorking[OrderID],1):RawWorking[[#This Row],[OrderID]],RawWorking[[#This Row],[OrderID]])=1,1,0)</f>
        <v>0</v>
      </c>
      <c r="N2670" s="4">
        <f>IFERROR(RawWorking[[#This Row],[LineAmount]]/RawWorking[[#This Row],[Quantity]],"")</f>
        <v>170.25</v>
      </c>
    </row>
    <row r="2671" spans="1:14">
      <c r="A2671">
        <v>52670</v>
      </c>
      <c r="B2671">
        <v>31539</v>
      </c>
      <c r="C2671" s="2">
        <v>45943</v>
      </c>
      <c r="D2671">
        <v>2053</v>
      </c>
      <c r="E2671">
        <v>1004</v>
      </c>
      <c r="F2671">
        <v>1</v>
      </c>
      <c r="G2671">
        <v>183.74</v>
      </c>
      <c r="H2671" s="2">
        <v>45946</v>
      </c>
      <c r="I2671" s="2">
        <v>45954</v>
      </c>
      <c r="J2671" t="s">
        <v>9</v>
      </c>
      <c r="K2671" s="2" t="str">
        <f>IFERROR(INDEX(Product_lookup[Category],MATCH(RawWorking[[#This Row],[ProductID]],Product_lookup[ProductID],0)),"")</f>
        <v>Electronics</v>
      </c>
      <c r="L2671" s="9">
        <f>IF(OR(RawWorking[[#This Row],[ShipDate]]="",RawWorking[[#This Row],[DeliveryDate]]=""),"",RawWorking[[#This Row],[DeliveryDate]]-RawWorking[[#This Row],[ShipDate]])</f>
        <v>8</v>
      </c>
      <c r="M2671" s="9">
        <f>IF(COUNTIF(INDEX(RawWorking[OrderID],1):RawWorking[[#This Row],[OrderID]],RawWorking[[#This Row],[OrderID]])=1,1,0)</f>
        <v>1</v>
      </c>
      <c r="N2671" s="4">
        <f>IFERROR(RawWorking[[#This Row],[LineAmount]]/RawWorking[[#This Row],[Quantity]],"")</f>
        <v>183.74</v>
      </c>
    </row>
    <row r="2672" spans="1:14">
      <c r="A2672">
        <v>52671</v>
      </c>
      <c r="B2672">
        <v>31540</v>
      </c>
      <c r="C2672" s="2">
        <v>45729</v>
      </c>
      <c r="D2672">
        <v>2443</v>
      </c>
      <c r="E2672">
        <v>1016</v>
      </c>
      <c r="F2672">
        <v>2</v>
      </c>
      <c r="G2672">
        <v>130.52000000000001</v>
      </c>
      <c r="H2672" s="2">
        <v>45731</v>
      </c>
      <c r="I2672" s="2">
        <v>45739</v>
      </c>
      <c r="J2672" t="s">
        <v>11</v>
      </c>
      <c r="K2672" s="2" t="str">
        <f>IFERROR(INDEX(Product_lookup[Category],MATCH(RawWorking[[#This Row],[ProductID]],Product_lookup[ProductID],0)),"")</f>
        <v>Sports</v>
      </c>
      <c r="L2672" s="9">
        <f>IF(OR(RawWorking[[#This Row],[ShipDate]]="",RawWorking[[#This Row],[DeliveryDate]]=""),"",RawWorking[[#This Row],[DeliveryDate]]-RawWorking[[#This Row],[ShipDate]])</f>
        <v>8</v>
      </c>
      <c r="M2672" s="9">
        <f>IF(COUNTIF(INDEX(RawWorking[OrderID],1):RawWorking[[#This Row],[OrderID]],RawWorking[[#This Row],[OrderID]])=1,1,0)</f>
        <v>1</v>
      </c>
      <c r="N2672" s="4">
        <f>IFERROR(RawWorking[[#This Row],[LineAmount]]/RawWorking[[#This Row],[Quantity]],"")</f>
        <v>65.260000000000005</v>
      </c>
    </row>
    <row r="2673" spans="1:14">
      <c r="A2673">
        <v>52672</v>
      </c>
      <c r="B2673">
        <v>31541</v>
      </c>
      <c r="C2673" s="2">
        <v>46006</v>
      </c>
      <c r="D2673">
        <v>2593</v>
      </c>
      <c r="E2673">
        <v>1010</v>
      </c>
      <c r="F2673">
        <v>1</v>
      </c>
      <c r="G2673">
        <v>121.5</v>
      </c>
      <c r="H2673" s="2">
        <v>46008</v>
      </c>
      <c r="I2673" s="2">
        <v>46012</v>
      </c>
      <c r="J2673" t="s">
        <v>9</v>
      </c>
      <c r="K2673" s="2" t="str">
        <f>IFERROR(INDEX(Product_lookup[Category],MATCH(RawWorking[[#This Row],[ProductID]],Product_lookup[ProductID],0)),"")</f>
        <v>Office</v>
      </c>
      <c r="L2673" s="9">
        <f>IF(OR(RawWorking[[#This Row],[ShipDate]]="",RawWorking[[#This Row],[DeliveryDate]]=""),"",RawWorking[[#This Row],[DeliveryDate]]-RawWorking[[#This Row],[ShipDate]])</f>
        <v>4</v>
      </c>
      <c r="M2673" s="9">
        <f>IF(COUNTIF(INDEX(RawWorking[OrderID],1):RawWorking[[#This Row],[OrderID]],RawWorking[[#This Row],[OrderID]])=1,1,0)</f>
        <v>1</v>
      </c>
      <c r="N2673" s="4">
        <f>IFERROR(RawWorking[[#This Row],[LineAmount]]/RawWorking[[#This Row],[Quantity]],"")</f>
        <v>121.5</v>
      </c>
    </row>
    <row r="2674" spans="1:14">
      <c r="A2674">
        <v>52673</v>
      </c>
      <c r="B2674">
        <v>31541</v>
      </c>
      <c r="C2674" s="2">
        <v>46006</v>
      </c>
      <c r="D2674">
        <v>2593</v>
      </c>
      <c r="E2674">
        <v>1002</v>
      </c>
      <c r="F2674">
        <v>1</v>
      </c>
      <c r="G2674">
        <v>118.6</v>
      </c>
      <c r="H2674" s="2">
        <v>46009</v>
      </c>
      <c r="I2674" s="2">
        <v>46011</v>
      </c>
      <c r="J2674" t="s">
        <v>9</v>
      </c>
      <c r="K2674" s="2" t="str">
        <f>IFERROR(INDEX(Product_lookup[Category],MATCH(RawWorking[[#This Row],[ProductID]],Product_lookup[ProductID],0)),"")</f>
        <v>Electronics</v>
      </c>
      <c r="L2674" s="9">
        <f>IF(OR(RawWorking[[#This Row],[ShipDate]]="",RawWorking[[#This Row],[DeliveryDate]]=""),"",RawWorking[[#This Row],[DeliveryDate]]-RawWorking[[#This Row],[ShipDate]])</f>
        <v>2</v>
      </c>
      <c r="M2674" s="9">
        <f>IF(COUNTIF(INDEX(RawWorking[OrderID],1):RawWorking[[#This Row],[OrderID]],RawWorking[[#This Row],[OrderID]])=1,1,0)</f>
        <v>0</v>
      </c>
      <c r="N2674" s="4">
        <f>IFERROR(RawWorking[[#This Row],[LineAmount]]/RawWorking[[#This Row],[Quantity]],"")</f>
        <v>118.6</v>
      </c>
    </row>
    <row r="2675" spans="1:14">
      <c r="A2675">
        <v>52674</v>
      </c>
      <c r="B2675">
        <v>31542</v>
      </c>
      <c r="C2675" s="2">
        <v>45763</v>
      </c>
      <c r="D2675">
        <v>2500</v>
      </c>
      <c r="E2675">
        <v>1016</v>
      </c>
      <c r="F2675">
        <v>3</v>
      </c>
      <c r="G2675">
        <v>195.78</v>
      </c>
      <c r="H2675" s="2">
        <v>45764</v>
      </c>
      <c r="I2675" s="2">
        <v>45769</v>
      </c>
      <c r="J2675" t="s">
        <v>9</v>
      </c>
      <c r="K2675" s="2" t="str">
        <f>IFERROR(INDEX(Product_lookup[Category],MATCH(RawWorking[[#This Row],[ProductID]],Product_lookup[ProductID],0)),"")</f>
        <v>Sports</v>
      </c>
      <c r="L2675" s="9">
        <f>IF(OR(RawWorking[[#This Row],[ShipDate]]="",RawWorking[[#This Row],[DeliveryDate]]=""),"",RawWorking[[#This Row],[DeliveryDate]]-RawWorking[[#This Row],[ShipDate]])</f>
        <v>5</v>
      </c>
      <c r="M2675" s="9">
        <f>IF(COUNTIF(INDEX(RawWorking[OrderID],1):RawWorking[[#This Row],[OrderID]],RawWorking[[#This Row],[OrderID]])=1,1,0)</f>
        <v>1</v>
      </c>
      <c r="N2675" s="4">
        <f>IFERROR(RawWorking[[#This Row],[LineAmount]]/RawWorking[[#This Row],[Quantity]],"")</f>
        <v>65.260000000000005</v>
      </c>
    </row>
    <row r="2676" spans="1:14">
      <c r="A2676">
        <v>52675</v>
      </c>
      <c r="B2676">
        <v>31542</v>
      </c>
      <c r="C2676" s="2">
        <v>45763</v>
      </c>
      <c r="D2676">
        <v>2500</v>
      </c>
      <c r="E2676">
        <v>1008</v>
      </c>
      <c r="F2676">
        <v>5</v>
      </c>
      <c r="G2676">
        <v>1030.45</v>
      </c>
      <c r="H2676" s="2">
        <v>45764</v>
      </c>
      <c r="I2676" s="2">
        <v>45773</v>
      </c>
      <c r="J2676" t="s">
        <v>9</v>
      </c>
      <c r="K2676" s="2" t="str">
        <f>IFERROR(INDEX(Product_lookup[Category],MATCH(RawWorking[[#This Row],[ProductID]],Product_lookup[ProductID],0)),"")</f>
        <v>Home</v>
      </c>
      <c r="L2676" s="9">
        <f>IF(OR(RawWorking[[#This Row],[ShipDate]]="",RawWorking[[#This Row],[DeliveryDate]]=""),"",RawWorking[[#This Row],[DeliveryDate]]-RawWorking[[#This Row],[ShipDate]])</f>
        <v>9</v>
      </c>
      <c r="M2676" s="9">
        <f>IF(COUNTIF(INDEX(RawWorking[OrderID],1):RawWorking[[#This Row],[OrderID]],RawWorking[[#This Row],[OrderID]])=1,1,0)</f>
        <v>0</v>
      </c>
      <c r="N2676" s="4">
        <f>IFERROR(RawWorking[[#This Row],[LineAmount]]/RawWorking[[#This Row],[Quantity]],"")</f>
        <v>206.09</v>
      </c>
    </row>
    <row r="2677" spans="1:14">
      <c r="A2677">
        <v>52676</v>
      </c>
      <c r="B2677">
        <v>31543</v>
      </c>
      <c r="C2677" s="2">
        <v>45660</v>
      </c>
      <c r="D2677">
        <v>2063</v>
      </c>
      <c r="E2677">
        <v>1014</v>
      </c>
      <c r="F2677">
        <v>2</v>
      </c>
      <c r="G2677">
        <v>430.68</v>
      </c>
      <c r="H2677" s="2">
        <v>45661</v>
      </c>
      <c r="I2677" s="2">
        <v>45668</v>
      </c>
      <c r="J2677" t="s">
        <v>9</v>
      </c>
      <c r="K2677" s="2" t="str">
        <f>IFERROR(INDEX(Product_lookup[Category],MATCH(RawWorking[[#This Row],[ProductID]],Product_lookup[ProductID],0)),"")</f>
        <v>Sports</v>
      </c>
      <c r="L2677" s="9">
        <f>IF(OR(RawWorking[[#This Row],[ShipDate]]="",RawWorking[[#This Row],[DeliveryDate]]=""),"",RawWorking[[#This Row],[DeliveryDate]]-RawWorking[[#This Row],[ShipDate]])</f>
        <v>7</v>
      </c>
      <c r="M2677" s="9">
        <f>IF(COUNTIF(INDEX(RawWorking[OrderID],1):RawWorking[[#This Row],[OrderID]],RawWorking[[#This Row],[OrderID]])=1,1,0)</f>
        <v>1</v>
      </c>
      <c r="N2677" s="4">
        <f>IFERROR(RawWorking[[#This Row],[LineAmount]]/RawWorking[[#This Row],[Quantity]],"")</f>
        <v>215.34</v>
      </c>
    </row>
    <row r="2678" spans="1:14">
      <c r="A2678">
        <v>52677</v>
      </c>
      <c r="B2678">
        <v>31543</v>
      </c>
      <c r="C2678" s="2">
        <v>45660</v>
      </c>
      <c r="D2678">
        <v>2063</v>
      </c>
      <c r="E2678">
        <v>1011</v>
      </c>
      <c r="F2678">
        <v>1</v>
      </c>
      <c r="G2678">
        <v>101.44</v>
      </c>
      <c r="H2678" s="2">
        <v>45662</v>
      </c>
      <c r="I2678" s="2">
        <v>45870</v>
      </c>
      <c r="J2678" t="s">
        <v>9</v>
      </c>
      <c r="K2678" s="2" t="str">
        <f>IFERROR(INDEX(Product_lookup[Category],MATCH(RawWorking[[#This Row],[ProductID]],Product_lookup[ProductID],0)),"")</f>
        <v>Office</v>
      </c>
      <c r="L2678" s="9">
        <f>IF(OR(RawWorking[[#This Row],[ShipDate]]="",RawWorking[[#This Row],[DeliveryDate]]=""),"",RawWorking[[#This Row],[DeliveryDate]]-RawWorking[[#This Row],[ShipDate]])</f>
        <v>208</v>
      </c>
      <c r="M2678" s="9">
        <f>IF(COUNTIF(INDEX(RawWorking[OrderID],1):RawWorking[[#This Row],[OrderID]],RawWorking[[#This Row],[OrderID]])=1,1,0)</f>
        <v>0</v>
      </c>
      <c r="N2678" s="4">
        <f>IFERROR(RawWorking[[#This Row],[LineAmount]]/RawWorking[[#This Row],[Quantity]],"")</f>
        <v>101.44</v>
      </c>
    </row>
    <row r="2679" spans="1:14">
      <c r="A2679">
        <v>52678</v>
      </c>
      <c r="B2679">
        <v>31544</v>
      </c>
      <c r="C2679" s="2">
        <v>45880</v>
      </c>
      <c r="D2679">
        <v>2567</v>
      </c>
      <c r="E2679">
        <v>1014</v>
      </c>
      <c r="F2679">
        <v>1</v>
      </c>
      <c r="G2679">
        <v>215.34</v>
      </c>
      <c r="H2679" s="2">
        <v>45971</v>
      </c>
      <c r="I2679" s="2">
        <v>45972</v>
      </c>
      <c r="J2679" t="s">
        <v>9</v>
      </c>
      <c r="K2679" s="2" t="str">
        <f>IFERROR(INDEX(Product_lookup[Category],MATCH(RawWorking[[#This Row],[ProductID]],Product_lookup[ProductID],0)),"")</f>
        <v>Sports</v>
      </c>
      <c r="L2679" s="9">
        <f>IF(OR(RawWorking[[#This Row],[ShipDate]]="",RawWorking[[#This Row],[DeliveryDate]]=""),"",RawWorking[[#This Row],[DeliveryDate]]-RawWorking[[#This Row],[ShipDate]])</f>
        <v>1</v>
      </c>
      <c r="M2679" s="9">
        <f>IF(COUNTIF(INDEX(RawWorking[OrderID],1):RawWorking[[#This Row],[OrderID]],RawWorking[[#This Row],[OrderID]])=1,1,0)</f>
        <v>1</v>
      </c>
      <c r="N2679" s="4">
        <f>IFERROR(RawWorking[[#This Row],[LineAmount]]/RawWorking[[#This Row],[Quantity]],"")</f>
        <v>215.34</v>
      </c>
    </row>
    <row r="2680" spans="1:14">
      <c r="A2680">
        <v>52679</v>
      </c>
      <c r="B2680">
        <v>31544</v>
      </c>
      <c r="C2680" s="2">
        <v>45880</v>
      </c>
      <c r="D2680">
        <v>2567</v>
      </c>
      <c r="E2680">
        <v>1016</v>
      </c>
      <c r="F2680">
        <v>1</v>
      </c>
      <c r="G2680">
        <v>65.260000000000005</v>
      </c>
      <c r="H2680" s="2">
        <v>45971</v>
      </c>
      <c r="I2680" s="2">
        <v>45981</v>
      </c>
      <c r="J2680" t="s">
        <v>9</v>
      </c>
      <c r="K2680" s="2" t="str">
        <f>IFERROR(INDEX(Product_lookup[Category],MATCH(RawWorking[[#This Row],[ProductID]],Product_lookup[ProductID],0)),"")</f>
        <v>Sports</v>
      </c>
      <c r="L2680" s="9">
        <f>IF(OR(RawWorking[[#This Row],[ShipDate]]="",RawWorking[[#This Row],[DeliveryDate]]=""),"",RawWorking[[#This Row],[DeliveryDate]]-RawWorking[[#This Row],[ShipDate]])</f>
        <v>10</v>
      </c>
      <c r="M2680" s="9">
        <f>IF(COUNTIF(INDEX(RawWorking[OrderID],1):RawWorking[[#This Row],[OrderID]],RawWorking[[#This Row],[OrderID]])=1,1,0)</f>
        <v>0</v>
      </c>
      <c r="N2680" s="4">
        <f>IFERROR(RawWorking[[#This Row],[LineAmount]]/RawWorking[[#This Row],[Quantity]],"")</f>
        <v>65.260000000000005</v>
      </c>
    </row>
    <row r="2681" spans="1:14">
      <c r="A2681">
        <v>52680</v>
      </c>
      <c r="B2681">
        <v>31545</v>
      </c>
      <c r="C2681" s="2">
        <v>45985</v>
      </c>
      <c r="D2681">
        <v>2120</v>
      </c>
      <c r="E2681">
        <v>1012</v>
      </c>
      <c r="F2681">
        <v>3</v>
      </c>
      <c r="G2681">
        <v>724.62</v>
      </c>
      <c r="H2681" s="2">
        <v>45988</v>
      </c>
      <c r="I2681" s="2">
        <v>45993</v>
      </c>
      <c r="J2681" t="s">
        <v>9</v>
      </c>
      <c r="K2681" s="2" t="str">
        <f>IFERROR(INDEX(Product_lookup[Category],MATCH(RawWorking[[#This Row],[ProductID]],Product_lookup[ProductID],0)),"")</f>
        <v>Office</v>
      </c>
      <c r="L2681" s="9">
        <f>IF(OR(RawWorking[[#This Row],[ShipDate]]="",RawWorking[[#This Row],[DeliveryDate]]=""),"",RawWorking[[#This Row],[DeliveryDate]]-RawWorking[[#This Row],[ShipDate]])</f>
        <v>5</v>
      </c>
      <c r="M2681" s="9">
        <f>IF(COUNTIF(INDEX(RawWorking[OrderID],1):RawWorking[[#This Row],[OrderID]],RawWorking[[#This Row],[OrderID]])=1,1,0)</f>
        <v>1</v>
      </c>
      <c r="N2681" s="4">
        <f>IFERROR(RawWorking[[#This Row],[LineAmount]]/RawWorking[[#This Row],[Quantity]],"")</f>
        <v>241.54</v>
      </c>
    </row>
    <row r="2682" spans="1:14">
      <c r="A2682">
        <v>52681</v>
      </c>
      <c r="B2682">
        <v>31546</v>
      </c>
      <c r="C2682" s="2">
        <v>45959</v>
      </c>
      <c r="D2682">
        <v>2460</v>
      </c>
      <c r="E2682">
        <v>1001</v>
      </c>
      <c r="F2682">
        <v>1</v>
      </c>
      <c r="G2682">
        <v>203.04</v>
      </c>
      <c r="H2682" s="2">
        <v>45962</v>
      </c>
      <c r="I2682" s="2">
        <v>45968</v>
      </c>
      <c r="J2682" t="s">
        <v>9</v>
      </c>
      <c r="K2682" s="2" t="str">
        <f>IFERROR(INDEX(Product_lookup[Category],MATCH(RawWorking[[#This Row],[ProductID]],Product_lookup[ProductID],0)),"")</f>
        <v>Electronics</v>
      </c>
      <c r="L2682" s="9">
        <f>IF(OR(RawWorking[[#This Row],[ShipDate]]="",RawWorking[[#This Row],[DeliveryDate]]=""),"",RawWorking[[#This Row],[DeliveryDate]]-RawWorking[[#This Row],[ShipDate]])</f>
        <v>6</v>
      </c>
      <c r="M2682" s="9">
        <f>IF(COUNTIF(INDEX(RawWorking[OrderID],1):RawWorking[[#This Row],[OrderID]],RawWorking[[#This Row],[OrderID]])=1,1,0)</f>
        <v>1</v>
      </c>
      <c r="N2682" s="4">
        <f>IFERROR(RawWorking[[#This Row],[LineAmount]]/RawWorking[[#This Row],[Quantity]],"")</f>
        <v>203.04</v>
      </c>
    </row>
    <row r="2683" spans="1:14">
      <c r="A2683">
        <v>52682</v>
      </c>
      <c r="B2683">
        <v>31546</v>
      </c>
      <c r="C2683" s="2">
        <v>45959</v>
      </c>
      <c r="D2683">
        <v>2460</v>
      </c>
      <c r="E2683">
        <v>1006</v>
      </c>
      <c r="F2683">
        <v>1</v>
      </c>
      <c r="G2683">
        <v>253.86</v>
      </c>
      <c r="H2683" s="2">
        <v>45962</v>
      </c>
      <c r="I2683" s="2">
        <v>45966</v>
      </c>
      <c r="J2683" t="s">
        <v>9</v>
      </c>
      <c r="K2683" s="2" t="str">
        <f>IFERROR(INDEX(Product_lookup[Category],MATCH(RawWorking[[#This Row],[ProductID]],Product_lookup[ProductID],0)),"")</f>
        <v>Home</v>
      </c>
      <c r="L2683" s="9">
        <f>IF(OR(RawWorking[[#This Row],[ShipDate]]="",RawWorking[[#This Row],[DeliveryDate]]=""),"",RawWorking[[#This Row],[DeliveryDate]]-RawWorking[[#This Row],[ShipDate]])</f>
        <v>4</v>
      </c>
      <c r="M2683" s="9">
        <f>IF(COUNTIF(INDEX(RawWorking[OrderID],1):RawWorking[[#This Row],[OrderID]],RawWorking[[#This Row],[OrderID]])=1,1,0)</f>
        <v>0</v>
      </c>
      <c r="N2683" s="4">
        <f>IFERROR(RawWorking[[#This Row],[LineAmount]]/RawWorking[[#This Row],[Quantity]],"")</f>
        <v>253.86</v>
      </c>
    </row>
    <row r="2684" spans="1:14">
      <c r="A2684">
        <v>52683</v>
      </c>
      <c r="B2684">
        <v>31547</v>
      </c>
      <c r="C2684" s="2">
        <v>45777</v>
      </c>
      <c r="D2684">
        <v>2295</v>
      </c>
      <c r="E2684">
        <v>1016</v>
      </c>
      <c r="F2684">
        <v>1</v>
      </c>
      <c r="G2684">
        <v>65.260000000000005</v>
      </c>
      <c r="H2684" s="2">
        <v>45779</v>
      </c>
      <c r="I2684" s="2">
        <v>45782</v>
      </c>
      <c r="J2684" t="s">
        <v>9</v>
      </c>
      <c r="K2684" s="2" t="str">
        <f>IFERROR(INDEX(Product_lookup[Category],MATCH(RawWorking[[#This Row],[ProductID]],Product_lookup[ProductID],0)),"")</f>
        <v>Sports</v>
      </c>
      <c r="L2684" s="9">
        <f>IF(OR(RawWorking[[#This Row],[ShipDate]]="",RawWorking[[#This Row],[DeliveryDate]]=""),"",RawWorking[[#This Row],[DeliveryDate]]-RawWorking[[#This Row],[ShipDate]])</f>
        <v>3</v>
      </c>
      <c r="M2684" s="9">
        <f>IF(COUNTIF(INDEX(RawWorking[OrderID],1):RawWorking[[#This Row],[OrderID]],RawWorking[[#This Row],[OrderID]])=1,1,0)</f>
        <v>1</v>
      </c>
      <c r="N2684" s="4">
        <f>IFERROR(RawWorking[[#This Row],[LineAmount]]/RawWorking[[#This Row],[Quantity]],"")</f>
        <v>65.260000000000005</v>
      </c>
    </row>
    <row r="2685" spans="1:14">
      <c r="A2685">
        <v>52684</v>
      </c>
      <c r="B2685">
        <v>31547</v>
      </c>
      <c r="C2685" s="2">
        <v>45777</v>
      </c>
      <c r="D2685">
        <v>2295</v>
      </c>
      <c r="E2685">
        <v>1012</v>
      </c>
      <c r="F2685">
        <v>3</v>
      </c>
      <c r="G2685">
        <v>724.62</v>
      </c>
      <c r="H2685" s="2">
        <v>45780</v>
      </c>
      <c r="I2685" s="2">
        <v>45784</v>
      </c>
      <c r="J2685" t="s">
        <v>9</v>
      </c>
      <c r="K2685" s="2" t="str">
        <f>IFERROR(INDEX(Product_lookup[Category],MATCH(RawWorking[[#This Row],[ProductID]],Product_lookup[ProductID],0)),"")</f>
        <v>Office</v>
      </c>
      <c r="L2685" s="9">
        <f>IF(OR(RawWorking[[#This Row],[ShipDate]]="",RawWorking[[#This Row],[DeliveryDate]]=""),"",RawWorking[[#This Row],[DeliveryDate]]-RawWorking[[#This Row],[ShipDate]])</f>
        <v>4</v>
      </c>
      <c r="M2685" s="9">
        <f>IF(COUNTIF(INDEX(RawWorking[OrderID],1):RawWorking[[#This Row],[OrderID]],RawWorking[[#This Row],[OrderID]])=1,1,0)</f>
        <v>0</v>
      </c>
      <c r="N2685" s="4">
        <f>IFERROR(RawWorking[[#This Row],[LineAmount]]/RawWorking[[#This Row],[Quantity]],"")</f>
        <v>241.54</v>
      </c>
    </row>
    <row r="2686" spans="1:14">
      <c r="A2686">
        <v>52685</v>
      </c>
      <c r="B2686">
        <v>31547</v>
      </c>
      <c r="C2686" s="2">
        <v>45777</v>
      </c>
      <c r="D2686">
        <v>2295</v>
      </c>
      <c r="E2686">
        <v>1015</v>
      </c>
      <c r="F2686">
        <v>1</v>
      </c>
      <c r="G2686">
        <v>119.74</v>
      </c>
      <c r="H2686" s="2">
        <v>45778</v>
      </c>
      <c r="I2686" s="2">
        <v>45787</v>
      </c>
      <c r="J2686" t="s">
        <v>9</v>
      </c>
      <c r="K2686" s="2" t="str">
        <f>IFERROR(INDEX(Product_lookup[Category],MATCH(RawWorking[[#This Row],[ProductID]],Product_lookup[ProductID],0)),"")</f>
        <v>Sports</v>
      </c>
      <c r="L2686" s="9">
        <f>IF(OR(RawWorking[[#This Row],[ShipDate]]="",RawWorking[[#This Row],[DeliveryDate]]=""),"",RawWorking[[#This Row],[DeliveryDate]]-RawWorking[[#This Row],[ShipDate]])</f>
        <v>9</v>
      </c>
      <c r="M2686" s="9">
        <f>IF(COUNTIF(INDEX(RawWorking[OrderID],1):RawWorking[[#This Row],[OrderID]],RawWorking[[#This Row],[OrderID]])=1,1,0)</f>
        <v>0</v>
      </c>
      <c r="N2686" s="4">
        <f>IFERROR(RawWorking[[#This Row],[LineAmount]]/RawWorking[[#This Row],[Quantity]],"")</f>
        <v>119.74</v>
      </c>
    </row>
    <row r="2687" spans="1:14">
      <c r="A2687">
        <v>52686</v>
      </c>
      <c r="B2687">
        <v>31548</v>
      </c>
      <c r="C2687" s="2">
        <v>45917</v>
      </c>
      <c r="D2687">
        <v>2238</v>
      </c>
      <c r="E2687">
        <v>1011</v>
      </c>
      <c r="F2687">
        <v>1</v>
      </c>
      <c r="G2687">
        <v>101.44</v>
      </c>
      <c r="H2687" s="2">
        <v>45919</v>
      </c>
      <c r="I2687" s="2">
        <v>45926</v>
      </c>
      <c r="J2687" t="s">
        <v>9</v>
      </c>
      <c r="K2687" s="2" t="str">
        <f>IFERROR(INDEX(Product_lookup[Category],MATCH(RawWorking[[#This Row],[ProductID]],Product_lookup[ProductID],0)),"")</f>
        <v>Office</v>
      </c>
      <c r="L2687" s="9">
        <f>IF(OR(RawWorking[[#This Row],[ShipDate]]="",RawWorking[[#This Row],[DeliveryDate]]=""),"",RawWorking[[#This Row],[DeliveryDate]]-RawWorking[[#This Row],[ShipDate]])</f>
        <v>7</v>
      </c>
      <c r="M2687" s="9">
        <f>IF(COUNTIF(INDEX(RawWorking[OrderID],1):RawWorking[[#This Row],[OrderID]],RawWorking[[#This Row],[OrderID]])=1,1,0)</f>
        <v>1</v>
      </c>
      <c r="N2687" s="4">
        <f>IFERROR(RawWorking[[#This Row],[LineAmount]]/RawWorking[[#This Row],[Quantity]],"")</f>
        <v>101.44</v>
      </c>
    </row>
    <row r="2688" spans="1:14">
      <c r="A2688">
        <v>52687</v>
      </c>
      <c r="B2688">
        <v>31548</v>
      </c>
      <c r="C2688" s="2">
        <v>45917</v>
      </c>
      <c r="D2688">
        <v>2238</v>
      </c>
      <c r="E2688">
        <v>1015</v>
      </c>
      <c r="F2688">
        <v>2</v>
      </c>
      <c r="G2688">
        <v>239.48</v>
      </c>
      <c r="H2688" s="2">
        <v>45919</v>
      </c>
      <c r="I2688" s="2">
        <v>45927</v>
      </c>
      <c r="J2688" t="s">
        <v>9</v>
      </c>
      <c r="K2688" s="2" t="str">
        <f>IFERROR(INDEX(Product_lookup[Category],MATCH(RawWorking[[#This Row],[ProductID]],Product_lookup[ProductID],0)),"")</f>
        <v>Sports</v>
      </c>
      <c r="L2688" s="9">
        <f>IF(OR(RawWorking[[#This Row],[ShipDate]]="",RawWorking[[#This Row],[DeliveryDate]]=""),"",RawWorking[[#This Row],[DeliveryDate]]-RawWorking[[#This Row],[ShipDate]])</f>
        <v>8</v>
      </c>
      <c r="M2688" s="9">
        <f>IF(COUNTIF(INDEX(RawWorking[OrderID],1):RawWorking[[#This Row],[OrderID]],RawWorking[[#This Row],[OrderID]])=1,1,0)</f>
        <v>0</v>
      </c>
      <c r="N2688" s="4">
        <f>IFERROR(RawWorking[[#This Row],[LineAmount]]/RawWorking[[#This Row],[Quantity]],"")</f>
        <v>119.74</v>
      </c>
    </row>
    <row r="2689" spans="1:14">
      <c r="A2689">
        <v>52688</v>
      </c>
      <c r="B2689">
        <v>31549</v>
      </c>
      <c r="C2689" s="2">
        <v>45716</v>
      </c>
      <c r="D2689">
        <v>2135</v>
      </c>
      <c r="E2689">
        <v>1013</v>
      </c>
      <c r="F2689">
        <v>1</v>
      </c>
      <c r="G2689">
        <v>170.25</v>
      </c>
      <c r="H2689" s="2" t="s">
        <v>1421</v>
      </c>
      <c r="I2689" s="2" t="s">
        <v>1421</v>
      </c>
      <c r="J2689" t="s">
        <v>12</v>
      </c>
      <c r="K2689" s="2" t="str">
        <f>IFERROR(INDEX(Product_lookup[Category],MATCH(RawWorking[[#This Row],[ProductID]],Product_lookup[ProductID],0)),"")</f>
        <v>Office</v>
      </c>
      <c r="L2689" s="9" t="str">
        <f>IF(OR(RawWorking[[#This Row],[ShipDate]]="",RawWorking[[#This Row],[DeliveryDate]]=""),"",RawWorking[[#This Row],[DeliveryDate]]-RawWorking[[#This Row],[ShipDate]])</f>
        <v/>
      </c>
      <c r="M2689" s="9">
        <f>IF(COUNTIF(INDEX(RawWorking[OrderID],1):RawWorking[[#This Row],[OrderID]],RawWorking[[#This Row],[OrderID]])=1,1,0)</f>
        <v>1</v>
      </c>
      <c r="N2689" s="4">
        <f>IFERROR(RawWorking[[#This Row],[LineAmount]]/RawWorking[[#This Row],[Quantity]],"")</f>
        <v>170.25</v>
      </c>
    </row>
    <row r="2690" spans="1:14">
      <c r="A2690">
        <v>52689</v>
      </c>
      <c r="B2690">
        <v>31550</v>
      </c>
      <c r="C2690" s="2">
        <v>45920</v>
      </c>
      <c r="D2690">
        <v>2427</v>
      </c>
      <c r="E2690">
        <v>1012</v>
      </c>
      <c r="F2690">
        <v>4</v>
      </c>
      <c r="G2690">
        <v>966.16</v>
      </c>
      <c r="H2690" s="2" t="s">
        <v>1421</v>
      </c>
      <c r="I2690" s="2" t="s">
        <v>1421</v>
      </c>
      <c r="J2690" t="s">
        <v>16</v>
      </c>
      <c r="K2690" s="2" t="str">
        <f>IFERROR(INDEX(Product_lookup[Category],MATCH(RawWorking[[#This Row],[ProductID]],Product_lookup[ProductID],0)),"")</f>
        <v>Office</v>
      </c>
      <c r="L2690" s="9" t="str">
        <f>IF(OR(RawWorking[[#This Row],[ShipDate]]="",RawWorking[[#This Row],[DeliveryDate]]=""),"",RawWorking[[#This Row],[DeliveryDate]]-RawWorking[[#This Row],[ShipDate]])</f>
        <v/>
      </c>
      <c r="M2690" s="9">
        <f>IF(COUNTIF(INDEX(RawWorking[OrderID],1):RawWorking[[#This Row],[OrderID]],RawWorking[[#This Row],[OrderID]])=1,1,0)</f>
        <v>1</v>
      </c>
      <c r="N2690" s="4">
        <f>IFERROR(RawWorking[[#This Row],[LineAmount]]/RawWorking[[#This Row],[Quantity]],"")</f>
        <v>241.54</v>
      </c>
    </row>
    <row r="2691" spans="1:14">
      <c r="A2691">
        <v>52690</v>
      </c>
      <c r="B2691">
        <v>31551</v>
      </c>
      <c r="C2691" s="2">
        <v>45722</v>
      </c>
      <c r="D2691">
        <v>2166</v>
      </c>
      <c r="E2691">
        <v>1010</v>
      </c>
      <c r="F2691">
        <v>1</v>
      </c>
      <c r="G2691">
        <v>121.5</v>
      </c>
      <c r="H2691" s="2">
        <v>45725</v>
      </c>
      <c r="I2691" s="2">
        <v>45729</v>
      </c>
      <c r="J2691" t="s">
        <v>9</v>
      </c>
      <c r="K2691" s="2" t="str">
        <f>IFERROR(INDEX(Product_lookup[Category],MATCH(RawWorking[[#This Row],[ProductID]],Product_lookup[ProductID],0)),"")</f>
        <v>Office</v>
      </c>
      <c r="L2691" s="9">
        <f>IF(OR(RawWorking[[#This Row],[ShipDate]]="",RawWorking[[#This Row],[DeliveryDate]]=""),"",RawWorking[[#This Row],[DeliveryDate]]-RawWorking[[#This Row],[ShipDate]])</f>
        <v>4</v>
      </c>
      <c r="M2691" s="9">
        <f>IF(COUNTIF(INDEX(RawWorking[OrderID],1):RawWorking[[#This Row],[OrderID]],RawWorking[[#This Row],[OrderID]])=1,1,0)</f>
        <v>1</v>
      </c>
      <c r="N2691" s="4">
        <f>IFERROR(RawWorking[[#This Row],[LineAmount]]/RawWorking[[#This Row],[Quantity]],"")</f>
        <v>121.5</v>
      </c>
    </row>
    <row r="2692" spans="1:14">
      <c r="A2692">
        <v>52691</v>
      </c>
      <c r="B2692">
        <v>31551</v>
      </c>
      <c r="C2692" s="2">
        <v>45722</v>
      </c>
      <c r="D2692">
        <v>2166</v>
      </c>
      <c r="E2692">
        <v>1003</v>
      </c>
      <c r="F2692">
        <v>1</v>
      </c>
      <c r="G2692">
        <v>224.37</v>
      </c>
      <c r="H2692" s="2">
        <v>45724</v>
      </c>
      <c r="I2692" s="2">
        <v>45726</v>
      </c>
      <c r="J2692" t="s">
        <v>9</v>
      </c>
      <c r="K2692" s="2" t="str">
        <f>IFERROR(INDEX(Product_lookup[Category],MATCH(RawWorking[[#This Row],[ProductID]],Product_lookup[ProductID],0)),"")</f>
        <v>Electronics</v>
      </c>
      <c r="L2692" s="9">
        <f>IF(OR(RawWorking[[#This Row],[ShipDate]]="",RawWorking[[#This Row],[DeliveryDate]]=""),"",RawWorking[[#This Row],[DeliveryDate]]-RawWorking[[#This Row],[ShipDate]])</f>
        <v>2</v>
      </c>
      <c r="M2692" s="9">
        <f>IF(COUNTIF(INDEX(RawWorking[OrderID],1):RawWorking[[#This Row],[OrderID]],RawWorking[[#This Row],[OrderID]])=1,1,0)</f>
        <v>0</v>
      </c>
      <c r="N2692" s="4">
        <f>IFERROR(RawWorking[[#This Row],[LineAmount]]/RawWorking[[#This Row],[Quantity]],"")</f>
        <v>224.37</v>
      </c>
    </row>
    <row r="2693" spans="1:14">
      <c r="A2693">
        <v>52692</v>
      </c>
      <c r="B2693">
        <v>31552</v>
      </c>
      <c r="C2693" s="2">
        <v>45792</v>
      </c>
      <c r="D2693">
        <v>2495</v>
      </c>
      <c r="E2693">
        <v>1007</v>
      </c>
      <c r="F2693">
        <v>3</v>
      </c>
      <c r="G2693">
        <v>599.42999999999995</v>
      </c>
      <c r="H2693" s="2">
        <v>45795</v>
      </c>
      <c r="I2693" s="2">
        <v>45797</v>
      </c>
      <c r="J2693" t="s">
        <v>9</v>
      </c>
      <c r="K2693" s="2" t="str">
        <f>IFERROR(INDEX(Product_lookup[Category],MATCH(RawWorking[[#This Row],[ProductID]],Product_lookup[ProductID],0)),"")</f>
        <v>Home</v>
      </c>
      <c r="L2693" s="9">
        <f>IF(OR(RawWorking[[#This Row],[ShipDate]]="",RawWorking[[#This Row],[DeliveryDate]]=""),"",RawWorking[[#This Row],[DeliveryDate]]-RawWorking[[#This Row],[ShipDate]])</f>
        <v>2</v>
      </c>
      <c r="M2693" s="9">
        <f>IF(COUNTIF(INDEX(RawWorking[OrderID],1):RawWorking[[#This Row],[OrderID]],RawWorking[[#This Row],[OrderID]])=1,1,0)</f>
        <v>1</v>
      </c>
      <c r="N2693" s="4">
        <f>IFERROR(RawWorking[[#This Row],[LineAmount]]/RawWorking[[#This Row],[Quantity]],"")</f>
        <v>199.80999999999997</v>
      </c>
    </row>
    <row r="2694" spans="1:14">
      <c r="A2694">
        <v>52693</v>
      </c>
      <c r="B2694">
        <v>31553</v>
      </c>
      <c r="C2694" s="2">
        <v>45853</v>
      </c>
      <c r="D2694">
        <v>2161</v>
      </c>
      <c r="E2694">
        <v>1004</v>
      </c>
      <c r="F2694">
        <v>2</v>
      </c>
      <c r="G2694">
        <v>367.48</v>
      </c>
      <c r="H2694" s="2">
        <v>45855</v>
      </c>
      <c r="I2694" s="2">
        <v>45856</v>
      </c>
      <c r="J2694" t="s">
        <v>9</v>
      </c>
      <c r="K2694" s="2" t="str">
        <f>IFERROR(INDEX(Product_lookup[Category],MATCH(RawWorking[[#This Row],[ProductID]],Product_lookup[ProductID],0)),"")</f>
        <v>Electronics</v>
      </c>
      <c r="L2694" s="9">
        <f>IF(OR(RawWorking[[#This Row],[ShipDate]]="",RawWorking[[#This Row],[DeliveryDate]]=""),"",RawWorking[[#This Row],[DeliveryDate]]-RawWorking[[#This Row],[ShipDate]])</f>
        <v>1</v>
      </c>
      <c r="M2694" s="9">
        <f>IF(COUNTIF(INDEX(RawWorking[OrderID],1):RawWorking[[#This Row],[OrderID]],RawWorking[[#This Row],[OrderID]])=1,1,0)</f>
        <v>1</v>
      </c>
      <c r="N2694" s="4">
        <f>IFERROR(RawWorking[[#This Row],[LineAmount]]/RawWorking[[#This Row],[Quantity]],"")</f>
        <v>183.74</v>
      </c>
    </row>
    <row r="2695" spans="1:14">
      <c r="A2695">
        <v>52694</v>
      </c>
      <c r="B2695">
        <v>31553</v>
      </c>
      <c r="C2695" s="2">
        <v>45853</v>
      </c>
      <c r="D2695">
        <v>2161</v>
      </c>
      <c r="E2695">
        <v>1014</v>
      </c>
      <c r="F2695">
        <v>3</v>
      </c>
      <c r="G2695">
        <v>646.02</v>
      </c>
      <c r="H2695" s="2">
        <v>45854</v>
      </c>
      <c r="I2695" s="2">
        <v>45858</v>
      </c>
      <c r="J2695" t="s">
        <v>9</v>
      </c>
      <c r="K2695" s="2" t="str">
        <f>IFERROR(INDEX(Product_lookup[Category],MATCH(RawWorking[[#This Row],[ProductID]],Product_lookup[ProductID],0)),"")</f>
        <v>Sports</v>
      </c>
      <c r="L2695" s="9">
        <f>IF(OR(RawWorking[[#This Row],[ShipDate]]="",RawWorking[[#This Row],[DeliveryDate]]=""),"",RawWorking[[#This Row],[DeliveryDate]]-RawWorking[[#This Row],[ShipDate]])</f>
        <v>4</v>
      </c>
      <c r="M2695" s="9">
        <f>IF(COUNTIF(INDEX(RawWorking[OrderID],1):RawWorking[[#This Row],[OrderID]],RawWorking[[#This Row],[OrderID]])=1,1,0)</f>
        <v>0</v>
      </c>
      <c r="N2695" s="4">
        <f>IFERROR(RawWorking[[#This Row],[LineAmount]]/RawWorking[[#This Row],[Quantity]],"")</f>
        <v>215.34</v>
      </c>
    </row>
    <row r="2696" spans="1:14">
      <c r="A2696">
        <v>52695</v>
      </c>
      <c r="B2696">
        <v>31553</v>
      </c>
      <c r="C2696" s="2">
        <v>45853</v>
      </c>
      <c r="D2696">
        <v>2161</v>
      </c>
      <c r="E2696">
        <v>1016</v>
      </c>
      <c r="F2696">
        <v>1</v>
      </c>
      <c r="G2696">
        <v>65.260000000000005</v>
      </c>
      <c r="H2696" s="2">
        <v>45855</v>
      </c>
      <c r="I2696" s="2">
        <v>45863</v>
      </c>
      <c r="J2696" t="s">
        <v>9</v>
      </c>
      <c r="K2696" s="2" t="str">
        <f>IFERROR(INDEX(Product_lookup[Category],MATCH(RawWorking[[#This Row],[ProductID]],Product_lookup[ProductID],0)),"")</f>
        <v>Sports</v>
      </c>
      <c r="L2696" s="9">
        <f>IF(OR(RawWorking[[#This Row],[ShipDate]]="",RawWorking[[#This Row],[DeliveryDate]]=""),"",RawWorking[[#This Row],[DeliveryDate]]-RawWorking[[#This Row],[ShipDate]])</f>
        <v>8</v>
      </c>
      <c r="M2696" s="9">
        <f>IF(COUNTIF(INDEX(RawWorking[OrderID],1):RawWorking[[#This Row],[OrderID]],RawWorking[[#This Row],[OrderID]])=1,1,0)</f>
        <v>0</v>
      </c>
      <c r="N2696" s="4">
        <f>IFERROR(RawWorking[[#This Row],[LineAmount]]/RawWorking[[#This Row],[Quantity]],"")</f>
        <v>65.260000000000005</v>
      </c>
    </row>
    <row r="2697" spans="1:14">
      <c r="A2697">
        <v>52696</v>
      </c>
      <c r="B2697">
        <v>31553</v>
      </c>
      <c r="C2697" s="2">
        <v>45853</v>
      </c>
      <c r="D2697">
        <v>2161</v>
      </c>
      <c r="E2697">
        <v>1010</v>
      </c>
      <c r="F2697">
        <v>3</v>
      </c>
      <c r="G2697">
        <v>364.5</v>
      </c>
      <c r="H2697" s="2">
        <v>45855</v>
      </c>
      <c r="I2697" s="2">
        <v>45865</v>
      </c>
      <c r="J2697" t="s">
        <v>9</v>
      </c>
      <c r="K2697" s="2" t="str">
        <f>IFERROR(INDEX(Product_lookup[Category],MATCH(RawWorking[[#This Row],[ProductID]],Product_lookup[ProductID],0)),"")</f>
        <v>Office</v>
      </c>
      <c r="L2697" s="9">
        <f>IF(OR(RawWorking[[#This Row],[ShipDate]]="",RawWorking[[#This Row],[DeliveryDate]]=""),"",RawWorking[[#This Row],[DeliveryDate]]-RawWorking[[#This Row],[ShipDate]])</f>
        <v>10</v>
      </c>
      <c r="M2697" s="9">
        <f>IF(COUNTIF(INDEX(RawWorking[OrderID],1):RawWorking[[#This Row],[OrderID]],RawWorking[[#This Row],[OrderID]])=1,1,0)</f>
        <v>0</v>
      </c>
      <c r="N2697" s="4">
        <f>IFERROR(RawWorking[[#This Row],[LineAmount]]/RawWorking[[#This Row],[Quantity]],"")</f>
        <v>121.5</v>
      </c>
    </row>
    <row r="2698" spans="1:14">
      <c r="A2698">
        <v>52697</v>
      </c>
      <c r="B2698">
        <v>31554</v>
      </c>
      <c r="C2698" s="2">
        <v>45832</v>
      </c>
      <c r="D2698">
        <v>2241</v>
      </c>
      <c r="E2698">
        <v>1002</v>
      </c>
      <c r="F2698">
        <v>1</v>
      </c>
      <c r="G2698">
        <v>118.6</v>
      </c>
      <c r="H2698" s="2">
        <v>45833</v>
      </c>
      <c r="I2698" s="2">
        <v>45834</v>
      </c>
      <c r="J2698" t="s">
        <v>9</v>
      </c>
      <c r="K2698" s="2" t="str">
        <f>IFERROR(INDEX(Product_lookup[Category],MATCH(RawWorking[[#This Row],[ProductID]],Product_lookup[ProductID],0)),"")</f>
        <v>Electronics</v>
      </c>
      <c r="L2698" s="9">
        <f>IF(OR(RawWorking[[#This Row],[ShipDate]]="",RawWorking[[#This Row],[DeliveryDate]]=""),"",RawWorking[[#This Row],[DeliveryDate]]-RawWorking[[#This Row],[ShipDate]])</f>
        <v>1</v>
      </c>
      <c r="M2698" s="9">
        <f>IF(COUNTIF(INDEX(RawWorking[OrderID],1):RawWorking[[#This Row],[OrderID]],RawWorking[[#This Row],[OrderID]])=1,1,0)</f>
        <v>1</v>
      </c>
      <c r="N2698" s="4">
        <f>IFERROR(RawWorking[[#This Row],[LineAmount]]/RawWorking[[#This Row],[Quantity]],"")</f>
        <v>118.6</v>
      </c>
    </row>
    <row r="2699" spans="1:14">
      <c r="A2699">
        <v>52698</v>
      </c>
      <c r="B2699">
        <v>31554</v>
      </c>
      <c r="C2699" s="2">
        <v>45832</v>
      </c>
      <c r="D2699">
        <v>2241</v>
      </c>
      <c r="E2699">
        <v>1001</v>
      </c>
      <c r="F2699">
        <v>2</v>
      </c>
      <c r="G2699">
        <v>406.08</v>
      </c>
      <c r="H2699" s="2">
        <v>45835</v>
      </c>
      <c r="I2699" s="2">
        <v>45837</v>
      </c>
      <c r="J2699" t="s">
        <v>9</v>
      </c>
      <c r="K2699" s="2" t="str">
        <f>IFERROR(INDEX(Product_lookup[Category],MATCH(RawWorking[[#This Row],[ProductID]],Product_lookup[ProductID],0)),"")</f>
        <v>Electronics</v>
      </c>
      <c r="L2699" s="9">
        <f>IF(OR(RawWorking[[#This Row],[ShipDate]]="",RawWorking[[#This Row],[DeliveryDate]]=""),"",RawWorking[[#This Row],[DeliveryDate]]-RawWorking[[#This Row],[ShipDate]])</f>
        <v>2</v>
      </c>
      <c r="M2699" s="9">
        <f>IF(COUNTIF(INDEX(RawWorking[OrderID],1):RawWorking[[#This Row],[OrderID]],RawWorking[[#This Row],[OrderID]])=1,1,0)</f>
        <v>0</v>
      </c>
      <c r="N2699" s="4">
        <f>IFERROR(RawWorking[[#This Row],[LineAmount]]/RawWorking[[#This Row],[Quantity]],"")</f>
        <v>203.04</v>
      </c>
    </row>
    <row r="2700" spans="1:14">
      <c r="A2700">
        <v>52699</v>
      </c>
      <c r="B2700">
        <v>31555</v>
      </c>
      <c r="C2700" s="2">
        <v>45720</v>
      </c>
      <c r="D2700">
        <v>2368</v>
      </c>
      <c r="E2700">
        <v>1012</v>
      </c>
      <c r="F2700">
        <v>1</v>
      </c>
      <c r="G2700">
        <v>241.54</v>
      </c>
      <c r="H2700" s="2" t="s">
        <v>1421</v>
      </c>
      <c r="I2700" s="2" t="s">
        <v>1421</v>
      </c>
      <c r="J2700" t="s">
        <v>12</v>
      </c>
      <c r="K2700" s="2" t="str">
        <f>IFERROR(INDEX(Product_lookup[Category],MATCH(RawWorking[[#This Row],[ProductID]],Product_lookup[ProductID],0)),"")</f>
        <v>Office</v>
      </c>
      <c r="L2700" s="9" t="str">
        <f>IF(OR(RawWorking[[#This Row],[ShipDate]]="",RawWorking[[#This Row],[DeliveryDate]]=""),"",RawWorking[[#This Row],[DeliveryDate]]-RawWorking[[#This Row],[ShipDate]])</f>
        <v/>
      </c>
      <c r="M2700" s="9">
        <f>IF(COUNTIF(INDEX(RawWorking[OrderID],1):RawWorking[[#This Row],[OrderID]],RawWorking[[#This Row],[OrderID]])=1,1,0)</f>
        <v>1</v>
      </c>
      <c r="N2700" s="4">
        <f>IFERROR(RawWorking[[#This Row],[LineAmount]]/RawWorking[[#This Row],[Quantity]],"")</f>
        <v>241.54</v>
      </c>
    </row>
    <row r="2701" spans="1:14">
      <c r="A2701">
        <v>52700</v>
      </c>
      <c r="B2701">
        <v>31556</v>
      </c>
      <c r="C2701" s="2">
        <v>45802</v>
      </c>
      <c r="D2701">
        <v>2163</v>
      </c>
      <c r="E2701">
        <v>1002</v>
      </c>
      <c r="F2701">
        <v>2</v>
      </c>
      <c r="G2701">
        <v>237.2</v>
      </c>
      <c r="H2701" s="2">
        <v>45803</v>
      </c>
      <c r="I2701" s="2">
        <v>45807</v>
      </c>
      <c r="J2701" t="s">
        <v>9</v>
      </c>
      <c r="K2701" s="2" t="str">
        <f>IFERROR(INDEX(Product_lookup[Category],MATCH(RawWorking[[#This Row],[ProductID]],Product_lookup[ProductID],0)),"")</f>
        <v>Electronics</v>
      </c>
      <c r="L2701" s="9">
        <f>IF(OR(RawWorking[[#This Row],[ShipDate]]="",RawWorking[[#This Row],[DeliveryDate]]=""),"",RawWorking[[#This Row],[DeliveryDate]]-RawWorking[[#This Row],[ShipDate]])</f>
        <v>4</v>
      </c>
      <c r="M2701" s="9">
        <f>IF(COUNTIF(INDEX(RawWorking[OrderID],1):RawWorking[[#This Row],[OrderID]],RawWorking[[#This Row],[OrderID]])=1,1,0)</f>
        <v>1</v>
      </c>
      <c r="N2701" s="4">
        <f>IFERROR(RawWorking[[#This Row],[LineAmount]]/RawWorking[[#This Row],[Quantity]],"")</f>
        <v>118.6</v>
      </c>
    </row>
    <row r="2702" spans="1:14">
      <c r="A2702">
        <v>52701</v>
      </c>
      <c r="B2702">
        <v>31557</v>
      </c>
      <c r="C2702" s="2">
        <v>45871</v>
      </c>
      <c r="D2702">
        <v>2066</v>
      </c>
      <c r="E2702">
        <v>1004</v>
      </c>
      <c r="F2702">
        <v>4</v>
      </c>
      <c r="G2702">
        <v>734.96</v>
      </c>
      <c r="H2702" s="2">
        <v>45872</v>
      </c>
      <c r="I2702" s="2">
        <v>45873</v>
      </c>
      <c r="J2702" t="s">
        <v>9</v>
      </c>
      <c r="K2702" s="2" t="str">
        <f>IFERROR(INDEX(Product_lookup[Category],MATCH(RawWorking[[#This Row],[ProductID]],Product_lookup[ProductID],0)),"")</f>
        <v>Electronics</v>
      </c>
      <c r="L2702" s="9">
        <f>IF(OR(RawWorking[[#This Row],[ShipDate]]="",RawWorking[[#This Row],[DeliveryDate]]=""),"",RawWorking[[#This Row],[DeliveryDate]]-RawWorking[[#This Row],[ShipDate]])</f>
        <v>1</v>
      </c>
      <c r="M2702" s="9">
        <f>IF(COUNTIF(INDEX(RawWorking[OrderID],1):RawWorking[[#This Row],[OrderID]],RawWorking[[#This Row],[OrderID]])=1,1,0)</f>
        <v>1</v>
      </c>
      <c r="N2702" s="4">
        <f>IFERROR(RawWorking[[#This Row],[LineAmount]]/RawWorking[[#This Row],[Quantity]],"")</f>
        <v>183.74</v>
      </c>
    </row>
    <row r="2703" spans="1:14">
      <c r="A2703">
        <v>52702</v>
      </c>
      <c r="B2703">
        <v>31557</v>
      </c>
      <c r="C2703" s="2">
        <v>45871</v>
      </c>
      <c r="D2703">
        <v>2066</v>
      </c>
      <c r="E2703">
        <v>1008</v>
      </c>
      <c r="F2703">
        <v>1</v>
      </c>
      <c r="G2703">
        <v>206.09</v>
      </c>
      <c r="H2703" s="2">
        <v>45873</v>
      </c>
      <c r="I2703" s="2">
        <v>45876</v>
      </c>
      <c r="J2703" t="s">
        <v>9</v>
      </c>
      <c r="K2703" s="2" t="str">
        <f>IFERROR(INDEX(Product_lookup[Category],MATCH(RawWorking[[#This Row],[ProductID]],Product_lookup[ProductID],0)),"")</f>
        <v>Home</v>
      </c>
      <c r="L2703" s="9">
        <f>IF(OR(RawWorking[[#This Row],[ShipDate]]="",RawWorking[[#This Row],[DeliveryDate]]=""),"",RawWorking[[#This Row],[DeliveryDate]]-RawWorking[[#This Row],[ShipDate]])</f>
        <v>3</v>
      </c>
      <c r="M2703" s="9">
        <f>IF(COUNTIF(INDEX(RawWorking[OrderID],1):RawWorking[[#This Row],[OrderID]],RawWorking[[#This Row],[OrderID]])=1,1,0)</f>
        <v>0</v>
      </c>
      <c r="N2703" s="4">
        <f>IFERROR(RawWorking[[#This Row],[LineAmount]]/RawWorking[[#This Row],[Quantity]],"")</f>
        <v>206.09</v>
      </c>
    </row>
    <row r="2704" spans="1:14">
      <c r="A2704">
        <v>52703</v>
      </c>
      <c r="B2704">
        <v>31557</v>
      </c>
      <c r="C2704" s="2">
        <v>45871</v>
      </c>
      <c r="D2704">
        <v>2066</v>
      </c>
      <c r="E2704">
        <v>1004</v>
      </c>
      <c r="F2704">
        <v>1</v>
      </c>
      <c r="G2704">
        <v>183.74</v>
      </c>
      <c r="H2704" s="2">
        <v>45872</v>
      </c>
      <c r="I2704" s="2">
        <v>45877</v>
      </c>
      <c r="J2704" t="s">
        <v>9</v>
      </c>
      <c r="K2704" s="2" t="str">
        <f>IFERROR(INDEX(Product_lookup[Category],MATCH(RawWorking[[#This Row],[ProductID]],Product_lookup[ProductID],0)),"")</f>
        <v>Electronics</v>
      </c>
      <c r="L2704" s="9">
        <f>IF(OR(RawWorking[[#This Row],[ShipDate]]="",RawWorking[[#This Row],[DeliveryDate]]=""),"",RawWorking[[#This Row],[DeliveryDate]]-RawWorking[[#This Row],[ShipDate]])</f>
        <v>5</v>
      </c>
      <c r="M2704" s="9">
        <f>IF(COUNTIF(INDEX(RawWorking[OrderID],1):RawWorking[[#This Row],[OrderID]],RawWorking[[#This Row],[OrderID]])=1,1,0)</f>
        <v>0</v>
      </c>
      <c r="N2704" s="4">
        <f>IFERROR(RawWorking[[#This Row],[LineAmount]]/RawWorking[[#This Row],[Quantity]],"")</f>
        <v>183.74</v>
      </c>
    </row>
    <row r="2705" spans="1:14">
      <c r="A2705">
        <v>52704</v>
      </c>
      <c r="B2705">
        <v>31558</v>
      </c>
      <c r="C2705" s="2">
        <v>45801</v>
      </c>
      <c r="D2705">
        <v>2576</v>
      </c>
      <c r="E2705">
        <v>1009</v>
      </c>
      <c r="F2705">
        <v>2</v>
      </c>
      <c r="G2705">
        <v>80.56</v>
      </c>
      <c r="H2705" s="2">
        <v>45803</v>
      </c>
      <c r="I2705" s="2">
        <v>45807</v>
      </c>
      <c r="J2705" t="s">
        <v>9</v>
      </c>
      <c r="K2705" s="2" t="str">
        <f>IFERROR(INDEX(Product_lookup[Category],MATCH(RawWorking[[#This Row],[ProductID]],Product_lookup[ProductID],0)),"")</f>
        <v>Home</v>
      </c>
      <c r="L2705" s="9">
        <f>IF(OR(RawWorking[[#This Row],[ShipDate]]="",RawWorking[[#This Row],[DeliveryDate]]=""),"",RawWorking[[#This Row],[DeliveryDate]]-RawWorking[[#This Row],[ShipDate]])</f>
        <v>4</v>
      </c>
      <c r="M2705" s="9">
        <f>IF(COUNTIF(INDEX(RawWorking[OrderID],1):RawWorking[[#This Row],[OrderID]],RawWorking[[#This Row],[OrderID]])=1,1,0)</f>
        <v>1</v>
      </c>
      <c r="N2705" s="4">
        <f>IFERROR(RawWorking[[#This Row],[LineAmount]]/RawWorking[[#This Row],[Quantity]],"")</f>
        <v>40.28</v>
      </c>
    </row>
    <row r="2706" spans="1:14">
      <c r="A2706">
        <v>52705</v>
      </c>
      <c r="B2706">
        <v>31558</v>
      </c>
      <c r="C2706" s="2">
        <v>45801</v>
      </c>
      <c r="D2706">
        <v>2576</v>
      </c>
      <c r="E2706">
        <v>1011</v>
      </c>
      <c r="F2706">
        <v>4</v>
      </c>
      <c r="G2706">
        <v>405.76</v>
      </c>
      <c r="H2706" s="2">
        <v>45803</v>
      </c>
      <c r="I2706" s="2">
        <v>45808</v>
      </c>
      <c r="J2706" t="s">
        <v>9</v>
      </c>
      <c r="K2706" s="2" t="str">
        <f>IFERROR(INDEX(Product_lookup[Category],MATCH(RawWorking[[#This Row],[ProductID]],Product_lookup[ProductID],0)),"")</f>
        <v>Office</v>
      </c>
      <c r="L2706" s="9">
        <f>IF(OR(RawWorking[[#This Row],[ShipDate]]="",RawWorking[[#This Row],[DeliveryDate]]=""),"",RawWorking[[#This Row],[DeliveryDate]]-RawWorking[[#This Row],[ShipDate]])</f>
        <v>5</v>
      </c>
      <c r="M2706" s="9">
        <f>IF(COUNTIF(INDEX(RawWorking[OrderID],1):RawWorking[[#This Row],[OrderID]],RawWorking[[#This Row],[OrderID]])=1,1,0)</f>
        <v>0</v>
      </c>
      <c r="N2706" s="4">
        <f>IFERROR(RawWorking[[#This Row],[LineAmount]]/RawWorking[[#This Row],[Quantity]],"")</f>
        <v>101.44</v>
      </c>
    </row>
    <row r="2707" spans="1:14">
      <c r="A2707">
        <v>52706</v>
      </c>
      <c r="B2707">
        <v>31558</v>
      </c>
      <c r="C2707" s="2">
        <v>45801</v>
      </c>
      <c r="D2707">
        <v>2576</v>
      </c>
      <c r="E2707">
        <v>1012</v>
      </c>
      <c r="F2707">
        <v>1</v>
      </c>
      <c r="G2707">
        <v>241.54</v>
      </c>
      <c r="H2707" s="2">
        <v>45803</v>
      </c>
      <c r="I2707" s="2">
        <v>45808</v>
      </c>
      <c r="J2707" t="s">
        <v>9</v>
      </c>
      <c r="K2707" s="2" t="str">
        <f>IFERROR(INDEX(Product_lookup[Category],MATCH(RawWorking[[#This Row],[ProductID]],Product_lookup[ProductID],0)),"")</f>
        <v>Office</v>
      </c>
      <c r="L2707" s="9">
        <f>IF(OR(RawWorking[[#This Row],[ShipDate]]="",RawWorking[[#This Row],[DeliveryDate]]=""),"",RawWorking[[#This Row],[DeliveryDate]]-RawWorking[[#This Row],[ShipDate]])</f>
        <v>5</v>
      </c>
      <c r="M2707" s="9">
        <f>IF(COUNTIF(INDEX(RawWorking[OrderID],1):RawWorking[[#This Row],[OrderID]],RawWorking[[#This Row],[OrderID]])=1,1,0)</f>
        <v>0</v>
      </c>
      <c r="N2707" s="4">
        <f>IFERROR(RawWorking[[#This Row],[LineAmount]]/RawWorking[[#This Row],[Quantity]],"")</f>
        <v>241.54</v>
      </c>
    </row>
    <row r="2708" spans="1:14">
      <c r="A2708">
        <v>52707</v>
      </c>
      <c r="B2708">
        <v>31559</v>
      </c>
      <c r="C2708" s="2">
        <v>45871</v>
      </c>
      <c r="D2708">
        <v>2048</v>
      </c>
      <c r="E2708">
        <v>1009</v>
      </c>
      <c r="F2708">
        <v>1</v>
      </c>
      <c r="G2708">
        <v>40.28</v>
      </c>
      <c r="H2708" s="2" t="s">
        <v>1421</v>
      </c>
      <c r="I2708" s="2" t="s">
        <v>1421</v>
      </c>
      <c r="J2708" t="s">
        <v>16</v>
      </c>
      <c r="K2708" s="2" t="str">
        <f>IFERROR(INDEX(Product_lookup[Category],MATCH(RawWorking[[#This Row],[ProductID]],Product_lookup[ProductID],0)),"")</f>
        <v>Home</v>
      </c>
      <c r="L2708" s="9" t="str">
        <f>IF(OR(RawWorking[[#This Row],[ShipDate]]="",RawWorking[[#This Row],[DeliveryDate]]=""),"",RawWorking[[#This Row],[DeliveryDate]]-RawWorking[[#This Row],[ShipDate]])</f>
        <v/>
      </c>
      <c r="M2708" s="9">
        <f>IF(COUNTIF(INDEX(RawWorking[OrderID],1):RawWorking[[#This Row],[OrderID]],RawWorking[[#This Row],[OrderID]])=1,1,0)</f>
        <v>1</v>
      </c>
      <c r="N2708" s="4">
        <f>IFERROR(RawWorking[[#This Row],[LineAmount]]/RawWorking[[#This Row],[Quantity]],"")</f>
        <v>40.28</v>
      </c>
    </row>
    <row r="2709" spans="1:14">
      <c r="A2709">
        <v>52708</v>
      </c>
      <c r="B2709">
        <v>31559</v>
      </c>
      <c r="C2709" s="2">
        <v>45871</v>
      </c>
      <c r="D2709">
        <v>2048</v>
      </c>
      <c r="E2709">
        <v>1004</v>
      </c>
      <c r="F2709">
        <v>2</v>
      </c>
      <c r="G2709">
        <v>367.48</v>
      </c>
      <c r="H2709" s="2" t="s">
        <v>1421</v>
      </c>
      <c r="I2709" s="2" t="s">
        <v>1421</v>
      </c>
      <c r="J2709" t="s">
        <v>16</v>
      </c>
      <c r="K2709" s="2" t="str">
        <f>IFERROR(INDEX(Product_lookup[Category],MATCH(RawWorking[[#This Row],[ProductID]],Product_lookup[ProductID],0)),"")</f>
        <v>Electronics</v>
      </c>
      <c r="L2709" s="9" t="str">
        <f>IF(OR(RawWorking[[#This Row],[ShipDate]]="",RawWorking[[#This Row],[DeliveryDate]]=""),"",RawWorking[[#This Row],[DeliveryDate]]-RawWorking[[#This Row],[ShipDate]])</f>
        <v/>
      </c>
      <c r="M2709" s="9">
        <f>IF(COUNTIF(INDEX(RawWorking[OrderID],1):RawWorking[[#This Row],[OrderID]],RawWorking[[#This Row],[OrderID]])=1,1,0)</f>
        <v>0</v>
      </c>
      <c r="N2709" s="4">
        <f>IFERROR(RawWorking[[#This Row],[LineAmount]]/RawWorking[[#This Row],[Quantity]],"")</f>
        <v>183.74</v>
      </c>
    </row>
    <row r="2710" spans="1:14">
      <c r="A2710">
        <v>52709</v>
      </c>
      <c r="B2710">
        <v>31559</v>
      </c>
      <c r="C2710" s="2">
        <v>45871</v>
      </c>
      <c r="D2710">
        <v>2048</v>
      </c>
      <c r="E2710">
        <v>1015</v>
      </c>
      <c r="F2710">
        <v>1</v>
      </c>
      <c r="G2710">
        <v>119.74</v>
      </c>
      <c r="H2710" s="2" t="s">
        <v>1421</v>
      </c>
      <c r="I2710" s="2" t="s">
        <v>1421</v>
      </c>
      <c r="J2710" t="s">
        <v>16</v>
      </c>
      <c r="K2710" s="2" t="str">
        <f>IFERROR(INDEX(Product_lookup[Category],MATCH(RawWorking[[#This Row],[ProductID]],Product_lookup[ProductID],0)),"")</f>
        <v>Sports</v>
      </c>
      <c r="L2710" s="9" t="str">
        <f>IF(OR(RawWorking[[#This Row],[ShipDate]]="",RawWorking[[#This Row],[DeliveryDate]]=""),"",RawWorking[[#This Row],[DeliveryDate]]-RawWorking[[#This Row],[ShipDate]])</f>
        <v/>
      </c>
      <c r="M2710" s="9">
        <f>IF(COUNTIF(INDEX(RawWorking[OrderID],1):RawWorking[[#This Row],[OrderID]],RawWorking[[#This Row],[OrderID]])=1,1,0)</f>
        <v>0</v>
      </c>
      <c r="N2710" s="4">
        <f>IFERROR(RawWorking[[#This Row],[LineAmount]]/RawWorking[[#This Row],[Quantity]],"")</f>
        <v>119.74</v>
      </c>
    </row>
    <row r="2711" spans="1:14">
      <c r="A2711">
        <v>52710</v>
      </c>
      <c r="B2711">
        <v>31560</v>
      </c>
      <c r="C2711" s="2">
        <v>45735</v>
      </c>
      <c r="D2711">
        <v>2114</v>
      </c>
      <c r="E2711">
        <v>1004</v>
      </c>
      <c r="F2711">
        <v>2</v>
      </c>
      <c r="G2711">
        <v>367.48</v>
      </c>
      <c r="H2711" s="2">
        <v>45738</v>
      </c>
      <c r="I2711" s="2">
        <v>45743</v>
      </c>
      <c r="J2711" t="s">
        <v>11</v>
      </c>
      <c r="K2711" s="2" t="str">
        <f>IFERROR(INDEX(Product_lookup[Category],MATCH(RawWorking[[#This Row],[ProductID]],Product_lookup[ProductID],0)),"")</f>
        <v>Electronics</v>
      </c>
      <c r="L2711" s="9">
        <f>IF(OR(RawWorking[[#This Row],[ShipDate]]="",RawWorking[[#This Row],[DeliveryDate]]=""),"",RawWorking[[#This Row],[DeliveryDate]]-RawWorking[[#This Row],[ShipDate]])</f>
        <v>5</v>
      </c>
      <c r="M2711" s="9">
        <f>IF(COUNTIF(INDEX(RawWorking[OrderID],1):RawWorking[[#This Row],[OrderID]],RawWorking[[#This Row],[OrderID]])=1,1,0)</f>
        <v>1</v>
      </c>
      <c r="N2711" s="4">
        <f>IFERROR(RawWorking[[#This Row],[LineAmount]]/RawWorking[[#This Row],[Quantity]],"")</f>
        <v>183.74</v>
      </c>
    </row>
    <row r="2712" spans="1:14">
      <c r="A2712">
        <v>52711</v>
      </c>
      <c r="B2712">
        <v>31560</v>
      </c>
      <c r="C2712" s="2">
        <v>45735</v>
      </c>
      <c r="D2712">
        <v>2114</v>
      </c>
      <c r="E2712">
        <v>1002</v>
      </c>
      <c r="F2712">
        <v>1</v>
      </c>
      <c r="G2712">
        <v>118.6</v>
      </c>
      <c r="H2712" s="2">
        <v>45738</v>
      </c>
      <c r="I2712" s="2">
        <v>45748</v>
      </c>
      <c r="J2712" t="s">
        <v>11</v>
      </c>
      <c r="K2712" s="2" t="str">
        <f>IFERROR(INDEX(Product_lookup[Category],MATCH(RawWorking[[#This Row],[ProductID]],Product_lookup[ProductID],0)),"")</f>
        <v>Electronics</v>
      </c>
      <c r="L2712" s="9">
        <f>IF(OR(RawWorking[[#This Row],[ShipDate]]="",RawWorking[[#This Row],[DeliveryDate]]=""),"",RawWorking[[#This Row],[DeliveryDate]]-RawWorking[[#This Row],[ShipDate]])</f>
        <v>10</v>
      </c>
      <c r="M2712" s="9">
        <f>IF(COUNTIF(INDEX(RawWorking[OrderID],1):RawWorking[[#This Row],[OrderID]],RawWorking[[#This Row],[OrderID]])=1,1,0)</f>
        <v>0</v>
      </c>
      <c r="N2712" s="4">
        <f>IFERROR(RawWorking[[#This Row],[LineAmount]]/RawWorking[[#This Row],[Quantity]],"")</f>
        <v>118.6</v>
      </c>
    </row>
    <row r="2713" spans="1:14">
      <c r="A2713">
        <v>52712</v>
      </c>
      <c r="B2713">
        <v>31560</v>
      </c>
      <c r="C2713" s="2">
        <v>45735</v>
      </c>
      <c r="D2713">
        <v>2114</v>
      </c>
      <c r="E2713">
        <v>1004</v>
      </c>
      <c r="F2713">
        <v>1</v>
      </c>
      <c r="G2713">
        <v>183.74</v>
      </c>
      <c r="H2713" s="2">
        <v>45737</v>
      </c>
      <c r="I2713" s="2">
        <v>45740</v>
      </c>
      <c r="J2713" t="s">
        <v>11</v>
      </c>
      <c r="K2713" s="2" t="str">
        <f>IFERROR(INDEX(Product_lookup[Category],MATCH(RawWorking[[#This Row],[ProductID]],Product_lookup[ProductID],0)),"")</f>
        <v>Electronics</v>
      </c>
      <c r="L2713" s="9">
        <f>IF(OR(RawWorking[[#This Row],[ShipDate]]="",RawWorking[[#This Row],[DeliveryDate]]=""),"",RawWorking[[#This Row],[DeliveryDate]]-RawWorking[[#This Row],[ShipDate]])</f>
        <v>3</v>
      </c>
      <c r="M2713" s="9">
        <f>IF(COUNTIF(INDEX(RawWorking[OrderID],1):RawWorking[[#This Row],[OrderID]],RawWorking[[#This Row],[OrderID]])=1,1,0)</f>
        <v>0</v>
      </c>
      <c r="N2713" s="4">
        <f>IFERROR(RawWorking[[#This Row],[LineAmount]]/RawWorking[[#This Row],[Quantity]],"")</f>
        <v>183.74</v>
      </c>
    </row>
    <row r="2714" spans="1:14">
      <c r="A2714">
        <v>52713</v>
      </c>
      <c r="B2714">
        <v>31561</v>
      </c>
      <c r="C2714" s="2">
        <v>45888</v>
      </c>
      <c r="D2714">
        <v>2172</v>
      </c>
      <c r="E2714">
        <v>1007</v>
      </c>
      <c r="F2714">
        <v>1</v>
      </c>
      <c r="G2714">
        <v>199.81</v>
      </c>
      <c r="H2714" s="2">
        <v>45891</v>
      </c>
      <c r="I2714" s="2">
        <v>45899</v>
      </c>
      <c r="J2714" t="s">
        <v>9</v>
      </c>
      <c r="K2714" s="2" t="str">
        <f>IFERROR(INDEX(Product_lookup[Category],MATCH(RawWorking[[#This Row],[ProductID]],Product_lookup[ProductID],0)),"")</f>
        <v>Home</v>
      </c>
      <c r="L2714" s="9">
        <f>IF(OR(RawWorking[[#This Row],[ShipDate]]="",RawWorking[[#This Row],[DeliveryDate]]=""),"",RawWorking[[#This Row],[DeliveryDate]]-RawWorking[[#This Row],[ShipDate]])</f>
        <v>8</v>
      </c>
      <c r="M2714" s="9">
        <f>IF(COUNTIF(INDEX(RawWorking[OrderID],1):RawWorking[[#This Row],[OrderID]],RawWorking[[#This Row],[OrderID]])=1,1,0)</f>
        <v>1</v>
      </c>
      <c r="N2714" s="4">
        <f>IFERROR(RawWorking[[#This Row],[LineAmount]]/RawWorking[[#This Row],[Quantity]],"")</f>
        <v>199.81</v>
      </c>
    </row>
    <row r="2715" spans="1:14">
      <c r="A2715">
        <v>52714</v>
      </c>
      <c r="B2715">
        <v>31562</v>
      </c>
      <c r="C2715" s="2">
        <v>45853</v>
      </c>
      <c r="D2715">
        <v>2371</v>
      </c>
      <c r="E2715">
        <v>1010</v>
      </c>
      <c r="F2715">
        <v>1</v>
      </c>
      <c r="G2715">
        <v>121.5</v>
      </c>
      <c r="H2715" s="2">
        <v>45855</v>
      </c>
      <c r="I2715" s="2">
        <v>45858</v>
      </c>
      <c r="J2715" t="s">
        <v>9</v>
      </c>
      <c r="K2715" s="2" t="str">
        <f>IFERROR(INDEX(Product_lookup[Category],MATCH(RawWorking[[#This Row],[ProductID]],Product_lookup[ProductID],0)),"")</f>
        <v>Office</v>
      </c>
      <c r="L2715" s="9">
        <f>IF(OR(RawWorking[[#This Row],[ShipDate]]="",RawWorking[[#This Row],[DeliveryDate]]=""),"",RawWorking[[#This Row],[DeliveryDate]]-RawWorking[[#This Row],[ShipDate]])</f>
        <v>3</v>
      </c>
      <c r="M2715" s="9">
        <f>IF(COUNTIF(INDEX(RawWorking[OrderID],1):RawWorking[[#This Row],[OrderID]],RawWorking[[#This Row],[OrderID]])=1,1,0)</f>
        <v>1</v>
      </c>
      <c r="N2715" s="4">
        <f>IFERROR(RawWorking[[#This Row],[LineAmount]]/RawWorking[[#This Row],[Quantity]],"")</f>
        <v>121.5</v>
      </c>
    </row>
    <row r="2716" spans="1:14">
      <c r="A2716">
        <v>52715</v>
      </c>
      <c r="B2716">
        <v>31563</v>
      </c>
      <c r="C2716" s="2">
        <v>45774</v>
      </c>
      <c r="D2716">
        <v>2453</v>
      </c>
      <c r="E2716">
        <v>1016</v>
      </c>
      <c r="F2716">
        <v>1</v>
      </c>
      <c r="G2716">
        <v>65.260000000000005</v>
      </c>
      <c r="H2716" s="2" t="s">
        <v>1421</v>
      </c>
      <c r="I2716" s="2" t="s">
        <v>1421</v>
      </c>
      <c r="J2716" t="s">
        <v>16</v>
      </c>
      <c r="K2716" s="2" t="str">
        <f>IFERROR(INDEX(Product_lookup[Category],MATCH(RawWorking[[#This Row],[ProductID]],Product_lookup[ProductID],0)),"")</f>
        <v>Sports</v>
      </c>
      <c r="L2716" s="9" t="str">
        <f>IF(OR(RawWorking[[#This Row],[ShipDate]]="",RawWorking[[#This Row],[DeliveryDate]]=""),"",RawWorking[[#This Row],[DeliveryDate]]-RawWorking[[#This Row],[ShipDate]])</f>
        <v/>
      </c>
      <c r="M2716" s="9">
        <f>IF(COUNTIF(INDEX(RawWorking[OrderID],1):RawWorking[[#This Row],[OrderID]],RawWorking[[#This Row],[OrderID]])=1,1,0)</f>
        <v>1</v>
      </c>
      <c r="N2716" s="4">
        <f>IFERROR(RawWorking[[#This Row],[LineAmount]]/RawWorking[[#This Row],[Quantity]],"")</f>
        <v>65.260000000000005</v>
      </c>
    </row>
    <row r="2717" spans="1:14">
      <c r="A2717">
        <v>52716</v>
      </c>
      <c r="B2717">
        <v>31564</v>
      </c>
      <c r="C2717" s="2">
        <v>45705</v>
      </c>
      <c r="D2717">
        <v>2102</v>
      </c>
      <c r="E2717">
        <v>1012</v>
      </c>
      <c r="F2717">
        <v>1</v>
      </c>
      <c r="G2717">
        <v>241.54</v>
      </c>
      <c r="H2717" s="2">
        <v>45706</v>
      </c>
      <c r="I2717" s="2">
        <v>45711</v>
      </c>
      <c r="J2717" t="s">
        <v>9</v>
      </c>
      <c r="K2717" s="2" t="str">
        <f>IFERROR(INDEX(Product_lookup[Category],MATCH(RawWorking[[#This Row],[ProductID]],Product_lookup[ProductID],0)),"")</f>
        <v>Office</v>
      </c>
      <c r="L2717" s="9">
        <f>IF(OR(RawWorking[[#This Row],[ShipDate]]="",RawWorking[[#This Row],[DeliveryDate]]=""),"",RawWorking[[#This Row],[DeliveryDate]]-RawWorking[[#This Row],[ShipDate]])</f>
        <v>5</v>
      </c>
      <c r="M2717" s="9">
        <f>IF(COUNTIF(INDEX(RawWorking[OrderID],1):RawWorking[[#This Row],[OrderID]],RawWorking[[#This Row],[OrderID]])=1,1,0)</f>
        <v>1</v>
      </c>
      <c r="N2717" s="4">
        <f>IFERROR(RawWorking[[#This Row],[LineAmount]]/RawWorking[[#This Row],[Quantity]],"")</f>
        <v>241.54</v>
      </c>
    </row>
    <row r="2718" spans="1:14">
      <c r="A2718">
        <v>52717</v>
      </c>
      <c r="B2718">
        <v>31564</v>
      </c>
      <c r="C2718" s="2">
        <v>45705</v>
      </c>
      <c r="D2718">
        <v>2102</v>
      </c>
      <c r="E2718">
        <v>1011</v>
      </c>
      <c r="F2718">
        <v>1</v>
      </c>
      <c r="G2718">
        <v>101.44</v>
      </c>
      <c r="H2718" s="2">
        <v>45708</v>
      </c>
      <c r="I2718" s="2">
        <v>45716</v>
      </c>
      <c r="J2718" t="s">
        <v>9</v>
      </c>
      <c r="K2718" s="2" t="str">
        <f>IFERROR(INDEX(Product_lookup[Category],MATCH(RawWorking[[#This Row],[ProductID]],Product_lookup[ProductID],0)),"")</f>
        <v>Office</v>
      </c>
      <c r="L2718" s="9">
        <f>IF(OR(RawWorking[[#This Row],[ShipDate]]="",RawWorking[[#This Row],[DeliveryDate]]=""),"",RawWorking[[#This Row],[DeliveryDate]]-RawWorking[[#This Row],[ShipDate]])</f>
        <v>8</v>
      </c>
      <c r="M2718" s="9">
        <f>IF(COUNTIF(INDEX(RawWorking[OrderID],1):RawWorking[[#This Row],[OrderID]],RawWorking[[#This Row],[OrderID]])=1,1,0)</f>
        <v>0</v>
      </c>
      <c r="N2718" s="4">
        <f>IFERROR(RawWorking[[#This Row],[LineAmount]]/RawWorking[[#This Row],[Quantity]],"")</f>
        <v>101.44</v>
      </c>
    </row>
    <row r="2719" spans="1:14">
      <c r="A2719">
        <v>52718</v>
      </c>
      <c r="B2719">
        <v>31564</v>
      </c>
      <c r="C2719" s="2">
        <v>45705</v>
      </c>
      <c r="D2719">
        <v>2102</v>
      </c>
      <c r="E2719">
        <v>1005</v>
      </c>
      <c r="F2719">
        <v>1</v>
      </c>
      <c r="G2719">
        <v>31.73</v>
      </c>
      <c r="H2719" s="2">
        <v>45706</v>
      </c>
      <c r="I2719" s="2">
        <v>45709</v>
      </c>
      <c r="J2719" t="s">
        <v>9</v>
      </c>
      <c r="K2719" s="2" t="str">
        <f>IFERROR(INDEX(Product_lookup[Category],MATCH(RawWorking[[#This Row],[ProductID]],Product_lookup[ProductID],0)),"")</f>
        <v>Electronics</v>
      </c>
      <c r="L2719" s="9">
        <f>IF(OR(RawWorking[[#This Row],[ShipDate]]="",RawWorking[[#This Row],[DeliveryDate]]=""),"",RawWorking[[#This Row],[DeliveryDate]]-RawWorking[[#This Row],[ShipDate]])</f>
        <v>3</v>
      </c>
      <c r="M2719" s="9">
        <f>IF(COUNTIF(INDEX(RawWorking[OrderID],1):RawWorking[[#This Row],[OrderID]],RawWorking[[#This Row],[OrderID]])=1,1,0)</f>
        <v>0</v>
      </c>
      <c r="N2719" s="4">
        <f>IFERROR(RawWorking[[#This Row],[LineAmount]]/RawWorking[[#This Row],[Quantity]],"")</f>
        <v>31.73</v>
      </c>
    </row>
    <row r="2720" spans="1:14">
      <c r="A2720">
        <v>52719</v>
      </c>
      <c r="B2720">
        <v>31564</v>
      </c>
      <c r="C2720" s="2">
        <v>45705</v>
      </c>
      <c r="D2720">
        <v>2102</v>
      </c>
      <c r="E2720">
        <v>1004</v>
      </c>
      <c r="F2720">
        <v>2</v>
      </c>
      <c r="G2720">
        <v>367.48</v>
      </c>
      <c r="H2720" s="2">
        <v>45707</v>
      </c>
      <c r="I2720" s="2">
        <v>45712</v>
      </c>
      <c r="J2720" t="s">
        <v>9</v>
      </c>
      <c r="K2720" s="2" t="str">
        <f>IFERROR(INDEX(Product_lookup[Category],MATCH(RawWorking[[#This Row],[ProductID]],Product_lookup[ProductID],0)),"")</f>
        <v>Electronics</v>
      </c>
      <c r="L2720" s="9">
        <f>IF(OR(RawWorking[[#This Row],[ShipDate]]="",RawWorking[[#This Row],[DeliveryDate]]=""),"",RawWorking[[#This Row],[DeliveryDate]]-RawWorking[[#This Row],[ShipDate]])</f>
        <v>5</v>
      </c>
      <c r="M2720" s="9">
        <f>IF(COUNTIF(INDEX(RawWorking[OrderID],1):RawWorking[[#This Row],[OrderID]],RawWorking[[#This Row],[OrderID]])=1,1,0)</f>
        <v>0</v>
      </c>
      <c r="N2720" s="4">
        <f>IFERROR(RawWorking[[#This Row],[LineAmount]]/RawWorking[[#This Row],[Quantity]],"")</f>
        <v>183.74</v>
      </c>
    </row>
    <row r="2721" spans="1:14">
      <c r="A2721">
        <v>52720</v>
      </c>
      <c r="B2721">
        <v>31565</v>
      </c>
      <c r="C2721" s="2">
        <v>45921</v>
      </c>
      <c r="D2721">
        <v>2207</v>
      </c>
      <c r="E2721">
        <v>1014</v>
      </c>
      <c r="F2721">
        <v>3</v>
      </c>
      <c r="G2721">
        <v>646.02</v>
      </c>
      <c r="H2721" s="2">
        <v>45924</v>
      </c>
      <c r="I2721" s="2">
        <v>45929</v>
      </c>
      <c r="J2721" t="s">
        <v>9</v>
      </c>
      <c r="K2721" s="2" t="str">
        <f>IFERROR(INDEX(Product_lookup[Category],MATCH(RawWorking[[#This Row],[ProductID]],Product_lookup[ProductID],0)),"")</f>
        <v>Sports</v>
      </c>
      <c r="L2721" s="9">
        <f>IF(OR(RawWorking[[#This Row],[ShipDate]]="",RawWorking[[#This Row],[DeliveryDate]]=""),"",RawWorking[[#This Row],[DeliveryDate]]-RawWorking[[#This Row],[ShipDate]])</f>
        <v>5</v>
      </c>
      <c r="M2721" s="9">
        <f>IF(COUNTIF(INDEX(RawWorking[OrderID],1):RawWorking[[#This Row],[OrderID]],RawWorking[[#This Row],[OrderID]])=1,1,0)</f>
        <v>1</v>
      </c>
      <c r="N2721" s="4">
        <f>IFERROR(RawWorking[[#This Row],[LineAmount]]/RawWorking[[#This Row],[Quantity]],"")</f>
        <v>215.34</v>
      </c>
    </row>
    <row r="2722" spans="1:14">
      <c r="A2722">
        <v>52721</v>
      </c>
      <c r="B2722">
        <v>31565</v>
      </c>
      <c r="C2722" s="2">
        <v>45921</v>
      </c>
      <c r="D2722">
        <v>2207</v>
      </c>
      <c r="E2722">
        <v>1001</v>
      </c>
      <c r="F2722">
        <v>1</v>
      </c>
      <c r="G2722">
        <v>203.04</v>
      </c>
      <c r="H2722" s="2">
        <v>45922</v>
      </c>
      <c r="I2722" s="2">
        <v>45932</v>
      </c>
      <c r="J2722" t="s">
        <v>9</v>
      </c>
      <c r="K2722" s="2" t="str">
        <f>IFERROR(INDEX(Product_lookup[Category],MATCH(RawWorking[[#This Row],[ProductID]],Product_lookup[ProductID],0)),"")</f>
        <v>Electronics</v>
      </c>
      <c r="L2722" s="9">
        <f>IF(OR(RawWorking[[#This Row],[ShipDate]]="",RawWorking[[#This Row],[DeliveryDate]]=""),"",RawWorking[[#This Row],[DeliveryDate]]-RawWorking[[#This Row],[ShipDate]])</f>
        <v>10</v>
      </c>
      <c r="M2722" s="9">
        <f>IF(COUNTIF(INDEX(RawWorking[OrderID],1):RawWorking[[#This Row],[OrderID]],RawWorking[[#This Row],[OrderID]])=1,1,0)</f>
        <v>0</v>
      </c>
      <c r="N2722" s="4">
        <f>IFERROR(RawWorking[[#This Row],[LineAmount]]/RawWorking[[#This Row],[Quantity]],"")</f>
        <v>203.04</v>
      </c>
    </row>
    <row r="2723" spans="1:14">
      <c r="A2723">
        <v>52722</v>
      </c>
      <c r="B2723">
        <v>31565</v>
      </c>
      <c r="C2723" s="2">
        <v>45921</v>
      </c>
      <c r="D2723">
        <v>2207</v>
      </c>
      <c r="E2723">
        <v>1008</v>
      </c>
      <c r="F2723">
        <v>2</v>
      </c>
      <c r="G2723">
        <v>412.18</v>
      </c>
      <c r="H2723" s="2">
        <v>45922</v>
      </c>
      <c r="I2723" s="2">
        <v>45927</v>
      </c>
      <c r="J2723" t="s">
        <v>9</v>
      </c>
      <c r="K2723" s="2" t="str">
        <f>IFERROR(INDEX(Product_lookup[Category],MATCH(RawWorking[[#This Row],[ProductID]],Product_lookup[ProductID],0)),"")</f>
        <v>Home</v>
      </c>
      <c r="L2723" s="9">
        <f>IF(OR(RawWorking[[#This Row],[ShipDate]]="",RawWorking[[#This Row],[DeliveryDate]]=""),"",RawWorking[[#This Row],[DeliveryDate]]-RawWorking[[#This Row],[ShipDate]])</f>
        <v>5</v>
      </c>
      <c r="M2723" s="9">
        <f>IF(COUNTIF(INDEX(RawWorking[OrderID],1):RawWorking[[#This Row],[OrderID]],RawWorking[[#This Row],[OrderID]])=1,1,0)</f>
        <v>0</v>
      </c>
      <c r="N2723" s="4">
        <f>IFERROR(RawWorking[[#This Row],[LineAmount]]/RawWorking[[#This Row],[Quantity]],"")</f>
        <v>206.09</v>
      </c>
    </row>
    <row r="2724" spans="1:14">
      <c r="A2724">
        <v>52723</v>
      </c>
      <c r="B2724">
        <v>31566</v>
      </c>
      <c r="C2724" s="2">
        <v>45991</v>
      </c>
      <c r="D2724">
        <v>2486</v>
      </c>
      <c r="E2724">
        <v>1006</v>
      </c>
      <c r="F2724">
        <v>1</v>
      </c>
      <c r="G2724">
        <v>253.86</v>
      </c>
      <c r="H2724" s="2">
        <v>45992</v>
      </c>
      <c r="I2724" s="2">
        <v>46001</v>
      </c>
      <c r="J2724" t="s">
        <v>9</v>
      </c>
      <c r="K2724" s="2" t="str">
        <f>IFERROR(INDEX(Product_lookup[Category],MATCH(RawWorking[[#This Row],[ProductID]],Product_lookup[ProductID],0)),"")</f>
        <v>Home</v>
      </c>
      <c r="L2724" s="9">
        <f>IF(OR(RawWorking[[#This Row],[ShipDate]]="",RawWorking[[#This Row],[DeliveryDate]]=""),"",RawWorking[[#This Row],[DeliveryDate]]-RawWorking[[#This Row],[ShipDate]])</f>
        <v>9</v>
      </c>
      <c r="M2724" s="9">
        <f>IF(COUNTIF(INDEX(RawWorking[OrderID],1):RawWorking[[#This Row],[OrderID]],RawWorking[[#This Row],[OrderID]])=1,1,0)</f>
        <v>1</v>
      </c>
      <c r="N2724" s="4">
        <f>IFERROR(RawWorking[[#This Row],[LineAmount]]/RawWorking[[#This Row],[Quantity]],"")</f>
        <v>253.86</v>
      </c>
    </row>
    <row r="2725" spans="1:14">
      <c r="A2725">
        <v>52724</v>
      </c>
      <c r="B2725">
        <v>31566</v>
      </c>
      <c r="C2725" s="2">
        <v>45991</v>
      </c>
      <c r="D2725">
        <v>2486</v>
      </c>
      <c r="E2725">
        <v>1003</v>
      </c>
      <c r="F2725">
        <v>1</v>
      </c>
      <c r="G2725">
        <v>224.37</v>
      </c>
      <c r="H2725" s="2">
        <v>45992</v>
      </c>
      <c r="I2725" s="2">
        <v>46001</v>
      </c>
      <c r="J2725" t="s">
        <v>9</v>
      </c>
      <c r="K2725" s="2" t="str">
        <f>IFERROR(INDEX(Product_lookup[Category],MATCH(RawWorking[[#This Row],[ProductID]],Product_lookup[ProductID],0)),"")</f>
        <v>Electronics</v>
      </c>
      <c r="L2725" s="9">
        <f>IF(OR(RawWorking[[#This Row],[ShipDate]]="",RawWorking[[#This Row],[DeliveryDate]]=""),"",RawWorking[[#This Row],[DeliveryDate]]-RawWorking[[#This Row],[ShipDate]])</f>
        <v>9</v>
      </c>
      <c r="M2725" s="9">
        <f>IF(COUNTIF(INDEX(RawWorking[OrderID],1):RawWorking[[#This Row],[OrderID]],RawWorking[[#This Row],[OrderID]])=1,1,0)</f>
        <v>0</v>
      </c>
      <c r="N2725" s="4">
        <f>IFERROR(RawWorking[[#This Row],[LineAmount]]/RawWorking[[#This Row],[Quantity]],"")</f>
        <v>224.37</v>
      </c>
    </row>
    <row r="2726" spans="1:14">
      <c r="A2726">
        <v>52725</v>
      </c>
      <c r="B2726">
        <v>31566</v>
      </c>
      <c r="C2726" s="2">
        <v>45991</v>
      </c>
      <c r="D2726">
        <v>2486</v>
      </c>
      <c r="E2726">
        <v>1009</v>
      </c>
      <c r="F2726">
        <v>1</v>
      </c>
      <c r="G2726">
        <v>40.28</v>
      </c>
      <c r="H2726" s="2">
        <v>45993</v>
      </c>
      <c r="I2726" s="2">
        <v>45995</v>
      </c>
      <c r="J2726" t="s">
        <v>9</v>
      </c>
      <c r="K2726" s="2" t="str">
        <f>IFERROR(INDEX(Product_lookup[Category],MATCH(RawWorking[[#This Row],[ProductID]],Product_lookup[ProductID],0)),"")</f>
        <v>Home</v>
      </c>
      <c r="L2726" s="9">
        <f>IF(OR(RawWorking[[#This Row],[ShipDate]]="",RawWorking[[#This Row],[DeliveryDate]]=""),"",RawWorking[[#This Row],[DeliveryDate]]-RawWorking[[#This Row],[ShipDate]])</f>
        <v>2</v>
      </c>
      <c r="M2726" s="9">
        <f>IF(COUNTIF(INDEX(RawWorking[OrderID],1):RawWorking[[#This Row],[OrderID]],RawWorking[[#This Row],[OrderID]])=1,1,0)</f>
        <v>0</v>
      </c>
      <c r="N2726" s="4">
        <f>IFERROR(RawWorking[[#This Row],[LineAmount]]/RawWorking[[#This Row],[Quantity]],"")</f>
        <v>40.28</v>
      </c>
    </row>
    <row r="2727" spans="1:14">
      <c r="A2727">
        <v>52726</v>
      </c>
      <c r="B2727">
        <v>31567</v>
      </c>
      <c r="C2727" s="2">
        <v>45680</v>
      </c>
      <c r="D2727">
        <v>2382</v>
      </c>
      <c r="E2727">
        <v>1014</v>
      </c>
      <c r="F2727">
        <v>1</v>
      </c>
      <c r="G2727">
        <v>215.34</v>
      </c>
      <c r="H2727" s="2">
        <v>45681</v>
      </c>
      <c r="I2727" s="2">
        <v>45686</v>
      </c>
      <c r="J2727" t="s">
        <v>9</v>
      </c>
      <c r="K2727" s="2" t="str">
        <f>IFERROR(INDEX(Product_lookup[Category],MATCH(RawWorking[[#This Row],[ProductID]],Product_lookup[ProductID],0)),"")</f>
        <v>Sports</v>
      </c>
      <c r="L2727" s="9">
        <f>IF(OR(RawWorking[[#This Row],[ShipDate]]="",RawWorking[[#This Row],[DeliveryDate]]=""),"",RawWorking[[#This Row],[DeliveryDate]]-RawWorking[[#This Row],[ShipDate]])</f>
        <v>5</v>
      </c>
      <c r="M2727" s="9">
        <f>IF(COUNTIF(INDEX(RawWorking[OrderID],1):RawWorking[[#This Row],[OrderID]],RawWorking[[#This Row],[OrderID]])=1,1,0)</f>
        <v>1</v>
      </c>
      <c r="N2727" s="4">
        <f>IFERROR(RawWorking[[#This Row],[LineAmount]]/RawWorking[[#This Row],[Quantity]],"")</f>
        <v>215.34</v>
      </c>
    </row>
    <row r="2728" spans="1:14">
      <c r="A2728">
        <v>52727</v>
      </c>
      <c r="B2728">
        <v>31567</v>
      </c>
      <c r="C2728" s="2">
        <v>45680</v>
      </c>
      <c r="D2728">
        <v>2382</v>
      </c>
      <c r="E2728">
        <v>1012</v>
      </c>
      <c r="F2728">
        <v>1</v>
      </c>
      <c r="G2728">
        <v>241.54</v>
      </c>
      <c r="H2728" s="2">
        <v>45682</v>
      </c>
      <c r="I2728" s="2">
        <v>45689</v>
      </c>
      <c r="J2728" t="s">
        <v>9</v>
      </c>
      <c r="K2728" s="2" t="str">
        <f>IFERROR(INDEX(Product_lookup[Category],MATCH(RawWorking[[#This Row],[ProductID]],Product_lookup[ProductID],0)),"")</f>
        <v>Office</v>
      </c>
      <c r="L2728" s="9">
        <f>IF(OR(RawWorking[[#This Row],[ShipDate]]="",RawWorking[[#This Row],[DeliveryDate]]=""),"",RawWorking[[#This Row],[DeliveryDate]]-RawWorking[[#This Row],[ShipDate]])</f>
        <v>7</v>
      </c>
      <c r="M2728" s="9">
        <f>IF(COUNTIF(INDEX(RawWorking[OrderID],1):RawWorking[[#This Row],[OrderID]],RawWorking[[#This Row],[OrderID]])=1,1,0)</f>
        <v>0</v>
      </c>
      <c r="N2728" s="4">
        <f>IFERROR(RawWorking[[#This Row],[LineAmount]]/RawWorking[[#This Row],[Quantity]],"")</f>
        <v>241.54</v>
      </c>
    </row>
    <row r="2729" spans="1:14">
      <c r="A2729">
        <v>52728</v>
      </c>
      <c r="B2729">
        <v>31567</v>
      </c>
      <c r="C2729" s="2">
        <v>45680</v>
      </c>
      <c r="D2729">
        <v>2382</v>
      </c>
      <c r="E2729">
        <v>1008</v>
      </c>
      <c r="F2729">
        <v>4</v>
      </c>
      <c r="G2729">
        <v>824.36</v>
      </c>
      <c r="H2729" s="2">
        <v>45682</v>
      </c>
      <c r="I2729" s="2">
        <v>45685</v>
      </c>
      <c r="J2729" t="s">
        <v>9</v>
      </c>
      <c r="K2729" s="2" t="str">
        <f>IFERROR(INDEX(Product_lookup[Category],MATCH(RawWorking[[#This Row],[ProductID]],Product_lookup[ProductID],0)),"")</f>
        <v>Home</v>
      </c>
      <c r="L2729" s="9">
        <f>IF(OR(RawWorking[[#This Row],[ShipDate]]="",RawWorking[[#This Row],[DeliveryDate]]=""),"",RawWorking[[#This Row],[DeliveryDate]]-RawWorking[[#This Row],[ShipDate]])</f>
        <v>3</v>
      </c>
      <c r="M2729" s="9">
        <f>IF(COUNTIF(INDEX(RawWorking[OrderID],1):RawWorking[[#This Row],[OrderID]],RawWorking[[#This Row],[OrderID]])=1,1,0)</f>
        <v>0</v>
      </c>
      <c r="N2729" s="4">
        <f>IFERROR(RawWorking[[#This Row],[LineAmount]]/RawWorking[[#This Row],[Quantity]],"")</f>
        <v>206.09</v>
      </c>
    </row>
    <row r="2730" spans="1:14">
      <c r="A2730">
        <v>52729</v>
      </c>
      <c r="B2730">
        <v>31567</v>
      </c>
      <c r="C2730" s="2">
        <v>45680</v>
      </c>
      <c r="D2730">
        <v>2382</v>
      </c>
      <c r="E2730">
        <v>1005</v>
      </c>
      <c r="F2730">
        <v>1</v>
      </c>
      <c r="G2730">
        <v>31.73</v>
      </c>
      <c r="H2730" s="2">
        <v>45681</v>
      </c>
      <c r="I2730" s="2">
        <v>45684</v>
      </c>
      <c r="J2730" t="s">
        <v>9</v>
      </c>
      <c r="K2730" s="2" t="str">
        <f>IFERROR(INDEX(Product_lookup[Category],MATCH(RawWorking[[#This Row],[ProductID]],Product_lookup[ProductID],0)),"")</f>
        <v>Electronics</v>
      </c>
      <c r="L2730" s="9">
        <f>IF(OR(RawWorking[[#This Row],[ShipDate]]="",RawWorking[[#This Row],[DeliveryDate]]=""),"",RawWorking[[#This Row],[DeliveryDate]]-RawWorking[[#This Row],[ShipDate]])</f>
        <v>3</v>
      </c>
      <c r="M2730" s="9">
        <f>IF(COUNTIF(INDEX(RawWorking[OrderID],1):RawWorking[[#This Row],[OrderID]],RawWorking[[#This Row],[OrderID]])=1,1,0)</f>
        <v>0</v>
      </c>
      <c r="N2730" s="4">
        <f>IFERROR(RawWorking[[#This Row],[LineAmount]]/RawWorking[[#This Row],[Quantity]],"")</f>
        <v>31.73</v>
      </c>
    </row>
    <row r="2731" spans="1:14">
      <c r="A2731">
        <v>52730</v>
      </c>
      <c r="B2731">
        <v>31568</v>
      </c>
      <c r="C2731" s="2">
        <v>45946</v>
      </c>
      <c r="D2731">
        <v>2543</v>
      </c>
      <c r="E2731">
        <v>1008</v>
      </c>
      <c r="F2731">
        <v>1</v>
      </c>
      <c r="G2731">
        <v>206.09</v>
      </c>
      <c r="H2731" s="2">
        <v>45948</v>
      </c>
      <c r="I2731" s="2">
        <v>45949</v>
      </c>
      <c r="J2731" t="s">
        <v>9</v>
      </c>
      <c r="K2731" s="2" t="str">
        <f>IFERROR(INDEX(Product_lookup[Category],MATCH(RawWorking[[#This Row],[ProductID]],Product_lookup[ProductID],0)),"")</f>
        <v>Home</v>
      </c>
      <c r="L2731" s="9">
        <f>IF(OR(RawWorking[[#This Row],[ShipDate]]="",RawWorking[[#This Row],[DeliveryDate]]=""),"",RawWorking[[#This Row],[DeliveryDate]]-RawWorking[[#This Row],[ShipDate]])</f>
        <v>1</v>
      </c>
      <c r="M2731" s="9">
        <f>IF(COUNTIF(INDEX(RawWorking[OrderID],1):RawWorking[[#This Row],[OrderID]],RawWorking[[#This Row],[OrderID]])=1,1,0)</f>
        <v>1</v>
      </c>
      <c r="N2731" s="4">
        <f>IFERROR(RawWorking[[#This Row],[LineAmount]]/RawWorking[[#This Row],[Quantity]],"")</f>
        <v>206.09</v>
      </c>
    </row>
    <row r="2732" spans="1:14">
      <c r="A2732">
        <v>52731</v>
      </c>
      <c r="B2732">
        <v>31568</v>
      </c>
      <c r="C2732" s="2">
        <v>45946</v>
      </c>
      <c r="D2732">
        <v>2543</v>
      </c>
      <c r="E2732">
        <v>1005</v>
      </c>
      <c r="F2732">
        <v>1</v>
      </c>
      <c r="G2732">
        <v>31.73</v>
      </c>
      <c r="H2732" s="2">
        <v>45949</v>
      </c>
      <c r="I2732" s="2">
        <v>45952</v>
      </c>
      <c r="J2732" t="s">
        <v>9</v>
      </c>
      <c r="K2732" s="2" t="str">
        <f>IFERROR(INDEX(Product_lookup[Category],MATCH(RawWorking[[#This Row],[ProductID]],Product_lookup[ProductID],0)),"")</f>
        <v>Electronics</v>
      </c>
      <c r="L2732" s="9">
        <f>IF(OR(RawWorking[[#This Row],[ShipDate]]="",RawWorking[[#This Row],[DeliveryDate]]=""),"",RawWorking[[#This Row],[DeliveryDate]]-RawWorking[[#This Row],[ShipDate]])</f>
        <v>3</v>
      </c>
      <c r="M2732" s="9">
        <f>IF(COUNTIF(INDEX(RawWorking[OrderID],1):RawWorking[[#This Row],[OrderID]],RawWorking[[#This Row],[OrderID]])=1,1,0)</f>
        <v>0</v>
      </c>
      <c r="N2732" s="4">
        <f>IFERROR(RawWorking[[#This Row],[LineAmount]]/RawWorking[[#This Row],[Quantity]],"")</f>
        <v>31.73</v>
      </c>
    </row>
    <row r="2733" spans="1:14">
      <c r="A2733">
        <v>52732</v>
      </c>
      <c r="B2733">
        <v>31569</v>
      </c>
      <c r="C2733" s="2">
        <v>45731</v>
      </c>
      <c r="D2733">
        <v>2440</v>
      </c>
      <c r="E2733">
        <v>1014</v>
      </c>
      <c r="F2733">
        <v>2</v>
      </c>
      <c r="G2733">
        <v>430.68</v>
      </c>
      <c r="H2733" s="2">
        <v>45732</v>
      </c>
      <c r="I2733" s="2">
        <v>45741</v>
      </c>
      <c r="J2733" t="s">
        <v>9</v>
      </c>
      <c r="K2733" s="2" t="str">
        <f>IFERROR(INDEX(Product_lookup[Category],MATCH(RawWorking[[#This Row],[ProductID]],Product_lookup[ProductID],0)),"")</f>
        <v>Sports</v>
      </c>
      <c r="L2733" s="9">
        <f>IF(OR(RawWorking[[#This Row],[ShipDate]]="",RawWorking[[#This Row],[DeliveryDate]]=""),"",RawWorking[[#This Row],[DeliveryDate]]-RawWorking[[#This Row],[ShipDate]])</f>
        <v>9</v>
      </c>
      <c r="M2733" s="9">
        <f>IF(COUNTIF(INDEX(RawWorking[OrderID],1):RawWorking[[#This Row],[OrderID]],RawWorking[[#This Row],[OrderID]])=1,1,0)</f>
        <v>1</v>
      </c>
      <c r="N2733" s="4">
        <f>IFERROR(RawWorking[[#This Row],[LineAmount]]/RawWorking[[#This Row],[Quantity]],"")</f>
        <v>215.34</v>
      </c>
    </row>
    <row r="2734" spans="1:14">
      <c r="A2734">
        <v>52733</v>
      </c>
      <c r="B2734">
        <v>31570</v>
      </c>
      <c r="C2734" s="2">
        <v>45970</v>
      </c>
      <c r="D2734">
        <v>2470</v>
      </c>
      <c r="E2734">
        <v>1012</v>
      </c>
      <c r="F2734">
        <v>1</v>
      </c>
      <c r="G2734">
        <v>241.54</v>
      </c>
      <c r="H2734" s="2">
        <v>45972</v>
      </c>
      <c r="I2734" s="2">
        <v>45976</v>
      </c>
      <c r="J2734" t="s">
        <v>11</v>
      </c>
      <c r="K2734" s="2" t="str">
        <f>IFERROR(INDEX(Product_lookup[Category],MATCH(RawWorking[[#This Row],[ProductID]],Product_lookup[ProductID],0)),"")</f>
        <v>Office</v>
      </c>
      <c r="L2734" s="9">
        <f>IF(OR(RawWorking[[#This Row],[ShipDate]]="",RawWorking[[#This Row],[DeliveryDate]]=""),"",RawWorking[[#This Row],[DeliveryDate]]-RawWorking[[#This Row],[ShipDate]])</f>
        <v>4</v>
      </c>
      <c r="M2734" s="9">
        <f>IF(COUNTIF(INDEX(RawWorking[OrderID],1):RawWorking[[#This Row],[OrderID]],RawWorking[[#This Row],[OrderID]])=1,1,0)</f>
        <v>1</v>
      </c>
      <c r="N2734" s="4">
        <f>IFERROR(RawWorking[[#This Row],[LineAmount]]/RawWorking[[#This Row],[Quantity]],"")</f>
        <v>241.54</v>
      </c>
    </row>
    <row r="2735" spans="1:14">
      <c r="A2735">
        <v>52734</v>
      </c>
      <c r="B2735">
        <v>31570</v>
      </c>
      <c r="C2735" s="2">
        <v>45911</v>
      </c>
      <c r="D2735">
        <v>2470</v>
      </c>
      <c r="E2735">
        <v>1001</v>
      </c>
      <c r="F2735">
        <v>5</v>
      </c>
      <c r="G2735">
        <v>1015.2</v>
      </c>
      <c r="H2735" s="2">
        <v>45941</v>
      </c>
      <c r="I2735" s="2">
        <v>45979</v>
      </c>
      <c r="J2735" t="s">
        <v>11</v>
      </c>
      <c r="K2735" s="2" t="str">
        <f>IFERROR(INDEX(Product_lookup[Category],MATCH(RawWorking[[#This Row],[ProductID]],Product_lookup[ProductID],0)),"")</f>
        <v>Electronics</v>
      </c>
      <c r="L2735" s="9">
        <f>IF(OR(RawWorking[[#This Row],[ShipDate]]="",RawWorking[[#This Row],[DeliveryDate]]=""),"",RawWorking[[#This Row],[DeliveryDate]]-RawWorking[[#This Row],[ShipDate]])</f>
        <v>38</v>
      </c>
      <c r="M2735" s="9">
        <f>IF(COUNTIF(INDEX(RawWorking[OrderID],1):RawWorking[[#This Row],[OrderID]],RawWorking[[#This Row],[OrderID]])=1,1,0)</f>
        <v>0</v>
      </c>
      <c r="N2735" s="4">
        <f>IFERROR(RawWorking[[#This Row],[LineAmount]]/RawWorking[[#This Row],[Quantity]],"")</f>
        <v>203.04000000000002</v>
      </c>
    </row>
    <row r="2736" spans="1:14">
      <c r="A2736">
        <v>52735</v>
      </c>
      <c r="B2736">
        <v>31570</v>
      </c>
      <c r="C2736" s="2">
        <v>45970</v>
      </c>
      <c r="D2736">
        <v>2470</v>
      </c>
      <c r="E2736">
        <v>1015</v>
      </c>
      <c r="F2736">
        <v>1</v>
      </c>
      <c r="G2736">
        <v>119.74</v>
      </c>
      <c r="H2736" s="2">
        <v>45972</v>
      </c>
      <c r="I2736" s="2">
        <v>45975</v>
      </c>
      <c r="J2736" t="s">
        <v>11</v>
      </c>
      <c r="K2736" s="2" t="str">
        <f>IFERROR(INDEX(Product_lookup[Category],MATCH(RawWorking[[#This Row],[ProductID]],Product_lookup[ProductID],0)),"")</f>
        <v>Sports</v>
      </c>
      <c r="L2736" s="9">
        <f>IF(OR(RawWorking[[#This Row],[ShipDate]]="",RawWorking[[#This Row],[DeliveryDate]]=""),"",RawWorking[[#This Row],[DeliveryDate]]-RawWorking[[#This Row],[ShipDate]])</f>
        <v>3</v>
      </c>
      <c r="M2736" s="9">
        <f>IF(COUNTIF(INDEX(RawWorking[OrderID],1):RawWorking[[#This Row],[OrderID]],RawWorking[[#This Row],[OrderID]])=1,1,0)</f>
        <v>0</v>
      </c>
      <c r="N2736" s="4">
        <f>IFERROR(RawWorking[[#This Row],[LineAmount]]/RawWorking[[#This Row],[Quantity]],"")</f>
        <v>119.74</v>
      </c>
    </row>
    <row r="2737" spans="1:14">
      <c r="A2737">
        <v>52736</v>
      </c>
      <c r="B2737">
        <v>31571</v>
      </c>
      <c r="C2737" s="2">
        <v>45719</v>
      </c>
      <c r="D2737">
        <v>2150</v>
      </c>
      <c r="E2737">
        <v>1003</v>
      </c>
      <c r="F2737">
        <v>1</v>
      </c>
      <c r="G2737">
        <v>224.37</v>
      </c>
      <c r="H2737" s="2">
        <v>45721</v>
      </c>
      <c r="I2737" s="2" t="s">
        <v>1421</v>
      </c>
      <c r="J2737" t="s">
        <v>16</v>
      </c>
      <c r="K2737" s="2" t="str">
        <f>IFERROR(INDEX(Product_lookup[Category],MATCH(RawWorking[[#This Row],[ProductID]],Product_lookup[ProductID],0)),"")</f>
        <v>Electronics</v>
      </c>
      <c r="L2737" s="9" t="str">
        <f>IF(OR(RawWorking[[#This Row],[ShipDate]]="",RawWorking[[#This Row],[DeliveryDate]]=""),"",RawWorking[[#This Row],[DeliveryDate]]-RawWorking[[#This Row],[ShipDate]])</f>
        <v/>
      </c>
      <c r="M2737" s="9">
        <f>IF(COUNTIF(INDEX(RawWorking[OrderID],1):RawWorking[[#This Row],[OrderID]],RawWorking[[#This Row],[OrderID]])=1,1,0)</f>
        <v>1</v>
      </c>
      <c r="N2737" s="4">
        <f>IFERROR(RawWorking[[#This Row],[LineAmount]]/RawWorking[[#This Row],[Quantity]],"")</f>
        <v>224.37</v>
      </c>
    </row>
    <row r="2738" spans="1:14">
      <c r="A2738">
        <v>52737</v>
      </c>
      <c r="B2738">
        <v>31572</v>
      </c>
      <c r="C2738" s="2">
        <v>45953</v>
      </c>
      <c r="D2738">
        <v>2323</v>
      </c>
      <c r="E2738">
        <v>1006</v>
      </c>
      <c r="F2738">
        <v>1</v>
      </c>
      <c r="G2738">
        <v>253.86</v>
      </c>
      <c r="H2738" s="2">
        <v>45954</v>
      </c>
      <c r="I2738" s="2">
        <v>45964</v>
      </c>
      <c r="J2738" t="s">
        <v>9</v>
      </c>
      <c r="K2738" s="2" t="str">
        <f>IFERROR(INDEX(Product_lookup[Category],MATCH(RawWorking[[#This Row],[ProductID]],Product_lookup[ProductID],0)),"")</f>
        <v>Home</v>
      </c>
      <c r="L2738" s="9">
        <f>IF(OR(RawWorking[[#This Row],[ShipDate]]="",RawWorking[[#This Row],[DeliveryDate]]=""),"",RawWorking[[#This Row],[DeliveryDate]]-RawWorking[[#This Row],[ShipDate]])</f>
        <v>10</v>
      </c>
      <c r="M2738" s="9">
        <f>IF(COUNTIF(INDEX(RawWorking[OrderID],1):RawWorking[[#This Row],[OrderID]],RawWorking[[#This Row],[OrderID]])=1,1,0)</f>
        <v>1</v>
      </c>
      <c r="N2738" s="4">
        <f>IFERROR(RawWorking[[#This Row],[LineAmount]]/RawWorking[[#This Row],[Quantity]],"")</f>
        <v>253.86</v>
      </c>
    </row>
    <row r="2739" spans="1:14">
      <c r="A2739">
        <v>52738</v>
      </c>
      <c r="B2739">
        <v>31572</v>
      </c>
      <c r="C2739" s="2">
        <v>45953</v>
      </c>
      <c r="D2739">
        <v>2323</v>
      </c>
      <c r="E2739">
        <v>1014</v>
      </c>
      <c r="F2739">
        <v>1</v>
      </c>
      <c r="G2739">
        <v>215.34</v>
      </c>
      <c r="H2739" s="2">
        <v>45955</v>
      </c>
      <c r="I2739" s="2">
        <v>45964</v>
      </c>
      <c r="J2739" t="s">
        <v>9</v>
      </c>
      <c r="K2739" s="2" t="str">
        <f>IFERROR(INDEX(Product_lookup[Category],MATCH(RawWorking[[#This Row],[ProductID]],Product_lookup[ProductID],0)),"")</f>
        <v>Sports</v>
      </c>
      <c r="L2739" s="9">
        <f>IF(OR(RawWorking[[#This Row],[ShipDate]]="",RawWorking[[#This Row],[DeliveryDate]]=""),"",RawWorking[[#This Row],[DeliveryDate]]-RawWorking[[#This Row],[ShipDate]])</f>
        <v>9</v>
      </c>
      <c r="M2739" s="9">
        <f>IF(COUNTIF(INDEX(RawWorking[OrderID],1):RawWorking[[#This Row],[OrderID]],RawWorking[[#This Row],[OrderID]])=1,1,0)</f>
        <v>0</v>
      </c>
      <c r="N2739" s="4">
        <f>IFERROR(RawWorking[[#This Row],[LineAmount]]/RawWorking[[#This Row],[Quantity]],"")</f>
        <v>215.34</v>
      </c>
    </row>
    <row r="2740" spans="1:14">
      <c r="A2740">
        <v>52739</v>
      </c>
      <c r="B2740">
        <v>31572</v>
      </c>
      <c r="C2740" s="2">
        <v>45953</v>
      </c>
      <c r="D2740">
        <v>2323</v>
      </c>
      <c r="E2740">
        <v>1002</v>
      </c>
      <c r="F2740">
        <v>2</v>
      </c>
      <c r="G2740">
        <v>237.2</v>
      </c>
      <c r="H2740" s="2">
        <v>45956</v>
      </c>
      <c r="I2740" s="2">
        <v>45964</v>
      </c>
      <c r="J2740" t="s">
        <v>9</v>
      </c>
      <c r="K2740" s="2" t="str">
        <f>IFERROR(INDEX(Product_lookup[Category],MATCH(RawWorking[[#This Row],[ProductID]],Product_lookup[ProductID],0)),"")</f>
        <v>Electronics</v>
      </c>
      <c r="L2740" s="9">
        <f>IF(OR(RawWorking[[#This Row],[ShipDate]]="",RawWorking[[#This Row],[DeliveryDate]]=""),"",RawWorking[[#This Row],[DeliveryDate]]-RawWorking[[#This Row],[ShipDate]])</f>
        <v>8</v>
      </c>
      <c r="M2740" s="9">
        <f>IF(COUNTIF(INDEX(RawWorking[OrderID],1):RawWorking[[#This Row],[OrderID]],RawWorking[[#This Row],[OrderID]])=1,1,0)</f>
        <v>0</v>
      </c>
      <c r="N2740" s="4">
        <f>IFERROR(RawWorking[[#This Row],[LineAmount]]/RawWorking[[#This Row],[Quantity]],"")</f>
        <v>118.6</v>
      </c>
    </row>
    <row r="2741" spans="1:14">
      <c r="A2741">
        <v>52740</v>
      </c>
      <c r="B2741">
        <v>31572</v>
      </c>
      <c r="C2741" s="2">
        <v>45953</v>
      </c>
      <c r="D2741">
        <v>2323</v>
      </c>
      <c r="E2741">
        <v>1013</v>
      </c>
      <c r="F2741">
        <v>2</v>
      </c>
      <c r="G2741">
        <v>340.5</v>
      </c>
      <c r="H2741" s="2">
        <v>45954</v>
      </c>
      <c r="I2741" s="2">
        <v>45961</v>
      </c>
      <c r="J2741" t="s">
        <v>9</v>
      </c>
      <c r="K2741" s="2" t="str">
        <f>IFERROR(INDEX(Product_lookup[Category],MATCH(RawWorking[[#This Row],[ProductID]],Product_lookup[ProductID],0)),"")</f>
        <v>Office</v>
      </c>
      <c r="L2741" s="9">
        <f>IF(OR(RawWorking[[#This Row],[ShipDate]]="",RawWorking[[#This Row],[DeliveryDate]]=""),"",RawWorking[[#This Row],[DeliveryDate]]-RawWorking[[#This Row],[ShipDate]])</f>
        <v>7</v>
      </c>
      <c r="M2741" s="9">
        <f>IF(COUNTIF(INDEX(RawWorking[OrderID],1):RawWorking[[#This Row],[OrderID]],RawWorking[[#This Row],[OrderID]])=1,1,0)</f>
        <v>0</v>
      </c>
      <c r="N2741" s="4">
        <f>IFERROR(RawWorking[[#This Row],[LineAmount]]/RawWorking[[#This Row],[Quantity]],"")</f>
        <v>170.25</v>
      </c>
    </row>
    <row r="2742" spans="1:14">
      <c r="A2742">
        <v>52741</v>
      </c>
      <c r="B2742">
        <v>31573</v>
      </c>
      <c r="C2742" s="2">
        <v>45898</v>
      </c>
      <c r="D2742">
        <v>2038</v>
      </c>
      <c r="E2742">
        <v>1005</v>
      </c>
      <c r="F2742">
        <v>1</v>
      </c>
      <c r="G2742">
        <v>31.73</v>
      </c>
      <c r="H2742" s="2">
        <v>45899</v>
      </c>
      <c r="I2742" s="2">
        <v>45908</v>
      </c>
      <c r="J2742" t="s">
        <v>9</v>
      </c>
      <c r="K2742" s="2" t="str">
        <f>IFERROR(INDEX(Product_lookup[Category],MATCH(RawWorking[[#This Row],[ProductID]],Product_lookup[ProductID],0)),"")</f>
        <v>Electronics</v>
      </c>
      <c r="L2742" s="9">
        <f>IF(OR(RawWorking[[#This Row],[ShipDate]]="",RawWorking[[#This Row],[DeliveryDate]]=""),"",RawWorking[[#This Row],[DeliveryDate]]-RawWorking[[#This Row],[ShipDate]])</f>
        <v>9</v>
      </c>
      <c r="M2742" s="9">
        <f>IF(COUNTIF(INDEX(RawWorking[OrderID],1):RawWorking[[#This Row],[OrderID]],RawWorking[[#This Row],[OrderID]])=1,1,0)</f>
        <v>1</v>
      </c>
      <c r="N2742" s="4">
        <f>IFERROR(RawWorking[[#This Row],[LineAmount]]/RawWorking[[#This Row],[Quantity]],"")</f>
        <v>31.73</v>
      </c>
    </row>
    <row r="2743" spans="1:14">
      <c r="A2743">
        <v>52742</v>
      </c>
      <c r="B2743">
        <v>31573</v>
      </c>
      <c r="C2743" s="2">
        <v>45898</v>
      </c>
      <c r="D2743">
        <v>2038</v>
      </c>
      <c r="E2743">
        <v>1002</v>
      </c>
      <c r="F2743">
        <v>1</v>
      </c>
      <c r="G2743">
        <v>118.6</v>
      </c>
      <c r="H2743" s="2">
        <v>45899</v>
      </c>
      <c r="I2743" s="2">
        <v>45900</v>
      </c>
      <c r="J2743" t="s">
        <v>9</v>
      </c>
      <c r="K2743" s="2" t="str">
        <f>IFERROR(INDEX(Product_lookup[Category],MATCH(RawWorking[[#This Row],[ProductID]],Product_lookup[ProductID],0)),"")</f>
        <v>Electronics</v>
      </c>
      <c r="L2743" s="9">
        <f>IF(OR(RawWorking[[#This Row],[ShipDate]]="",RawWorking[[#This Row],[DeliveryDate]]=""),"",RawWorking[[#This Row],[DeliveryDate]]-RawWorking[[#This Row],[ShipDate]])</f>
        <v>1</v>
      </c>
      <c r="M2743" s="9">
        <f>IF(COUNTIF(INDEX(RawWorking[OrderID],1):RawWorking[[#This Row],[OrderID]],RawWorking[[#This Row],[OrderID]])=1,1,0)</f>
        <v>0</v>
      </c>
      <c r="N2743" s="4">
        <f>IFERROR(RawWorking[[#This Row],[LineAmount]]/RawWorking[[#This Row],[Quantity]],"")</f>
        <v>118.6</v>
      </c>
    </row>
    <row r="2744" spans="1:14">
      <c r="A2744">
        <v>52743</v>
      </c>
      <c r="B2744">
        <v>31573</v>
      </c>
      <c r="C2744" s="2">
        <v>45898</v>
      </c>
      <c r="D2744">
        <v>2038</v>
      </c>
      <c r="E2744">
        <v>1010</v>
      </c>
      <c r="F2744">
        <v>1</v>
      </c>
      <c r="G2744">
        <v>121.5</v>
      </c>
      <c r="H2744" s="2">
        <v>45900</v>
      </c>
      <c r="I2744" s="2">
        <v>45902</v>
      </c>
      <c r="J2744" t="s">
        <v>9</v>
      </c>
      <c r="K2744" s="2" t="str">
        <f>IFERROR(INDEX(Product_lookup[Category],MATCH(RawWorking[[#This Row],[ProductID]],Product_lookup[ProductID],0)),"")</f>
        <v>Office</v>
      </c>
      <c r="L2744" s="9">
        <f>IF(OR(RawWorking[[#This Row],[ShipDate]]="",RawWorking[[#This Row],[DeliveryDate]]=""),"",RawWorking[[#This Row],[DeliveryDate]]-RawWorking[[#This Row],[ShipDate]])</f>
        <v>2</v>
      </c>
      <c r="M2744" s="9">
        <f>IF(COUNTIF(INDEX(RawWorking[OrderID],1):RawWorking[[#This Row],[OrderID]],RawWorking[[#This Row],[OrderID]])=1,1,0)</f>
        <v>0</v>
      </c>
      <c r="N2744" s="4">
        <f>IFERROR(RawWorking[[#This Row],[LineAmount]]/RawWorking[[#This Row],[Quantity]],"")</f>
        <v>121.5</v>
      </c>
    </row>
    <row r="2745" spans="1:14">
      <c r="A2745">
        <v>52744</v>
      </c>
      <c r="B2745">
        <v>31574</v>
      </c>
      <c r="C2745" s="2">
        <v>45704</v>
      </c>
      <c r="D2745">
        <v>2430</v>
      </c>
      <c r="E2745">
        <v>1010</v>
      </c>
      <c r="F2745">
        <v>2</v>
      </c>
      <c r="G2745">
        <v>243</v>
      </c>
      <c r="H2745" s="2">
        <v>45705</v>
      </c>
      <c r="I2745" s="2">
        <v>45710</v>
      </c>
      <c r="J2745" t="s">
        <v>9</v>
      </c>
      <c r="K2745" s="2" t="str">
        <f>IFERROR(INDEX(Product_lookup[Category],MATCH(RawWorking[[#This Row],[ProductID]],Product_lookup[ProductID],0)),"")</f>
        <v>Office</v>
      </c>
      <c r="L2745" s="9">
        <f>IF(OR(RawWorking[[#This Row],[ShipDate]]="",RawWorking[[#This Row],[DeliveryDate]]=""),"",RawWorking[[#This Row],[DeliveryDate]]-RawWorking[[#This Row],[ShipDate]])</f>
        <v>5</v>
      </c>
      <c r="M2745" s="9">
        <f>IF(COUNTIF(INDEX(RawWorking[OrderID],1):RawWorking[[#This Row],[OrderID]],RawWorking[[#This Row],[OrderID]])=1,1,0)</f>
        <v>1</v>
      </c>
      <c r="N2745" s="4">
        <f>IFERROR(RawWorking[[#This Row],[LineAmount]]/RawWorking[[#This Row],[Quantity]],"")</f>
        <v>121.5</v>
      </c>
    </row>
    <row r="2746" spans="1:14">
      <c r="A2746">
        <v>52745</v>
      </c>
      <c r="B2746">
        <v>31575</v>
      </c>
      <c r="C2746" s="2">
        <v>45726</v>
      </c>
      <c r="D2746">
        <v>2322</v>
      </c>
      <c r="E2746">
        <v>1001</v>
      </c>
      <c r="F2746">
        <v>1</v>
      </c>
      <c r="G2746">
        <v>203.04</v>
      </c>
      <c r="H2746" s="2" t="s">
        <v>1421</v>
      </c>
      <c r="I2746" s="2" t="s">
        <v>1421</v>
      </c>
      <c r="J2746" t="s">
        <v>12</v>
      </c>
      <c r="K2746" s="2" t="str">
        <f>IFERROR(INDEX(Product_lookup[Category],MATCH(RawWorking[[#This Row],[ProductID]],Product_lookup[ProductID],0)),"")</f>
        <v>Electronics</v>
      </c>
      <c r="L2746" s="9" t="str">
        <f>IF(OR(RawWorking[[#This Row],[ShipDate]]="",RawWorking[[#This Row],[DeliveryDate]]=""),"",RawWorking[[#This Row],[DeliveryDate]]-RawWorking[[#This Row],[ShipDate]])</f>
        <v/>
      </c>
      <c r="M2746" s="9">
        <f>IF(COUNTIF(INDEX(RawWorking[OrderID],1):RawWorking[[#This Row],[OrderID]],RawWorking[[#This Row],[OrderID]])=1,1,0)</f>
        <v>1</v>
      </c>
      <c r="N2746" s="4">
        <f>IFERROR(RawWorking[[#This Row],[LineAmount]]/RawWorking[[#This Row],[Quantity]],"")</f>
        <v>203.04</v>
      </c>
    </row>
    <row r="2747" spans="1:14">
      <c r="A2747">
        <v>52746</v>
      </c>
      <c r="B2747">
        <v>31575</v>
      </c>
      <c r="C2747" s="2">
        <v>45726</v>
      </c>
      <c r="D2747">
        <v>2322</v>
      </c>
      <c r="E2747">
        <v>1009</v>
      </c>
      <c r="F2747">
        <v>2</v>
      </c>
      <c r="G2747">
        <v>80.56</v>
      </c>
      <c r="H2747" s="2" t="s">
        <v>1421</v>
      </c>
      <c r="I2747" s="2" t="s">
        <v>1421</v>
      </c>
      <c r="J2747" t="s">
        <v>12</v>
      </c>
      <c r="K2747" s="2" t="str">
        <f>IFERROR(INDEX(Product_lookup[Category],MATCH(RawWorking[[#This Row],[ProductID]],Product_lookup[ProductID],0)),"")</f>
        <v>Home</v>
      </c>
      <c r="L2747" s="9" t="str">
        <f>IF(OR(RawWorking[[#This Row],[ShipDate]]="",RawWorking[[#This Row],[DeliveryDate]]=""),"",RawWorking[[#This Row],[DeliveryDate]]-RawWorking[[#This Row],[ShipDate]])</f>
        <v/>
      </c>
      <c r="M2747" s="9">
        <f>IF(COUNTIF(INDEX(RawWorking[OrderID],1):RawWorking[[#This Row],[OrderID]],RawWorking[[#This Row],[OrderID]])=1,1,0)</f>
        <v>0</v>
      </c>
      <c r="N2747" s="4">
        <f>IFERROR(RawWorking[[#This Row],[LineAmount]]/RawWorking[[#This Row],[Quantity]],"")</f>
        <v>40.28</v>
      </c>
    </row>
    <row r="2748" spans="1:14">
      <c r="A2748">
        <v>52747</v>
      </c>
      <c r="B2748">
        <v>31575</v>
      </c>
      <c r="C2748" s="2">
        <v>45726</v>
      </c>
      <c r="D2748">
        <v>2322</v>
      </c>
      <c r="E2748">
        <v>1005</v>
      </c>
      <c r="F2748">
        <v>4</v>
      </c>
      <c r="G2748">
        <v>126.92</v>
      </c>
      <c r="H2748" s="2" t="s">
        <v>1421</v>
      </c>
      <c r="I2748" s="2" t="s">
        <v>1421</v>
      </c>
      <c r="J2748" t="s">
        <v>12</v>
      </c>
      <c r="K2748" s="2" t="str">
        <f>IFERROR(INDEX(Product_lookup[Category],MATCH(RawWorking[[#This Row],[ProductID]],Product_lookup[ProductID],0)),"")</f>
        <v>Electronics</v>
      </c>
      <c r="L2748" s="9" t="str">
        <f>IF(OR(RawWorking[[#This Row],[ShipDate]]="",RawWorking[[#This Row],[DeliveryDate]]=""),"",RawWorking[[#This Row],[DeliveryDate]]-RawWorking[[#This Row],[ShipDate]])</f>
        <v/>
      </c>
      <c r="M2748" s="9">
        <f>IF(COUNTIF(INDEX(RawWorking[OrderID],1):RawWorking[[#This Row],[OrderID]],RawWorking[[#This Row],[OrderID]])=1,1,0)</f>
        <v>0</v>
      </c>
      <c r="N2748" s="4">
        <f>IFERROR(RawWorking[[#This Row],[LineAmount]]/RawWorking[[#This Row],[Quantity]],"")</f>
        <v>31.73</v>
      </c>
    </row>
    <row r="2749" spans="1:14">
      <c r="A2749">
        <v>52748</v>
      </c>
      <c r="B2749">
        <v>31575</v>
      </c>
      <c r="C2749" s="2">
        <v>45726</v>
      </c>
      <c r="D2749">
        <v>2322</v>
      </c>
      <c r="E2749">
        <v>1013</v>
      </c>
      <c r="F2749">
        <v>3</v>
      </c>
      <c r="G2749">
        <v>510.75</v>
      </c>
      <c r="H2749" s="2" t="s">
        <v>1421</v>
      </c>
      <c r="I2749" s="2" t="s">
        <v>1421</v>
      </c>
      <c r="J2749" t="s">
        <v>12</v>
      </c>
      <c r="K2749" s="2" t="str">
        <f>IFERROR(INDEX(Product_lookup[Category],MATCH(RawWorking[[#This Row],[ProductID]],Product_lookup[ProductID],0)),"")</f>
        <v>Office</v>
      </c>
      <c r="L2749" s="9" t="str">
        <f>IF(OR(RawWorking[[#This Row],[ShipDate]]="",RawWorking[[#This Row],[DeliveryDate]]=""),"",RawWorking[[#This Row],[DeliveryDate]]-RawWorking[[#This Row],[ShipDate]])</f>
        <v/>
      </c>
      <c r="M2749" s="9">
        <f>IF(COUNTIF(INDEX(RawWorking[OrderID],1):RawWorking[[#This Row],[OrderID]],RawWorking[[#This Row],[OrderID]])=1,1,0)</f>
        <v>0</v>
      </c>
      <c r="N2749" s="4">
        <f>IFERROR(RawWorking[[#This Row],[LineAmount]]/RawWorking[[#This Row],[Quantity]],"")</f>
        <v>170.25</v>
      </c>
    </row>
    <row r="2750" spans="1:14">
      <c r="A2750">
        <v>52749</v>
      </c>
      <c r="B2750">
        <v>31576</v>
      </c>
      <c r="C2750" s="2">
        <v>45867</v>
      </c>
      <c r="D2750">
        <v>2457</v>
      </c>
      <c r="E2750">
        <v>1015</v>
      </c>
      <c r="F2750">
        <v>1</v>
      </c>
      <c r="G2750">
        <v>119.74</v>
      </c>
      <c r="H2750" s="2">
        <v>45869</v>
      </c>
      <c r="I2750" s="2">
        <v>45878</v>
      </c>
      <c r="J2750" t="s">
        <v>9</v>
      </c>
      <c r="K2750" s="2" t="str">
        <f>IFERROR(INDEX(Product_lookup[Category],MATCH(RawWorking[[#This Row],[ProductID]],Product_lookup[ProductID],0)),"")</f>
        <v>Sports</v>
      </c>
      <c r="L2750" s="9">
        <f>IF(OR(RawWorking[[#This Row],[ShipDate]]="",RawWorking[[#This Row],[DeliveryDate]]=""),"",RawWorking[[#This Row],[DeliveryDate]]-RawWorking[[#This Row],[ShipDate]])</f>
        <v>9</v>
      </c>
      <c r="M2750" s="9">
        <f>IF(COUNTIF(INDEX(RawWorking[OrderID],1):RawWorking[[#This Row],[OrderID]],RawWorking[[#This Row],[OrderID]])=1,1,0)</f>
        <v>1</v>
      </c>
      <c r="N2750" s="4">
        <f>IFERROR(RawWorking[[#This Row],[LineAmount]]/RawWorking[[#This Row],[Quantity]],"")</f>
        <v>119.74</v>
      </c>
    </row>
    <row r="2751" spans="1:14">
      <c r="A2751">
        <v>52750</v>
      </c>
      <c r="B2751">
        <v>31576</v>
      </c>
      <c r="C2751" s="2">
        <v>45867</v>
      </c>
      <c r="D2751">
        <v>2457</v>
      </c>
      <c r="E2751">
        <v>1012</v>
      </c>
      <c r="F2751">
        <v>1</v>
      </c>
      <c r="G2751">
        <v>241.54</v>
      </c>
      <c r="H2751" s="2">
        <v>45868</v>
      </c>
      <c r="I2751" s="2">
        <v>45878</v>
      </c>
      <c r="J2751" t="s">
        <v>9</v>
      </c>
      <c r="K2751" s="2" t="str">
        <f>IFERROR(INDEX(Product_lookup[Category],MATCH(RawWorking[[#This Row],[ProductID]],Product_lookup[ProductID],0)),"")</f>
        <v>Office</v>
      </c>
      <c r="L2751" s="9">
        <f>IF(OR(RawWorking[[#This Row],[ShipDate]]="",RawWorking[[#This Row],[DeliveryDate]]=""),"",RawWorking[[#This Row],[DeliveryDate]]-RawWorking[[#This Row],[ShipDate]])</f>
        <v>10</v>
      </c>
      <c r="M2751" s="9">
        <f>IF(COUNTIF(INDEX(RawWorking[OrderID],1):RawWorking[[#This Row],[OrderID]],RawWorking[[#This Row],[OrderID]])=1,1,0)</f>
        <v>0</v>
      </c>
      <c r="N2751" s="4">
        <f>IFERROR(RawWorking[[#This Row],[LineAmount]]/RawWorking[[#This Row],[Quantity]],"")</f>
        <v>241.54</v>
      </c>
    </row>
    <row r="2752" spans="1:14">
      <c r="A2752">
        <v>52751</v>
      </c>
      <c r="B2752">
        <v>31577</v>
      </c>
      <c r="C2752" s="2">
        <v>45690</v>
      </c>
      <c r="D2752">
        <v>2415</v>
      </c>
      <c r="E2752">
        <v>1010</v>
      </c>
      <c r="F2752">
        <v>1</v>
      </c>
      <c r="G2752">
        <v>121.5</v>
      </c>
      <c r="H2752" s="2">
        <v>45692</v>
      </c>
      <c r="I2752" s="2" t="s">
        <v>1421</v>
      </c>
      <c r="J2752" t="s">
        <v>16</v>
      </c>
      <c r="K2752" s="2" t="str">
        <f>IFERROR(INDEX(Product_lookup[Category],MATCH(RawWorking[[#This Row],[ProductID]],Product_lookup[ProductID],0)),"")</f>
        <v>Office</v>
      </c>
      <c r="L2752" s="9" t="str">
        <f>IF(OR(RawWorking[[#This Row],[ShipDate]]="",RawWorking[[#This Row],[DeliveryDate]]=""),"",RawWorking[[#This Row],[DeliveryDate]]-RawWorking[[#This Row],[ShipDate]])</f>
        <v/>
      </c>
      <c r="M2752" s="9">
        <f>IF(COUNTIF(INDEX(RawWorking[OrderID],1):RawWorking[[#This Row],[OrderID]],RawWorking[[#This Row],[OrderID]])=1,1,0)</f>
        <v>1</v>
      </c>
      <c r="N2752" s="4">
        <f>IFERROR(RawWorking[[#This Row],[LineAmount]]/RawWorking[[#This Row],[Quantity]],"")</f>
        <v>121.5</v>
      </c>
    </row>
    <row r="2753" spans="1:14">
      <c r="A2753">
        <v>52752</v>
      </c>
      <c r="B2753">
        <v>31578</v>
      </c>
      <c r="C2753" s="2">
        <v>45669</v>
      </c>
      <c r="D2753">
        <v>2551</v>
      </c>
      <c r="E2753">
        <v>1005</v>
      </c>
      <c r="F2753">
        <v>3</v>
      </c>
      <c r="G2753">
        <v>95.19</v>
      </c>
      <c r="H2753" s="2">
        <v>45995</v>
      </c>
      <c r="I2753" s="2">
        <v>46003</v>
      </c>
      <c r="J2753" t="s">
        <v>9</v>
      </c>
      <c r="K2753" s="2" t="str">
        <f>IFERROR(INDEX(Product_lookup[Category],MATCH(RawWorking[[#This Row],[ProductID]],Product_lookup[ProductID],0)),"")</f>
        <v>Electronics</v>
      </c>
      <c r="L2753" s="9">
        <f>IF(OR(RawWorking[[#This Row],[ShipDate]]="",RawWorking[[#This Row],[DeliveryDate]]=""),"",RawWorking[[#This Row],[DeliveryDate]]-RawWorking[[#This Row],[ShipDate]])</f>
        <v>8</v>
      </c>
      <c r="M2753" s="9">
        <f>IF(COUNTIF(INDEX(RawWorking[OrderID],1):RawWorking[[#This Row],[OrderID]],RawWorking[[#This Row],[OrderID]])=1,1,0)</f>
        <v>1</v>
      </c>
      <c r="N2753" s="4">
        <f>IFERROR(RawWorking[[#This Row],[LineAmount]]/RawWorking[[#This Row],[Quantity]],"")</f>
        <v>31.73</v>
      </c>
    </row>
    <row r="2754" spans="1:14">
      <c r="A2754">
        <v>52753</v>
      </c>
      <c r="B2754">
        <v>31578</v>
      </c>
      <c r="C2754" s="2">
        <v>45992</v>
      </c>
      <c r="D2754">
        <v>2551</v>
      </c>
      <c r="E2754">
        <v>1010</v>
      </c>
      <c r="F2754">
        <v>1</v>
      </c>
      <c r="G2754">
        <v>121.5</v>
      </c>
      <c r="H2754" s="2">
        <v>45995</v>
      </c>
      <c r="I2754" s="2">
        <v>45996</v>
      </c>
      <c r="J2754" t="s">
        <v>9</v>
      </c>
      <c r="K2754" s="2" t="str">
        <f>IFERROR(INDEX(Product_lookup[Category],MATCH(RawWorking[[#This Row],[ProductID]],Product_lookup[ProductID],0)),"")</f>
        <v>Office</v>
      </c>
      <c r="L2754" s="9">
        <f>IF(OR(RawWorking[[#This Row],[ShipDate]]="",RawWorking[[#This Row],[DeliveryDate]]=""),"",RawWorking[[#This Row],[DeliveryDate]]-RawWorking[[#This Row],[ShipDate]])</f>
        <v>1</v>
      </c>
      <c r="M2754" s="9">
        <f>IF(COUNTIF(INDEX(RawWorking[OrderID],1):RawWorking[[#This Row],[OrderID]],RawWorking[[#This Row],[OrderID]])=1,1,0)</f>
        <v>0</v>
      </c>
      <c r="N2754" s="4">
        <f>IFERROR(RawWorking[[#This Row],[LineAmount]]/RawWorking[[#This Row],[Quantity]],"")</f>
        <v>121.5</v>
      </c>
    </row>
    <row r="2755" spans="1:14">
      <c r="A2755">
        <v>52754</v>
      </c>
      <c r="B2755">
        <v>31578</v>
      </c>
      <c r="C2755" s="2">
        <v>45669</v>
      </c>
      <c r="D2755">
        <v>2551</v>
      </c>
      <c r="E2755">
        <v>1007</v>
      </c>
      <c r="F2755">
        <v>2</v>
      </c>
      <c r="G2755">
        <v>399.62</v>
      </c>
      <c r="H2755" s="2">
        <v>45759</v>
      </c>
      <c r="I2755" s="2">
        <v>45973</v>
      </c>
      <c r="J2755" t="s">
        <v>9</v>
      </c>
      <c r="K2755" s="2" t="str">
        <f>IFERROR(INDEX(Product_lookup[Category],MATCH(RawWorking[[#This Row],[ProductID]],Product_lookup[ProductID],0)),"")</f>
        <v>Home</v>
      </c>
      <c r="L2755" s="9">
        <f>IF(OR(RawWorking[[#This Row],[ShipDate]]="",RawWorking[[#This Row],[DeliveryDate]]=""),"",RawWorking[[#This Row],[DeliveryDate]]-RawWorking[[#This Row],[ShipDate]])</f>
        <v>214</v>
      </c>
      <c r="M2755" s="9">
        <f>IF(COUNTIF(INDEX(RawWorking[OrderID],1):RawWorking[[#This Row],[OrderID]],RawWorking[[#This Row],[OrderID]])=1,1,0)</f>
        <v>0</v>
      </c>
      <c r="N2755" s="4">
        <f>IFERROR(RawWorking[[#This Row],[LineAmount]]/RawWorking[[#This Row],[Quantity]],"")</f>
        <v>199.81</v>
      </c>
    </row>
    <row r="2756" spans="1:14">
      <c r="A2756">
        <v>52755</v>
      </c>
      <c r="B2756">
        <v>31579</v>
      </c>
      <c r="C2756" s="2">
        <v>45792</v>
      </c>
      <c r="D2756">
        <v>2096</v>
      </c>
      <c r="E2756">
        <v>1010</v>
      </c>
      <c r="F2756">
        <v>1</v>
      </c>
      <c r="G2756">
        <v>121.5</v>
      </c>
      <c r="H2756" s="2">
        <v>45794</v>
      </c>
      <c r="I2756" s="2">
        <v>45800</v>
      </c>
      <c r="J2756" t="s">
        <v>9</v>
      </c>
      <c r="K2756" s="2" t="str">
        <f>IFERROR(INDEX(Product_lookup[Category],MATCH(RawWorking[[#This Row],[ProductID]],Product_lookup[ProductID],0)),"")</f>
        <v>Office</v>
      </c>
      <c r="L2756" s="9">
        <f>IF(OR(RawWorking[[#This Row],[ShipDate]]="",RawWorking[[#This Row],[DeliveryDate]]=""),"",RawWorking[[#This Row],[DeliveryDate]]-RawWorking[[#This Row],[ShipDate]])</f>
        <v>6</v>
      </c>
      <c r="M2756" s="9">
        <f>IF(COUNTIF(INDEX(RawWorking[OrderID],1):RawWorking[[#This Row],[OrderID]],RawWorking[[#This Row],[OrderID]])=1,1,0)</f>
        <v>1</v>
      </c>
      <c r="N2756" s="4">
        <f>IFERROR(RawWorking[[#This Row],[LineAmount]]/RawWorking[[#This Row],[Quantity]],"")</f>
        <v>121.5</v>
      </c>
    </row>
    <row r="2757" spans="1:14">
      <c r="A2757">
        <v>52756</v>
      </c>
      <c r="B2757">
        <v>31580</v>
      </c>
      <c r="C2757" s="2">
        <v>45745</v>
      </c>
      <c r="D2757">
        <v>2534</v>
      </c>
      <c r="E2757">
        <v>1006</v>
      </c>
      <c r="F2757">
        <v>1</v>
      </c>
      <c r="G2757">
        <v>253.86</v>
      </c>
      <c r="H2757" s="2">
        <v>45746</v>
      </c>
      <c r="I2757" s="2">
        <v>45753</v>
      </c>
      <c r="J2757" t="s">
        <v>9</v>
      </c>
      <c r="K2757" s="2" t="str">
        <f>IFERROR(INDEX(Product_lookup[Category],MATCH(RawWorking[[#This Row],[ProductID]],Product_lookup[ProductID],0)),"")</f>
        <v>Home</v>
      </c>
      <c r="L2757" s="9">
        <f>IF(OR(RawWorking[[#This Row],[ShipDate]]="",RawWorking[[#This Row],[DeliveryDate]]=""),"",RawWorking[[#This Row],[DeliveryDate]]-RawWorking[[#This Row],[ShipDate]])</f>
        <v>7</v>
      </c>
      <c r="M2757" s="9">
        <f>IF(COUNTIF(INDEX(RawWorking[OrderID],1):RawWorking[[#This Row],[OrderID]],RawWorking[[#This Row],[OrderID]])=1,1,0)</f>
        <v>1</v>
      </c>
      <c r="N2757" s="4">
        <f>IFERROR(RawWorking[[#This Row],[LineAmount]]/RawWorking[[#This Row],[Quantity]],"")</f>
        <v>253.86</v>
      </c>
    </row>
    <row r="2758" spans="1:14">
      <c r="A2758">
        <v>52757</v>
      </c>
      <c r="B2758">
        <v>31581</v>
      </c>
      <c r="C2758" s="2">
        <v>45925</v>
      </c>
      <c r="D2758">
        <v>2024</v>
      </c>
      <c r="E2758">
        <v>1009</v>
      </c>
      <c r="F2758">
        <v>2</v>
      </c>
      <c r="G2758">
        <v>80.56</v>
      </c>
      <c r="H2758" s="2">
        <v>45928</v>
      </c>
      <c r="I2758" s="2">
        <v>45935</v>
      </c>
      <c r="J2758" t="s">
        <v>9</v>
      </c>
      <c r="K2758" s="2" t="str">
        <f>IFERROR(INDEX(Product_lookup[Category],MATCH(RawWorking[[#This Row],[ProductID]],Product_lookup[ProductID],0)),"")</f>
        <v>Home</v>
      </c>
      <c r="L2758" s="9">
        <f>IF(OR(RawWorking[[#This Row],[ShipDate]]="",RawWorking[[#This Row],[DeliveryDate]]=""),"",RawWorking[[#This Row],[DeliveryDate]]-RawWorking[[#This Row],[ShipDate]])</f>
        <v>7</v>
      </c>
      <c r="M2758" s="9">
        <f>IF(COUNTIF(INDEX(RawWorking[OrderID],1):RawWorking[[#This Row],[OrderID]],RawWorking[[#This Row],[OrderID]])=1,1,0)</f>
        <v>1</v>
      </c>
      <c r="N2758" s="4">
        <f>IFERROR(RawWorking[[#This Row],[LineAmount]]/RawWorking[[#This Row],[Quantity]],"")</f>
        <v>40.28</v>
      </c>
    </row>
    <row r="2759" spans="1:14">
      <c r="A2759">
        <v>52758</v>
      </c>
      <c r="B2759">
        <v>31581</v>
      </c>
      <c r="C2759" s="2">
        <v>45925</v>
      </c>
      <c r="D2759">
        <v>2024</v>
      </c>
      <c r="E2759">
        <v>1008</v>
      </c>
      <c r="F2759">
        <v>1</v>
      </c>
      <c r="G2759">
        <v>206.09</v>
      </c>
      <c r="H2759" s="2">
        <v>45928</v>
      </c>
      <c r="I2759" s="2">
        <v>45932</v>
      </c>
      <c r="J2759" t="s">
        <v>9</v>
      </c>
      <c r="K2759" s="2" t="str">
        <f>IFERROR(INDEX(Product_lookup[Category],MATCH(RawWorking[[#This Row],[ProductID]],Product_lookup[ProductID],0)),"")</f>
        <v>Home</v>
      </c>
      <c r="L2759" s="9">
        <f>IF(OR(RawWorking[[#This Row],[ShipDate]]="",RawWorking[[#This Row],[DeliveryDate]]=""),"",RawWorking[[#This Row],[DeliveryDate]]-RawWorking[[#This Row],[ShipDate]])</f>
        <v>4</v>
      </c>
      <c r="M2759" s="9">
        <f>IF(COUNTIF(INDEX(RawWorking[OrderID],1):RawWorking[[#This Row],[OrderID]],RawWorking[[#This Row],[OrderID]])=1,1,0)</f>
        <v>0</v>
      </c>
      <c r="N2759" s="4">
        <f>IFERROR(RawWorking[[#This Row],[LineAmount]]/RawWorking[[#This Row],[Quantity]],"")</f>
        <v>206.09</v>
      </c>
    </row>
    <row r="2760" spans="1:14">
      <c r="A2760">
        <v>52759</v>
      </c>
      <c r="B2760">
        <v>31582</v>
      </c>
      <c r="C2760" s="2">
        <v>45896</v>
      </c>
      <c r="D2760">
        <v>2312</v>
      </c>
      <c r="E2760">
        <v>1004</v>
      </c>
      <c r="F2760">
        <v>1</v>
      </c>
      <c r="G2760">
        <v>183.74</v>
      </c>
      <c r="H2760" s="2">
        <v>45899</v>
      </c>
      <c r="I2760" s="2">
        <v>45900</v>
      </c>
      <c r="J2760" t="s">
        <v>9</v>
      </c>
      <c r="K2760" s="2" t="str">
        <f>IFERROR(INDEX(Product_lookup[Category],MATCH(RawWorking[[#This Row],[ProductID]],Product_lookup[ProductID],0)),"")</f>
        <v>Electronics</v>
      </c>
      <c r="L2760" s="9">
        <f>IF(OR(RawWorking[[#This Row],[ShipDate]]="",RawWorking[[#This Row],[DeliveryDate]]=""),"",RawWorking[[#This Row],[DeliveryDate]]-RawWorking[[#This Row],[ShipDate]])</f>
        <v>1</v>
      </c>
      <c r="M2760" s="9">
        <f>IF(COUNTIF(INDEX(RawWorking[OrderID],1):RawWorking[[#This Row],[OrderID]],RawWorking[[#This Row],[OrderID]])=1,1,0)</f>
        <v>1</v>
      </c>
      <c r="N2760" s="4">
        <f>IFERROR(RawWorking[[#This Row],[LineAmount]]/RawWorking[[#This Row],[Quantity]],"")</f>
        <v>183.74</v>
      </c>
    </row>
    <row r="2761" spans="1:14">
      <c r="A2761">
        <v>52760</v>
      </c>
      <c r="B2761">
        <v>31583</v>
      </c>
      <c r="C2761" s="2">
        <v>45873</v>
      </c>
      <c r="D2761">
        <v>2062</v>
      </c>
      <c r="E2761">
        <v>1009</v>
      </c>
      <c r="F2761">
        <v>1</v>
      </c>
      <c r="G2761">
        <v>40.28</v>
      </c>
      <c r="H2761" s="2" t="s">
        <v>1421</v>
      </c>
      <c r="I2761" s="2" t="s">
        <v>1421</v>
      </c>
      <c r="J2761" t="s">
        <v>16</v>
      </c>
      <c r="K2761" s="2" t="str">
        <f>IFERROR(INDEX(Product_lookup[Category],MATCH(RawWorking[[#This Row],[ProductID]],Product_lookup[ProductID],0)),"")</f>
        <v>Home</v>
      </c>
      <c r="L2761" s="9" t="str">
        <f>IF(OR(RawWorking[[#This Row],[ShipDate]]="",RawWorking[[#This Row],[DeliveryDate]]=""),"",RawWorking[[#This Row],[DeliveryDate]]-RawWorking[[#This Row],[ShipDate]])</f>
        <v/>
      </c>
      <c r="M2761" s="9">
        <f>IF(COUNTIF(INDEX(RawWorking[OrderID],1):RawWorking[[#This Row],[OrderID]],RawWorking[[#This Row],[OrderID]])=1,1,0)</f>
        <v>1</v>
      </c>
      <c r="N2761" s="4">
        <f>IFERROR(RawWorking[[#This Row],[LineAmount]]/RawWorking[[#This Row],[Quantity]],"")</f>
        <v>40.28</v>
      </c>
    </row>
    <row r="2762" spans="1:14">
      <c r="A2762">
        <v>52761</v>
      </c>
      <c r="B2762">
        <v>31583</v>
      </c>
      <c r="C2762" s="2">
        <v>45873</v>
      </c>
      <c r="D2762">
        <v>2062</v>
      </c>
      <c r="E2762">
        <v>1012</v>
      </c>
      <c r="F2762">
        <v>1</v>
      </c>
      <c r="G2762">
        <v>241.54</v>
      </c>
      <c r="H2762" s="2">
        <v>45877</v>
      </c>
      <c r="I2762" s="2" t="s">
        <v>1421</v>
      </c>
      <c r="J2762" t="s">
        <v>16</v>
      </c>
      <c r="K2762" s="2" t="str">
        <f>IFERROR(INDEX(Product_lookup[Category],MATCH(RawWorking[[#This Row],[ProductID]],Product_lookup[ProductID],0)),"")</f>
        <v>Office</v>
      </c>
      <c r="L2762" s="9" t="str">
        <f>IF(OR(RawWorking[[#This Row],[ShipDate]]="",RawWorking[[#This Row],[DeliveryDate]]=""),"",RawWorking[[#This Row],[DeliveryDate]]-RawWorking[[#This Row],[ShipDate]])</f>
        <v/>
      </c>
      <c r="M2762" s="9">
        <f>IF(COUNTIF(INDEX(RawWorking[OrderID],1):RawWorking[[#This Row],[OrderID]],RawWorking[[#This Row],[OrderID]])=1,1,0)</f>
        <v>0</v>
      </c>
      <c r="N2762" s="4">
        <f>IFERROR(RawWorking[[#This Row],[LineAmount]]/RawWorking[[#This Row],[Quantity]],"")</f>
        <v>241.54</v>
      </c>
    </row>
    <row r="2763" spans="1:14">
      <c r="A2763">
        <v>52762</v>
      </c>
      <c r="B2763">
        <v>31583</v>
      </c>
      <c r="C2763" s="2">
        <v>45873</v>
      </c>
      <c r="D2763">
        <v>2062</v>
      </c>
      <c r="E2763">
        <v>1004</v>
      </c>
      <c r="F2763">
        <v>1</v>
      </c>
      <c r="G2763">
        <v>183.74</v>
      </c>
      <c r="H2763" s="2" t="s">
        <v>1421</v>
      </c>
      <c r="I2763" s="2" t="s">
        <v>1421</v>
      </c>
      <c r="J2763" t="s">
        <v>16</v>
      </c>
      <c r="K2763" s="2" t="str">
        <f>IFERROR(INDEX(Product_lookup[Category],MATCH(RawWorking[[#This Row],[ProductID]],Product_lookup[ProductID],0)),"")</f>
        <v>Electronics</v>
      </c>
      <c r="L2763" s="9" t="str">
        <f>IF(OR(RawWorking[[#This Row],[ShipDate]]="",RawWorking[[#This Row],[DeliveryDate]]=""),"",RawWorking[[#This Row],[DeliveryDate]]-RawWorking[[#This Row],[ShipDate]])</f>
        <v/>
      </c>
      <c r="M2763" s="9">
        <f>IF(COUNTIF(INDEX(RawWorking[OrderID],1):RawWorking[[#This Row],[OrderID]],RawWorking[[#This Row],[OrderID]])=1,1,0)</f>
        <v>0</v>
      </c>
      <c r="N2763" s="4">
        <f>IFERROR(RawWorking[[#This Row],[LineAmount]]/RawWorking[[#This Row],[Quantity]],"")</f>
        <v>183.74</v>
      </c>
    </row>
    <row r="2764" spans="1:14">
      <c r="A2764">
        <v>52763</v>
      </c>
      <c r="B2764">
        <v>31583</v>
      </c>
      <c r="C2764" s="2">
        <v>45873</v>
      </c>
      <c r="D2764">
        <v>2062</v>
      </c>
      <c r="E2764">
        <v>1001</v>
      </c>
      <c r="F2764">
        <v>2</v>
      </c>
      <c r="G2764">
        <v>406.08</v>
      </c>
      <c r="H2764" s="2" t="s">
        <v>1421</v>
      </c>
      <c r="I2764" s="2" t="s">
        <v>1421</v>
      </c>
      <c r="J2764" t="s">
        <v>16</v>
      </c>
      <c r="K2764" s="2" t="str">
        <f>IFERROR(INDEX(Product_lookup[Category],MATCH(RawWorking[[#This Row],[ProductID]],Product_lookup[ProductID],0)),"")</f>
        <v>Electronics</v>
      </c>
      <c r="L2764" s="9" t="str">
        <f>IF(OR(RawWorking[[#This Row],[ShipDate]]="",RawWorking[[#This Row],[DeliveryDate]]=""),"",RawWorking[[#This Row],[DeliveryDate]]-RawWorking[[#This Row],[ShipDate]])</f>
        <v/>
      </c>
      <c r="M2764" s="9">
        <f>IF(COUNTIF(INDEX(RawWorking[OrderID],1):RawWorking[[#This Row],[OrderID]],RawWorking[[#This Row],[OrderID]])=1,1,0)</f>
        <v>0</v>
      </c>
      <c r="N2764" s="4">
        <f>IFERROR(RawWorking[[#This Row],[LineAmount]]/RawWorking[[#This Row],[Quantity]],"")</f>
        <v>203.04</v>
      </c>
    </row>
    <row r="2765" spans="1:14">
      <c r="A2765">
        <v>52764</v>
      </c>
      <c r="B2765">
        <v>31584</v>
      </c>
      <c r="C2765" s="2">
        <v>45965</v>
      </c>
      <c r="D2765">
        <v>2242</v>
      </c>
      <c r="E2765">
        <v>1008</v>
      </c>
      <c r="F2765">
        <v>3</v>
      </c>
      <c r="G2765">
        <v>618.27</v>
      </c>
      <c r="H2765" s="2" t="s">
        <v>1421</v>
      </c>
      <c r="I2765" s="2" t="s">
        <v>1421</v>
      </c>
      <c r="J2765" t="s">
        <v>16</v>
      </c>
      <c r="K2765" s="2" t="str">
        <f>IFERROR(INDEX(Product_lookup[Category],MATCH(RawWorking[[#This Row],[ProductID]],Product_lookup[ProductID],0)),"")</f>
        <v>Home</v>
      </c>
      <c r="L2765" s="9" t="str">
        <f>IF(OR(RawWorking[[#This Row],[ShipDate]]="",RawWorking[[#This Row],[DeliveryDate]]=""),"",RawWorking[[#This Row],[DeliveryDate]]-RawWorking[[#This Row],[ShipDate]])</f>
        <v/>
      </c>
      <c r="M2765" s="9">
        <f>IF(COUNTIF(INDEX(RawWorking[OrderID],1):RawWorking[[#This Row],[OrderID]],RawWorking[[#This Row],[OrderID]])=1,1,0)</f>
        <v>1</v>
      </c>
      <c r="N2765" s="4">
        <f>IFERROR(RawWorking[[#This Row],[LineAmount]]/RawWorking[[#This Row],[Quantity]],"")</f>
        <v>206.09</v>
      </c>
    </row>
    <row r="2766" spans="1:14">
      <c r="A2766">
        <v>52765</v>
      </c>
      <c r="B2766">
        <v>31585</v>
      </c>
      <c r="C2766" s="2">
        <v>45876</v>
      </c>
      <c r="D2766">
        <v>2292</v>
      </c>
      <c r="E2766">
        <v>1005</v>
      </c>
      <c r="F2766">
        <v>1</v>
      </c>
      <c r="G2766">
        <v>31.73</v>
      </c>
      <c r="H2766" s="2">
        <v>45878</v>
      </c>
      <c r="I2766" s="2">
        <v>45882</v>
      </c>
      <c r="J2766" t="s">
        <v>9</v>
      </c>
      <c r="K2766" s="2" t="str">
        <f>IFERROR(INDEX(Product_lookup[Category],MATCH(RawWorking[[#This Row],[ProductID]],Product_lookup[ProductID],0)),"")</f>
        <v>Electronics</v>
      </c>
      <c r="L2766" s="9">
        <f>IF(OR(RawWorking[[#This Row],[ShipDate]]="",RawWorking[[#This Row],[DeliveryDate]]=""),"",RawWorking[[#This Row],[DeliveryDate]]-RawWorking[[#This Row],[ShipDate]])</f>
        <v>4</v>
      </c>
      <c r="M2766" s="9">
        <f>IF(COUNTIF(INDEX(RawWorking[OrderID],1):RawWorking[[#This Row],[OrderID]],RawWorking[[#This Row],[OrderID]])=1,1,0)</f>
        <v>1</v>
      </c>
      <c r="N2766" s="4">
        <f>IFERROR(RawWorking[[#This Row],[LineAmount]]/RawWorking[[#This Row],[Quantity]],"")</f>
        <v>31.73</v>
      </c>
    </row>
    <row r="2767" spans="1:14">
      <c r="A2767">
        <v>52766</v>
      </c>
      <c r="B2767">
        <v>31586</v>
      </c>
      <c r="C2767" s="2">
        <v>45821</v>
      </c>
      <c r="D2767">
        <v>2387</v>
      </c>
      <c r="E2767">
        <v>1008</v>
      </c>
      <c r="F2767">
        <v>1</v>
      </c>
      <c r="G2767">
        <v>206.09</v>
      </c>
      <c r="H2767" s="2">
        <v>45823</v>
      </c>
      <c r="I2767" s="2">
        <v>45827</v>
      </c>
      <c r="J2767" t="s">
        <v>9</v>
      </c>
      <c r="K2767" s="2" t="str">
        <f>IFERROR(INDEX(Product_lookup[Category],MATCH(RawWorking[[#This Row],[ProductID]],Product_lookup[ProductID],0)),"")</f>
        <v>Home</v>
      </c>
      <c r="L2767" s="9">
        <f>IF(OR(RawWorking[[#This Row],[ShipDate]]="",RawWorking[[#This Row],[DeliveryDate]]=""),"",RawWorking[[#This Row],[DeliveryDate]]-RawWorking[[#This Row],[ShipDate]])</f>
        <v>4</v>
      </c>
      <c r="M2767" s="9">
        <f>IF(COUNTIF(INDEX(RawWorking[OrderID],1):RawWorking[[#This Row],[OrderID]],RawWorking[[#This Row],[OrderID]])=1,1,0)</f>
        <v>1</v>
      </c>
      <c r="N2767" s="4">
        <f>IFERROR(RawWorking[[#This Row],[LineAmount]]/RawWorking[[#This Row],[Quantity]],"")</f>
        <v>206.09</v>
      </c>
    </row>
    <row r="2768" spans="1:14">
      <c r="A2768">
        <v>52767</v>
      </c>
      <c r="B2768">
        <v>31587</v>
      </c>
      <c r="C2768" s="2">
        <v>45753</v>
      </c>
      <c r="D2768">
        <v>2108</v>
      </c>
      <c r="E2768">
        <v>1007</v>
      </c>
      <c r="F2768">
        <v>1</v>
      </c>
      <c r="G2768">
        <v>199.81</v>
      </c>
      <c r="H2768" s="2">
        <v>45813</v>
      </c>
      <c r="I2768" s="2">
        <v>45823</v>
      </c>
      <c r="J2768" t="s">
        <v>9</v>
      </c>
      <c r="K2768" s="2" t="str">
        <f>IFERROR(INDEX(Product_lookup[Category],MATCH(RawWorking[[#This Row],[ProductID]],Product_lookup[ProductID],0)),"")</f>
        <v>Home</v>
      </c>
      <c r="L2768" s="9">
        <f>IF(OR(RawWorking[[#This Row],[ShipDate]]="",RawWorking[[#This Row],[DeliveryDate]]=""),"",RawWorking[[#This Row],[DeliveryDate]]-RawWorking[[#This Row],[ShipDate]])</f>
        <v>10</v>
      </c>
      <c r="M2768" s="9">
        <f>IF(COUNTIF(INDEX(RawWorking[OrderID],1):RawWorking[[#This Row],[OrderID]],RawWorking[[#This Row],[OrderID]])=1,1,0)</f>
        <v>1</v>
      </c>
      <c r="N2768" s="4">
        <f>IFERROR(RawWorking[[#This Row],[LineAmount]]/RawWorking[[#This Row],[Quantity]],"")</f>
        <v>199.81</v>
      </c>
    </row>
    <row r="2769" spans="1:14">
      <c r="A2769">
        <v>52768</v>
      </c>
      <c r="B2769">
        <v>31587</v>
      </c>
      <c r="C2769" s="2">
        <v>45812</v>
      </c>
      <c r="D2769">
        <v>2108</v>
      </c>
      <c r="E2769">
        <v>1012</v>
      </c>
      <c r="F2769">
        <v>1</v>
      </c>
      <c r="G2769">
        <v>241.54</v>
      </c>
      <c r="H2769" s="2">
        <v>45813</v>
      </c>
      <c r="I2769" s="2">
        <v>45821</v>
      </c>
      <c r="J2769" t="s">
        <v>9</v>
      </c>
      <c r="K2769" s="2" t="str">
        <f>IFERROR(INDEX(Product_lookup[Category],MATCH(RawWorking[[#This Row],[ProductID]],Product_lookup[ProductID],0)),"")</f>
        <v>Office</v>
      </c>
      <c r="L2769" s="9">
        <f>IF(OR(RawWorking[[#This Row],[ShipDate]]="",RawWorking[[#This Row],[DeliveryDate]]=""),"",RawWorking[[#This Row],[DeliveryDate]]-RawWorking[[#This Row],[ShipDate]])</f>
        <v>8</v>
      </c>
      <c r="M2769" s="9">
        <f>IF(COUNTIF(INDEX(RawWorking[OrderID],1):RawWorking[[#This Row],[OrderID]],RawWorking[[#This Row],[OrderID]])=1,1,0)</f>
        <v>0</v>
      </c>
      <c r="N2769" s="4">
        <f>IFERROR(RawWorking[[#This Row],[LineAmount]]/RawWorking[[#This Row],[Quantity]],"")</f>
        <v>241.54</v>
      </c>
    </row>
    <row r="2770" spans="1:14">
      <c r="A2770">
        <v>52769</v>
      </c>
      <c r="B2770">
        <v>31587</v>
      </c>
      <c r="C2770" s="2">
        <v>45753</v>
      </c>
      <c r="D2770">
        <v>2108</v>
      </c>
      <c r="E2770">
        <v>1015</v>
      </c>
      <c r="F2770">
        <v>1</v>
      </c>
      <c r="G2770">
        <v>119.74</v>
      </c>
      <c r="H2770" s="2">
        <v>45813</v>
      </c>
      <c r="I2770" s="2">
        <v>45821</v>
      </c>
      <c r="J2770" t="s">
        <v>9</v>
      </c>
      <c r="K2770" s="2" t="str">
        <f>IFERROR(INDEX(Product_lookup[Category],MATCH(RawWorking[[#This Row],[ProductID]],Product_lookup[ProductID],0)),"")</f>
        <v>Sports</v>
      </c>
      <c r="L2770" s="9">
        <f>IF(OR(RawWorking[[#This Row],[ShipDate]]="",RawWorking[[#This Row],[DeliveryDate]]=""),"",RawWorking[[#This Row],[DeliveryDate]]-RawWorking[[#This Row],[ShipDate]])</f>
        <v>8</v>
      </c>
      <c r="M2770" s="9">
        <f>IF(COUNTIF(INDEX(RawWorking[OrderID],1):RawWorking[[#This Row],[OrderID]],RawWorking[[#This Row],[OrderID]])=1,1,0)</f>
        <v>0</v>
      </c>
      <c r="N2770" s="4">
        <f>IFERROR(RawWorking[[#This Row],[LineAmount]]/RawWorking[[#This Row],[Quantity]],"")</f>
        <v>119.74</v>
      </c>
    </row>
    <row r="2771" spans="1:14">
      <c r="A2771">
        <v>52770</v>
      </c>
      <c r="B2771">
        <v>31588</v>
      </c>
      <c r="C2771" s="2">
        <v>45802</v>
      </c>
      <c r="D2771">
        <v>2101</v>
      </c>
      <c r="E2771">
        <v>1014</v>
      </c>
      <c r="F2771">
        <v>1</v>
      </c>
      <c r="G2771">
        <v>215.34</v>
      </c>
      <c r="H2771" s="2">
        <v>45803</v>
      </c>
      <c r="I2771" s="2">
        <v>45805</v>
      </c>
      <c r="J2771" t="s">
        <v>9</v>
      </c>
      <c r="K2771" s="2" t="str">
        <f>IFERROR(INDEX(Product_lookup[Category],MATCH(RawWorking[[#This Row],[ProductID]],Product_lookup[ProductID],0)),"")</f>
        <v>Sports</v>
      </c>
      <c r="L2771" s="9">
        <f>IF(OR(RawWorking[[#This Row],[ShipDate]]="",RawWorking[[#This Row],[DeliveryDate]]=""),"",RawWorking[[#This Row],[DeliveryDate]]-RawWorking[[#This Row],[ShipDate]])</f>
        <v>2</v>
      </c>
      <c r="M2771" s="9">
        <f>IF(COUNTIF(INDEX(RawWorking[OrderID],1):RawWorking[[#This Row],[OrderID]],RawWorking[[#This Row],[OrderID]])=1,1,0)</f>
        <v>1</v>
      </c>
      <c r="N2771" s="4">
        <f>IFERROR(RawWorking[[#This Row],[LineAmount]]/RawWorking[[#This Row],[Quantity]],"")</f>
        <v>215.34</v>
      </c>
    </row>
    <row r="2772" spans="1:14">
      <c r="A2772">
        <v>52771</v>
      </c>
      <c r="B2772">
        <v>31589</v>
      </c>
      <c r="C2772" s="2">
        <v>45665</v>
      </c>
      <c r="D2772">
        <v>2422</v>
      </c>
      <c r="E2772">
        <v>1002</v>
      </c>
      <c r="F2772">
        <v>5</v>
      </c>
      <c r="G2772">
        <v>593</v>
      </c>
      <c r="H2772" s="2">
        <v>45666</v>
      </c>
      <c r="I2772" s="2">
        <v>45674</v>
      </c>
      <c r="J2772" t="s">
        <v>9</v>
      </c>
      <c r="K2772" s="2" t="str">
        <f>IFERROR(INDEX(Product_lookup[Category],MATCH(RawWorking[[#This Row],[ProductID]],Product_lookup[ProductID],0)),"")</f>
        <v>Electronics</v>
      </c>
      <c r="L2772" s="9">
        <f>IF(OR(RawWorking[[#This Row],[ShipDate]]="",RawWorking[[#This Row],[DeliveryDate]]=""),"",RawWorking[[#This Row],[DeliveryDate]]-RawWorking[[#This Row],[ShipDate]])</f>
        <v>8</v>
      </c>
      <c r="M2772" s="9">
        <f>IF(COUNTIF(INDEX(RawWorking[OrderID],1):RawWorking[[#This Row],[OrderID]],RawWorking[[#This Row],[OrderID]])=1,1,0)</f>
        <v>1</v>
      </c>
      <c r="N2772" s="4">
        <f>IFERROR(RawWorking[[#This Row],[LineAmount]]/RawWorking[[#This Row],[Quantity]],"")</f>
        <v>118.6</v>
      </c>
    </row>
    <row r="2773" spans="1:14">
      <c r="A2773">
        <v>52772</v>
      </c>
      <c r="B2773">
        <v>31589</v>
      </c>
      <c r="C2773" s="2">
        <v>45665</v>
      </c>
      <c r="D2773">
        <v>2422</v>
      </c>
      <c r="E2773">
        <v>1014</v>
      </c>
      <c r="F2773">
        <v>1</v>
      </c>
      <c r="G2773">
        <v>215.34</v>
      </c>
      <c r="H2773" s="2">
        <v>45666</v>
      </c>
      <c r="I2773" s="2">
        <v>45675</v>
      </c>
      <c r="J2773" t="s">
        <v>9</v>
      </c>
      <c r="K2773" s="2" t="str">
        <f>IFERROR(INDEX(Product_lookup[Category],MATCH(RawWorking[[#This Row],[ProductID]],Product_lookup[ProductID],0)),"")</f>
        <v>Sports</v>
      </c>
      <c r="L2773" s="9">
        <f>IF(OR(RawWorking[[#This Row],[ShipDate]]="",RawWorking[[#This Row],[DeliveryDate]]=""),"",RawWorking[[#This Row],[DeliveryDate]]-RawWorking[[#This Row],[ShipDate]])</f>
        <v>9</v>
      </c>
      <c r="M2773" s="9">
        <f>IF(COUNTIF(INDEX(RawWorking[OrderID],1):RawWorking[[#This Row],[OrderID]],RawWorking[[#This Row],[OrderID]])=1,1,0)</f>
        <v>0</v>
      </c>
      <c r="N2773" s="4">
        <f>IFERROR(RawWorking[[#This Row],[LineAmount]]/RawWorking[[#This Row],[Quantity]],"")</f>
        <v>215.34</v>
      </c>
    </row>
    <row r="2774" spans="1:14">
      <c r="A2774">
        <v>52773</v>
      </c>
      <c r="B2774">
        <v>31589</v>
      </c>
      <c r="C2774" s="2">
        <v>45665</v>
      </c>
      <c r="D2774">
        <v>2422</v>
      </c>
      <c r="E2774">
        <v>1005</v>
      </c>
      <c r="F2774">
        <v>2</v>
      </c>
      <c r="G2774">
        <v>63.46</v>
      </c>
      <c r="H2774" s="2">
        <v>45668</v>
      </c>
      <c r="I2774" s="2">
        <v>45672</v>
      </c>
      <c r="J2774" t="s">
        <v>9</v>
      </c>
      <c r="K2774" s="2" t="str">
        <f>IFERROR(INDEX(Product_lookup[Category],MATCH(RawWorking[[#This Row],[ProductID]],Product_lookup[ProductID],0)),"")</f>
        <v>Electronics</v>
      </c>
      <c r="L2774" s="9">
        <f>IF(OR(RawWorking[[#This Row],[ShipDate]]="",RawWorking[[#This Row],[DeliveryDate]]=""),"",RawWorking[[#This Row],[DeliveryDate]]-RawWorking[[#This Row],[ShipDate]])</f>
        <v>4</v>
      </c>
      <c r="M2774" s="9">
        <f>IF(COUNTIF(INDEX(RawWorking[OrderID],1):RawWorking[[#This Row],[OrderID]],RawWorking[[#This Row],[OrderID]])=1,1,0)</f>
        <v>0</v>
      </c>
      <c r="N2774" s="4">
        <f>IFERROR(RawWorking[[#This Row],[LineAmount]]/RawWorking[[#This Row],[Quantity]],"")</f>
        <v>31.73</v>
      </c>
    </row>
    <row r="2775" spans="1:14">
      <c r="A2775">
        <v>52774</v>
      </c>
      <c r="B2775">
        <v>31590</v>
      </c>
      <c r="C2775" s="2">
        <v>45921</v>
      </c>
      <c r="D2775">
        <v>2488</v>
      </c>
      <c r="E2775">
        <v>1003</v>
      </c>
      <c r="F2775">
        <v>1</v>
      </c>
      <c r="G2775">
        <v>224.37</v>
      </c>
      <c r="H2775" s="2">
        <v>45923</v>
      </c>
      <c r="I2775" s="2">
        <v>45924</v>
      </c>
      <c r="J2775" t="s">
        <v>9</v>
      </c>
      <c r="K2775" s="2" t="str">
        <f>IFERROR(INDEX(Product_lookup[Category],MATCH(RawWorking[[#This Row],[ProductID]],Product_lookup[ProductID],0)),"")</f>
        <v>Electronics</v>
      </c>
      <c r="L2775" s="9">
        <f>IF(OR(RawWorking[[#This Row],[ShipDate]]="",RawWorking[[#This Row],[DeliveryDate]]=""),"",RawWorking[[#This Row],[DeliveryDate]]-RawWorking[[#This Row],[ShipDate]])</f>
        <v>1</v>
      </c>
      <c r="M2775" s="9">
        <f>IF(COUNTIF(INDEX(RawWorking[OrderID],1):RawWorking[[#This Row],[OrderID]],RawWorking[[#This Row],[OrderID]])=1,1,0)</f>
        <v>1</v>
      </c>
      <c r="N2775" s="4">
        <f>IFERROR(RawWorking[[#This Row],[LineAmount]]/RawWorking[[#This Row],[Quantity]],"")</f>
        <v>224.37</v>
      </c>
    </row>
    <row r="2776" spans="1:14">
      <c r="A2776">
        <v>52775</v>
      </c>
      <c r="B2776">
        <v>31590</v>
      </c>
      <c r="C2776" s="2">
        <v>45921</v>
      </c>
      <c r="D2776">
        <v>2488</v>
      </c>
      <c r="E2776">
        <v>1012</v>
      </c>
      <c r="F2776">
        <v>2</v>
      </c>
      <c r="G2776">
        <v>483.08</v>
      </c>
      <c r="H2776" s="2">
        <v>45923</v>
      </c>
      <c r="I2776" s="2">
        <v>45929</v>
      </c>
      <c r="J2776" t="s">
        <v>9</v>
      </c>
      <c r="K2776" s="2" t="str">
        <f>IFERROR(INDEX(Product_lookup[Category],MATCH(RawWorking[[#This Row],[ProductID]],Product_lookup[ProductID],0)),"")</f>
        <v>Office</v>
      </c>
      <c r="L2776" s="9">
        <f>IF(OR(RawWorking[[#This Row],[ShipDate]]="",RawWorking[[#This Row],[DeliveryDate]]=""),"",RawWorking[[#This Row],[DeliveryDate]]-RawWorking[[#This Row],[ShipDate]])</f>
        <v>6</v>
      </c>
      <c r="M2776" s="9">
        <f>IF(COUNTIF(INDEX(RawWorking[OrderID],1):RawWorking[[#This Row],[OrderID]],RawWorking[[#This Row],[OrderID]])=1,1,0)</f>
        <v>0</v>
      </c>
      <c r="N2776" s="4">
        <f>IFERROR(RawWorking[[#This Row],[LineAmount]]/RawWorking[[#This Row],[Quantity]],"")</f>
        <v>241.54</v>
      </c>
    </row>
    <row r="2777" spans="1:14">
      <c r="A2777">
        <v>52776</v>
      </c>
      <c r="B2777">
        <v>31591</v>
      </c>
      <c r="C2777" s="2">
        <v>45726</v>
      </c>
      <c r="D2777">
        <v>2539</v>
      </c>
      <c r="E2777">
        <v>1013</v>
      </c>
      <c r="F2777">
        <v>1</v>
      </c>
      <c r="G2777">
        <v>170.25</v>
      </c>
      <c r="H2777" s="2">
        <v>45728</v>
      </c>
      <c r="I2777" s="2">
        <v>45736</v>
      </c>
      <c r="J2777" t="s">
        <v>9</v>
      </c>
      <c r="K2777" s="2" t="str">
        <f>IFERROR(INDEX(Product_lookup[Category],MATCH(RawWorking[[#This Row],[ProductID]],Product_lookup[ProductID],0)),"")</f>
        <v>Office</v>
      </c>
      <c r="L2777" s="9">
        <f>IF(OR(RawWorking[[#This Row],[ShipDate]]="",RawWorking[[#This Row],[DeliveryDate]]=""),"",RawWorking[[#This Row],[DeliveryDate]]-RawWorking[[#This Row],[ShipDate]])</f>
        <v>8</v>
      </c>
      <c r="M2777" s="9">
        <f>IF(COUNTIF(INDEX(RawWorking[OrderID],1):RawWorking[[#This Row],[OrderID]],RawWorking[[#This Row],[OrderID]])=1,1,0)</f>
        <v>1</v>
      </c>
      <c r="N2777" s="4">
        <f>IFERROR(RawWorking[[#This Row],[LineAmount]]/RawWorking[[#This Row],[Quantity]],"")</f>
        <v>170.25</v>
      </c>
    </row>
    <row r="2778" spans="1:14">
      <c r="A2778">
        <v>52777</v>
      </c>
      <c r="B2778">
        <v>31592</v>
      </c>
      <c r="C2778" s="2">
        <v>45790</v>
      </c>
      <c r="D2778">
        <v>2271</v>
      </c>
      <c r="E2778">
        <v>1014</v>
      </c>
      <c r="F2778">
        <v>2</v>
      </c>
      <c r="G2778">
        <v>430.68</v>
      </c>
      <c r="H2778" s="2">
        <v>45793</v>
      </c>
      <c r="I2778" s="2">
        <v>45794</v>
      </c>
      <c r="J2778" t="s">
        <v>9</v>
      </c>
      <c r="K2778" s="2" t="str">
        <f>IFERROR(INDEX(Product_lookup[Category],MATCH(RawWorking[[#This Row],[ProductID]],Product_lookup[ProductID],0)),"")</f>
        <v>Sports</v>
      </c>
      <c r="L2778" s="9">
        <f>IF(OR(RawWorking[[#This Row],[ShipDate]]="",RawWorking[[#This Row],[DeliveryDate]]=""),"",RawWorking[[#This Row],[DeliveryDate]]-RawWorking[[#This Row],[ShipDate]])</f>
        <v>1</v>
      </c>
      <c r="M2778" s="9">
        <f>IF(COUNTIF(INDEX(RawWorking[OrderID],1):RawWorking[[#This Row],[OrderID]],RawWorking[[#This Row],[OrderID]])=1,1,0)</f>
        <v>1</v>
      </c>
      <c r="N2778" s="4">
        <f>IFERROR(RawWorking[[#This Row],[LineAmount]]/RawWorking[[#This Row],[Quantity]],"")</f>
        <v>215.34</v>
      </c>
    </row>
    <row r="2779" spans="1:14">
      <c r="A2779">
        <v>52778</v>
      </c>
      <c r="B2779">
        <v>31592</v>
      </c>
      <c r="C2779" s="2">
        <v>45790</v>
      </c>
      <c r="D2779">
        <v>2271</v>
      </c>
      <c r="E2779">
        <v>1015</v>
      </c>
      <c r="F2779">
        <v>2</v>
      </c>
      <c r="G2779">
        <v>239.48</v>
      </c>
      <c r="H2779" s="2">
        <v>45792</v>
      </c>
      <c r="I2779" s="2">
        <v>45800</v>
      </c>
      <c r="J2779" t="s">
        <v>9</v>
      </c>
      <c r="K2779" s="2" t="str">
        <f>IFERROR(INDEX(Product_lookup[Category],MATCH(RawWorking[[#This Row],[ProductID]],Product_lookup[ProductID],0)),"")</f>
        <v>Sports</v>
      </c>
      <c r="L2779" s="9">
        <f>IF(OR(RawWorking[[#This Row],[ShipDate]]="",RawWorking[[#This Row],[DeliveryDate]]=""),"",RawWorking[[#This Row],[DeliveryDate]]-RawWorking[[#This Row],[ShipDate]])</f>
        <v>8</v>
      </c>
      <c r="M2779" s="9">
        <f>IF(COUNTIF(INDEX(RawWorking[OrderID],1):RawWorking[[#This Row],[OrderID]],RawWorking[[#This Row],[OrderID]])=1,1,0)</f>
        <v>0</v>
      </c>
      <c r="N2779" s="4">
        <f>IFERROR(RawWorking[[#This Row],[LineAmount]]/RawWorking[[#This Row],[Quantity]],"")</f>
        <v>119.74</v>
      </c>
    </row>
    <row r="2780" spans="1:14">
      <c r="A2780">
        <v>52779</v>
      </c>
      <c r="B2780">
        <v>31592</v>
      </c>
      <c r="C2780" s="2">
        <v>45790</v>
      </c>
      <c r="D2780">
        <v>2271</v>
      </c>
      <c r="E2780">
        <v>1016</v>
      </c>
      <c r="F2780">
        <v>1</v>
      </c>
      <c r="G2780">
        <v>65.260000000000005</v>
      </c>
      <c r="H2780" s="2">
        <v>45792</v>
      </c>
      <c r="I2780" s="2">
        <v>45799</v>
      </c>
      <c r="J2780" t="s">
        <v>9</v>
      </c>
      <c r="K2780" s="2" t="str">
        <f>IFERROR(INDEX(Product_lookup[Category],MATCH(RawWorking[[#This Row],[ProductID]],Product_lookup[ProductID],0)),"")</f>
        <v>Sports</v>
      </c>
      <c r="L2780" s="9">
        <f>IF(OR(RawWorking[[#This Row],[ShipDate]]="",RawWorking[[#This Row],[DeliveryDate]]=""),"",RawWorking[[#This Row],[DeliveryDate]]-RawWorking[[#This Row],[ShipDate]])</f>
        <v>7</v>
      </c>
      <c r="M2780" s="9">
        <f>IF(COUNTIF(INDEX(RawWorking[OrderID],1):RawWorking[[#This Row],[OrderID]],RawWorking[[#This Row],[OrderID]])=1,1,0)</f>
        <v>0</v>
      </c>
      <c r="N2780" s="4">
        <f>IFERROR(RawWorking[[#This Row],[LineAmount]]/RawWorking[[#This Row],[Quantity]],"")</f>
        <v>65.260000000000005</v>
      </c>
    </row>
    <row r="2781" spans="1:14">
      <c r="A2781">
        <v>52780</v>
      </c>
      <c r="B2781">
        <v>31593</v>
      </c>
      <c r="C2781" s="2">
        <v>45912</v>
      </c>
      <c r="D2781">
        <v>2427</v>
      </c>
      <c r="E2781">
        <v>1005</v>
      </c>
      <c r="F2781">
        <v>1</v>
      </c>
      <c r="G2781">
        <v>31.73</v>
      </c>
      <c r="H2781" s="2" t="s">
        <v>1421</v>
      </c>
      <c r="I2781" s="2" t="s">
        <v>1421</v>
      </c>
      <c r="J2781" t="s">
        <v>16</v>
      </c>
      <c r="K2781" s="2" t="str">
        <f>IFERROR(INDEX(Product_lookup[Category],MATCH(RawWorking[[#This Row],[ProductID]],Product_lookup[ProductID],0)),"")</f>
        <v>Electronics</v>
      </c>
      <c r="L2781" s="9" t="str">
        <f>IF(OR(RawWorking[[#This Row],[ShipDate]]="",RawWorking[[#This Row],[DeliveryDate]]=""),"",RawWorking[[#This Row],[DeliveryDate]]-RawWorking[[#This Row],[ShipDate]])</f>
        <v/>
      </c>
      <c r="M2781" s="9">
        <f>IF(COUNTIF(INDEX(RawWorking[OrderID],1):RawWorking[[#This Row],[OrderID]],RawWorking[[#This Row],[OrderID]])=1,1,0)</f>
        <v>1</v>
      </c>
      <c r="N2781" s="4">
        <f>IFERROR(RawWorking[[#This Row],[LineAmount]]/RawWorking[[#This Row],[Quantity]],"")</f>
        <v>31.73</v>
      </c>
    </row>
    <row r="2782" spans="1:14">
      <c r="A2782">
        <v>52781</v>
      </c>
      <c r="B2782">
        <v>31593</v>
      </c>
      <c r="C2782" s="2">
        <v>45912</v>
      </c>
      <c r="D2782">
        <v>2427</v>
      </c>
      <c r="E2782">
        <v>1016</v>
      </c>
      <c r="F2782">
        <v>3</v>
      </c>
      <c r="G2782">
        <v>195.78</v>
      </c>
      <c r="H2782" s="2" t="s">
        <v>1421</v>
      </c>
      <c r="I2782" s="2" t="s">
        <v>1421</v>
      </c>
      <c r="J2782" t="s">
        <v>16</v>
      </c>
      <c r="K2782" s="2" t="str">
        <f>IFERROR(INDEX(Product_lookup[Category],MATCH(RawWorking[[#This Row],[ProductID]],Product_lookup[ProductID],0)),"")</f>
        <v>Sports</v>
      </c>
      <c r="L2782" s="9" t="str">
        <f>IF(OR(RawWorking[[#This Row],[ShipDate]]="",RawWorking[[#This Row],[DeliveryDate]]=""),"",RawWorking[[#This Row],[DeliveryDate]]-RawWorking[[#This Row],[ShipDate]])</f>
        <v/>
      </c>
      <c r="M2782" s="9">
        <f>IF(COUNTIF(INDEX(RawWorking[OrderID],1):RawWorking[[#This Row],[OrderID]],RawWorking[[#This Row],[OrderID]])=1,1,0)</f>
        <v>0</v>
      </c>
      <c r="N2782" s="4">
        <f>IFERROR(RawWorking[[#This Row],[LineAmount]]/RawWorking[[#This Row],[Quantity]],"")</f>
        <v>65.260000000000005</v>
      </c>
    </row>
    <row r="2783" spans="1:14">
      <c r="A2783">
        <v>52782</v>
      </c>
      <c r="B2783">
        <v>31594</v>
      </c>
      <c r="C2783" s="2">
        <v>45828</v>
      </c>
      <c r="D2783">
        <v>2133</v>
      </c>
      <c r="E2783">
        <v>1004</v>
      </c>
      <c r="F2783">
        <v>1</v>
      </c>
      <c r="G2783">
        <v>183.74</v>
      </c>
      <c r="H2783" s="2">
        <v>45831</v>
      </c>
      <c r="I2783" s="2">
        <v>45840</v>
      </c>
      <c r="J2783" t="s">
        <v>11</v>
      </c>
      <c r="K2783" s="2" t="str">
        <f>IFERROR(INDEX(Product_lookup[Category],MATCH(RawWorking[[#This Row],[ProductID]],Product_lookup[ProductID],0)),"")</f>
        <v>Electronics</v>
      </c>
      <c r="L2783" s="9">
        <f>IF(OR(RawWorking[[#This Row],[ShipDate]]="",RawWorking[[#This Row],[DeliveryDate]]=""),"",RawWorking[[#This Row],[DeliveryDate]]-RawWorking[[#This Row],[ShipDate]])</f>
        <v>9</v>
      </c>
      <c r="M2783" s="9">
        <f>IF(COUNTIF(INDEX(RawWorking[OrderID],1):RawWorking[[#This Row],[OrderID]],RawWorking[[#This Row],[OrderID]])=1,1,0)</f>
        <v>1</v>
      </c>
      <c r="N2783" s="4">
        <f>IFERROR(RawWorking[[#This Row],[LineAmount]]/RawWorking[[#This Row],[Quantity]],"")</f>
        <v>183.74</v>
      </c>
    </row>
    <row r="2784" spans="1:14">
      <c r="A2784">
        <v>52783</v>
      </c>
      <c r="B2784">
        <v>31595</v>
      </c>
      <c r="C2784" s="2">
        <v>45679</v>
      </c>
      <c r="D2784">
        <v>2218</v>
      </c>
      <c r="E2784">
        <v>1002</v>
      </c>
      <c r="F2784">
        <v>1</v>
      </c>
      <c r="G2784">
        <v>118.6</v>
      </c>
      <c r="H2784" s="2">
        <v>45682</v>
      </c>
      <c r="I2784" s="2">
        <v>45684</v>
      </c>
      <c r="J2784" t="s">
        <v>9</v>
      </c>
      <c r="K2784" s="2" t="str">
        <f>IFERROR(INDEX(Product_lookup[Category],MATCH(RawWorking[[#This Row],[ProductID]],Product_lookup[ProductID],0)),"")</f>
        <v>Electronics</v>
      </c>
      <c r="L2784" s="9">
        <f>IF(OR(RawWorking[[#This Row],[ShipDate]]="",RawWorking[[#This Row],[DeliveryDate]]=""),"",RawWorking[[#This Row],[DeliveryDate]]-RawWorking[[#This Row],[ShipDate]])</f>
        <v>2</v>
      </c>
      <c r="M2784" s="9">
        <f>IF(COUNTIF(INDEX(RawWorking[OrderID],1):RawWorking[[#This Row],[OrderID]],RawWorking[[#This Row],[OrderID]])=1,1,0)</f>
        <v>1</v>
      </c>
      <c r="N2784" s="4">
        <f>IFERROR(RawWorking[[#This Row],[LineAmount]]/RawWorking[[#This Row],[Quantity]],"")</f>
        <v>118.6</v>
      </c>
    </row>
    <row r="2785" spans="1:14">
      <c r="A2785">
        <v>52784</v>
      </c>
      <c r="B2785">
        <v>31596</v>
      </c>
      <c r="C2785" s="2">
        <v>45764</v>
      </c>
      <c r="D2785">
        <v>2161</v>
      </c>
      <c r="E2785">
        <v>1012</v>
      </c>
      <c r="F2785">
        <v>2</v>
      </c>
      <c r="G2785">
        <v>483.08</v>
      </c>
      <c r="H2785" s="2">
        <v>45765</v>
      </c>
      <c r="I2785" s="2">
        <v>45772</v>
      </c>
      <c r="J2785" t="s">
        <v>11</v>
      </c>
      <c r="K2785" s="2" t="str">
        <f>IFERROR(INDEX(Product_lookup[Category],MATCH(RawWorking[[#This Row],[ProductID]],Product_lookup[ProductID],0)),"")</f>
        <v>Office</v>
      </c>
      <c r="L2785" s="9">
        <f>IF(OR(RawWorking[[#This Row],[ShipDate]]="",RawWorking[[#This Row],[DeliveryDate]]=""),"",RawWorking[[#This Row],[DeliveryDate]]-RawWorking[[#This Row],[ShipDate]])</f>
        <v>7</v>
      </c>
      <c r="M2785" s="9">
        <f>IF(COUNTIF(INDEX(RawWorking[OrderID],1):RawWorking[[#This Row],[OrderID]],RawWorking[[#This Row],[OrderID]])=1,1,0)</f>
        <v>1</v>
      </c>
      <c r="N2785" s="4">
        <f>IFERROR(RawWorking[[#This Row],[LineAmount]]/RawWorking[[#This Row],[Quantity]],"")</f>
        <v>241.54</v>
      </c>
    </row>
    <row r="2786" spans="1:14">
      <c r="A2786">
        <v>52785</v>
      </c>
      <c r="B2786">
        <v>31597</v>
      </c>
      <c r="C2786" s="2">
        <v>45939</v>
      </c>
      <c r="D2786">
        <v>2122</v>
      </c>
      <c r="E2786">
        <v>1014</v>
      </c>
      <c r="F2786">
        <v>1</v>
      </c>
      <c r="G2786">
        <v>215.34</v>
      </c>
      <c r="H2786" s="2">
        <v>45942</v>
      </c>
      <c r="I2786" s="2">
        <v>45944</v>
      </c>
      <c r="J2786" t="s">
        <v>9</v>
      </c>
      <c r="K2786" s="2" t="str">
        <f>IFERROR(INDEX(Product_lookup[Category],MATCH(RawWorking[[#This Row],[ProductID]],Product_lookup[ProductID],0)),"")</f>
        <v>Sports</v>
      </c>
      <c r="L2786" s="9">
        <f>IF(OR(RawWorking[[#This Row],[ShipDate]]="",RawWorking[[#This Row],[DeliveryDate]]=""),"",RawWorking[[#This Row],[DeliveryDate]]-RawWorking[[#This Row],[ShipDate]])</f>
        <v>2</v>
      </c>
      <c r="M2786" s="9">
        <f>IF(COUNTIF(INDEX(RawWorking[OrderID],1):RawWorking[[#This Row],[OrderID]],RawWorking[[#This Row],[OrderID]])=1,1,0)</f>
        <v>1</v>
      </c>
      <c r="N2786" s="4">
        <f>IFERROR(RawWorking[[#This Row],[LineAmount]]/RawWorking[[#This Row],[Quantity]],"")</f>
        <v>215.34</v>
      </c>
    </row>
    <row r="2787" spans="1:14">
      <c r="A2787">
        <v>52786</v>
      </c>
      <c r="B2787">
        <v>31598</v>
      </c>
      <c r="C2787" s="2">
        <v>45937</v>
      </c>
      <c r="D2787">
        <v>2113</v>
      </c>
      <c r="E2787">
        <v>1010</v>
      </c>
      <c r="F2787">
        <v>1</v>
      </c>
      <c r="G2787">
        <v>121.5</v>
      </c>
      <c r="H2787" s="2">
        <v>45938</v>
      </c>
      <c r="I2787" s="2">
        <v>45941</v>
      </c>
      <c r="J2787" t="s">
        <v>9</v>
      </c>
      <c r="K2787" s="2" t="str">
        <f>IFERROR(INDEX(Product_lookup[Category],MATCH(RawWorking[[#This Row],[ProductID]],Product_lookup[ProductID],0)),"")</f>
        <v>Office</v>
      </c>
      <c r="L2787" s="9">
        <f>IF(OR(RawWorking[[#This Row],[ShipDate]]="",RawWorking[[#This Row],[DeliveryDate]]=""),"",RawWorking[[#This Row],[DeliveryDate]]-RawWorking[[#This Row],[ShipDate]])</f>
        <v>3</v>
      </c>
      <c r="M2787" s="9">
        <f>IF(COUNTIF(INDEX(RawWorking[OrderID],1):RawWorking[[#This Row],[OrderID]],RawWorking[[#This Row],[OrderID]])=1,1,0)</f>
        <v>1</v>
      </c>
      <c r="N2787" s="4">
        <f>IFERROR(RawWorking[[#This Row],[LineAmount]]/RawWorking[[#This Row],[Quantity]],"")</f>
        <v>121.5</v>
      </c>
    </row>
    <row r="2788" spans="1:14">
      <c r="A2788">
        <v>52787</v>
      </c>
      <c r="B2788">
        <v>31599</v>
      </c>
      <c r="C2788" s="2">
        <v>45779</v>
      </c>
      <c r="D2788">
        <v>2042</v>
      </c>
      <c r="E2788">
        <v>1004</v>
      </c>
      <c r="F2788">
        <v>1</v>
      </c>
      <c r="G2788">
        <v>183.74</v>
      </c>
      <c r="H2788" s="2">
        <v>45781</v>
      </c>
      <c r="I2788" s="2">
        <v>45790</v>
      </c>
      <c r="J2788" t="s">
        <v>9</v>
      </c>
      <c r="K2788" s="2" t="str">
        <f>IFERROR(INDEX(Product_lookup[Category],MATCH(RawWorking[[#This Row],[ProductID]],Product_lookup[ProductID],0)),"")</f>
        <v>Electronics</v>
      </c>
      <c r="L2788" s="9">
        <f>IF(OR(RawWorking[[#This Row],[ShipDate]]="",RawWorking[[#This Row],[DeliveryDate]]=""),"",RawWorking[[#This Row],[DeliveryDate]]-RawWorking[[#This Row],[ShipDate]])</f>
        <v>9</v>
      </c>
      <c r="M2788" s="9">
        <f>IF(COUNTIF(INDEX(RawWorking[OrderID],1):RawWorking[[#This Row],[OrderID]],RawWorking[[#This Row],[OrderID]])=1,1,0)</f>
        <v>1</v>
      </c>
      <c r="N2788" s="4">
        <f>IFERROR(RawWorking[[#This Row],[LineAmount]]/RawWorking[[#This Row],[Quantity]],"")</f>
        <v>183.74</v>
      </c>
    </row>
    <row r="2789" spans="1:14">
      <c r="A2789">
        <v>52788</v>
      </c>
      <c r="B2789">
        <v>31599</v>
      </c>
      <c r="C2789" s="2">
        <v>45693</v>
      </c>
      <c r="D2789">
        <v>2042</v>
      </c>
      <c r="E2789">
        <v>1012</v>
      </c>
      <c r="F2789">
        <v>1</v>
      </c>
      <c r="G2789">
        <v>241.54</v>
      </c>
      <c r="H2789" s="2">
        <v>45780</v>
      </c>
      <c r="I2789" s="2">
        <v>45783</v>
      </c>
      <c r="J2789" t="s">
        <v>9</v>
      </c>
      <c r="K2789" s="2" t="str">
        <f>IFERROR(INDEX(Product_lookup[Category],MATCH(RawWorking[[#This Row],[ProductID]],Product_lookup[ProductID],0)),"")</f>
        <v>Office</v>
      </c>
      <c r="L2789" s="9">
        <f>IF(OR(RawWorking[[#This Row],[ShipDate]]="",RawWorking[[#This Row],[DeliveryDate]]=""),"",RawWorking[[#This Row],[DeliveryDate]]-RawWorking[[#This Row],[ShipDate]])</f>
        <v>3</v>
      </c>
      <c r="M2789" s="9">
        <f>IF(COUNTIF(INDEX(RawWorking[OrderID],1):RawWorking[[#This Row],[OrderID]],RawWorking[[#This Row],[OrderID]])=1,1,0)</f>
        <v>0</v>
      </c>
      <c r="N2789" s="4">
        <f>IFERROR(RawWorking[[#This Row],[LineAmount]]/RawWorking[[#This Row],[Quantity]],"")</f>
        <v>241.54</v>
      </c>
    </row>
    <row r="2790" spans="1:14">
      <c r="A2790">
        <v>52789</v>
      </c>
      <c r="B2790">
        <v>31599</v>
      </c>
      <c r="C2790" s="2">
        <v>45693</v>
      </c>
      <c r="D2790">
        <v>2042</v>
      </c>
      <c r="E2790">
        <v>1010</v>
      </c>
      <c r="F2790">
        <v>4</v>
      </c>
      <c r="G2790">
        <v>486</v>
      </c>
      <c r="H2790" s="2">
        <v>45781</v>
      </c>
      <c r="I2790" s="2">
        <v>45874</v>
      </c>
      <c r="J2790" t="s">
        <v>9</v>
      </c>
      <c r="K2790" s="2" t="str">
        <f>IFERROR(INDEX(Product_lookup[Category],MATCH(RawWorking[[#This Row],[ProductID]],Product_lookup[ProductID],0)),"")</f>
        <v>Office</v>
      </c>
      <c r="L2790" s="9">
        <f>IF(OR(RawWorking[[#This Row],[ShipDate]]="",RawWorking[[#This Row],[DeliveryDate]]=""),"",RawWorking[[#This Row],[DeliveryDate]]-RawWorking[[#This Row],[ShipDate]])</f>
        <v>93</v>
      </c>
      <c r="M2790" s="9">
        <f>IF(COUNTIF(INDEX(RawWorking[OrderID],1):RawWorking[[#This Row],[OrderID]],RawWorking[[#This Row],[OrderID]])=1,1,0)</f>
        <v>0</v>
      </c>
      <c r="N2790" s="4">
        <f>IFERROR(RawWorking[[#This Row],[LineAmount]]/RawWorking[[#This Row],[Quantity]],"")</f>
        <v>121.5</v>
      </c>
    </row>
    <row r="2791" spans="1:14">
      <c r="A2791">
        <v>52790</v>
      </c>
      <c r="B2791">
        <v>31599</v>
      </c>
      <c r="C2791" s="2">
        <v>45779</v>
      </c>
      <c r="D2791">
        <v>2042</v>
      </c>
      <c r="E2791">
        <v>1012</v>
      </c>
      <c r="F2791">
        <v>2</v>
      </c>
      <c r="G2791">
        <v>483.08</v>
      </c>
      <c r="H2791" s="2">
        <v>45780</v>
      </c>
      <c r="I2791" s="2">
        <v>45790</v>
      </c>
      <c r="J2791" t="s">
        <v>9</v>
      </c>
      <c r="K2791" s="2" t="str">
        <f>IFERROR(INDEX(Product_lookup[Category],MATCH(RawWorking[[#This Row],[ProductID]],Product_lookup[ProductID],0)),"")</f>
        <v>Office</v>
      </c>
      <c r="L2791" s="9">
        <f>IF(OR(RawWorking[[#This Row],[ShipDate]]="",RawWorking[[#This Row],[DeliveryDate]]=""),"",RawWorking[[#This Row],[DeliveryDate]]-RawWorking[[#This Row],[ShipDate]])</f>
        <v>10</v>
      </c>
      <c r="M2791" s="9">
        <f>IF(COUNTIF(INDEX(RawWorking[OrderID],1):RawWorking[[#This Row],[OrderID]],RawWorking[[#This Row],[OrderID]])=1,1,0)</f>
        <v>0</v>
      </c>
      <c r="N2791" s="4">
        <f>IFERROR(RawWorking[[#This Row],[LineAmount]]/RawWorking[[#This Row],[Quantity]],"")</f>
        <v>241.54</v>
      </c>
    </row>
    <row r="2792" spans="1:14">
      <c r="A2792">
        <v>52791</v>
      </c>
      <c r="B2792">
        <v>31600</v>
      </c>
      <c r="C2792" s="2">
        <v>45832</v>
      </c>
      <c r="D2792">
        <v>2311</v>
      </c>
      <c r="E2792">
        <v>1001</v>
      </c>
      <c r="F2792">
        <v>1</v>
      </c>
      <c r="G2792">
        <v>203.04</v>
      </c>
      <c r="H2792" s="2">
        <v>45834</v>
      </c>
      <c r="I2792" s="2">
        <v>45837</v>
      </c>
      <c r="J2792" t="s">
        <v>9</v>
      </c>
      <c r="K2792" s="2" t="str">
        <f>IFERROR(INDEX(Product_lookup[Category],MATCH(RawWorking[[#This Row],[ProductID]],Product_lookup[ProductID],0)),"")</f>
        <v>Electronics</v>
      </c>
      <c r="L2792" s="9">
        <f>IF(OR(RawWorking[[#This Row],[ShipDate]]="",RawWorking[[#This Row],[DeliveryDate]]=""),"",RawWorking[[#This Row],[DeliveryDate]]-RawWorking[[#This Row],[ShipDate]])</f>
        <v>3</v>
      </c>
      <c r="M2792" s="9">
        <f>IF(COUNTIF(INDEX(RawWorking[OrderID],1):RawWorking[[#This Row],[OrderID]],RawWorking[[#This Row],[OrderID]])=1,1,0)</f>
        <v>1</v>
      </c>
      <c r="N2792" s="4">
        <f>IFERROR(RawWorking[[#This Row],[LineAmount]]/RawWorking[[#This Row],[Quantity]],"")</f>
        <v>203.04</v>
      </c>
    </row>
    <row r="2793" spans="1:14">
      <c r="A2793">
        <v>52792</v>
      </c>
      <c r="B2793">
        <v>31601</v>
      </c>
      <c r="C2793" s="2">
        <v>45677</v>
      </c>
      <c r="D2793">
        <v>2147</v>
      </c>
      <c r="E2793">
        <v>1014</v>
      </c>
      <c r="F2793">
        <v>1</v>
      </c>
      <c r="G2793">
        <v>215.34</v>
      </c>
      <c r="H2793" s="2">
        <v>45678</v>
      </c>
      <c r="I2793" s="2">
        <v>45687</v>
      </c>
      <c r="J2793" t="s">
        <v>9</v>
      </c>
      <c r="K2793" s="2" t="str">
        <f>IFERROR(INDEX(Product_lookup[Category],MATCH(RawWorking[[#This Row],[ProductID]],Product_lookup[ProductID],0)),"")</f>
        <v>Sports</v>
      </c>
      <c r="L2793" s="9">
        <f>IF(OR(RawWorking[[#This Row],[ShipDate]]="",RawWorking[[#This Row],[DeliveryDate]]=""),"",RawWorking[[#This Row],[DeliveryDate]]-RawWorking[[#This Row],[ShipDate]])</f>
        <v>9</v>
      </c>
      <c r="M2793" s="9">
        <f>IF(COUNTIF(INDEX(RawWorking[OrderID],1):RawWorking[[#This Row],[OrderID]],RawWorking[[#This Row],[OrderID]])=1,1,0)</f>
        <v>1</v>
      </c>
      <c r="N2793" s="4">
        <f>IFERROR(RawWorking[[#This Row],[LineAmount]]/RawWorking[[#This Row],[Quantity]],"")</f>
        <v>215.34</v>
      </c>
    </row>
    <row r="2794" spans="1:14">
      <c r="A2794">
        <v>52793</v>
      </c>
      <c r="B2794">
        <v>31602</v>
      </c>
      <c r="C2794" s="2">
        <v>45865</v>
      </c>
      <c r="D2794">
        <v>2050</v>
      </c>
      <c r="E2794">
        <v>1010</v>
      </c>
      <c r="F2794">
        <v>1</v>
      </c>
      <c r="G2794">
        <v>121.5</v>
      </c>
      <c r="H2794" s="2" t="s">
        <v>1421</v>
      </c>
      <c r="I2794" s="2" t="s">
        <v>1421</v>
      </c>
      <c r="J2794" t="s">
        <v>12</v>
      </c>
      <c r="K2794" s="2" t="str">
        <f>IFERROR(INDEX(Product_lookup[Category],MATCH(RawWorking[[#This Row],[ProductID]],Product_lookup[ProductID],0)),"")</f>
        <v>Office</v>
      </c>
      <c r="L2794" s="9" t="str">
        <f>IF(OR(RawWorking[[#This Row],[ShipDate]]="",RawWorking[[#This Row],[DeliveryDate]]=""),"",RawWorking[[#This Row],[DeliveryDate]]-RawWorking[[#This Row],[ShipDate]])</f>
        <v/>
      </c>
      <c r="M2794" s="9">
        <f>IF(COUNTIF(INDEX(RawWorking[OrderID],1):RawWorking[[#This Row],[OrderID]],RawWorking[[#This Row],[OrderID]])=1,1,0)</f>
        <v>1</v>
      </c>
      <c r="N2794" s="4">
        <f>IFERROR(RawWorking[[#This Row],[LineAmount]]/RawWorking[[#This Row],[Quantity]],"")</f>
        <v>121.5</v>
      </c>
    </row>
    <row r="2795" spans="1:14">
      <c r="A2795">
        <v>52794</v>
      </c>
      <c r="B2795">
        <v>31603</v>
      </c>
      <c r="C2795" s="2">
        <v>45903</v>
      </c>
      <c r="D2795">
        <v>2291</v>
      </c>
      <c r="E2795">
        <v>1016</v>
      </c>
      <c r="F2795">
        <v>3</v>
      </c>
      <c r="G2795">
        <v>195.78</v>
      </c>
      <c r="H2795" s="2">
        <v>45904</v>
      </c>
      <c r="I2795" s="2">
        <v>45907</v>
      </c>
      <c r="J2795" t="s">
        <v>9</v>
      </c>
      <c r="K2795" s="2" t="str">
        <f>IFERROR(INDEX(Product_lookup[Category],MATCH(RawWorking[[#This Row],[ProductID]],Product_lookup[ProductID],0)),"")</f>
        <v>Sports</v>
      </c>
      <c r="L2795" s="9">
        <f>IF(OR(RawWorking[[#This Row],[ShipDate]]="",RawWorking[[#This Row],[DeliveryDate]]=""),"",RawWorking[[#This Row],[DeliveryDate]]-RawWorking[[#This Row],[ShipDate]])</f>
        <v>3</v>
      </c>
      <c r="M2795" s="9">
        <f>IF(COUNTIF(INDEX(RawWorking[OrderID],1):RawWorking[[#This Row],[OrderID]],RawWorking[[#This Row],[OrderID]])=1,1,0)</f>
        <v>1</v>
      </c>
      <c r="N2795" s="4">
        <f>IFERROR(RawWorking[[#This Row],[LineAmount]]/RawWorking[[#This Row],[Quantity]],"")</f>
        <v>65.260000000000005</v>
      </c>
    </row>
    <row r="2796" spans="1:14">
      <c r="A2796">
        <v>52795</v>
      </c>
      <c r="B2796">
        <v>31603</v>
      </c>
      <c r="C2796" s="2">
        <v>45725</v>
      </c>
      <c r="D2796">
        <v>2291</v>
      </c>
      <c r="E2796">
        <v>1001</v>
      </c>
      <c r="F2796">
        <v>1</v>
      </c>
      <c r="G2796">
        <v>203.04</v>
      </c>
      <c r="H2796" s="2">
        <v>45905</v>
      </c>
      <c r="I2796" s="2">
        <v>45914</v>
      </c>
      <c r="J2796" t="s">
        <v>9</v>
      </c>
      <c r="K2796" s="2" t="str">
        <f>IFERROR(INDEX(Product_lookup[Category],MATCH(RawWorking[[#This Row],[ProductID]],Product_lookup[ProductID],0)),"")</f>
        <v>Electronics</v>
      </c>
      <c r="L2796" s="9">
        <f>IF(OR(RawWorking[[#This Row],[ShipDate]]="",RawWorking[[#This Row],[DeliveryDate]]=""),"",RawWorking[[#This Row],[DeliveryDate]]-RawWorking[[#This Row],[ShipDate]])</f>
        <v>9</v>
      </c>
      <c r="M2796" s="9">
        <f>IF(COUNTIF(INDEX(RawWorking[OrderID],1):RawWorking[[#This Row],[OrderID]],RawWorking[[#This Row],[OrderID]])=1,1,0)</f>
        <v>0</v>
      </c>
      <c r="N2796" s="4">
        <f>IFERROR(RawWorking[[#This Row],[LineAmount]]/RawWorking[[#This Row],[Quantity]],"")</f>
        <v>203.04</v>
      </c>
    </row>
    <row r="2797" spans="1:14">
      <c r="A2797">
        <v>52796</v>
      </c>
      <c r="B2797">
        <v>31604</v>
      </c>
      <c r="C2797" s="2">
        <v>45752</v>
      </c>
      <c r="D2797">
        <v>2126</v>
      </c>
      <c r="E2797">
        <v>1003</v>
      </c>
      <c r="F2797">
        <v>1</v>
      </c>
      <c r="G2797">
        <v>224.37</v>
      </c>
      <c r="H2797" s="2">
        <v>45755</v>
      </c>
      <c r="I2797" s="2">
        <v>45757</v>
      </c>
      <c r="J2797" t="s">
        <v>9</v>
      </c>
      <c r="K2797" s="2" t="str">
        <f>IFERROR(INDEX(Product_lookup[Category],MATCH(RawWorking[[#This Row],[ProductID]],Product_lookup[ProductID],0)),"")</f>
        <v>Electronics</v>
      </c>
      <c r="L2797" s="9">
        <f>IF(OR(RawWorking[[#This Row],[ShipDate]]="",RawWorking[[#This Row],[DeliveryDate]]=""),"",RawWorking[[#This Row],[DeliveryDate]]-RawWorking[[#This Row],[ShipDate]])</f>
        <v>2</v>
      </c>
      <c r="M2797" s="9">
        <f>IF(COUNTIF(INDEX(RawWorking[OrderID],1):RawWorking[[#This Row],[OrderID]],RawWorking[[#This Row],[OrderID]])=1,1,0)</f>
        <v>1</v>
      </c>
      <c r="N2797" s="4">
        <f>IFERROR(RawWorking[[#This Row],[LineAmount]]/RawWorking[[#This Row],[Quantity]],"")</f>
        <v>224.37</v>
      </c>
    </row>
    <row r="2798" spans="1:14">
      <c r="A2798">
        <v>52797</v>
      </c>
      <c r="B2798">
        <v>31604</v>
      </c>
      <c r="C2798" s="2">
        <v>45752</v>
      </c>
      <c r="D2798">
        <v>2126</v>
      </c>
      <c r="E2798">
        <v>1002</v>
      </c>
      <c r="F2798">
        <v>1</v>
      </c>
      <c r="G2798">
        <v>118.6</v>
      </c>
      <c r="H2798" s="2">
        <v>45753</v>
      </c>
      <c r="I2798" s="2">
        <v>45754</v>
      </c>
      <c r="J2798" t="s">
        <v>9</v>
      </c>
      <c r="K2798" s="2" t="str">
        <f>IFERROR(INDEX(Product_lookup[Category],MATCH(RawWorking[[#This Row],[ProductID]],Product_lookup[ProductID],0)),"")</f>
        <v>Electronics</v>
      </c>
      <c r="L2798" s="9">
        <f>IF(OR(RawWorking[[#This Row],[ShipDate]]="",RawWorking[[#This Row],[DeliveryDate]]=""),"",RawWorking[[#This Row],[DeliveryDate]]-RawWorking[[#This Row],[ShipDate]])</f>
        <v>1</v>
      </c>
      <c r="M2798" s="9">
        <f>IF(COUNTIF(INDEX(RawWorking[OrderID],1):RawWorking[[#This Row],[OrderID]],RawWorking[[#This Row],[OrderID]])=1,1,0)</f>
        <v>0</v>
      </c>
      <c r="N2798" s="4">
        <f>IFERROR(RawWorking[[#This Row],[LineAmount]]/RawWorking[[#This Row],[Quantity]],"")</f>
        <v>118.6</v>
      </c>
    </row>
    <row r="2799" spans="1:14">
      <c r="A2799">
        <v>52798</v>
      </c>
      <c r="B2799">
        <v>31604</v>
      </c>
      <c r="C2799" s="2">
        <v>45752</v>
      </c>
      <c r="D2799">
        <v>2126</v>
      </c>
      <c r="E2799">
        <v>1014</v>
      </c>
      <c r="F2799">
        <v>3</v>
      </c>
      <c r="G2799">
        <v>646.02</v>
      </c>
      <c r="H2799" s="2">
        <v>45753</v>
      </c>
      <c r="I2799" s="2">
        <v>45763</v>
      </c>
      <c r="J2799" t="s">
        <v>9</v>
      </c>
      <c r="K2799" s="2" t="str">
        <f>IFERROR(INDEX(Product_lookup[Category],MATCH(RawWorking[[#This Row],[ProductID]],Product_lookup[ProductID],0)),"")</f>
        <v>Sports</v>
      </c>
      <c r="L2799" s="9">
        <f>IF(OR(RawWorking[[#This Row],[ShipDate]]="",RawWorking[[#This Row],[DeliveryDate]]=""),"",RawWorking[[#This Row],[DeliveryDate]]-RawWorking[[#This Row],[ShipDate]])</f>
        <v>10</v>
      </c>
      <c r="M2799" s="9">
        <f>IF(COUNTIF(INDEX(RawWorking[OrderID],1):RawWorking[[#This Row],[OrderID]],RawWorking[[#This Row],[OrderID]])=1,1,0)</f>
        <v>0</v>
      </c>
      <c r="N2799" s="4">
        <f>IFERROR(RawWorking[[#This Row],[LineAmount]]/RawWorking[[#This Row],[Quantity]],"")</f>
        <v>215.34</v>
      </c>
    </row>
    <row r="2800" spans="1:14">
      <c r="A2800">
        <v>52799</v>
      </c>
      <c r="B2800">
        <v>31605</v>
      </c>
      <c r="C2800" s="2">
        <v>45671</v>
      </c>
      <c r="D2800">
        <v>2493</v>
      </c>
      <c r="E2800">
        <v>1015</v>
      </c>
      <c r="F2800">
        <v>3</v>
      </c>
      <c r="G2800">
        <v>359.22</v>
      </c>
      <c r="H2800" s="2">
        <v>45673</v>
      </c>
      <c r="I2800" s="2">
        <v>45683</v>
      </c>
      <c r="J2800" t="s">
        <v>9</v>
      </c>
      <c r="K2800" s="2" t="str">
        <f>IFERROR(INDEX(Product_lookup[Category],MATCH(RawWorking[[#This Row],[ProductID]],Product_lookup[ProductID],0)),"")</f>
        <v>Sports</v>
      </c>
      <c r="L2800" s="9">
        <f>IF(OR(RawWorking[[#This Row],[ShipDate]]="",RawWorking[[#This Row],[DeliveryDate]]=""),"",RawWorking[[#This Row],[DeliveryDate]]-RawWorking[[#This Row],[ShipDate]])</f>
        <v>10</v>
      </c>
      <c r="M2800" s="9">
        <f>IF(COUNTIF(INDEX(RawWorking[OrderID],1):RawWorking[[#This Row],[OrderID]],RawWorking[[#This Row],[OrderID]])=1,1,0)</f>
        <v>1</v>
      </c>
      <c r="N2800" s="4">
        <f>IFERROR(RawWorking[[#This Row],[LineAmount]]/RawWorking[[#This Row],[Quantity]],"")</f>
        <v>119.74000000000001</v>
      </c>
    </row>
    <row r="2801" spans="1:14">
      <c r="A2801">
        <v>52800</v>
      </c>
      <c r="B2801">
        <v>31605</v>
      </c>
      <c r="C2801" s="2">
        <v>45671</v>
      </c>
      <c r="D2801">
        <v>2493</v>
      </c>
      <c r="E2801">
        <v>1011</v>
      </c>
      <c r="F2801">
        <v>2</v>
      </c>
      <c r="G2801">
        <v>202.88</v>
      </c>
      <c r="H2801" s="2">
        <v>45672</v>
      </c>
      <c r="I2801" s="2">
        <v>45682</v>
      </c>
      <c r="J2801" t="s">
        <v>9</v>
      </c>
      <c r="K2801" s="2" t="str">
        <f>IFERROR(INDEX(Product_lookup[Category],MATCH(RawWorking[[#This Row],[ProductID]],Product_lookup[ProductID],0)),"")</f>
        <v>Office</v>
      </c>
      <c r="L2801" s="9">
        <f>IF(OR(RawWorking[[#This Row],[ShipDate]]="",RawWorking[[#This Row],[DeliveryDate]]=""),"",RawWorking[[#This Row],[DeliveryDate]]-RawWorking[[#This Row],[ShipDate]])</f>
        <v>10</v>
      </c>
      <c r="M2801" s="9">
        <f>IF(COUNTIF(INDEX(RawWorking[OrderID],1):RawWorking[[#This Row],[OrderID]],RawWorking[[#This Row],[OrderID]])=1,1,0)</f>
        <v>0</v>
      </c>
      <c r="N2801" s="4">
        <f>IFERROR(RawWorking[[#This Row],[LineAmount]]/RawWorking[[#This Row],[Quantity]],"")</f>
        <v>101.44</v>
      </c>
    </row>
    <row r="2802" spans="1:14">
      <c r="A2802">
        <v>52801</v>
      </c>
      <c r="B2802">
        <v>31606</v>
      </c>
      <c r="C2802" s="2">
        <v>45879</v>
      </c>
      <c r="D2802">
        <v>2387</v>
      </c>
      <c r="E2802">
        <v>1005</v>
      </c>
      <c r="F2802">
        <v>1</v>
      </c>
      <c r="G2802">
        <v>31.73</v>
      </c>
      <c r="H2802" s="2">
        <v>45880</v>
      </c>
      <c r="I2802" s="2">
        <v>45890</v>
      </c>
      <c r="J2802" t="s">
        <v>9</v>
      </c>
      <c r="K2802" s="2" t="str">
        <f>IFERROR(INDEX(Product_lookup[Category],MATCH(RawWorking[[#This Row],[ProductID]],Product_lookup[ProductID],0)),"")</f>
        <v>Electronics</v>
      </c>
      <c r="L2802" s="9">
        <f>IF(OR(RawWorking[[#This Row],[ShipDate]]="",RawWorking[[#This Row],[DeliveryDate]]=""),"",RawWorking[[#This Row],[DeliveryDate]]-RawWorking[[#This Row],[ShipDate]])</f>
        <v>10</v>
      </c>
      <c r="M2802" s="9">
        <f>IF(COUNTIF(INDEX(RawWorking[OrderID],1):RawWorking[[#This Row],[OrderID]],RawWorking[[#This Row],[OrderID]])=1,1,0)</f>
        <v>1</v>
      </c>
      <c r="N2802" s="4">
        <f>IFERROR(RawWorking[[#This Row],[LineAmount]]/RawWorking[[#This Row],[Quantity]],"")</f>
        <v>31.73</v>
      </c>
    </row>
    <row r="2803" spans="1:14">
      <c r="A2803">
        <v>52802</v>
      </c>
      <c r="B2803">
        <v>31607</v>
      </c>
      <c r="C2803" s="2">
        <v>46016</v>
      </c>
      <c r="D2803">
        <v>2142</v>
      </c>
      <c r="E2803">
        <v>1015</v>
      </c>
      <c r="F2803">
        <v>1</v>
      </c>
      <c r="G2803">
        <v>119.74</v>
      </c>
      <c r="H2803" s="2">
        <v>46019</v>
      </c>
      <c r="I2803" s="2">
        <v>46020</v>
      </c>
      <c r="J2803" t="s">
        <v>9</v>
      </c>
      <c r="K2803" s="2" t="str">
        <f>IFERROR(INDEX(Product_lookup[Category],MATCH(RawWorking[[#This Row],[ProductID]],Product_lookup[ProductID],0)),"")</f>
        <v>Sports</v>
      </c>
      <c r="L2803" s="9">
        <f>IF(OR(RawWorking[[#This Row],[ShipDate]]="",RawWorking[[#This Row],[DeliveryDate]]=""),"",RawWorking[[#This Row],[DeliveryDate]]-RawWorking[[#This Row],[ShipDate]])</f>
        <v>1</v>
      </c>
      <c r="M2803" s="9">
        <f>IF(COUNTIF(INDEX(RawWorking[OrderID],1):RawWorking[[#This Row],[OrderID]],RawWorking[[#This Row],[OrderID]])=1,1,0)</f>
        <v>1</v>
      </c>
      <c r="N2803" s="4">
        <f>IFERROR(RawWorking[[#This Row],[LineAmount]]/RawWorking[[#This Row],[Quantity]],"")</f>
        <v>119.74</v>
      </c>
    </row>
    <row r="2804" spans="1:14">
      <c r="A2804">
        <v>52803</v>
      </c>
      <c r="B2804">
        <v>31607</v>
      </c>
      <c r="C2804" s="2">
        <v>46016</v>
      </c>
      <c r="D2804">
        <v>2142</v>
      </c>
      <c r="E2804">
        <v>1015</v>
      </c>
      <c r="F2804">
        <v>1</v>
      </c>
      <c r="G2804">
        <v>119.74</v>
      </c>
      <c r="H2804" s="2">
        <v>46017</v>
      </c>
      <c r="I2804" s="2">
        <v>46020</v>
      </c>
      <c r="J2804" t="s">
        <v>9</v>
      </c>
      <c r="K2804" s="2" t="str">
        <f>IFERROR(INDEX(Product_lookup[Category],MATCH(RawWorking[[#This Row],[ProductID]],Product_lookup[ProductID],0)),"")</f>
        <v>Sports</v>
      </c>
      <c r="L2804" s="9">
        <f>IF(OR(RawWorking[[#This Row],[ShipDate]]="",RawWorking[[#This Row],[DeliveryDate]]=""),"",RawWorking[[#This Row],[DeliveryDate]]-RawWorking[[#This Row],[ShipDate]])</f>
        <v>3</v>
      </c>
      <c r="M2804" s="9">
        <f>IF(COUNTIF(INDEX(RawWorking[OrderID],1):RawWorking[[#This Row],[OrderID]],RawWorking[[#This Row],[OrderID]])=1,1,0)</f>
        <v>0</v>
      </c>
      <c r="N2804" s="4">
        <f>IFERROR(RawWorking[[#This Row],[LineAmount]]/RawWorking[[#This Row],[Quantity]],"")</f>
        <v>119.74</v>
      </c>
    </row>
    <row r="2805" spans="1:14">
      <c r="A2805">
        <v>52804</v>
      </c>
      <c r="B2805">
        <v>31607</v>
      </c>
      <c r="C2805" s="2">
        <v>46016</v>
      </c>
      <c r="D2805">
        <v>2142</v>
      </c>
      <c r="E2805">
        <v>1015</v>
      </c>
      <c r="F2805">
        <v>3</v>
      </c>
      <c r="G2805">
        <v>359.22</v>
      </c>
      <c r="H2805" s="2">
        <v>46018</v>
      </c>
      <c r="I2805" s="2">
        <v>46020</v>
      </c>
      <c r="J2805" t="s">
        <v>9</v>
      </c>
      <c r="K2805" s="2" t="str">
        <f>IFERROR(INDEX(Product_lookup[Category],MATCH(RawWorking[[#This Row],[ProductID]],Product_lookup[ProductID],0)),"")</f>
        <v>Sports</v>
      </c>
      <c r="L2805" s="9">
        <f>IF(OR(RawWorking[[#This Row],[ShipDate]]="",RawWorking[[#This Row],[DeliveryDate]]=""),"",RawWorking[[#This Row],[DeliveryDate]]-RawWorking[[#This Row],[ShipDate]])</f>
        <v>2</v>
      </c>
      <c r="M2805" s="9">
        <f>IF(COUNTIF(INDEX(RawWorking[OrderID],1):RawWorking[[#This Row],[OrderID]],RawWorking[[#This Row],[OrderID]])=1,1,0)</f>
        <v>0</v>
      </c>
      <c r="N2805" s="4">
        <f>IFERROR(RawWorking[[#This Row],[LineAmount]]/RawWorking[[#This Row],[Quantity]],"")</f>
        <v>119.74000000000001</v>
      </c>
    </row>
    <row r="2806" spans="1:14">
      <c r="A2806">
        <v>52805</v>
      </c>
      <c r="B2806">
        <v>31608</v>
      </c>
      <c r="C2806" s="2">
        <v>45986</v>
      </c>
      <c r="D2806">
        <v>2153</v>
      </c>
      <c r="E2806">
        <v>1011</v>
      </c>
      <c r="F2806">
        <v>1</v>
      </c>
      <c r="G2806">
        <v>101.44</v>
      </c>
      <c r="H2806" s="2" t="s">
        <v>1421</v>
      </c>
      <c r="I2806" s="2" t="s">
        <v>1421</v>
      </c>
      <c r="J2806" t="s">
        <v>12</v>
      </c>
      <c r="K2806" s="2" t="str">
        <f>IFERROR(INDEX(Product_lookup[Category],MATCH(RawWorking[[#This Row],[ProductID]],Product_lookup[ProductID],0)),"")</f>
        <v>Office</v>
      </c>
      <c r="L2806" s="9" t="str">
        <f>IF(OR(RawWorking[[#This Row],[ShipDate]]="",RawWorking[[#This Row],[DeliveryDate]]=""),"",RawWorking[[#This Row],[DeliveryDate]]-RawWorking[[#This Row],[ShipDate]])</f>
        <v/>
      </c>
      <c r="M2806" s="9">
        <f>IF(COUNTIF(INDEX(RawWorking[OrderID],1):RawWorking[[#This Row],[OrderID]],RawWorking[[#This Row],[OrderID]])=1,1,0)</f>
        <v>1</v>
      </c>
      <c r="N2806" s="4">
        <f>IFERROR(RawWorking[[#This Row],[LineAmount]]/RawWorking[[#This Row],[Quantity]],"")</f>
        <v>101.44</v>
      </c>
    </row>
    <row r="2807" spans="1:14">
      <c r="A2807">
        <v>52806</v>
      </c>
      <c r="B2807">
        <v>31608</v>
      </c>
      <c r="C2807" s="2">
        <v>45986</v>
      </c>
      <c r="D2807">
        <v>2153</v>
      </c>
      <c r="E2807">
        <v>1003</v>
      </c>
      <c r="F2807">
        <v>1</v>
      </c>
      <c r="G2807">
        <v>224.37</v>
      </c>
      <c r="H2807" s="2" t="s">
        <v>1421</v>
      </c>
      <c r="I2807" s="2" t="s">
        <v>1421</v>
      </c>
      <c r="J2807" t="s">
        <v>12</v>
      </c>
      <c r="K2807" s="2" t="str">
        <f>IFERROR(INDEX(Product_lookup[Category],MATCH(RawWorking[[#This Row],[ProductID]],Product_lookup[ProductID],0)),"")</f>
        <v>Electronics</v>
      </c>
      <c r="L2807" s="9" t="str">
        <f>IF(OR(RawWorking[[#This Row],[ShipDate]]="",RawWorking[[#This Row],[DeliveryDate]]=""),"",RawWorking[[#This Row],[DeliveryDate]]-RawWorking[[#This Row],[ShipDate]])</f>
        <v/>
      </c>
      <c r="M2807" s="9">
        <f>IF(COUNTIF(INDEX(RawWorking[OrderID],1):RawWorking[[#This Row],[OrderID]],RawWorking[[#This Row],[OrderID]])=1,1,0)</f>
        <v>0</v>
      </c>
      <c r="N2807" s="4">
        <f>IFERROR(RawWorking[[#This Row],[LineAmount]]/RawWorking[[#This Row],[Quantity]],"")</f>
        <v>224.37</v>
      </c>
    </row>
    <row r="2808" spans="1:14">
      <c r="A2808">
        <v>52807</v>
      </c>
      <c r="B2808">
        <v>31609</v>
      </c>
      <c r="C2808" s="2">
        <v>45946</v>
      </c>
      <c r="D2808">
        <v>2420</v>
      </c>
      <c r="E2808">
        <v>1013</v>
      </c>
      <c r="F2808">
        <v>2</v>
      </c>
      <c r="G2808">
        <v>340.5</v>
      </c>
      <c r="H2808" s="2">
        <v>45947</v>
      </c>
      <c r="I2808" s="2">
        <v>45952</v>
      </c>
      <c r="J2808" t="s">
        <v>9</v>
      </c>
      <c r="K2808" s="2" t="str">
        <f>IFERROR(INDEX(Product_lookup[Category],MATCH(RawWorking[[#This Row],[ProductID]],Product_lookup[ProductID],0)),"")</f>
        <v>Office</v>
      </c>
      <c r="L2808" s="9">
        <f>IF(OR(RawWorking[[#This Row],[ShipDate]]="",RawWorking[[#This Row],[DeliveryDate]]=""),"",RawWorking[[#This Row],[DeliveryDate]]-RawWorking[[#This Row],[ShipDate]])</f>
        <v>5</v>
      </c>
      <c r="M2808" s="9">
        <f>IF(COUNTIF(INDEX(RawWorking[OrderID],1):RawWorking[[#This Row],[OrderID]],RawWorking[[#This Row],[OrderID]])=1,1,0)</f>
        <v>1</v>
      </c>
      <c r="N2808" s="4">
        <f>IFERROR(RawWorking[[#This Row],[LineAmount]]/RawWorking[[#This Row],[Quantity]],"")</f>
        <v>170.25</v>
      </c>
    </row>
    <row r="2809" spans="1:14">
      <c r="A2809">
        <v>52808</v>
      </c>
      <c r="B2809">
        <v>31609</v>
      </c>
      <c r="C2809" s="2">
        <v>45946</v>
      </c>
      <c r="D2809">
        <v>2420</v>
      </c>
      <c r="E2809">
        <v>1011</v>
      </c>
      <c r="F2809">
        <v>1</v>
      </c>
      <c r="G2809">
        <v>101.44</v>
      </c>
      <c r="H2809" s="2">
        <v>45948</v>
      </c>
      <c r="I2809" s="2">
        <v>45958</v>
      </c>
      <c r="J2809" t="s">
        <v>9</v>
      </c>
      <c r="K2809" s="2" t="str">
        <f>IFERROR(INDEX(Product_lookup[Category],MATCH(RawWorking[[#This Row],[ProductID]],Product_lookup[ProductID],0)),"")</f>
        <v>Office</v>
      </c>
      <c r="L2809" s="9">
        <f>IF(OR(RawWorking[[#This Row],[ShipDate]]="",RawWorking[[#This Row],[DeliveryDate]]=""),"",RawWorking[[#This Row],[DeliveryDate]]-RawWorking[[#This Row],[ShipDate]])</f>
        <v>10</v>
      </c>
      <c r="M2809" s="9">
        <f>IF(COUNTIF(INDEX(RawWorking[OrderID],1):RawWorking[[#This Row],[OrderID]],RawWorking[[#This Row],[OrderID]])=1,1,0)</f>
        <v>0</v>
      </c>
      <c r="N2809" s="4">
        <f>IFERROR(RawWorking[[#This Row],[LineAmount]]/RawWorking[[#This Row],[Quantity]],"")</f>
        <v>101.44</v>
      </c>
    </row>
    <row r="2810" spans="1:14">
      <c r="A2810">
        <v>52809</v>
      </c>
      <c r="B2810">
        <v>31609</v>
      </c>
      <c r="C2810" s="2">
        <v>45946</v>
      </c>
      <c r="D2810">
        <v>2420</v>
      </c>
      <c r="E2810">
        <v>1002</v>
      </c>
      <c r="F2810">
        <v>3</v>
      </c>
      <c r="G2810">
        <v>355.8</v>
      </c>
      <c r="H2810" s="2">
        <v>45947</v>
      </c>
      <c r="I2810" s="2">
        <v>45956</v>
      </c>
      <c r="J2810" t="s">
        <v>9</v>
      </c>
      <c r="K2810" s="2" t="str">
        <f>IFERROR(INDEX(Product_lookup[Category],MATCH(RawWorking[[#This Row],[ProductID]],Product_lookup[ProductID],0)),"")</f>
        <v>Electronics</v>
      </c>
      <c r="L2810" s="9">
        <f>IF(OR(RawWorking[[#This Row],[ShipDate]]="",RawWorking[[#This Row],[DeliveryDate]]=""),"",RawWorking[[#This Row],[DeliveryDate]]-RawWorking[[#This Row],[ShipDate]])</f>
        <v>9</v>
      </c>
      <c r="M2810" s="9">
        <f>IF(COUNTIF(INDEX(RawWorking[OrderID],1):RawWorking[[#This Row],[OrderID]],RawWorking[[#This Row],[OrderID]])=1,1,0)</f>
        <v>0</v>
      </c>
      <c r="N2810" s="4">
        <f>IFERROR(RawWorking[[#This Row],[LineAmount]]/RawWorking[[#This Row],[Quantity]],"")</f>
        <v>118.60000000000001</v>
      </c>
    </row>
    <row r="2811" spans="1:14">
      <c r="A2811">
        <v>52810</v>
      </c>
      <c r="B2811">
        <v>31609</v>
      </c>
      <c r="C2811" s="2">
        <v>45946</v>
      </c>
      <c r="D2811">
        <v>2420</v>
      </c>
      <c r="E2811">
        <v>1015</v>
      </c>
      <c r="F2811">
        <v>2</v>
      </c>
      <c r="G2811">
        <v>239.48</v>
      </c>
      <c r="H2811" s="2">
        <v>45949</v>
      </c>
      <c r="I2811" s="2">
        <v>45958</v>
      </c>
      <c r="J2811" t="s">
        <v>9</v>
      </c>
      <c r="K2811" s="2" t="str">
        <f>IFERROR(INDEX(Product_lookup[Category],MATCH(RawWorking[[#This Row],[ProductID]],Product_lookup[ProductID],0)),"")</f>
        <v>Sports</v>
      </c>
      <c r="L2811" s="9">
        <f>IF(OR(RawWorking[[#This Row],[ShipDate]]="",RawWorking[[#This Row],[DeliveryDate]]=""),"",RawWorking[[#This Row],[DeliveryDate]]-RawWorking[[#This Row],[ShipDate]])</f>
        <v>9</v>
      </c>
      <c r="M2811" s="9">
        <f>IF(COUNTIF(INDEX(RawWorking[OrderID],1):RawWorking[[#This Row],[OrderID]],RawWorking[[#This Row],[OrderID]])=1,1,0)</f>
        <v>0</v>
      </c>
      <c r="N2811" s="4">
        <f>IFERROR(RawWorking[[#This Row],[LineAmount]]/RawWorking[[#This Row],[Quantity]],"")</f>
        <v>119.74</v>
      </c>
    </row>
    <row r="2812" spans="1:14">
      <c r="A2812">
        <v>52811</v>
      </c>
      <c r="B2812">
        <v>31610</v>
      </c>
      <c r="C2812" s="2">
        <v>45900</v>
      </c>
      <c r="D2812">
        <v>2285</v>
      </c>
      <c r="E2812">
        <v>1006</v>
      </c>
      <c r="F2812">
        <v>1</v>
      </c>
      <c r="G2812">
        <v>253.86</v>
      </c>
      <c r="H2812" s="2">
        <v>45901</v>
      </c>
      <c r="I2812" s="2">
        <v>45906</v>
      </c>
      <c r="J2812" t="s">
        <v>9</v>
      </c>
      <c r="K2812" s="2" t="str">
        <f>IFERROR(INDEX(Product_lookup[Category],MATCH(RawWorking[[#This Row],[ProductID]],Product_lookup[ProductID],0)),"")</f>
        <v>Home</v>
      </c>
      <c r="L2812" s="9">
        <f>IF(OR(RawWorking[[#This Row],[ShipDate]]="",RawWorking[[#This Row],[DeliveryDate]]=""),"",RawWorking[[#This Row],[DeliveryDate]]-RawWorking[[#This Row],[ShipDate]])</f>
        <v>5</v>
      </c>
      <c r="M2812" s="9">
        <f>IF(COUNTIF(INDEX(RawWorking[OrderID],1):RawWorking[[#This Row],[OrderID]],RawWorking[[#This Row],[OrderID]])=1,1,0)</f>
        <v>1</v>
      </c>
      <c r="N2812" s="4">
        <f>IFERROR(RawWorking[[#This Row],[LineAmount]]/RawWorking[[#This Row],[Quantity]],"")</f>
        <v>253.86</v>
      </c>
    </row>
    <row r="2813" spans="1:14">
      <c r="A2813">
        <v>52812</v>
      </c>
      <c r="B2813">
        <v>31610</v>
      </c>
      <c r="C2813" s="2">
        <v>45900</v>
      </c>
      <c r="D2813">
        <v>2285</v>
      </c>
      <c r="E2813">
        <v>1001</v>
      </c>
      <c r="F2813">
        <v>5</v>
      </c>
      <c r="G2813">
        <v>1015.2</v>
      </c>
      <c r="H2813" s="2">
        <v>45902</v>
      </c>
      <c r="I2813" s="2">
        <v>45904</v>
      </c>
      <c r="J2813" t="s">
        <v>9</v>
      </c>
      <c r="K2813" s="2" t="str">
        <f>IFERROR(INDEX(Product_lookup[Category],MATCH(RawWorking[[#This Row],[ProductID]],Product_lookup[ProductID],0)),"")</f>
        <v>Electronics</v>
      </c>
      <c r="L2813" s="9">
        <f>IF(OR(RawWorking[[#This Row],[ShipDate]]="",RawWorking[[#This Row],[DeliveryDate]]=""),"",RawWorking[[#This Row],[DeliveryDate]]-RawWorking[[#This Row],[ShipDate]])</f>
        <v>2</v>
      </c>
      <c r="M2813" s="9">
        <f>IF(COUNTIF(INDEX(RawWorking[OrderID],1):RawWorking[[#This Row],[OrderID]],RawWorking[[#This Row],[OrderID]])=1,1,0)</f>
        <v>0</v>
      </c>
      <c r="N2813" s="4">
        <f>IFERROR(RawWorking[[#This Row],[LineAmount]]/RawWorking[[#This Row],[Quantity]],"")</f>
        <v>203.04000000000002</v>
      </c>
    </row>
    <row r="2814" spans="1:14">
      <c r="A2814">
        <v>52813</v>
      </c>
      <c r="B2814">
        <v>31611</v>
      </c>
      <c r="C2814" s="2">
        <v>46017</v>
      </c>
      <c r="D2814">
        <v>2586</v>
      </c>
      <c r="E2814">
        <v>1010</v>
      </c>
      <c r="F2814">
        <v>1</v>
      </c>
      <c r="G2814">
        <v>121.5</v>
      </c>
      <c r="H2814" s="2">
        <v>46019</v>
      </c>
      <c r="I2814" s="2">
        <v>46028</v>
      </c>
      <c r="J2814" t="s">
        <v>9</v>
      </c>
      <c r="K2814" s="2" t="str">
        <f>IFERROR(INDEX(Product_lookup[Category],MATCH(RawWorking[[#This Row],[ProductID]],Product_lookup[ProductID],0)),"")</f>
        <v>Office</v>
      </c>
      <c r="L2814" s="9">
        <f>IF(OR(RawWorking[[#This Row],[ShipDate]]="",RawWorking[[#This Row],[DeliveryDate]]=""),"",RawWorking[[#This Row],[DeliveryDate]]-RawWorking[[#This Row],[ShipDate]])</f>
        <v>9</v>
      </c>
      <c r="M2814" s="9">
        <f>IF(COUNTIF(INDEX(RawWorking[OrderID],1):RawWorking[[#This Row],[OrderID]],RawWorking[[#This Row],[OrderID]])=1,1,0)</f>
        <v>1</v>
      </c>
      <c r="N2814" s="4">
        <f>IFERROR(RawWorking[[#This Row],[LineAmount]]/RawWorking[[#This Row],[Quantity]],"")</f>
        <v>121.5</v>
      </c>
    </row>
    <row r="2815" spans="1:14">
      <c r="A2815">
        <v>52814</v>
      </c>
      <c r="B2815">
        <v>31612</v>
      </c>
      <c r="C2815" s="2">
        <v>45664</v>
      </c>
      <c r="D2815">
        <v>2575</v>
      </c>
      <c r="E2815">
        <v>1003</v>
      </c>
      <c r="F2815">
        <v>1</v>
      </c>
      <c r="G2815">
        <v>224.37</v>
      </c>
      <c r="H2815" s="2">
        <v>45667</v>
      </c>
      <c r="I2815" s="2">
        <v>45671</v>
      </c>
      <c r="J2815" t="s">
        <v>9</v>
      </c>
      <c r="K2815" s="2" t="str">
        <f>IFERROR(INDEX(Product_lookup[Category],MATCH(RawWorking[[#This Row],[ProductID]],Product_lookup[ProductID],0)),"")</f>
        <v>Electronics</v>
      </c>
      <c r="L2815" s="9">
        <f>IF(OR(RawWorking[[#This Row],[ShipDate]]="",RawWorking[[#This Row],[DeliveryDate]]=""),"",RawWorking[[#This Row],[DeliveryDate]]-RawWorking[[#This Row],[ShipDate]])</f>
        <v>4</v>
      </c>
      <c r="M2815" s="9">
        <f>IF(COUNTIF(INDEX(RawWorking[OrderID],1):RawWorking[[#This Row],[OrderID]],RawWorking[[#This Row],[OrderID]])=1,1,0)</f>
        <v>1</v>
      </c>
      <c r="N2815" s="4">
        <f>IFERROR(RawWorking[[#This Row],[LineAmount]]/RawWorking[[#This Row],[Quantity]],"")</f>
        <v>224.37</v>
      </c>
    </row>
    <row r="2816" spans="1:14">
      <c r="A2816">
        <v>52815</v>
      </c>
      <c r="B2816">
        <v>31612</v>
      </c>
      <c r="C2816" s="2">
        <v>45664</v>
      </c>
      <c r="D2816">
        <v>2575</v>
      </c>
      <c r="E2816">
        <v>1007</v>
      </c>
      <c r="F2816">
        <v>3</v>
      </c>
      <c r="G2816">
        <v>599.42999999999995</v>
      </c>
      <c r="H2816" s="2">
        <v>45665</v>
      </c>
      <c r="I2816" s="2">
        <v>45670</v>
      </c>
      <c r="J2816" t="s">
        <v>9</v>
      </c>
      <c r="K2816" s="2" t="str">
        <f>IFERROR(INDEX(Product_lookup[Category],MATCH(RawWorking[[#This Row],[ProductID]],Product_lookup[ProductID],0)),"")</f>
        <v>Home</v>
      </c>
      <c r="L2816" s="9">
        <f>IF(OR(RawWorking[[#This Row],[ShipDate]]="",RawWorking[[#This Row],[DeliveryDate]]=""),"",RawWorking[[#This Row],[DeliveryDate]]-RawWorking[[#This Row],[ShipDate]])</f>
        <v>5</v>
      </c>
      <c r="M2816" s="9">
        <f>IF(COUNTIF(INDEX(RawWorking[OrderID],1):RawWorking[[#This Row],[OrderID]],RawWorking[[#This Row],[OrderID]])=1,1,0)</f>
        <v>0</v>
      </c>
      <c r="N2816" s="4">
        <f>IFERROR(RawWorking[[#This Row],[LineAmount]]/RawWorking[[#This Row],[Quantity]],"")</f>
        <v>199.80999999999997</v>
      </c>
    </row>
    <row r="2817" spans="1:14">
      <c r="A2817">
        <v>52816</v>
      </c>
      <c r="B2817">
        <v>31613</v>
      </c>
      <c r="C2817" s="2">
        <v>45938</v>
      </c>
      <c r="D2817">
        <v>2555</v>
      </c>
      <c r="E2817">
        <v>1002</v>
      </c>
      <c r="F2817">
        <v>2</v>
      </c>
      <c r="G2817">
        <v>237.2</v>
      </c>
      <c r="H2817" s="2">
        <v>45940</v>
      </c>
      <c r="I2817" s="2">
        <v>45945</v>
      </c>
      <c r="J2817" t="s">
        <v>9</v>
      </c>
      <c r="K2817" s="2" t="str">
        <f>IFERROR(INDEX(Product_lookup[Category],MATCH(RawWorking[[#This Row],[ProductID]],Product_lookup[ProductID],0)),"")</f>
        <v>Electronics</v>
      </c>
      <c r="L2817" s="9">
        <f>IF(OR(RawWorking[[#This Row],[ShipDate]]="",RawWorking[[#This Row],[DeliveryDate]]=""),"",RawWorking[[#This Row],[DeliveryDate]]-RawWorking[[#This Row],[ShipDate]])</f>
        <v>5</v>
      </c>
      <c r="M2817" s="9">
        <f>IF(COUNTIF(INDEX(RawWorking[OrderID],1):RawWorking[[#This Row],[OrderID]],RawWorking[[#This Row],[OrderID]])=1,1,0)</f>
        <v>1</v>
      </c>
      <c r="N2817" s="4">
        <f>IFERROR(RawWorking[[#This Row],[LineAmount]]/RawWorking[[#This Row],[Quantity]],"")</f>
        <v>118.6</v>
      </c>
    </row>
    <row r="2818" spans="1:14">
      <c r="A2818">
        <v>52817</v>
      </c>
      <c r="B2818">
        <v>31613</v>
      </c>
      <c r="C2818" s="2">
        <v>45938</v>
      </c>
      <c r="D2818">
        <v>2555</v>
      </c>
      <c r="E2818">
        <v>1007</v>
      </c>
      <c r="F2818">
        <v>1</v>
      </c>
      <c r="G2818">
        <v>199.81</v>
      </c>
      <c r="H2818" s="2">
        <v>45941</v>
      </c>
      <c r="I2818" s="2">
        <v>45950</v>
      </c>
      <c r="J2818" t="s">
        <v>9</v>
      </c>
      <c r="K2818" s="2" t="str">
        <f>IFERROR(INDEX(Product_lookup[Category],MATCH(RawWorking[[#This Row],[ProductID]],Product_lookup[ProductID],0)),"")</f>
        <v>Home</v>
      </c>
      <c r="L2818" s="9">
        <f>IF(OR(RawWorking[[#This Row],[ShipDate]]="",RawWorking[[#This Row],[DeliveryDate]]=""),"",RawWorking[[#This Row],[DeliveryDate]]-RawWorking[[#This Row],[ShipDate]])</f>
        <v>9</v>
      </c>
      <c r="M2818" s="9">
        <f>IF(COUNTIF(INDEX(RawWorking[OrderID],1):RawWorking[[#This Row],[OrderID]],RawWorking[[#This Row],[OrderID]])=1,1,0)</f>
        <v>0</v>
      </c>
      <c r="N2818" s="4">
        <f>IFERROR(RawWorking[[#This Row],[LineAmount]]/RawWorking[[#This Row],[Quantity]],"")</f>
        <v>199.81</v>
      </c>
    </row>
    <row r="2819" spans="1:14">
      <c r="A2819">
        <v>52818</v>
      </c>
      <c r="B2819">
        <v>31614</v>
      </c>
      <c r="C2819" s="2">
        <v>45782</v>
      </c>
      <c r="D2819">
        <v>2488</v>
      </c>
      <c r="E2819">
        <v>1001</v>
      </c>
      <c r="F2819">
        <v>2</v>
      </c>
      <c r="G2819">
        <v>406.08</v>
      </c>
      <c r="H2819" s="2">
        <v>45783</v>
      </c>
      <c r="I2819" s="2">
        <v>45793</v>
      </c>
      <c r="J2819" t="s">
        <v>9</v>
      </c>
      <c r="K2819" s="2" t="str">
        <f>IFERROR(INDEX(Product_lookup[Category],MATCH(RawWorking[[#This Row],[ProductID]],Product_lookup[ProductID],0)),"")</f>
        <v>Electronics</v>
      </c>
      <c r="L2819" s="9">
        <f>IF(OR(RawWorking[[#This Row],[ShipDate]]="",RawWorking[[#This Row],[DeliveryDate]]=""),"",RawWorking[[#This Row],[DeliveryDate]]-RawWorking[[#This Row],[ShipDate]])</f>
        <v>10</v>
      </c>
      <c r="M2819" s="9">
        <f>IF(COUNTIF(INDEX(RawWorking[OrderID],1):RawWorking[[#This Row],[OrderID]],RawWorking[[#This Row],[OrderID]])=1,1,0)</f>
        <v>1</v>
      </c>
      <c r="N2819" s="4">
        <f>IFERROR(RawWorking[[#This Row],[LineAmount]]/RawWorking[[#This Row],[Quantity]],"")</f>
        <v>203.04</v>
      </c>
    </row>
    <row r="2820" spans="1:14">
      <c r="A2820">
        <v>52819</v>
      </c>
      <c r="B2820">
        <v>31614</v>
      </c>
      <c r="C2820" s="2">
        <v>45782</v>
      </c>
      <c r="D2820">
        <v>2488</v>
      </c>
      <c r="E2820">
        <v>1004</v>
      </c>
      <c r="F2820">
        <v>1</v>
      </c>
      <c r="G2820">
        <v>183.74</v>
      </c>
      <c r="H2820" s="2">
        <v>45785</v>
      </c>
      <c r="I2820" s="2">
        <v>45789</v>
      </c>
      <c r="J2820" t="s">
        <v>9</v>
      </c>
      <c r="K2820" s="2" t="str">
        <f>IFERROR(INDEX(Product_lookup[Category],MATCH(RawWorking[[#This Row],[ProductID]],Product_lookup[ProductID],0)),"")</f>
        <v>Electronics</v>
      </c>
      <c r="L2820" s="9">
        <f>IF(OR(RawWorking[[#This Row],[ShipDate]]="",RawWorking[[#This Row],[DeliveryDate]]=""),"",RawWorking[[#This Row],[DeliveryDate]]-RawWorking[[#This Row],[ShipDate]])</f>
        <v>4</v>
      </c>
      <c r="M2820" s="9">
        <f>IF(COUNTIF(INDEX(RawWorking[OrderID],1):RawWorking[[#This Row],[OrderID]],RawWorking[[#This Row],[OrderID]])=1,1,0)</f>
        <v>0</v>
      </c>
      <c r="N2820" s="4">
        <f>IFERROR(RawWorking[[#This Row],[LineAmount]]/RawWorking[[#This Row],[Quantity]],"")</f>
        <v>183.74</v>
      </c>
    </row>
    <row r="2821" spans="1:14">
      <c r="A2821">
        <v>52820</v>
      </c>
      <c r="B2821">
        <v>31615</v>
      </c>
      <c r="C2821" s="2">
        <v>45928</v>
      </c>
      <c r="D2821">
        <v>2545</v>
      </c>
      <c r="E2821">
        <v>1001</v>
      </c>
      <c r="F2821">
        <v>1</v>
      </c>
      <c r="G2821">
        <v>203.04</v>
      </c>
      <c r="H2821" s="2">
        <v>45931</v>
      </c>
      <c r="I2821" s="2">
        <v>45936</v>
      </c>
      <c r="J2821" t="s">
        <v>9</v>
      </c>
      <c r="K2821" s="2" t="str">
        <f>IFERROR(INDEX(Product_lookup[Category],MATCH(RawWorking[[#This Row],[ProductID]],Product_lookup[ProductID],0)),"")</f>
        <v>Electronics</v>
      </c>
      <c r="L2821" s="9">
        <f>IF(OR(RawWorking[[#This Row],[ShipDate]]="",RawWorking[[#This Row],[DeliveryDate]]=""),"",RawWorking[[#This Row],[DeliveryDate]]-RawWorking[[#This Row],[ShipDate]])</f>
        <v>5</v>
      </c>
      <c r="M2821" s="9">
        <f>IF(COUNTIF(INDEX(RawWorking[OrderID],1):RawWorking[[#This Row],[OrderID]],RawWorking[[#This Row],[OrderID]])=1,1,0)</f>
        <v>1</v>
      </c>
      <c r="N2821" s="4">
        <f>IFERROR(RawWorking[[#This Row],[LineAmount]]/RawWorking[[#This Row],[Quantity]],"")</f>
        <v>203.04</v>
      </c>
    </row>
    <row r="2822" spans="1:14">
      <c r="A2822">
        <v>52821</v>
      </c>
      <c r="B2822">
        <v>31616</v>
      </c>
      <c r="C2822" s="2">
        <v>45782</v>
      </c>
      <c r="D2822">
        <v>2282</v>
      </c>
      <c r="E2822">
        <v>1008</v>
      </c>
      <c r="F2822">
        <v>3</v>
      </c>
      <c r="G2822">
        <v>618.27</v>
      </c>
      <c r="H2822" s="2" t="s">
        <v>1421</v>
      </c>
      <c r="I2822" s="2" t="s">
        <v>1421</v>
      </c>
      <c r="J2822" t="s">
        <v>16</v>
      </c>
      <c r="K2822" s="2" t="str">
        <f>IFERROR(INDEX(Product_lookup[Category],MATCH(RawWorking[[#This Row],[ProductID]],Product_lookup[ProductID],0)),"")</f>
        <v>Home</v>
      </c>
      <c r="L2822" s="9" t="str">
        <f>IF(OR(RawWorking[[#This Row],[ShipDate]]="",RawWorking[[#This Row],[DeliveryDate]]=""),"",RawWorking[[#This Row],[DeliveryDate]]-RawWorking[[#This Row],[ShipDate]])</f>
        <v/>
      </c>
      <c r="M2822" s="9">
        <f>IF(COUNTIF(INDEX(RawWorking[OrderID],1):RawWorking[[#This Row],[OrderID]],RawWorking[[#This Row],[OrderID]])=1,1,0)</f>
        <v>1</v>
      </c>
      <c r="N2822" s="4">
        <f>IFERROR(RawWorking[[#This Row],[LineAmount]]/RawWorking[[#This Row],[Quantity]],"")</f>
        <v>206.09</v>
      </c>
    </row>
    <row r="2823" spans="1:14">
      <c r="A2823">
        <v>52822</v>
      </c>
      <c r="B2823">
        <v>31616</v>
      </c>
      <c r="C2823" s="2">
        <v>45782</v>
      </c>
      <c r="D2823">
        <v>2282</v>
      </c>
      <c r="E2823">
        <v>1015</v>
      </c>
      <c r="F2823">
        <v>1</v>
      </c>
      <c r="G2823">
        <v>119.74</v>
      </c>
      <c r="H2823" s="2">
        <v>45783</v>
      </c>
      <c r="I2823" s="2" t="s">
        <v>1421</v>
      </c>
      <c r="J2823" t="s">
        <v>16</v>
      </c>
      <c r="K2823" s="2" t="str">
        <f>IFERROR(INDEX(Product_lookup[Category],MATCH(RawWorking[[#This Row],[ProductID]],Product_lookup[ProductID],0)),"")</f>
        <v>Sports</v>
      </c>
      <c r="L2823" s="9" t="str">
        <f>IF(OR(RawWorking[[#This Row],[ShipDate]]="",RawWorking[[#This Row],[DeliveryDate]]=""),"",RawWorking[[#This Row],[DeliveryDate]]-RawWorking[[#This Row],[ShipDate]])</f>
        <v/>
      </c>
      <c r="M2823" s="9">
        <f>IF(COUNTIF(INDEX(RawWorking[OrderID],1):RawWorking[[#This Row],[OrderID]],RawWorking[[#This Row],[OrderID]])=1,1,0)</f>
        <v>0</v>
      </c>
      <c r="N2823" s="4">
        <f>IFERROR(RawWorking[[#This Row],[LineAmount]]/RawWorking[[#This Row],[Quantity]],"")</f>
        <v>119.74</v>
      </c>
    </row>
    <row r="2824" spans="1:14">
      <c r="A2824">
        <v>52823</v>
      </c>
      <c r="B2824">
        <v>31616</v>
      </c>
      <c r="C2824" s="2">
        <v>45782</v>
      </c>
      <c r="D2824">
        <v>2282</v>
      </c>
      <c r="E2824">
        <v>1011</v>
      </c>
      <c r="F2824">
        <v>3</v>
      </c>
      <c r="G2824">
        <v>304.32</v>
      </c>
      <c r="H2824" s="2" t="s">
        <v>1421</v>
      </c>
      <c r="I2824" s="2" t="s">
        <v>1421</v>
      </c>
      <c r="J2824" t="s">
        <v>16</v>
      </c>
      <c r="K2824" s="2" t="str">
        <f>IFERROR(INDEX(Product_lookup[Category],MATCH(RawWorking[[#This Row],[ProductID]],Product_lookup[ProductID],0)),"")</f>
        <v>Office</v>
      </c>
      <c r="L2824" s="9" t="str">
        <f>IF(OR(RawWorking[[#This Row],[ShipDate]]="",RawWorking[[#This Row],[DeliveryDate]]=""),"",RawWorking[[#This Row],[DeliveryDate]]-RawWorking[[#This Row],[ShipDate]])</f>
        <v/>
      </c>
      <c r="M2824" s="9">
        <f>IF(COUNTIF(INDEX(RawWorking[OrderID],1):RawWorking[[#This Row],[OrderID]],RawWorking[[#This Row],[OrderID]])=1,1,0)</f>
        <v>0</v>
      </c>
      <c r="N2824" s="4">
        <f>IFERROR(RawWorking[[#This Row],[LineAmount]]/RawWorking[[#This Row],[Quantity]],"")</f>
        <v>101.44</v>
      </c>
    </row>
    <row r="2825" spans="1:14">
      <c r="A2825">
        <v>52824</v>
      </c>
      <c r="B2825">
        <v>31617</v>
      </c>
      <c r="C2825" s="2">
        <v>45838</v>
      </c>
      <c r="D2825">
        <v>2047</v>
      </c>
      <c r="E2825">
        <v>1001</v>
      </c>
      <c r="F2825">
        <v>3</v>
      </c>
      <c r="G2825">
        <v>609.12</v>
      </c>
      <c r="H2825" s="2">
        <v>45840</v>
      </c>
      <c r="I2825" s="2">
        <v>45847</v>
      </c>
      <c r="J2825" t="s">
        <v>9</v>
      </c>
      <c r="K2825" s="2" t="str">
        <f>IFERROR(INDEX(Product_lookup[Category],MATCH(RawWorking[[#This Row],[ProductID]],Product_lookup[ProductID],0)),"")</f>
        <v>Electronics</v>
      </c>
      <c r="L2825" s="9">
        <f>IF(OR(RawWorking[[#This Row],[ShipDate]]="",RawWorking[[#This Row],[DeliveryDate]]=""),"",RawWorking[[#This Row],[DeliveryDate]]-RawWorking[[#This Row],[ShipDate]])</f>
        <v>7</v>
      </c>
      <c r="M2825" s="9">
        <f>IF(COUNTIF(INDEX(RawWorking[OrderID],1):RawWorking[[#This Row],[OrderID]],RawWorking[[#This Row],[OrderID]])=1,1,0)</f>
        <v>1</v>
      </c>
      <c r="N2825" s="4">
        <f>IFERROR(RawWorking[[#This Row],[LineAmount]]/RawWorking[[#This Row],[Quantity]],"")</f>
        <v>203.04</v>
      </c>
    </row>
    <row r="2826" spans="1:14">
      <c r="A2826">
        <v>52825</v>
      </c>
      <c r="B2826">
        <v>31617</v>
      </c>
      <c r="C2826" s="2">
        <v>45838</v>
      </c>
      <c r="D2826">
        <v>2047</v>
      </c>
      <c r="E2826">
        <v>1011</v>
      </c>
      <c r="F2826">
        <v>1</v>
      </c>
      <c r="G2826">
        <v>101.44</v>
      </c>
      <c r="H2826" s="2">
        <v>45840</v>
      </c>
      <c r="I2826" s="2">
        <v>45848</v>
      </c>
      <c r="J2826" t="s">
        <v>9</v>
      </c>
      <c r="K2826" s="2" t="str">
        <f>IFERROR(INDEX(Product_lookup[Category],MATCH(RawWorking[[#This Row],[ProductID]],Product_lookup[ProductID],0)),"")</f>
        <v>Office</v>
      </c>
      <c r="L2826" s="9">
        <f>IF(OR(RawWorking[[#This Row],[ShipDate]]="",RawWorking[[#This Row],[DeliveryDate]]=""),"",RawWorking[[#This Row],[DeliveryDate]]-RawWorking[[#This Row],[ShipDate]])</f>
        <v>8</v>
      </c>
      <c r="M2826" s="9">
        <f>IF(COUNTIF(INDEX(RawWorking[OrderID],1):RawWorking[[#This Row],[OrderID]],RawWorking[[#This Row],[OrderID]])=1,1,0)</f>
        <v>0</v>
      </c>
      <c r="N2826" s="4">
        <f>IFERROR(RawWorking[[#This Row],[LineAmount]]/RawWorking[[#This Row],[Quantity]],"")</f>
        <v>101.44</v>
      </c>
    </row>
    <row r="2827" spans="1:14">
      <c r="A2827">
        <v>52826</v>
      </c>
      <c r="B2827">
        <v>31618</v>
      </c>
      <c r="C2827" s="2">
        <v>45658</v>
      </c>
      <c r="D2827">
        <v>2448</v>
      </c>
      <c r="E2827">
        <v>1001</v>
      </c>
      <c r="F2827">
        <v>4</v>
      </c>
      <c r="G2827">
        <v>812.16</v>
      </c>
      <c r="H2827" s="2">
        <v>45660</v>
      </c>
      <c r="I2827" s="2">
        <v>45666</v>
      </c>
      <c r="J2827" t="s">
        <v>9</v>
      </c>
      <c r="K2827" s="2" t="str">
        <f>IFERROR(INDEX(Product_lookup[Category],MATCH(RawWorking[[#This Row],[ProductID]],Product_lookup[ProductID],0)),"")</f>
        <v>Electronics</v>
      </c>
      <c r="L2827" s="9">
        <f>IF(OR(RawWorking[[#This Row],[ShipDate]]="",RawWorking[[#This Row],[DeliveryDate]]=""),"",RawWorking[[#This Row],[DeliveryDate]]-RawWorking[[#This Row],[ShipDate]])</f>
        <v>6</v>
      </c>
      <c r="M2827" s="9">
        <f>IF(COUNTIF(INDEX(RawWorking[OrderID],1):RawWorking[[#This Row],[OrderID]],RawWorking[[#This Row],[OrderID]])=1,1,0)</f>
        <v>1</v>
      </c>
      <c r="N2827" s="4">
        <f>IFERROR(RawWorking[[#This Row],[LineAmount]]/RawWorking[[#This Row],[Quantity]],"")</f>
        <v>203.04</v>
      </c>
    </row>
    <row r="2828" spans="1:14">
      <c r="A2828">
        <v>52827</v>
      </c>
      <c r="B2828">
        <v>31619</v>
      </c>
      <c r="C2828" s="2">
        <v>45835</v>
      </c>
      <c r="D2828">
        <v>2541</v>
      </c>
      <c r="E2828">
        <v>1009</v>
      </c>
      <c r="F2828">
        <v>3</v>
      </c>
      <c r="G2828">
        <v>120.84</v>
      </c>
      <c r="H2828" s="2">
        <v>45837</v>
      </c>
      <c r="I2828" s="2">
        <v>45838</v>
      </c>
      <c r="J2828" t="s">
        <v>9</v>
      </c>
      <c r="K2828" s="2" t="str">
        <f>IFERROR(INDEX(Product_lookup[Category],MATCH(RawWorking[[#This Row],[ProductID]],Product_lookup[ProductID],0)),"")</f>
        <v>Home</v>
      </c>
      <c r="L2828" s="9">
        <f>IF(OR(RawWorking[[#This Row],[ShipDate]]="",RawWorking[[#This Row],[DeliveryDate]]=""),"",RawWorking[[#This Row],[DeliveryDate]]-RawWorking[[#This Row],[ShipDate]])</f>
        <v>1</v>
      </c>
      <c r="M2828" s="9">
        <f>IF(COUNTIF(INDEX(RawWorking[OrderID],1):RawWorking[[#This Row],[OrderID]],RawWorking[[#This Row],[OrderID]])=1,1,0)</f>
        <v>1</v>
      </c>
      <c r="N2828" s="4">
        <f>IFERROR(RawWorking[[#This Row],[LineAmount]]/RawWorking[[#This Row],[Quantity]],"")</f>
        <v>40.28</v>
      </c>
    </row>
    <row r="2829" spans="1:14">
      <c r="A2829">
        <v>52828</v>
      </c>
      <c r="B2829">
        <v>31620</v>
      </c>
      <c r="C2829" s="2">
        <v>45777</v>
      </c>
      <c r="D2829">
        <v>2094</v>
      </c>
      <c r="E2829">
        <v>1004</v>
      </c>
      <c r="F2829">
        <v>2</v>
      </c>
      <c r="G2829">
        <v>367.48</v>
      </c>
      <c r="H2829" s="2">
        <v>45778</v>
      </c>
      <c r="I2829" s="2">
        <v>45781</v>
      </c>
      <c r="J2829" t="s">
        <v>9</v>
      </c>
      <c r="K2829" s="2" t="str">
        <f>IFERROR(INDEX(Product_lookup[Category],MATCH(RawWorking[[#This Row],[ProductID]],Product_lookup[ProductID],0)),"")</f>
        <v>Electronics</v>
      </c>
      <c r="L2829" s="9">
        <f>IF(OR(RawWorking[[#This Row],[ShipDate]]="",RawWorking[[#This Row],[DeliveryDate]]=""),"",RawWorking[[#This Row],[DeliveryDate]]-RawWorking[[#This Row],[ShipDate]])</f>
        <v>3</v>
      </c>
      <c r="M2829" s="9">
        <f>IF(COUNTIF(INDEX(RawWorking[OrderID],1):RawWorking[[#This Row],[OrderID]],RawWorking[[#This Row],[OrderID]])=1,1,0)</f>
        <v>1</v>
      </c>
      <c r="N2829" s="4">
        <f>IFERROR(RawWorking[[#This Row],[LineAmount]]/RawWorking[[#This Row],[Quantity]],"")</f>
        <v>183.74</v>
      </c>
    </row>
    <row r="2830" spans="1:14">
      <c r="A2830">
        <v>52829</v>
      </c>
      <c r="B2830">
        <v>31620</v>
      </c>
      <c r="C2830" s="2">
        <v>45777</v>
      </c>
      <c r="D2830">
        <v>2094</v>
      </c>
      <c r="E2830">
        <v>1006</v>
      </c>
      <c r="F2830">
        <v>1</v>
      </c>
      <c r="G2830">
        <v>253.86</v>
      </c>
      <c r="H2830" s="2">
        <v>45779</v>
      </c>
      <c r="I2830" s="2">
        <v>45783</v>
      </c>
      <c r="J2830" t="s">
        <v>9</v>
      </c>
      <c r="K2830" s="2" t="str">
        <f>IFERROR(INDEX(Product_lookup[Category],MATCH(RawWorking[[#This Row],[ProductID]],Product_lookup[ProductID],0)),"")</f>
        <v>Home</v>
      </c>
      <c r="L2830" s="9">
        <f>IF(OR(RawWorking[[#This Row],[ShipDate]]="",RawWorking[[#This Row],[DeliveryDate]]=""),"",RawWorking[[#This Row],[DeliveryDate]]-RawWorking[[#This Row],[ShipDate]])</f>
        <v>4</v>
      </c>
      <c r="M2830" s="9">
        <f>IF(COUNTIF(INDEX(RawWorking[OrderID],1):RawWorking[[#This Row],[OrderID]],RawWorking[[#This Row],[OrderID]])=1,1,0)</f>
        <v>0</v>
      </c>
      <c r="N2830" s="4">
        <f>IFERROR(RawWorking[[#This Row],[LineAmount]]/RawWorking[[#This Row],[Quantity]],"")</f>
        <v>253.86</v>
      </c>
    </row>
    <row r="2831" spans="1:14">
      <c r="A2831">
        <v>52830</v>
      </c>
      <c r="B2831">
        <v>31621</v>
      </c>
      <c r="C2831" s="2">
        <v>46015</v>
      </c>
      <c r="D2831">
        <v>2293</v>
      </c>
      <c r="E2831">
        <v>1009</v>
      </c>
      <c r="F2831">
        <v>3</v>
      </c>
      <c r="G2831">
        <v>120.84</v>
      </c>
      <c r="H2831" s="2">
        <v>46016</v>
      </c>
      <c r="I2831" s="2">
        <v>46025</v>
      </c>
      <c r="J2831" t="s">
        <v>9</v>
      </c>
      <c r="K2831" s="2" t="str">
        <f>IFERROR(INDEX(Product_lookup[Category],MATCH(RawWorking[[#This Row],[ProductID]],Product_lookup[ProductID],0)),"")</f>
        <v>Home</v>
      </c>
      <c r="L2831" s="9">
        <f>IF(OR(RawWorking[[#This Row],[ShipDate]]="",RawWorking[[#This Row],[DeliveryDate]]=""),"",RawWorking[[#This Row],[DeliveryDate]]-RawWorking[[#This Row],[ShipDate]])</f>
        <v>9</v>
      </c>
      <c r="M2831" s="9">
        <f>IF(COUNTIF(INDEX(RawWorking[OrderID],1):RawWorking[[#This Row],[OrderID]],RawWorking[[#This Row],[OrderID]])=1,1,0)</f>
        <v>1</v>
      </c>
      <c r="N2831" s="4">
        <f>IFERROR(RawWorking[[#This Row],[LineAmount]]/RawWorking[[#This Row],[Quantity]],"")</f>
        <v>40.28</v>
      </c>
    </row>
    <row r="2832" spans="1:14">
      <c r="A2832">
        <v>52831</v>
      </c>
      <c r="B2832">
        <v>31621</v>
      </c>
      <c r="C2832" s="2">
        <v>46015</v>
      </c>
      <c r="D2832">
        <v>2293</v>
      </c>
      <c r="E2832">
        <v>1003</v>
      </c>
      <c r="F2832">
        <v>1</v>
      </c>
      <c r="G2832">
        <v>224.37</v>
      </c>
      <c r="H2832" s="2">
        <v>46016</v>
      </c>
      <c r="I2832" s="2">
        <v>46026</v>
      </c>
      <c r="J2832" t="s">
        <v>9</v>
      </c>
      <c r="K2832" s="2" t="str">
        <f>IFERROR(INDEX(Product_lookup[Category],MATCH(RawWorking[[#This Row],[ProductID]],Product_lookup[ProductID],0)),"")</f>
        <v>Electronics</v>
      </c>
      <c r="L2832" s="9">
        <f>IF(OR(RawWorking[[#This Row],[ShipDate]]="",RawWorking[[#This Row],[DeliveryDate]]=""),"",RawWorking[[#This Row],[DeliveryDate]]-RawWorking[[#This Row],[ShipDate]])</f>
        <v>10</v>
      </c>
      <c r="M2832" s="9">
        <f>IF(COUNTIF(INDEX(RawWorking[OrderID],1):RawWorking[[#This Row],[OrderID]],RawWorking[[#This Row],[OrderID]])=1,1,0)</f>
        <v>0</v>
      </c>
      <c r="N2832" s="4">
        <f>IFERROR(RawWorking[[#This Row],[LineAmount]]/RawWorking[[#This Row],[Quantity]],"")</f>
        <v>224.37</v>
      </c>
    </row>
    <row r="2833" spans="1:14">
      <c r="A2833">
        <v>52832</v>
      </c>
      <c r="B2833">
        <v>31622</v>
      </c>
      <c r="C2833" s="2">
        <v>45672</v>
      </c>
      <c r="D2833">
        <v>2158</v>
      </c>
      <c r="E2833">
        <v>1014</v>
      </c>
      <c r="F2833">
        <v>2</v>
      </c>
      <c r="G2833">
        <v>430.68</v>
      </c>
      <c r="H2833" s="2">
        <v>45673</v>
      </c>
      <c r="I2833" s="2">
        <v>45681</v>
      </c>
      <c r="J2833" t="s">
        <v>9</v>
      </c>
      <c r="K2833" s="2" t="str">
        <f>IFERROR(INDEX(Product_lookup[Category],MATCH(RawWorking[[#This Row],[ProductID]],Product_lookup[ProductID],0)),"")</f>
        <v>Sports</v>
      </c>
      <c r="L2833" s="9">
        <f>IF(OR(RawWorking[[#This Row],[ShipDate]]="",RawWorking[[#This Row],[DeliveryDate]]=""),"",RawWorking[[#This Row],[DeliveryDate]]-RawWorking[[#This Row],[ShipDate]])</f>
        <v>8</v>
      </c>
      <c r="M2833" s="9">
        <f>IF(COUNTIF(INDEX(RawWorking[OrderID],1):RawWorking[[#This Row],[OrderID]],RawWorking[[#This Row],[OrderID]])=1,1,0)</f>
        <v>1</v>
      </c>
      <c r="N2833" s="4">
        <f>IFERROR(RawWorking[[#This Row],[LineAmount]]/RawWorking[[#This Row],[Quantity]],"")</f>
        <v>215.34</v>
      </c>
    </row>
    <row r="2834" spans="1:14">
      <c r="A2834">
        <v>52833</v>
      </c>
      <c r="B2834">
        <v>31623</v>
      </c>
      <c r="C2834" s="2">
        <v>46020</v>
      </c>
      <c r="D2834">
        <v>2174</v>
      </c>
      <c r="E2834">
        <v>1011</v>
      </c>
      <c r="F2834">
        <v>1</v>
      </c>
      <c r="G2834">
        <v>101.44</v>
      </c>
      <c r="H2834" s="2">
        <v>46023</v>
      </c>
      <c r="I2834" s="2">
        <v>46031</v>
      </c>
      <c r="J2834" t="s">
        <v>9</v>
      </c>
      <c r="K2834" s="2" t="str">
        <f>IFERROR(INDEX(Product_lookup[Category],MATCH(RawWorking[[#This Row],[ProductID]],Product_lookup[ProductID],0)),"")</f>
        <v>Office</v>
      </c>
      <c r="L2834" s="9">
        <f>IF(OR(RawWorking[[#This Row],[ShipDate]]="",RawWorking[[#This Row],[DeliveryDate]]=""),"",RawWorking[[#This Row],[DeliveryDate]]-RawWorking[[#This Row],[ShipDate]])</f>
        <v>8</v>
      </c>
      <c r="M2834" s="9">
        <f>IF(COUNTIF(INDEX(RawWorking[OrderID],1):RawWorking[[#This Row],[OrderID]],RawWorking[[#This Row],[OrderID]])=1,1,0)</f>
        <v>1</v>
      </c>
      <c r="N2834" s="4">
        <f>IFERROR(RawWorking[[#This Row],[LineAmount]]/RawWorking[[#This Row],[Quantity]],"")</f>
        <v>101.44</v>
      </c>
    </row>
    <row r="2835" spans="1:14">
      <c r="A2835">
        <v>52834</v>
      </c>
      <c r="B2835">
        <v>31624</v>
      </c>
      <c r="C2835" s="2">
        <v>45812</v>
      </c>
      <c r="D2835">
        <v>2186</v>
      </c>
      <c r="E2835">
        <v>1002</v>
      </c>
      <c r="F2835">
        <v>2</v>
      </c>
      <c r="G2835">
        <v>237.2</v>
      </c>
      <c r="H2835" s="2">
        <v>45815</v>
      </c>
      <c r="I2835" s="2">
        <v>45825</v>
      </c>
      <c r="J2835" t="s">
        <v>9</v>
      </c>
      <c r="K2835" s="2" t="str">
        <f>IFERROR(INDEX(Product_lookup[Category],MATCH(RawWorking[[#This Row],[ProductID]],Product_lookup[ProductID],0)),"")</f>
        <v>Electronics</v>
      </c>
      <c r="L2835" s="9">
        <f>IF(OR(RawWorking[[#This Row],[ShipDate]]="",RawWorking[[#This Row],[DeliveryDate]]=""),"",RawWorking[[#This Row],[DeliveryDate]]-RawWorking[[#This Row],[ShipDate]])</f>
        <v>10</v>
      </c>
      <c r="M2835" s="9">
        <f>IF(COUNTIF(INDEX(RawWorking[OrderID],1):RawWorking[[#This Row],[OrderID]],RawWorking[[#This Row],[OrderID]])=1,1,0)</f>
        <v>1</v>
      </c>
      <c r="N2835" s="4">
        <f>IFERROR(RawWorking[[#This Row],[LineAmount]]/RawWorking[[#This Row],[Quantity]],"")</f>
        <v>118.6</v>
      </c>
    </row>
    <row r="2836" spans="1:14">
      <c r="A2836">
        <v>52835</v>
      </c>
      <c r="B2836">
        <v>31624</v>
      </c>
      <c r="C2836" s="2">
        <v>45753</v>
      </c>
      <c r="D2836">
        <v>2186</v>
      </c>
      <c r="E2836">
        <v>1010</v>
      </c>
      <c r="F2836">
        <v>1</v>
      </c>
      <c r="G2836">
        <v>121.5</v>
      </c>
      <c r="H2836" s="2">
        <v>45814</v>
      </c>
      <c r="I2836" s="2">
        <v>45819</v>
      </c>
      <c r="J2836" t="s">
        <v>9</v>
      </c>
      <c r="K2836" s="2" t="str">
        <f>IFERROR(INDEX(Product_lookup[Category],MATCH(RawWorking[[#This Row],[ProductID]],Product_lookup[ProductID],0)),"")</f>
        <v>Office</v>
      </c>
      <c r="L2836" s="9">
        <f>IF(OR(RawWorking[[#This Row],[ShipDate]]="",RawWorking[[#This Row],[DeliveryDate]]=""),"",RawWorking[[#This Row],[DeliveryDate]]-RawWorking[[#This Row],[ShipDate]])</f>
        <v>5</v>
      </c>
      <c r="M2836" s="9">
        <f>IF(COUNTIF(INDEX(RawWorking[OrderID],1):RawWorking[[#This Row],[OrderID]],RawWorking[[#This Row],[OrderID]])=1,1,0)</f>
        <v>0</v>
      </c>
      <c r="N2836" s="4">
        <f>IFERROR(RawWorking[[#This Row],[LineAmount]]/RawWorking[[#This Row],[Quantity]],"")</f>
        <v>121.5</v>
      </c>
    </row>
    <row r="2837" spans="1:14">
      <c r="A2837">
        <v>52836</v>
      </c>
      <c r="B2837">
        <v>31624</v>
      </c>
      <c r="C2837" s="2">
        <v>45812</v>
      </c>
      <c r="D2837">
        <v>2186</v>
      </c>
      <c r="E2837">
        <v>1013</v>
      </c>
      <c r="F2837">
        <v>2</v>
      </c>
      <c r="G2837">
        <v>340.5</v>
      </c>
      <c r="H2837" s="2">
        <v>45814</v>
      </c>
      <c r="I2837" s="2">
        <v>45818</v>
      </c>
      <c r="J2837" t="s">
        <v>9</v>
      </c>
      <c r="K2837" s="2" t="str">
        <f>IFERROR(INDEX(Product_lookup[Category],MATCH(RawWorking[[#This Row],[ProductID]],Product_lookup[ProductID],0)),"")</f>
        <v>Office</v>
      </c>
      <c r="L2837" s="9">
        <f>IF(OR(RawWorking[[#This Row],[ShipDate]]="",RawWorking[[#This Row],[DeliveryDate]]=""),"",RawWorking[[#This Row],[DeliveryDate]]-RawWorking[[#This Row],[ShipDate]])</f>
        <v>4</v>
      </c>
      <c r="M2837" s="9">
        <f>IF(COUNTIF(INDEX(RawWorking[OrderID],1):RawWorking[[#This Row],[OrderID]],RawWorking[[#This Row],[OrderID]])=1,1,0)</f>
        <v>0</v>
      </c>
      <c r="N2837" s="4">
        <f>IFERROR(RawWorking[[#This Row],[LineAmount]]/RawWorking[[#This Row],[Quantity]],"")</f>
        <v>170.25</v>
      </c>
    </row>
    <row r="2838" spans="1:14">
      <c r="A2838">
        <v>52837</v>
      </c>
      <c r="B2838">
        <v>31624</v>
      </c>
      <c r="C2838" s="2">
        <v>45812</v>
      </c>
      <c r="D2838">
        <v>2186</v>
      </c>
      <c r="E2838">
        <v>1004</v>
      </c>
      <c r="F2838">
        <v>2</v>
      </c>
      <c r="G2838">
        <v>367.48</v>
      </c>
      <c r="H2838" s="2">
        <v>45814</v>
      </c>
      <c r="I2838" s="2">
        <v>45997</v>
      </c>
      <c r="J2838" t="s">
        <v>9</v>
      </c>
      <c r="K2838" s="2" t="str">
        <f>IFERROR(INDEX(Product_lookup[Category],MATCH(RawWorking[[#This Row],[ProductID]],Product_lookup[ProductID],0)),"")</f>
        <v>Electronics</v>
      </c>
      <c r="L2838" s="9">
        <f>IF(OR(RawWorking[[#This Row],[ShipDate]]="",RawWorking[[#This Row],[DeliveryDate]]=""),"",RawWorking[[#This Row],[DeliveryDate]]-RawWorking[[#This Row],[ShipDate]])</f>
        <v>183</v>
      </c>
      <c r="M2838" s="9">
        <f>IF(COUNTIF(INDEX(RawWorking[OrderID],1):RawWorking[[#This Row],[OrderID]],RawWorking[[#This Row],[OrderID]])=1,1,0)</f>
        <v>0</v>
      </c>
      <c r="N2838" s="4">
        <f>IFERROR(RawWorking[[#This Row],[LineAmount]]/RawWorking[[#This Row],[Quantity]],"")</f>
        <v>183.74</v>
      </c>
    </row>
    <row r="2839" spans="1:14">
      <c r="A2839">
        <v>52838</v>
      </c>
      <c r="B2839">
        <v>31625</v>
      </c>
      <c r="C2839" s="2">
        <v>45852</v>
      </c>
      <c r="D2839">
        <v>2328</v>
      </c>
      <c r="E2839">
        <v>1011</v>
      </c>
      <c r="F2839">
        <v>4</v>
      </c>
      <c r="G2839">
        <v>405.76</v>
      </c>
      <c r="H2839" s="2">
        <v>45855</v>
      </c>
      <c r="I2839" s="2">
        <v>45862</v>
      </c>
      <c r="J2839" t="s">
        <v>9</v>
      </c>
      <c r="K2839" s="2" t="str">
        <f>IFERROR(INDEX(Product_lookup[Category],MATCH(RawWorking[[#This Row],[ProductID]],Product_lookup[ProductID],0)),"")</f>
        <v>Office</v>
      </c>
      <c r="L2839" s="9">
        <f>IF(OR(RawWorking[[#This Row],[ShipDate]]="",RawWorking[[#This Row],[DeliveryDate]]=""),"",RawWorking[[#This Row],[DeliveryDate]]-RawWorking[[#This Row],[ShipDate]])</f>
        <v>7</v>
      </c>
      <c r="M2839" s="9">
        <f>IF(COUNTIF(INDEX(RawWorking[OrderID],1):RawWorking[[#This Row],[OrderID]],RawWorking[[#This Row],[OrderID]])=1,1,0)</f>
        <v>1</v>
      </c>
      <c r="N2839" s="4">
        <f>IFERROR(RawWorking[[#This Row],[LineAmount]]/RawWorking[[#This Row],[Quantity]],"")</f>
        <v>101.44</v>
      </c>
    </row>
    <row r="2840" spans="1:14">
      <c r="A2840">
        <v>52839</v>
      </c>
      <c r="B2840">
        <v>31626</v>
      </c>
      <c r="C2840" s="2">
        <v>45804</v>
      </c>
      <c r="D2840">
        <v>2265</v>
      </c>
      <c r="E2840">
        <v>1004</v>
      </c>
      <c r="F2840">
        <v>1</v>
      </c>
      <c r="G2840">
        <v>183.74</v>
      </c>
      <c r="H2840" s="2">
        <v>45805</v>
      </c>
      <c r="I2840" s="2">
        <v>45808</v>
      </c>
      <c r="J2840" t="s">
        <v>9</v>
      </c>
      <c r="K2840" s="2" t="str">
        <f>IFERROR(INDEX(Product_lookup[Category],MATCH(RawWorking[[#This Row],[ProductID]],Product_lookup[ProductID],0)),"")</f>
        <v>Electronics</v>
      </c>
      <c r="L2840" s="9">
        <f>IF(OR(RawWorking[[#This Row],[ShipDate]]="",RawWorking[[#This Row],[DeliveryDate]]=""),"",RawWorking[[#This Row],[DeliveryDate]]-RawWorking[[#This Row],[ShipDate]])</f>
        <v>3</v>
      </c>
      <c r="M2840" s="9">
        <f>IF(COUNTIF(INDEX(RawWorking[OrderID],1):RawWorking[[#This Row],[OrderID]],RawWorking[[#This Row],[OrderID]])=1,1,0)</f>
        <v>1</v>
      </c>
      <c r="N2840" s="4">
        <f>IFERROR(RawWorking[[#This Row],[LineAmount]]/RawWorking[[#This Row],[Quantity]],"")</f>
        <v>183.74</v>
      </c>
    </row>
    <row r="2841" spans="1:14">
      <c r="A2841">
        <v>52840</v>
      </c>
      <c r="B2841">
        <v>31627</v>
      </c>
      <c r="C2841" s="2">
        <v>45862</v>
      </c>
      <c r="D2841">
        <v>2054</v>
      </c>
      <c r="E2841">
        <v>1008</v>
      </c>
      <c r="F2841">
        <v>4</v>
      </c>
      <c r="G2841">
        <v>824.36</v>
      </c>
      <c r="H2841" s="2">
        <v>45865</v>
      </c>
      <c r="I2841" s="2">
        <v>45869</v>
      </c>
      <c r="J2841" t="s">
        <v>9</v>
      </c>
      <c r="K2841" s="2" t="str">
        <f>IFERROR(INDEX(Product_lookup[Category],MATCH(RawWorking[[#This Row],[ProductID]],Product_lookup[ProductID],0)),"")</f>
        <v>Home</v>
      </c>
      <c r="L2841" s="9">
        <f>IF(OR(RawWorking[[#This Row],[ShipDate]]="",RawWorking[[#This Row],[DeliveryDate]]=""),"",RawWorking[[#This Row],[DeliveryDate]]-RawWorking[[#This Row],[ShipDate]])</f>
        <v>4</v>
      </c>
      <c r="M2841" s="9">
        <f>IF(COUNTIF(INDEX(RawWorking[OrderID],1):RawWorking[[#This Row],[OrderID]],RawWorking[[#This Row],[OrderID]])=1,1,0)</f>
        <v>1</v>
      </c>
      <c r="N2841" s="4">
        <f>IFERROR(RawWorking[[#This Row],[LineAmount]]/RawWorking[[#This Row],[Quantity]],"")</f>
        <v>206.09</v>
      </c>
    </row>
    <row r="2842" spans="1:14">
      <c r="A2842">
        <v>52841</v>
      </c>
      <c r="B2842">
        <v>31627</v>
      </c>
      <c r="C2842" s="2">
        <v>45862</v>
      </c>
      <c r="D2842">
        <v>2054</v>
      </c>
      <c r="E2842">
        <v>1016</v>
      </c>
      <c r="F2842">
        <v>2</v>
      </c>
      <c r="G2842">
        <v>130.52000000000001</v>
      </c>
      <c r="H2842" s="2">
        <v>45865</v>
      </c>
      <c r="I2842" s="2">
        <v>45871</v>
      </c>
      <c r="J2842" t="s">
        <v>9</v>
      </c>
      <c r="K2842" s="2" t="str">
        <f>IFERROR(INDEX(Product_lookup[Category],MATCH(RawWorking[[#This Row],[ProductID]],Product_lookup[ProductID],0)),"")</f>
        <v>Sports</v>
      </c>
      <c r="L2842" s="9">
        <f>IF(OR(RawWorking[[#This Row],[ShipDate]]="",RawWorking[[#This Row],[DeliveryDate]]=""),"",RawWorking[[#This Row],[DeliveryDate]]-RawWorking[[#This Row],[ShipDate]])</f>
        <v>6</v>
      </c>
      <c r="M2842" s="9">
        <f>IF(COUNTIF(INDEX(RawWorking[OrderID],1):RawWorking[[#This Row],[OrderID]],RawWorking[[#This Row],[OrderID]])=1,1,0)</f>
        <v>0</v>
      </c>
      <c r="N2842" s="4">
        <f>IFERROR(RawWorking[[#This Row],[LineAmount]]/RawWorking[[#This Row],[Quantity]],"")</f>
        <v>65.260000000000005</v>
      </c>
    </row>
    <row r="2843" spans="1:14">
      <c r="A2843">
        <v>52842</v>
      </c>
      <c r="B2843">
        <v>31627</v>
      </c>
      <c r="C2843" s="2">
        <v>45862</v>
      </c>
      <c r="D2843">
        <v>2054</v>
      </c>
      <c r="E2843">
        <v>1013</v>
      </c>
      <c r="F2843">
        <v>3</v>
      </c>
      <c r="G2843">
        <v>510.75</v>
      </c>
      <c r="H2843" s="2">
        <v>45864</v>
      </c>
      <c r="I2843" s="2">
        <v>45872</v>
      </c>
      <c r="J2843" t="s">
        <v>9</v>
      </c>
      <c r="K2843" s="2" t="str">
        <f>IFERROR(INDEX(Product_lookup[Category],MATCH(RawWorking[[#This Row],[ProductID]],Product_lookup[ProductID],0)),"")</f>
        <v>Office</v>
      </c>
      <c r="L2843" s="9">
        <f>IF(OR(RawWorking[[#This Row],[ShipDate]]="",RawWorking[[#This Row],[DeliveryDate]]=""),"",RawWorking[[#This Row],[DeliveryDate]]-RawWorking[[#This Row],[ShipDate]])</f>
        <v>8</v>
      </c>
      <c r="M2843" s="9">
        <f>IF(COUNTIF(INDEX(RawWorking[OrderID],1):RawWorking[[#This Row],[OrderID]],RawWorking[[#This Row],[OrderID]])=1,1,0)</f>
        <v>0</v>
      </c>
      <c r="N2843" s="4">
        <f>IFERROR(RawWorking[[#This Row],[LineAmount]]/RawWorking[[#This Row],[Quantity]],"")</f>
        <v>170.25</v>
      </c>
    </row>
    <row r="2844" spans="1:14">
      <c r="A2844">
        <v>52843</v>
      </c>
      <c r="B2844">
        <v>31628</v>
      </c>
      <c r="C2844" s="2">
        <v>45666</v>
      </c>
      <c r="D2844">
        <v>2118</v>
      </c>
      <c r="E2844">
        <v>1011</v>
      </c>
      <c r="F2844">
        <v>1</v>
      </c>
      <c r="G2844">
        <v>101.44</v>
      </c>
      <c r="H2844" s="2">
        <v>45668</v>
      </c>
      <c r="I2844" s="2">
        <v>45675</v>
      </c>
      <c r="J2844" t="s">
        <v>9</v>
      </c>
      <c r="K2844" s="2" t="str">
        <f>IFERROR(INDEX(Product_lookup[Category],MATCH(RawWorking[[#This Row],[ProductID]],Product_lookup[ProductID],0)),"")</f>
        <v>Office</v>
      </c>
      <c r="L2844" s="9">
        <f>IF(OR(RawWorking[[#This Row],[ShipDate]]="",RawWorking[[#This Row],[DeliveryDate]]=""),"",RawWorking[[#This Row],[DeliveryDate]]-RawWorking[[#This Row],[ShipDate]])</f>
        <v>7</v>
      </c>
      <c r="M2844" s="9">
        <f>IF(COUNTIF(INDEX(RawWorking[OrderID],1):RawWorking[[#This Row],[OrderID]],RawWorking[[#This Row],[OrderID]])=1,1,0)</f>
        <v>1</v>
      </c>
      <c r="N2844" s="4">
        <f>IFERROR(RawWorking[[#This Row],[LineAmount]]/RawWorking[[#This Row],[Quantity]],"")</f>
        <v>101.44</v>
      </c>
    </row>
    <row r="2845" spans="1:14">
      <c r="A2845">
        <v>52844</v>
      </c>
      <c r="B2845">
        <v>31628</v>
      </c>
      <c r="C2845" s="2">
        <v>45666</v>
      </c>
      <c r="D2845">
        <v>2118</v>
      </c>
      <c r="E2845">
        <v>1015</v>
      </c>
      <c r="F2845">
        <v>1</v>
      </c>
      <c r="G2845">
        <v>119.74</v>
      </c>
      <c r="H2845" s="2">
        <v>45668</v>
      </c>
      <c r="I2845" s="2">
        <v>45672</v>
      </c>
      <c r="J2845" t="s">
        <v>9</v>
      </c>
      <c r="K2845" s="2" t="str">
        <f>IFERROR(INDEX(Product_lookup[Category],MATCH(RawWorking[[#This Row],[ProductID]],Product_lookup[ProductID],0)),"")</f>
        <v>Sports</v>
      </c>
      <c r="L2845" s="9">
        <f>IF(OR(RawWorking[[#This Row],[ShipDate]]="",RawWorking[[#This Row],[DeliveryDate]]=""),"",RawWorking[[#This Row],[DeliveryDate]]-RawWorking[[#This Row],[ShipDate]])</f>
        <v>4</v>
      </c>
      <c r="M2845" s="9">
        <f>IF(COUNTIF(INDEX(RawWorking[OrderID],1):RawWorking[[#This Row],[OrderID]],RawWorking[[#This Row],[OrderID]])=1,1,0)</f>
        <v>0</v>
      </c>
      <c r="N2845" s="4">
        <f>IFERROR(RawWorking[[#This Row],[LineAmount]]/RawWorking[[#This Row],[Quantity]],"")</f>
        <v>119.74</v>
      </c>
    </row>
    <row r="2846" spans="1:14">
      <c r="A2846">
        <v>52845</v>
      </c>
      <c r="B2846">
        <v>31628</v>
      </c>
      <c r="C2846" s="2">
        <v>45666</v>
      </c>
      <c r="D2846">
        <v>2118</v>
      </c>
      <c r="E2846">
        <v>1014</v>
      </c>
      <c r="F2846">
        <v>1</v>
      </c>
      <c r="G2846">
        <v>215.34</v>
      </c>
      <c r="H2846" s="2">
        <v>45667</v>
      </c>
      <c r="I2846" s="2">
        <v>45672</v>
      </c>
      <c r="J2846" t="s">
        <v>9</v>
      </c>
      <c r="K2846" s="2" t="str">
        <f>IFERROR(INDEX(Product_lookup[Category],MATCH(RawWorking[[#This Row],[ProductID]],Product_lookup[ProductID],0)),"")</f>
        <v>Sports</v>
      </c>
      <c r="L2846" s="9">
        <f>IF(OR(RawWorking[[#This Row],[ShipDate]]="",RawWorking[[#This Row],[DeliveryDate]]=""),"",RawWorking[[#This Row],[DeliveryDate]]-RawWorking[[#This Row],[ShipDate]])</f>
        <v>5</v>
      </c>
      <c r="M2846" s="9">
        <f>IF(COUNTIF(INDEX(RawWorking[OrderID],1):RawWorking[[#This Row],[OrderID]],RawWorking[[#This Row],[OrderID]])=1,1,0)</f>
        <v>0</v>
      </c>
      <c r="N2846" s="4">
        <f>IFERROR(RawWorking[[#This Row],[LineAmount]]/RawWorking[[#This Row],[Quantity]],"")</f>
        <v>215.34</v>
      </c>
    </row>
    <row r="2847" spans="1:14">
      <c r="A2847">
        <v>52846</v>
      </c>
      <c r="B2847">
        <v>31629</v>
      </c>
      <c r="C2847" s="2">
        <v>45844</v>
      </c>
      <c r="D2847">
        <v>2068</v>
      </c>
      <c r="E2847">
        <v>1014</v>
      </c>
      <c r="F2847">
        <v>1</v>
      </c>
      <c r="G2847">
        <v>215.34</v>
      </c>
      <c r="H2847" s="2">
        <v>45846</v>
      </c>
      <c r="I2847" s="2">
        <v>45849</v>
      </c>
      <c r="J2847" t="s">
        <v>9</v>
      </c>
      <c r="K2847" s="2" t="str">
        <f>IFERROR(INDEX(Product_lookup[Category],MATCH(RawWorking[[#This Row],[ProductID]],Product_lookup[ProductID],0)),"")</f>
        <v>Sports</v>
      </c>
      <c r="L2847" s="9">
        <f>IF(OR(RawWorking[[#This Row],[ShipDate]]="",RawWorking[[#This Row],[DeliveryDate]]=""),"",RawWorking[[#This Row],[DeliveryDate]]-RawWorking[[#This Row],[ShipDate]])</f>
        <v>3</v>
      </c>
      <c r="M2847" s="9">
        <f>IF(COUNTIF(INDEX(RawWorking[OrderID],1):RawWorking[[#This Row],[OrderID]],RawWorking[[#This Row],[OrderID]])=1,1,0)</f>
        <v>1</v>
      </c>
      <c r="N2847" s="4">
        <f>IFERROR(RawWorking[[#This Row],[LineAmount]]/RawWorking[[#This Row],[Quantity]],"")</f>
        <v>215.34</v>
      </c>
    </row>
    <row r="2848" spans="1:14">
      <c r="A2848">
        <v>52847</v>
      </c>
      <c r="B2848">
        <v>31630</v>
      </c>
      <c r="C2848" s="2">
        <v>45871</v>
      </c>
      <c r="D2848">
        <v>2240</v>
      </c>
      <c r="E2848">
        <v>1001</v>
      </c>
      <c r="F2848">
        <v>3</v>
      </c>
      <c r="G2848">
        <v>609.12</v>
      </c>
      <c r="H2848" s="2" t="s">
        <v>1421</v>
      </c>
      <c r="I2848" s="2" t="s">
        <v>1421</v>
      </c>
      <c r="J2848" t="s">
        <v>12</v>
      </c>
      <c r="K2848" s="2" t="str">
        <f>IFERROR(INDEX(Product_lookup[Category],MATCH(RawWorking[[#This Row],[ProductID]],Product_lookup[ProductID],0)),"")</f>
        <v>Electronics</v>
      </c>
      <c r="L2848" s="9" t="str">
        <f>IF(OR(RawWorking[[#This Row],[ShipDate]]="",RawWorking[[#This Row],[DeliveryDate]]=""),"",RawWorking[[#This Row],[DeliveryDate]]-RawWorking[[#This Row],[ShipDate]])</f>
        <v/>
      </c>
      <c r="M2848" s="9">
        <f>IF(COUNTIF(INDEX(RawWorking[OrderID],1):RawWorking[[#This Row],[OrderID]],RawWorking[[#This Row],[OrderID]])=1,1,0)</f>
        <v>1</v>
      </c>
      <c r="N2848" s="4">
        <f>IFERROR(RawWorking[[#This Row],[LineAmount]]/RawWorking[[#This Row],[Quantity]],"")</f>
        <v>203.04</v>
      </c>
    </row>
    <row r="2849" spans="1:14">
      <c r="A2849">
        <v>52848</v>
      </c>
      <c r="B2849">
        <v>31631</v>
      </c>
      <c r="C2849" s="2">
        <v>45735</v>
      </c>
      <c r="D2849">
        <v>2276</v>
      </c>
      <c r="E2849">
        <v>1004</v>
      </c>
      <c r="F2849">
        <v>1</v>
      </c>
      <c r="G2849">
        <v>183.74</v>
      </c>
      <c r="H2849" s="2">
        <v>45736</v>
      </c>
      <c r="I2849" s="2">
        <v>45737</v>
      </c>
      <c r="J2849" t="s">
        <v>9</v>
      </c>
      <c r="K2849" s="2" t="str">
        <f>IFERROR(INDEX(Product_lookup[Category],MATCH(RawWorking[[#This Row],[ProductID]],Product_lookup[ProductID],0)),"")</f>
        <v>Electronics</v>
      </c>
      <c r="L2849" s="9">
        <f>IF(OR(RawWorking[[#This Row],[ShipDate]]="",RawWorking[[#This Row],[DeliveryDate]]=""),"",RawWorking[[#This Row],[DeliveryDate]]-RawWorking[[#This Row],[ShipDate]])</f>
        <v>1</v>
      </c>
      <c r="M2849" s="9">
        <f>IF(COUNTIF(INDEX(RawWorking[OrderID],1):RawWorking[[#This Row],[OrderID]],RawWorking[[#This Row],[OrderID]])=1,1,0)</f>
        <v>1</v>
      </c>
      <c r="N2849" s="4">
        <f>IFERROR(RawWorking[[#This Row],[LineAmount]]/RawWorking[[#This Row],[Quantity]],"")</f>
        <v>183.74</v>
      </c>
    </row>
    <row r="2850" spans="1:14">
      <c r="A2850">
        <v>52849</v>
      </c>
      <c r="B2850">
        <v>31631</v>
      </c>
      <c r="C2850" s="2">
        <v>45735</v>
      </c>
      <c r="D2850">
        <v>2276</v>
      </c>
      <c r="E2850">
        <v>1008</v>
      </c>
      <c r="F2850">
        <v>1</v>
      </c>
      <c r="G2850">
        <v>206.09</v>
      </c>
      <c r="H2850" s="2">
        <v>45737</v>
      </c>
      <c r="I2850" s="2">
        <v>45747</v>
      </c>
      <c r="J2850" t="s">
        <v>9</v>
      </c>
      <c r="K2850" s="2" t="str">
        <f>IFERROR(INDEX(Product_lookup[Category],MATCH(RawWorking[[#This Row],[ProductID]],Product_lookup[ProductID],0)),"")</f>
        <v>Home</v>
      </c>
      <c r="L2850" s="9">
        <f>IF(OR(RawWorking[[#This Row],[ShipDate]]="",RawWorking[[#This Row],[DeliveryDate]]=""),"",RawWorking[[#This Row],[DeliveryDate]]-RawWorking[[#This Row],[ShipDate]])</f>
        <v>10</v>
      </c>
      <c r="M2850" s="9">
        <f>IF(COUNTIF(INDEX(RawWorking[OrderID],1):RawWorking[[#This Row],[OrderID]],RawWorking[[#This Row],[OrderID]])=1,1,0)</f>
        <v>0</v>
      </c>
      <c r="N2850" s="4">
        <f>IFERROR(RawWorking[[#This Row],[LineAmount]]/RawWorking[[#This Row],[Quantity]],"")</f>
        <v>206.09</v>
      </c>
    </row>
    <row r="2851" spans="1:14">
      <c r="A2851">
        <v>52850</v>
      </c>
      <c r="B2851">
        <v>31632</v>
      </c>
      <c r="C2851" s="2">
        <v>45892</v>
      </c>
      <c r="D2851">
        <v>2569</v>
      </c>
      <c r="E2851">
        <v>1005</v>
      </c>
      <c r="F2851">
        <v>1</v>
      </c>
      <c r="G2851">
        <v>31.73</v>
      </c>
      <c r="H2851" s="2">
        <v>45893</v>
      </c>
      <c r="I2851" s="2">
        <v>45895</v>
      </c>
      <c r="J2851" t="s">
        <v>9</v>
      </c>
      <c r="K2851" s="2" t="str">
        <f>IFERROR(INDEX(Product_lookup[Category],MATCH(RawWorking[[#This Row],[ProductID]],Product_lookup[ProductID],0)),"")</f>
        <v>Electronics</v>
      </c>
      <c r="L2851" s="9">
        <f>IF(OR(RawWorking[[#This Row],[ShipDate]]="",RawWorking[[#This Row],[DeliveryDate]]=""),"",RawWorking[[#This Row],[DeliveryDate]]-RawWorking[[#This Row],[ShipDate]])</f>
        <v>2</v>
      </c>
      <c r="M2851" s="9">
        <f>IF(COUNTIF(INDEX(RawWorking[OrderID],1):RawWorking[[#This Row],[OrderID]],RawWorking[[#This Row],[OrderID]])=1,1,0)</f>
        <v>1</v>
      </c>
      <c r="N2851" s="4">
        <f>IFERROR(RawWorking[[#This Row],[LineAmount]]/RawWorking[[#This Row],[Quantity]],"")</f>
        <v>31.73</v>
      </c>
    </row>
    <row r="2852" spans="1:14">
      <c r="A2852">
        <v>52851</v>
      </c>
      <c r="B2852">
        <v>31633</v>
      </c>
      <c r="C2852" s="2">
        <v>45900</v>
      </c>
      <c r="D2852">
        <v>2312</v>
      </c>
      <c r="E2852">
        <v>1015</v>
      </c>
      <c r="F2852">
        <v>2</v>
      </c>
      <c r="G2852">
        <v>239.48</v>
      </c>
      <c r="H2852" s="2">
        <v>45902</v>
      </c>
      <c r="I2852" s="2">
        <v>45903</v>
      </c>
      <c r="J2852" t="s">
        <v>9</v>
      </c>
      <c r="K2852" s="2" t="str">
        <f>IFERROR(INDEX(Product_lookup[Category],MATCH(RawWorking[[#This Row],[ProductID]],Product_lookup[ProductID],0)),"")</f>
        <v>Sports</v>
      </c>
      <c r="L2852" s="9">
        <f>IF(OR(RawWorking[[#This Row],[ShipDate]]="",RawWorking[[#This Row],[DeliveryDate]]=""),"",RawWorking[[#This Row],[DeliveryDate]]-RawWorking[[#This Row],[ShipDate]])</f>
        <v>1</v>
      </c>
      <c r="M2852" s="9">
        <f>IF(COUNTIF(INDEX(RawWorking[OrderID],1):RawWorking[[#This Row],[OrderID]],RawWorking[[#This Row],[OrderID]])=1,1,0)</f>
        <v>1</v>
      </c>
      <c r="N2852" s="4">
        <f>IFERROR(RawWorking[[#This Row],[LineAmount]]/RawWorking[[#This Row],[Quantity]],"")</f>
        <v>119.74</v>
      </c>
    </row>
    <row r="2853" spans="1:14">
      <c r="A2853">
        <v>52852</v>
      </c>
      <c r="B2853">
        <v>31634</v>
      </c>
      <c r="C2853" s="2">
        <v>45816</v>
      </c>
      <c r="D2853">
        <v>2086</v>
      </c>
      <c r="E2853">
        <v>1007</v>
      </c>
      <c r="F2853">
        <v>1</v>
      </c>
      <c r="G2853">
        <v>199.81</v>
      </c>
      <c r="H2853" s="2" t="s">
        <v>1421</v>
      </c>
      <c r="I2853" s="2" t="s">
        <v>1421</v>
      </c>
      <c r="J2853" t="s">
        <v>16</v>
      </c>
      <c r="K2853" s="2" t="str">
        <f>IFERROR(INDEX(Product_lookup[Category],MATCH(RawWorking[[#This Row],[ProductID]],Product_lookup[ProductID],0)),"")</f>
        <v>Home</v>
      </c>
      <c r="L2853" s="9" t="str">
        <f>IF(OR(RawWorking[[#This Row],[ShipDate]]="",RawWorking[[#This Row],[DeliveryDate]]=""),"",RawWorking[[#This Row],[DeliveryDate]]-RawWorking[[#This Row],[ShipDate]])</f>
        <v/>
      </c>
      <c r="M2853" s="9">
        <f>IF(COUNTIF(INDEX(RawWorking[OrderID],1):RawWorking[[#This Row],[OrderID]],RawWorking[[#This Row],[OrderID]])=1,1,0)</f>
        <v>1</v>
      </c>
      <c r="N2853" s="4">
        <f>IFERROR(RawWorking[[#This Row],[LineAmount]]/RawWorking[[#This Row],[Quantity]],"")</f>
        <v>199.81</v>
      </c>
    </row>
    <row r="2854" spans="1:14">
      <c r="A2854">
        <v>52853</v>
      </c>
      <c r="B2854">
        <v>31634</v>
      </c>
      <c r="C2854" s="2">
        <v>45875</v>
      </c>
      <c r="D2854">
        <v>2086</v>
      </c>
      <c r="E2854">
        <v>1005</v>
      </c>
      <c r="F2854">
        <v>1</v>
      </c>
      <c r="G2854">
        <v>31.73</v>
      </c>
      <c r="H2854" s="2" t="s">
        <v>1421</v>
      </c>
      <c r="I2854" s="2" t="s">
        <v>1421</v>
      </c>
      <c r="J2854" t="s">
        <v>16</v>
      </c>
      <c r="K2854" s="2" t="str">
        <f>IFERROR(INDEX(Product_lookup[Category],MATCH(RawWorking[[#This Row],[ProductID]],Product_lookup[ProductID],0)),"")</f>
        <v>Electronics</v>
      </c>
      <c r="L2854" s="9" t="str">
        <f>IF(OR(RawWorking[[#This Row],[ShipDate]]="",RawWorking[[#This Row],[DeliveryDate]]=""),"",RawWorking[[#This Row],[DeliveryDate]]-RawWorking[[#This Row],[ShipDate]])</f>
        <v/>
      </c>
      <c r="M2854" s="9">
        <f>IF(COUNTIF(INDEX(RawWorking[OrderID],1):RawWorking[[#This Row],[OrderID]],RawWorking[[#This Row],[OrderID]])=1,1,0)</f>
        <v>0</v>
      </c>
      <c r="N2854" s="4">
        <f>IFERROR(RawWorking[[#This Row],[LineAmount]]/RawWorking[[#This Row],[Quantity]],"")</f>
        <v>31.73</v>
      </c>
    </row>
    <row r="2855" spans="1:14">
      <c r="A2855">
        <v>52854</v>
      </c>
      <c r="B2855">
        <v>31635</v>
      </c>
      <c r="C2855" s="2">
        <v>45735</v>
      </c>
      <c r="D2855">
        <v>2173</v>
      </c>
      <c r="E2855">
        <v>1014</v>
      </c>
      <c r="F2855">
        <v>1</v>
      </c>
      <c r="G2855">
        <v>215.34</v>
      </c>
      <c r="H2855" s="2" t="s">
        <v>1421</v>
      </c>
      <c r="I2855" s="2" t="s">
        <v>1421</v>
      </c>
      <c r="J2855" t="s">
        <v>16</v>
      </c>
      <c r="K2855" s="2" t="str">
        <f>IFERROR(INDEX(Product_lookup[Category],MATCH(RawWorking[[#This Row],[ProductID]],Product_lookup[ProductID],0)),"")</f>
        <v>Sports</v>
      </c>
      <c r="L2855" s="9" t="str">
        <f>IF(OR(RawWorking[[#This Row],[ShipDate]]="",RawWorking[[#This Row],[DeliveryDate]]=""),"",RawWorking[[#This Row],[DeliveryDate]]-RawWorking[[#This Row],[ShipDate]])</f>
        <v/>
      </c>
      <c r="M2855" s="9">
        <f>IF(COUNTIF(INDEX(RawWorking[OrderID],1):RawWorking[[#This Row],[OrderID]],RawWorking[[#This Row],[OrderID]])=1,1,0)</f>
        <v>1</v>
      </c>
      <c r="N2855" s="4">
        <f>IFERROR(RawWorking[[#This Row],[LineAmount]]/RawWorking[[#This Row],[Quantity]],"")</f>
        <v>215.34</v>
      </c>
    </row>
    <row r="2856" spans="1:14">
      <c r="A2856">
        <v>52855</v>
      </c>
      <c r="B2856">
        <v>31636</v>
      </c>
      <c r="C2856" s="2">
        <v>45757</v>
      </c>
      <c r="D2856">
        <v>2569</v>
      </c>
      <c r="E2856">
        <v>1001</v>
      </c>
      <c r="F2856">
        <v>2</v>
      </c>
      <c r="G2856">
        <v>406.08</v>
      </c>
      <c r="H2856" s="2">
        <v>45759</v>
      </c>
      <c r="I2856" s="2">
        <v>45764</v>
      </c>
      <c r="J2856" t="s">
        <v>9</v>
      </c>
      <c r="K2856" s="2" t="str">
        <f>IFERROR(INDEX(Product_lookup[Category],MATCH(RawWorking[[#This Row],[ProductID]],Product_lookup[ProductID],0)),"")</f>
        <v>Electronics</v>
      </c>
      <c r="L2856" s="9">
        <f>IF(OR(RawWorking[[#This Row],[ShipDate]]="",RawWorking[[#This Row],[DeliveryDate]]=""),"",RawWorking[[#This Row],[DeliveryDate]]-RawWorking[[#This Row],[ShipDate]])</f>
        <v>5</v>
      </c>
      <c r="M2856" s="9">
        <f>IF(COUNTIF(INDEX(RawWorking[OrderID],1):RawWorking[[#This Row],[OrderID]],RawWorking[[#This Row],[OrderID]])=1,1,0)</f>
        <v>1</v>
      </c>
      <c r="N2856" s="4">
        <f>IFERROR(RawWorking[[#This Row],[LineAmount]]/RawWorking[[#This Row],[Quantity]],"")</f>
        <v>203.04</v>
      </c>
    </row>
    <row r="2857" spans="1:14">
      <c r="A2857">
        <v>52856</v>
      </c>
      <c r="B2857">
        <v>31636</v>
      </c>
      <c r="C2857" s="2">
        <v>45757</v>
      </c>
      <c r="D2857">
        <v>2569</v>
      </c>
      <c r="E2857">
        <v>1015</v>
      </c>
      <c r="F2857">
        <v>1</v>
      </c>
      <c r="G2857">
        <v>119.74</v>
      </c>
      <c r="H2857" s="2">
        <v>45759</v>
      </c>
      <c r="I2857" s="2">
        <v>45768</v>
      </c>
      <c r="J2857" t="s">
        <v>9</v>
      </c>
      <c r="K2857" s="2" t="str">
        <f>IFERROR(INDEX(Product_lookup[Category],MATCH(RawWorking[[#This Row],[ProductID]],Product_lookup[ProductID],0)),"")</f>
        <v>Sports</v>
      </c>
      <c r="L2857" s="9">
        <f>IF(OR(RawWorking[[#This Row],[ShipDate]]="",RawWorking[[#This Row],[DeliveryDate]]=""),"",RawWorking[[#This Row],[DeliveryDate]]-RawWorking[[#This Row],[ShipDate]])</f>
        <v>9</v>
      </c>
      <c r="M2857" s="9">
        <f>IF(COUNTIF(INDEX(RawWorking[OrderID],1):RawWorking[[#This Row],[OrderID]],RawWorking[[#This Row],[OrderID]])=1,1,0)</f>
        <v>0</v>
      </c>
      <c r="N2857" s="4">
        <f>IFERROR(RawWorking[[#This Row],[LineAmount]]/RawWorking[[#This Row],[Quantity]],"")</f>
        <v>119.74</v>
      </c>
    </row>
    <row r="2858" spans="1:14">
      <c r="A2858">
        <v>52857</v>
      </c>
      <c r="B2858">
        <v>31636</v>
      </c>
      <c r="C2858" s="2">
        <v>45757</v>
      </c>
      <c r="D2858">
        <v>2569</v>
      </c>
      <c r="E2858">
        <v>1010</v>
      </c>
      <c r="F2858">
        <v>1</v>
      </c>
      <c r="G2858">
        <v>121.5</v>
      </c>
      <c r="H2858" s="2">
        <v>45759</v>
      </c>
      <c r="I2858" s="2">
        <v>45763</v>
      </c>
      <c r="J2858" t="s">
        <v>9</v>
      </c>
      <c r="K2858" s="2" t="str">
        <f>IFERROR(INDEX(Product_lookup[Category],MATCH(RawWorking[[#This Row],[ProductID]],Product_lookup[ProductID],0)),"")</f>
        <v>Office</v>
      </c>
      <c r="L2858" s="9">
        <f>IF(OR(RawWorking[[#This Row],[ShipDate]]="",RawWorking[[#This Row],[DeliveryDate]]=""),"",RawWorking[[#This Row],[DeliveryDate]]-RawWorking[[#This Row],[ShipDate]])</f>
        <v>4</v>
      </c>
      <c r="M2858" s="9">
        <f>IF(COUNTIF(INDEX(RawWorking[OrderID],1):RawWorking[[#This Row],[OrderID]],RawWorking[[#This Row],[OrderID]])=1,1,0)</f>
        <v>0</v>
      </c>
      <c r="N2858" s="4">
        <f>IFERROR(RawWorking[[#This Row],[LineAmount]]/RawWorking[[#This Row],[Quantity]],"")</f>
        <v>121.5</v>
      </c>
    </row>
    <row r="2859" spans="1:14">
      <c r="A2859">
        <v>52858</v>
      </c>
      <c r="B2859">
        <v>31637</v>
      </c>
      <c r="C2859" s="2">
        <v>45949</v>
      </c>
      <c r="D2859">
        <v>2172</v>
      </c>
      <c r="E2859">
        <v>1016</v>
      </c>
      <c r="F2859">
        <v>1</v>
      </c>
      <c r="G2859">
        <v>65.260000000000005</v>
      </c>
      <c r="H2859" s="2">
        <v>45952</v>
      </c>
      <c r="I2859" s="2">
        <v>45956</v>
      </c>
      <c r="J2859" t="s">
        <v>9</v>
      </c>
      <c r="K2859" s="2" t="str">
        <f>IFERROR(INDEX(Product_lookup[Category],MATCH(RawWorking[[#This Row],[ProductID]],Product_lookup[ProductID],0)),"")</f>
        <v>Sports</v>
      </c>
      <c r="L2859" s="9">
        <f>IF(OR(RawWorking[[#This Row],[ShipDate]]="",RawWorking[[#This Row],[DeliveryDate]]=""),"",RawWorking[[#This Row],[DeliveryDate]]-RawWorking[[#This Row],[ShipDate]])</f>
        <v>4</v>
      </c>
      <c r="M2859" s="9">
        <f>IF(COUNTIF(INDEX(RawWorking[OrderID],1):RawWorking[[#This Row],[OrderID]],RawWorking[[#This Row],[OrderID]])=1,1,0)</f>
        <v>1</v>
      </c>
      <c r="N2859" s="4">
        <f>IFERROR(RawWorking[[#This Row],[LineAmount]]/RawWorking[[#This Row],[Quantity]],"")</f>
        <v>65.260000000000005</v>
      </c>
    </row>
    <row r="2860" spans="1:14">
      <c r="A2860">
        <v>52859</v>
      </c>
      <c r="B2860">
        <v>31638</v>
      </c>
      <c r="C2860" s="2">
        <v>45755</v>
      </c>
      <c r="D2860">
        <v>2280</v>
      </c>
      <c r="E2860">
        <v>1013</v>
      </c>
      <c r="F2860">
        <v>1</v>
      </c>
      <c r="G2860">
        <v>170.25</v>
      </c>
      <c r="H2860" s="2">
        <v>45758</v>
      </c>
      <c r="I2860" s="2">
        <v>45765</v>
      </c>
      <c r="J2860" t="s">
        <v>9</v>
      </c>
      <c r="K2860" s="2" t="str">
        <f>IFERROR(INDEX(Product_lookup[Category],MATCH(RawWorking[[#This Row],[ProductID]],Product_lookup[ProductID],0)),"")</f>
        <v>Office</v>
      </c>
      <c r="L2860" s="9">
        <f>IF(OR(RawWorking[[#This Row],[ShipDate]]="",RawWorking[[#This Row],[DeliveryDate]]=""),"",RawWorking[[#This Row],[DeliveryDate]]-RawWorking[[#This Row],[ShipDate]])</f>
        <v>7</v>
      </c>
      <c r="M2860" s="9">
        <f>IF(COUNTIF(INDEX(RawWorking[OrderID],1):RawWorking[[#This Row],[OrderID]],RawWorking[[#This Row],[OrderID]])=1,1,0)</f>
        <v>1</v>
      </c>
      <c r="N2860" s="4">
        <f>IFERROR(RawWorking[[#This Row],[LineAmount]]/RawWorking[[#This Row],[Quantity]],"")</f>
        <v>170.25</v>
      </c>
    </row>
    <row r="2861" spans="1:14">
      <c r="A2861">
        <v>52860</v>
      </c>
      <c r="B2861">
        <v>31638</v>
      </c>
      <c r="C2861" s="2">
        <v>45755</v>
      </c>
      <c r="D2861">
        <v>2280</v>
      </c>
      <c r="E2861">
        <v>1012</v>
      </c>
      <c r="F2861">
        <v>1</v>
      </c>
      <c r="G2861">
        <v>241.54</v>
      </c>
      <c r="H2861" s="2">
        <v>45756</v>
      </c>
      <c r="I2861" s="2">
        <v>45760</v>
      </c>
      <c r="J2861" t="s">
        <v>9</v>
      </c>
      <c r="K2861" s="2" t="str">
        <f>IFERROR(INDEX(Product_lookup[Category],MATCH(RawWorking[[#This Row],[ProductID]],Product_lookup[ProductID],0)),"")</f>
        <v>Office</v>
      </c>
      <c r="L2861" s="9">
        <f>IF(OR(RawWorking[[#This Row],[ShipDate]]="",RawWorking[[#This Row],[DeliveryDate]]=""),"",RawWorking[[#This Row],[DeliveryDate]]-RawWorking[[#This Row],[ShipDate]])</f>
        <v>4</v>
      </c>
      <c r="M2861" s="9">
        <f>IF(COUNTIF(INDEX(RawWorking[OrderID],1):RawWorking[[#This Row],[OrderID]],RawWorking[[#This Row],[OrderID]])=1,1,0)</f>
        <v>0</v>
      </c>
      <c r="N2861" s="4">
        <f>IFERROR(RawWorking[[#This Row],[LineAmount]]/RawWorking[[#This Row],[Quantity]],"")</f>
        <v>241.54</v>
      </c>
    </row>
    <row r="2862" spans="1:14">
      <c r="A2862">
        <v>52861</v>
      </c>
      <c r="B2862">
        <v>31639</v>
      </c>
      <c r="C2862" s="2">
        <v>45884</v>
      </c>
      <c r="D2862">
        <v>2218</v>
      </c>
      <c r="E2862">
        <v>1010</v>
      </c>
      <c r="F2862">
        <v>1</v>
      </c>
      <c r="G2862">
        <v>121.5</v>
      </c>
      <c r="H2862" s="2">
        <v>45885</v>
      </c>
      <c r="I2862" s="2">
        <v>45891</v>
      </c>
      <c r="J2862" t="s">
        <v>9</v>
      </c>
      <c r="K2862" s="2" t="str">
        <f>IFERROR(INDEX(Product_lookup[Category],MATCH(RawWorking[[#This Row],[ProductID]],Product_lookup[ProductID],0)),"")</f>
        <v>Office</v>
      </c>
      <c r="L2862" s="9">
        <f>IF(OR(RawWorking[[#This Row],[ShipDate]]="",RawWorking[[#This Row],[DeliveryDate]]=""),"",RawWorking[[#This Row],[DeliveryDate]]-RawWorking[[#This Row],[ShipDate]])</f>
        <v>6</v>
      </c>
      <c r="M2862" s="9">
        <f>IF(COUNTIF(INDEX(RawWorking[OrderID],1):RawWorking[[#This Row],[OrderID]],RawWorking[[#This Row],[OrderID]])=1,1,0)</f>
        <v>1</v>
      </c>
      <c r="N2862" s="4">
        <f>IFERROR(RawWorking[[#This Row],[LineAmount]]/RawWorking[[#This Row],[Quantity]],"")</f>
        <v>121.5</v>
      </c>
    </row>
    <row r="2863" spans="1:14">
      <c r="A2863">
        <v>52862</v>
      </c>
      <c r="B2863">
        <v>31639</v>
      </c>
      <c r="C2863" s="2">
        <v>45884</v>
      </c>
      <c r="D2863">
        <v>2218</v>
      </c>
      <c r="E2863">
        <v>1002</v>
      </c>
      <c r="F2863">
        <v>1</v>
      </c>
      <c r="G2863">
        <v>118.6</v>
      </c>
      <c r="H2863" s="2">
        <v>45887</v>
      </c>
      <c r="I2863" s="2">
        <v>45890</v>
      </c>
      <c r="J2863" t="s">
        <v>9</v>
      </c>
      <c r="K2863" s="2" t="str">
        <f>IFERROR(INDEX(Product_lookup[Category],MATCH(RawWorking[[#This Row],[ProductID]],Product_lookup[ProductID],0)),"")</f>
        <v>Electronics</v>
      </c>
      <c r="L2863" s="9">
        <f>IF(OR(RawWorking[[#This Row],[ShipDate]]="",RawWorking[[#This Row],[DeliveryDate]]=""),"",RawWorking[[#This Row],[DeliveryDate]]-RawWorking[[#This Row],[ShipDate]])</f>
        <v>3</v>
      </c>
      <c r="M2863" s="9">
        <f>IF(COUNTIF(INDEX(RawWorking[OrderID],1):RawWorking[[#This Row],[OrderID]],RawWorking[[#This Row],[OrderID]])=1,1,0)</f>
        <v>0</v>
      </c>
      <c r="N2863" s="4">
        <f>IFERROR(RawWorking[[#This Row],[LineAmount]]/RawWorking[[#This Row],[Quantity]],"")</f>
        <v>118.6</v>
      </c>
    </row>
    <row r="2864" spans="1:14">
      <c r="A2864">
        <v>52863</v>
      </c>
      <c r="B2864">
        <v>31639</v>
      </c>
      <c r="C2864" s="2">
        <v>45884</v>
      </c>
      <c r="D2864">
        <v>2218</v>
      </c>
      <c r="E2864">
        <v>1006</v>
      </c>
      <c r="F2864">
        <v>1</v>
      </c>
      <c r="G2864">
        <v>253.86</v>
      </c>
      <c r="H2864" s="2">
        <v>45885</v>
      </c>
      <c r="I2864" s="2">
        <v>45891</v>
      </c>
      <c r="J2864" t="s">
        <v>9</v>
      </c>
      <c r="K2864" s="2" t="str">
        <f>IFERROR(INDEX(Product_lookup[Category],MATCH(RawWorking[[#This Row],[ProductID]],Product_lookup[ProductID],0)),"")</f>
        <v>Home</v>
      </c>
      <c r="L2864" s="9">
        <f>IF(OR(RawWorking[[#This Row],[ShipDate]]="",RawWorking[[#This Row],[DeliveryDate]]=""),"",RawWorking[[#This Row],[DeliveryDate]]-RawWorking[[#This Row],[ShipDate]])</f>
        <v>6</v>
      </c>
      <c r="M2864" s="9">
        <f>IF(COUNTIF(INDEX(RawWorking[OrderID],1):RawWorking[[#This Row],[OrderID]],RawWorking[[#This Row],[OrderID]])=1,1,0)</f>
        <v>0</v>
      </c>
      <c r="N2864" s="4">
        <f>IFERROR(RawWorking[[#This Row],[LineAmount]]/RawWorking[[#This Row],[Quantity]],"")</f>
        <v>253.86</v>
      </c>
    </row>
    <row r="2865" spans="1:14">
      <c r="A2865">
        <v>52864</v>
      </c>
      <c r="B2865">
        <v>31640</v>
      </c>
      <c r="C2865" s="2">
        <v>45843</v>
      </c>
      <c r="D2865">
        <v>2547</v>
      </c>
      <c r="E2865">
        <v>1010</v>
      </c>
      <c r="F2865">
        <v>3</v>
      </c>
      <c r="G2865">
        <v>364.5</v>
      </c>
      <c r="H2865" s="2">
        <v>45845</v>
      </c>
      <c r="I2865" s="2">
        <v>45855</v>
      </c>
      <c r="J2865" t="s">
        <v>9</v>
      </c>
      <c r="K2865" s="2" t="str">
        <f>IFERROR(INDEX(Product_lookup[Category],MATCH(RawWorking[[#This Row],[ProductID]],Product_lookup[ProductID],0)),"")</f>
        <v>Office</v>
      </c>
      <c r="L2865" s="9">
        <f>IF(OR(RawWorking[[#This Row],[ShipDate]]="",RawWorking[[#This Row],[DeliveryDate]]=""),"",RawWorking[[#This Row],[DeliveryDate]]-RawWorking[[#This Row],[ShipDate]])</f>
        <v>10</v>
      </c>
      <c r="M2865" s="9">
        <f>IF(COUNTIF(INDEX(RawWorking[OrderID],1):RawWorking[[#This Row],[OrderID]],RawWorking[[#This Row],[OrderID]])=1,1,0)</f>
        <v>1</v>
      </c>
      <c r="N2865" s="4">
        <f>IFERROR(RawWorking[[#This Row],[LineAmount]]/RawWorking[[#This Row],[Quantity]],"")</f>
        <v>121.5</v>
      </c>
    </row>
    <row r="2866" spans="1:14">
      <c r="A2866">
        <v>52865</v>
      </c>
      <c r="B2866">
        <v>31641</v>
      </c>
      <c r="C2866" s="2">
        <v>45738</v>
      </c>
      <c r="D2866">
        <v>2092</v>
      </c>
      <c r="E2866">
        <v>1004</v>
      </c>
      <c r="F2866">
        <v>1</v>
      </c>
      <c r="G2866">
        <v>183.74</v>
      </c>
      <c r="H2866" s="2">
        <v>45741</v>
      </c>
      <c r="I2866" s="2">
        <v>45750</v>
      </c>
      <c r="J2866" t="s">
        <v>9</v>
      </c>
      <c r="K2866" s="2" t="str">
        <f>IFERROR(INDEX(Product_lookup[Category],MATCH(RawWorking[[#This Row],[ProductID]],Product_lookup[ProductID],0)),"")</f>
        <v>Electronics</v>
      </c>
      <c r="L2866" s="9">
        <f>IF(OR(RawWorking[[#This Row],[ShipDate]]="",RawWorking[[#This Row],[DeliveryDate]]=""),"",RawWorking[[#This Row],[DeliveryDate]]-RawWorking[[#This Row],[ShipDate]])</f>
        <v>9</v>
      </c>
      <c r="M2866" s="9">
        <f>IF(COUNTIF(INDEX(RawWorking[OrderID],1):RawWorking[[#This Row],[OrderID]],RawWorking[[#This Row],[OrderID]])=1,1,0)</f>
        <v>1</v>
      </c>
      <c r="N2866" s="4">
        <f>IFERROR(RawWorking[[#This Row],[LineAmount]]/RawWorking[[#This Row],[Quantity]],"")</f>
        <v>183.74</v>
      </c>
    </row>
    <row r="2867" spans="1:14">
      <c r="A2867">
        <v>52866</v>
      </c>
      <c r="B2867">
        <v>31641</v>
      </c>
      <c r="C2867" s="2">
        <v>45738</v>
      </c>
      <c r="D2867">
        <v>2092</v>
      </c>
      <c r="E2867">
        <v>1005</v>
      </c>
      <c r="F2867">
        <v>1</v>
      </c>
      <c r="G2867">
        <v>31.73</v>
      </c>
      <c r="H2867" s="2">
        <v>45740</v>
      </c>
      <c r="I2867" s="2">
        <v>45746</v>
      </c>
      <c r="J2867" t="s">
        <v>9</v>
      </c>
      <c r="K2867" s="2" t="str">
        <f>IFERROR(INDEX(Product_lookup[Category],MATCH(RawWorking[[#This Row],[ProductID]],Product_lookup[ProductID],0)),"")</f>
        <v>Electronics</v>
      </c>
      <c r="L2867" s="9">
        <f>IF(OR(RawWorking[[#This Row],[ShipDate]]="",RawWorking[[#This Row],[DeliveryDate]]=""),"",RawWorking[[#This Row],[DeliveryDate]]-RawWorking[[#This Row],[ShipDate]])</f>
        <v>6</v>
      </c>
      <c r="M2867" s="9">
        <f>IF(COUNTIF(INDEX(RawWorking[OrderID],1):RawWorking[[#This Row],[OrderID]],RawWorking[[#This Row],[OrderID]])=1,1,0)</f>
        <v>0</v>
      </c>
      <c r="N2867" s="4">
        <f>IFERROR(RawWorking[[#This Row],[LineAmount]]/RawWorking[[#This Row],[Quantity]],"")</f>
        <v>31.73</v>
      </c>
    </row>
    <row r="2868" spans="1:14">
      <c r="A2868">
        <v>52867</v>
      </c>
      <c r="B2868">
        <v>31642</v>
      </c>
      <c r="C2868" s="2">
        <v>45954</v>
      </c>
      <c r="D2868">
        <v>2570</v>
      </c>
      <c r="E2868">
        <v>1014</v>
      </c>
      <c r="F2868">
        <v>1</v>
      </c>
      <c r="G2868">
        <v>215.34</v>
      </c>
      <c r="H2868" s="2">
        <v>45955</v>
      </c>
      <c r="I2868" s="2">
        <v>45965</v>
      </c>
      <c r="J2868" t="s">
        <v>11</v>
      </c>
      <c r="K2868" s="2" t="str">
        <f>IFERROR(INDEX(Product_lookup[Category],MATCH(RawWorking[[#This Row],[ProductID]],Product_lookup[ProductID],0)),"")</f>
        <v>Sports</v>
      </c>
      <c r="L2868" s="9">
        <f>IF(OR(RawWorking[[#This Row],[ShipDate]]="",RawWorking[[#This Row],[DeliveryDate]]=""),"",RawWorking[[#This Row],[DeliveryDate]]-RawWorking[[#This Row],[ShipDate]])</f>
        <v>10</v>
      </c>
      <c r="M2868" s="9">
        <f>IF(COUNTIF(INDEX(RawWorking[OrderID],1):RawWorking[[#This Row],[OrderID]],RawWorking[[#This Row],[OrderID]])=1,1,0)</f>
        <v>1</v>
      </c>
      <c r="N2868" s="4">
        <f>IFERROR(RawWorking[[#This Row],[LineAmount]]/RawWorking[[#This Row],[Quantity]],"")</f>
        <v>215.34</v>
      </c>
    </row>
    <row r="2869" spans="1:14">
      <c r="A2869">
        <v>52868</v>
      </c>
      <c r="B2869">
        <v>31642</v>
      </c>
      <c r="C2869" s="2">
        <v>45954</v>
      </c>
      <c r="D2869">
        <v>2570</v>
      </c>
      <c r="E2869">
        <v>1007</v>
      </c>
      <c r="F2869">
        <v>3</v>
      </c>
      <c r="G2869">
        <v>599.42999999999995</v>
      </c>
      <c r="H2869" s="2">
        <v>45957</v>
      </c>
      <c r="I2869" s="2">
        <v>45962</v>
      </c>
      <c r="J2869" t="s">
        <v>11</v>
      </c>
      <c r="K2869" s="2" t="str">
        <f>IFERROR(INDEX(Product_lookup[Category],MATCH(RawWorking[[#This Row],[ProductID]],Product_lookup[ProductID],0)),"")</f>
        <v>Home</v>
      </c>
      <c r="L2869" s="9">
        <f>IF(OR(RawWorking[[#This Row],[ShipDate]]="",RawWorking[[#This Row],[DeliveryDate]]=""),"",RawWorking[[#This Row],[DeliveryDate]]-RawWorking[[#This Row],[ShipDate]])</f>
        <v>5</v>
      </c>
      <c r="M2869" s="9">
        <f>IF(COUNTIF(INDEX(RawWorking[OrderID],1):RawWorking[[#This Row],[OrderID]],RawWorking[[#This Row],[OrderID]])=1,1,0)</f>
        <v>0</v>
      </c>
      <c r="N2869" s="4">
        <f>IFERROR(RawWorking[[#This Row],[LineAmount]]/RawWorking[[#This Row],[Quantity]],"")</f>
        <v>199.80999999999997</v>
      </c>
    </row>
    <row r="2870" spans="1:14">
      <c r="A2870">
        <v>52869</v>
      </c>
      <c r="B2870">
        <v>31642</v>
      </c>
      <c r="C2870" s="2">
        <v>45954</v>
      </c>
      <c r="D2870">
        <v>2570</v>
      </c>
      <c r="E2870">
        <v>1011</v>
      </c>
      <c r="F2870">
        <v>3</v>
      </c>
      <c r="G2870">
        <v>304.32</v>
      </c>
      <c r="H2870" s="2">
        <v>45956</v>
      </c>
      <c r="I2870" s="2">
        <v>45958</v>
      </c>
      <c r="J2870" t="s">
        <v>11</v>
      </c>
      <c r="K2870" s="2" t="str">
        <f>IFERROR(INDEX(Product_lookup[Category],MATCH(RawWorking[[#This Row],[ProductID]],Product_lookup[ProductID],0)),"")</f>
        <v>Office</v>
      </c>
      <c r="L2870" s="9">
        <f>IF(OR(RawWorking[[#This Row],[ShipDate]]="",RawWorking[[#This Row],[DeliveryDate]]=""),"",RawWorking[[#This Row],[DeliveryDate]]-RawWorking[[#This Row],[ShipDate]])</f>
        <v>2</v>
      </c>
      <c r="M2870" s="9">
        <f>IF(COUNTIF(INDEX(RawWorking[OrderID],1):RawWorking[[#This Row],[OrderID]],RawWorking[[#This Row],[OrderID]])=1,1,0)</f>
        <v>0</v>
      </c>
      <c r="N2870" s="4">
        <f>IFERROR(RawWorking[[#This Row],[LineAmount]]/RawWorking[[#This Row],[Quantity]],"")</f>
        <v>101.44</v>
      </c>
    </row>
    <row r="2871" spans="1:14">
      <c r="A2871">
        <v>52870</v>
      </c>
      <c r="B2871">
        <v>31643</v>
      </c>
      <c r="C2871" s="2">
        <v>45851</v>
      </c>
      <c r="D2871">
        <v>2351</v>
      </c>
      <c r="E2871">
        <v>1015</v>
      </c>
      <c r="F2871">
        <v>1</v>
      </c>
      <c r="G2871">
        <v>119.74</v>
      </c>
      <c r="H2871" s="2">
        <v>45852</v>
      </c>
      <c r="I2871" s="2">
        <v>45861</v>
      </c>
      <c r="J2871" t="s">
        <v>9</v>
      </c>
      <c r="K2871" s="2" t="str">
        <f>IFERROR(INDEX(Product_lookup[Category],MATCH(RawWorking[[#This Row],[ProductID]],Product_lookup[ProductID],0)),"")</f>
        <v>Sports</v>
      </c>
      <c r="L2871" s="9">
        <f>IF(OR(RawWorking[[#This Row],[ShipDate]]="",RawWorking[[#This Row],[DeliveryDate]]=""),"",RawWorking[[#This Row],[DeliveryDate]]-RawWorking[[#This Row],[ShipDate]])</f>
        <v>9</v>
      </c>
      <c r="M2871" s="9">
        <f>IF(COUNTIF(INDEX(RawWorking[OrderID],1):RawWorking[[#This Row],[OrderID]],RawWorking[[#This Row],[OrderID]])=1,1,0)</f>
        <v>1</v>
      </c>
      <c r="N2871" s="4">
        <f>IFERROR(RawWorking[[#This Row],[LineAmount]]/RawWorking[[#This Row],[Quantity]],"")</f>
        <v>119.74</v>
      </c>
    </row>
    <row r="2872" spans="1:14">
      <c r="A2872">
        <v>52871</v>
      </c>
      <c r="B2872">
        <v>31644</v>
      </c>
      <c r="C2872" s="2">
        <v>45786</v>
      </c>
      <c r="D2872">
        <v>2280</v>
      </c>
      <c r="E2872">
        <v>1011</v>
      </c>
      <c r="F2872">
        <v>1</v>
      </c>
      <c r="G2872">
        <v>101.44</v>
      </c>
      <c r="H2872" s="2">
        <v>45789</v>
      </c>
      <c r="I2872" s="2">
        <v>45792</v>
      </c>
      <c r="J2872" t="s">
        <v>9</v>
      </c>
      <c r="K2872" s="2" t="str">
        <f>IFERROR(INDEX(Product_lookup[Category],MATCH(RawWorking[[#This Row],[ProductID]],Product_lookup[ProductID],0)),"")</f>
        <v>Office</v>
      </c>
      <c r="L2872" s="9">
        <f>IF(OR(RawWorking[[#This Row],[ShipDate]]="",RawWorking[[#This Row],[DeliveryDate]]=""),"",RawWorking[[#This Row],[DeliveryDate]]-RawWorking[[#This Row],[ShipDate]])</f>
        <v>3</v>
      </c>
      <c r="M2872" s="9">
        <f>IF(COUNTIF(INDEX(RawWorking[OrderID],1):RawWorking[[#This Row],[OrderID]],RawWorking[[#This Row],[OrderID]])=1,1,0)</f>
        <v>1</v>
      </c>
      <c r="N2872" s="4">
        <f>IFERROR(RawWorking[[#This Row],[LineAmount]]/RawWorking[[#This Row],[Quantity]],"")</f>
        <v>101.44</v>
      </c>
    </row>
    <row r="2873" spans="1:14">
      <c r="A2873">
        <v>52872</v>
      </c>
      <c r="B2873">
        <v>31644</v>
      </c>
      <c r="C2873" s="2">
        <v>45786</v>
      </c>
      <c r="D2873">
        <v>2280</v>
      </c>
      <c r="E2873">
        <v>1011</v>
      </c>
      <c r="F2873">
        <v>2</v>
      </c>
      <c r="G2873">
        <v>202.88</v>
      </c>
      <c r="H2873" s="2">
        <v>45935</v>
      </c>
      <c r="I2873" s="2">
        <v>45966</v>
      </c>
      <c r="J2873" t="s">
        <v>9</v>
      </c>
      <c r="K2873" s="2" t="str">
        <f>IFERROR(INDEX(Product_lookup[Category],MATCH(RawWorking[[#This Row],[ProductID]],Product_lookup[ProductID],0)),"")</f>
        <v>Office</v>
      </c>
      <c r="L2873" s="9">
        <f>IF(OR(RawWorking[[#This Row],[ShipDate]]="",RawWorking[[#This Row],[DeliveryDate]]=""),"",RawWorking[[#This Row],[DeliveryDate]]-RawWorking[[#This Row],[ShipDate]])</f>
        <v>31</v>
      </c>
      <c r="M2873" s="9">
        <f>IF(COUNTIF(INDEX(RawWorking[OrderID],1):RawWorking[[#This Row],[OrderID]],RawWorking[[#This Row],[OrderID]])=1,1,0)</f>
        <v>0</v>
      </c>
      <c r="N2873" s="4">
        <f>IFERROR(RawWorking[[#This Row],[LineAmount]]/RawWorking[[#This Row],[Quantity]],"")</f>
        <v>101.44</v>
      </c>
    </row>
    <row r="2874" spans="1:14">
      <c r="A2874">
        <v>52873</v>
      </c>
      <c r="B2874">
        <v>31644</v>
      </c>
      <c r="C2874" s="2">
        <v>45786</v>
      </c>
      <c r="D2874">
        <v>2280</v>
      </c>
      <c r="E2874">
        <v>1007</v>
      </c>
      <c r="F2874">
        <v>2</v>
      </c>
      <c r="G2874">
        <v>399.62</v>
      </c>
      <c r="H2874" s="2">
        <v>45787</v>
      </c>
      <c r="I2874" s="2">
        <v>45791</v>
      </c>
      <c r="J2874" t="s">
        <v>9</v>
      </c>
      <c r="K2874" s="2" t="str">
        <f>IFERROR(INDEX(Product_lookup[Category],MATCH(RawWorking[[#This Row],[ProductID]],Product_lookup[ProductID],0)),"")</f>
        <v>Home</v>
      </c>
      <c r="L2874" s="9">
        <f>IF(OR(RawWorking[[#This Row],[ShipDate]]="",RawWorking[[#This Row],[DeliveryDate]]=""),"",RawWorking[[#This Row],[DeliveryDate]]-RawWorking[[#This Row],[ShipDate]])</f>
        <v>4</v>
      </c>
      <c r="M2874" s="9">
        <f>IF(COUNTIF(INDEX(RawWorking[OrderID],1):RawWorking[[#This Row],[OrderID]],RawWorking[[#This Row],[OrderID]])=1,1,0)</f>
        <v>0</v>
      </c>
      <c r="N2874" s="4">
        <f>IFERROR(RawWorking[[#This Row],[LineAmount]]/RawWorking[[#This Row],[Quantity]],"")</f>
        <v>199.81</v>
      </c>
    </row>
    <row r="2875" spans="1:14">
      <c r="A2875">
        <v>52874</v>
      </c>
      <c r="B2875">
        <v>31645</v>
      </c>
      <c r="C2875" s="2">
        <v>45753</v>
      </c>
      <c r="D2875">
        <v>2471</v>
      </c>
      <c r="E2875">
        <v>1011</v>
      </c>
      <c r="F2875">
        <v>1</v>
      </c>
      <c r="G2875">
        <v>101.44</v>
      </c>
      <c r="H2875" s="2">
        <v>45756</v>
      </c>
      <c r="I2875" s="2">
        <v>45759</v>
      </c>
      <c r="J2875" t="s">
        <v>11</v>
      </c>
      <c r="K2875" s="2" t="str">
        <f>IFERROR(INDEX(Product_lookup[Category],MATCH(RawWorking[[#This Row],[ProductID]],Product_lookup[ProductID],0)),"")</f>
        <v>Office</v>
      </c>
      <c r="L2875" s="9">
        <f>IF(OR(RawWorking[[#This Row],[ShipDate]]="",RawWorking[[#This Row],[DeliveryDate]]=""),"",RawWorking[[#This Row],[DeliveryDate]]-RawWorking[[#This Row],[ShipDate]])</f>
        <v>3</v>
      </c>
      <c r="M2875" s="9">
        <f>IF(COUNTIF(INDEX(RawWorking[OrderID],1):RawWorking[[#This Row],[OrderID]],RawWorking[[#This Row],[OrderID]])=1,1,0)</f>
        <v>1</v>
      </c>
      <c r="N2875" s="4">
        <f>IFERROR(RawWorking[[#This Row],[LineAmount]]/RawWorking[[#This Row],[Quantity]],"")</f>
        <v>101.44</v>
      </c>
    </row>
    <row r="2876" spans="1:14">
      <c r="A2876">
        <v>52875</v>
      </c>
      <c r="B2876">
        <v>31645</v>
      </c>
      <c r="C2876" s="2">
        <v>45753</v>
      </c>
      <c r="D2876">
        <v>2471</v>
      </c>
      <c r="E2876">
        <v>1001</v>
      </c>
      <c r="F2876">
        <v>1</v>
      </c>
      <c r="G2876">
        <v>203.04</v>
      </c>
      <c r="H2876" s="2">
        <v>45754</v>
      </c>
      <c r="I2876" s="2">
        <v>45761</v>
      </c>
      <c r="J2876" t="s">
        <v>11</v>
      </c>
      <c r="K2876" s="2" t="str">
        <f>IFERROR(INDEX(Product_lookup[Category],MATCH(RawWorking[[#This Row],[ProductID]],Product_lookup[ProductID],0)),"")</f>
        <v>Electronics</v>
      </c>
      <c r="L2876" s="9">
        <f>IF(OR(RawWorking[[#This Row],[ShipDate]]="",RawWorking[[#This Row],[DeliveryDate]]=""),"",RawWorking[[#This Row],[DeliveryDate]]-RawWorking[[#This Row],[ShipDate]])</f>
        <v>7</v>
      </c>
      <c r="M2876" s="9">
        <f>IF(COUNTIF(INDEX(RawWorking[OrderID],1):RawWorking[[#This Row],[OrderID]],RawWorking[[#This Row],[OrderID]])=1,1,0)</f>
        <v>0</v>
      </c>
      <c r="N2876" s="4">
        <f>IFERROR(RawWorking[[#This Row],[LineAmount]]/RawWorking[[#This Row],[Quantity]],"")</f>
        <v>203.04</v>
      </c>
    </row>
    <row r="2877" spans="1:14">
      <c r="A2877">
        <v>52876</v>
      </c>
      <c r="B2877">
        <v>31646</v>
      </c>
      <c r="C2877" s="2">
        <v>46005</v>
      </c>
      <c r="D2877">
        <v>2137</v>
      </c>
      <c r="E2877">
        <v>1001</v>
      </c>
      <c r="F2877">
        <v>1</v>
      </c>
      <c r="G2877">
        <v>203.04</v>
      </c>
      <c r="H2877" s="2">
        <v>46007</v>
      </c>
      <c r="I2877" s="2">
        <v>46010</v>
      </c>
      <c r="J2877" t="s">
        <v>9</v>
      </c>
      <c r="K2877" s="2" t="str">
        <f>IFERROR(INDEX(Product_lookup[Category],MATCH(RawWorking[[#This Row],[ProductID]],Product_lookup[ProductID],0)),"")</f>
        <v>Electronics</v>
      </c>
      <c r="L2877" s="9">
        <f>IF(OR(RawWorking[[#This Row],[ShipDate]]="",RawWorking[[#This Row],[DeliveryDate]]=""),"",RawWorking[[#This Row],[DeliveryDate]]-RawWorking[[#This Row],[ShipDate]])</f>
        <v>3</v>
      </c>
      <c r="M2877" s="9">
        <f>IF(COUNTIF(INDEX(RawWorking[OrderID],1):RawWorking[[#This Row],[OrderID]],RawWorking[[#This Row],[OrderID]])=1,1,0)</f>
        <v>1</v>
      </c>
      <c r="N2877" s="4">
        <f>IFERROR(RawWorking[[#This Row],[LineAmount]]/RawWorking[[#This Row],[Quantity]],"")</f>
        <v>203.04</v>
      </c>
    </row>
    <row r="2878" spans="1:14">
      <c r="A2878">
        <v>52877</v>
      </c>
      <c r="B2878">
        <v>31646</v>
      </c>
      <c r="C2878" s="2">
        <v>46005</v>
      </c>
      <c r="D2878">
        <v>2137</v>
      </c>
      <c r="E2878">
        <v>1016</v>
      </c>
      <c r="F2878">
        <v>3</v>
      </c>
      <c r="G2878">
        <v>195.78</v>
      </c>
      <c r="H2878" s="2">
        <v>46007</v>
      </c>
      <c r="I2878" s="2">
        <v>46010</v>
      </c>
      <c r="J2878" t="s">
        <v>9</v>
      </c>
      <c r="K2878" s="2" t="str">
        <f>IFERROR(INDEX(Product_lookup[Category],MATCH(RawWorking[[#This Row],[ProductID]],Product_lookup[ProductID],0)),"")</f>
        <v>Sports</v>
      </c>
      <c r="L2878" s="9">
        <f>IF(OR(RawWorking[[#This Row],[ShipDate]]="",RawWorking[[#This Row],[DeliveryDate]]=""),"",RawWorking[[#This Row],[DeliveryDate]]-RawWorking[[#This Row],[ShipDate]])</f>
        <v>3</v>
      </c>
      <c r="M2878" s="9">
        <f>IF(COUNTIF(INDEX(RawWorking[OrderID],1):RawWorking[[#This Row],[OrderID]],RawWorking[[#This Row],[OrderID]])=1,1,0)</f>
        <v>0</v>
      </c>
      <c r="N2878" s="4">
        <f>IFERROR(RawWorking[[#This Row],[LineAmount]]/RawWorking[[#This Row],[Quantity]],"")</f>
        <v>65.260000000000005</v>
      </c>
    </row>
    <row r="2879" spans="1:14">
      <c r="A2879">
        <v>52878</v>
      </c>
      <c r="B2879">
        <v>31647</v>
      </c>
      <c r="C2879" s="2">
        <v>45850</v>
      </c>
      <c r="D2879">
        <v>2005</v>
      </c>
      <c r="E2879">
        <v>1006</v>
      </c>
      <c r="F2879">
        <v>1</v>
      </c>
      <c r="G2879">
        <v>253.86</v>
      </c>
      <c r="H2879" s="2" t="s">
        <v>1421</v>
      </c>
      <c r="I2879" s="2" t="s">
        <v>1421</v>
      </c>
      <c r="J2879" t="s">
        <v>12</v>
      </c>
      <c r="K2879" s="2" t="str">
        <f>IFERROR(INDEX(Product_lookup[Category],MATCH(RawWorking[[#This Row],[ProductID]],Product_lookup[ProductID],0)),"")</f>
        <v>Home</v>
      </c>
      <c r="L2879" s="9" t="str">
        <f>IF(OR(RawWorking[[#This Row],[ShipDate]]="",RawWorking[[#This Row],[DeliveryDate]]=""),"",RawWorking[[#This Row],[DeliveryDate]]-RawWorking[[#This Row],[ShipDate]])</f>
        <v/>
      </c>
      <c r="M2879" s="9">
        <f>IF(COUNTIF(INDEX(RawWorking[OrderID],1):RawWorking[[#This Row],[OrderID]],RawWorking[[#This Row],[OrderID]])=1,1,0)</f>
        <v>1</v>
      </c>
      <c r="N2879" s="4">
        <f>IFERROR(RawWorking[[#This Row],[LineAmount]]/RawWorking[[#This Row],[Quantity]],"")</f>
        <v>253.86</v>
      </c>
    </row>
    <row r="2880" spans="1:14">
      <c r="A2880">
        <v>52879</v>
      </c>
      <c r="B2880">
        <v>31647</v>
      </c>
      <c r="C2880" s="2">
        <v>45850</v>
      </c>
      <c r="D2880">
        <v>2005</v>
      </c>
      <c r="E2880">
        <v>1014</v>
      </c>
      <c r="F2880">
        <v>1</v>
      </c>
      <c r="G2880">
        <v>215.34</v>
      </c>
      <c r="H2880" s="2" t="s">
        <v>1421</v>
      </c>
      <c r="I2880" s="2" t="s">
        <v>1421</v>
      </c>
      <c r="J2880" t="s">
        <v>12</v>
      </c>
      <c r="K2880" s="2" t="str">
        <f>IFERROR(INDEX(Product_lookup[Category],MATCH(RawWorking[[#This Row],[ProductID]],Product_lookup[ProductID],0)),"")</f>
        <v>Sports</v>
      </c>
      <c r="L2880" s="9" t="str">
        <f>IF(OR(RawWorking[[#This Row],[ShipDate]]="",RawWorking[[#This Row],[DeliveryDate]]=""),"",RawWorking[[#This Row],[DeliveryDate]]-RawWorking[[#This Row],[ShipDate]])</f>
        <v/>
      </c>
      <c r="M2880" s="9">
        <f>IF(COUNTIF(INDEX(RawWorking[OrderID],1):RawWorking[[#This Row],[OrderID]],RawWorking[[#This Row],[OrderID]])=1,1,0)</f>
        <v>0</v>
      </c>
      <c r="N2880" s="4">
        <f>IFERROR(RawWorking[[#This Row],[LineAmount]]/RawWorking[[#This Row],[Quantity]],"")</f>
        <v>215.34</v>
      </c>
    </row>
    <row r="2881" spans="1:14">
      <c r="A2881">
        <v>52880</v>
      </c>
      <c r="B2881">
        <v>31648</v>
      </c>
      <c r="C2881" s="2">
        <v>45915</v>
      </c>
      <c r="D2881">
        <v>2570</v>
      </c>
      <c r="E2881">
        <v>1016</v>
      </c>
      <c r="F2881">
        <v>1</v>
      </c>
      <c r="G2881">
        <v>65.260000000000005</v>
      </c>
      <c r="H2881" s="2" t="s">
        <v>1421</v>
      </c>
      <c r="I2881" s="2" t="s">
        <v>1421</v>
      </c>
      <c r="J2881" t="s">
        <v>12</v>
      </c>
      <c r="K2881" s="2" t="str">
        <f>IFERROR(INDEX(Product_lookup[Category],MATCH(RawWorking[[#This Row],[ProductID]],Product_lookup[ProductID],0)),"")</f>
        <v>Sports</v>
      </c>
      <c r="L2881" s="9" t="str">
        <f>IF(OR(RawWorking[[#This Row],[ShipDate]]="",RawWorking[[#This Row],[DeliveryDate]]=""),"",RawWorking[[#This Row],[DeliveryDate]]-RawWorking[[#This Row],[ShipDate]])</f>
        <v/>
      </c>
      <c r="M2881" s="9">
        <f>IF(COUNTIF(INDEX(RawWorking[OrderID],1):RawWorking[[#This Row],[OrderID]],RawWorking[[#This Row],[OrderID]])=1,1,0)</f>
        <v>1</v>
      </c>
      <c r="N2881" s="4">
        <f>IFERROR(RawWorking[[#This Row],[LineAmount]]/RawWorking[[#This Row],[Quantity]],"")</f>
        <v>65.260000000000005</v>
      </c>
    </row>
    <row r="2882" spans="1:14">
      <c r="A2882">
        <v>52881</v>
      </c>
      <c r="B2882">
        <v>31649</v>
      </c>
      <c r="C2882" s="2">
        <v>45970</v>
      </c>
      <c r="D2882">
        <v>2403</v>
      </c>
      <c r="E2882">
        <v>1003</v>
      </c>
      <c r="F2882">
        <v>3</v>
      </c>
      <c r="G2882">
        <v>673.11</v>
      </c>
      <c r="H2882" s="2">
        <v>45973</v>
      </c>
      <c r="I2882" s="2">
        <v>45980</v>
      </c>
      <c r="J2882" t="s">
        <v>9</v>
      </c>
      <c r="K2882" s="2" t="str">
        <f>IFERROR(INDEX(Product_lookup[Category],MATCH(RawWorking[[#This Row],[ProductID]],Product_lookup[ProductID],0)),"")</f>
        <v>Electronics</v>
      </c>
      <c r="L2882" s="9">
        <f>IF(OR(RawWorking[[#This Row],[ShipDate]]="",RawWorking[[#This Row],[DeliveryDate]]=""),"",RawWorking[[#This Row],[DeliveryDate]]-RawWorking[[#This Row],[ShipDate]])</f>
        <v>7</v>
      </c>
      <c r="M2882" s="9">
        <f>IF(COUNTIF(INDEX(RawWorking[OrderID],1):RawWorking[[#This Row],[OrderID]],RawWorking[[#This Row],[OrderID]])=1,1,0)</f>
        <v>1</v>
      </c>
      <c r="N2882" s="4">
        <f>IFERROR(RawWorking[[#This Row],[LineAmount]]/RawWorking[[#This Row],[Quantity]],"")</f>
        <v>224.37</v>
      </c>
    </row>
    <row r="2883" spans="1:14">
      <c r="A2883">
        <v>52882</v>
      </c>
      <c r="B2883">
        <v>31649</v>
      </c>
      <c r="C2883" s="2">
        <v>45911</v>
      </c>
      <c r="D2883">
        <v>2403</v>
      </c>
      <c r="E2883">
        <v>1001</v>
      </c>
      <c r="F2883">
        <v>1</v>
      </c>
      <c r="G2883">
        <v>203.04</v>
      </c>
      <c r="H2883" s="2">
        <v>45972</v>
      </c>
      <c r="I2883" s="2">
        <v>45976</v>
      </c>
      <c r="J2883" t="s">
        <v>9</v>
      </c>
      <c r="K2883" s="2" t="str">
        <f>IFERROR(INDEX(Product_lookup[Category],MATCH(RawWorking[[#This Row],[ProductID]],Product_lookup[ProductID],0)),"")</f>
        <v>Electronics</v>
      </c>
      <c r="L2883" s="9">
        <f>IF(OR(RawWorking[[#This Row],[ShipDate]]="",RawWorking[[#This Row],[DeliveryDate]]=""),"",RawWorking[[#This Row],[DeliveryDate]]-RawWorking[[#This Row],[ShipDate]])</f>
        <v>4</v>
      </c>
      <c r="M2883" s="9">
        <f>IF(COUNTIF(INDEX(RawWorking[OrderID],1):RawWorking[[#This Row],[OrderID]],RawWorking[[#This Row],[OrderID]])=1,1,0)</f>
        <v>0</v>
      </c>
      <c r="N2883" s="4">
        <f>IFERROR(RawWorking[[#This Row],[LineAmount]]/RawWorking[[#This Row],[Quantity]],"")</f>
        <v>203.04</v>
      </c>
    </row>
    <row r="2884" spans="1:14">
      <c r="A2884">
        <v>52883</v>
      </c>
      <c r="B2884">
        <v>31650</v>
      </c>
      <c r="C2884" s="2">
        <v>45918</v>
      </c>
      <c r="D2884">
        <v>2456</v>
      </c>
      <c r="E2884">
        <v>1012</v>
      </c>
      <c r="F2884">
        <v>1</v>
      </c>
      <c r="G2884">
        <v>241.54</v>
      </c>
      <c r="H2884" s="2">
        <v>45921</v>
      </c>
      <c r="I2884" s="2">
        <v>45926</v>
      </c>
      <c r="J2884" t="s">
        <v>9</v>
      </c>
      <c r="K2884" s="2" t="str">
        <f>IFERROR(INDEX(Product_lookup[Category],MATCH(RawWorking[[#This Row],[ProductID]],Product_lookup[ProductID],0)),"")</f>
        <v>Office</v>
      </c>
      <c r="L2884" s="9">
        <f>IF(OR(RawWorking[[#This Row],[ShipDate]]="",RawWorking[[#This Row],[DeliveryDate]]=""),"",RawWorking[[#This Row],[DeliveryDate]]-RawWorking[[#This Row],[ShipDate]])</f>
        <v>5</v>
      </c>
      <c r="M2884" s="9">
        <f>IF(COUNTIF(INDEX(RawWorking[OrderID],1):RawWorking[[#This Row],[OrderID]],RawWorking[[#This Row],[OrderID]])=1,1,0)</f>
        <v>1</v>
      </c>
      <c r="N2884" s="4">
        <f>IFERROR(RawWorking[[#This Row],[LineAmount]]/RawWorking[[#This Row],[Quantity]],"")</f>
        <v>241.54</v>
      </c>
    </row>
    <row r="2885" spans="1:14">
      <c r="A2885">
        <v>52884</v>
      </c>
      <c r="B2885">
        <v>31651</v>
      </c>
      <c r="C2885" s="2">
        <v>45972</v>
      </c>
      <c r="D2885">
        <v>2386</v>
      </c>
      <c r="E2885">
        <v>1012</v>
      </c>
      <c r="F2885">
        <v>1</v>
      </c>
      <c r="G2885">
        <v>241.54</v>
      </c>
      <c r="H2885" s="2" t="s">
        <v>1421</v>
      </c>
      <c r="I2885" s="2" t="s">
        <v>1421</v>
      </c>
      <c r="J2885" t="s">
        <v>16</v>
      </c>
      <c r="K2885" s="2" t="str">
        <f>IFERROR(INDEX(Product_lookup[Category],MATCH(RawWorking[[#This Row],[ProductID]],Product_lookup[ProductID],0)),"")</f>
        <v>Office</v>
      </c>
      <c r="L2885" s="9" t="str">
        <f>IF(OR(RawWorking[[#This Row],[ShipDate]]="",RawWorking[[#This Row],[DeliveryDate]]=""),"",RawWorking[[#This Row],[DeliveryDate]]-RawWorking[[#This Row],[ShipDate]])</f>
        <v/>
      </c>
      <c r="M2885" s="9">
        <f>IF(COUNTIF(INDEX(RawWorking[OrderID],1):RawWorking[[#This Row],[OrderID]],RawWorking[[#This Row],[OrderID]])=1,1,0)</f>
        <v>1</v>
      </c>
      <c r="N2885" s="4">
        <f>IFERROR(RawWorking[[#This Row],[LineAmount]]/RawWorking[[#This Row],[Quantity]],"")</f>
        <v>241.54</v>
      </c>
    </row>
    <row r="2886" spans="1:14">
      <c r="A2886">
        <v>52885</v>
      </c>
      <c r="B2886">
        <v>31651</v>
      </c>
      <c r="C2886" s="2">
        <v>45972</v>
      </c>
      <c r="D2886">
        <v>2386</v>
      </c>
      <c r="E2886">
        <v>1001</v>
      </c>
      <c r="F2886">
        <v>3</v>
      </c>
      <c r="G2886">
        <v>609.12</v>
      </c>
      <c r="H2886" s="2">
        <v>45975</v>
      </c>
      <c r="I2886" s="2" t="s">
        <v>1421</v>
      </c>
      <c r="J2886" t="s">
        <v>16</v>
      </c>
      <c r="K2886" s="2" t="str">
        <f>IFERROR(INDEX(Product_lookup[Category],MATCH(RawWorking[[#This Row],[ProductID]],Product_lookup[ProductID],0)),"")</f>
        <v>Electronics</v>
      </c>
      <c r="L2886" s="9" t="str">
        <f>IF(OR(RawWorking[[#This Row],[ShipDate]]="",RawWorking[[#This Row],[DeliveryDate]]=""),"",RawWorking[[#This Row],[DeliveryDate]]-RawWorking[[#This Row],[ShipDate]])</f>
        <v/>
      </c>
      <c r="M2886" s="9">
        <f>IF(COUNTIF(INDEX(RawWorking[OrderID],1):RawWorking[[#This Row],[OrderID]],RawWorking[[#This Row],[OrderID]])=1,1,0)</f>
        <v>0</v>
      </c>
      <c r="N2886" s="4">
        <f>IFERROR(RawWorking[[#This Row],[LineAmount]]/RawWorking[[#This Row],[Quantity]],"")</f>
        <v>203.04</v>
      </c>
    </row>
    <row r="2887" spans="1:14">
      <c r="A2887">
        <v>52886</v>
      </c>
      <c r="B2887">
        <v>31652</v>
      </c>
      <c r="C2887" s="2">
        <v>45674</v>
      </c>
      <c r="D2887">
        <v>2380</v>
      </c>
      <c r="E2887">
        <v>1015</v>
      </c>
      <c r="F2887">
        <v>1</v>
      </c>
      <c r="G2887">
        <v>119.74</v>
      </c>
      <c r="H2887" s="2" t="s">
        <v>1421</v>
      </c>
      <c r="I2887" s="2" t="s">
        <v>1421</v>
      </c>
      <c r="J2887" t="s">
        <v>12</v>
      </c>
      <c r="K2887" s="2" t="str">
        <f>IFERROR(INDEX(Product_lookup[Category],MATCH(RawWorking[[#This Row],[ProductID]],Product_lookup[ProductID],0)),"")</f>
        <v>Sports</v>
      </c>
      <c r="L2887" s="9" t="str">
        <f>IF(OR(RawWorking[[#This Row],[ShipDate]]="",RawWorking[[#This Row],[DeliveryDate]]=""),"",RawWorking[[#This Row],[DeliveryDate]]-RawWorking[[#This Row],[ShipDate]])</f>
        <v/>
      </c>
      <c r="M2887" s="9">
        <f>IF(COUNTIF(INDEX(RawWorking[OrderID],1):RawWorking[[#This Row],[OrderID]],RawWorking[[#This Row],[OrderID]])=1,1,0)</f>
        <v>1</v>
      </c>
      <c r="N2887" s="4">
        <f>IFERROR(RawWorking[[#This Row],[LineAmount]]/RawWorking[[#This Row],[Quantity]],"")</f>
        <v>119.74</v>
      </c>
    </row>
    <row r="2888" spans="1:14">
      <c r="A2888">
        <v>52887</v>
      </c>
      <c r="B2888">
        <v>31653</v>
      </c>
      <c r="C2888" s="2">
        <v>45796</v>
      </c>
      <c r="D2888">
        <v>2010</v>
      </c>
      <c r="E2888">
        <v>1001</v>
      </c>
      <c r="F2888">
        <v>1</v>
      </c>
      <c r="G2888">
        <v>203.04</v>
      </c>
      <c r="H2888" s="2">
        <v>45799</v>
      </c>
      <c r="I2888" s="2">
        <v>45804</v>
      </c>
      <c r="J2888" t="s">
        <v>9</v>
      </c>
      <c r="K2888" s="2" t="str">
        <f>IFERROR(INDEX(Product_lookup[Category],MATCH(RawWorking[[#This Row],[ProductID]],Product_lookup[ProductID],0)),"")</f>
        <v>Electronics</v>
      </c>
      <c r="L2888" s="9">
        <f>IF(OR(RawWorking[[#This Row],[ShipDate]]="",RawWorking[[#This Row],[DeliveryDate]]=""),"",RawWorking[[#This Row],[DeliveryDate]]-RawWorking[[#This Row],[ShipDate]])</f>
        <v>5</v>
      </c>
      <c r="M2888" s="9">
        <f>IF(COUNTIF(INDEX(RawWorking[OrderID],1):RawWorking[[#This Row],[OrderID]],RawWorking[[#This Row],[OrderID]])=1,1,0)</f>
        <v>1</v>
      </c>
      <c r="N2888" s="4">
        <f>IFERROR(RawWorking[[#This Row],[LineAmount]]/RawWorking[[#This Row],[Quantity]],"")</f>
        <v>203.04</v>
      </c>
    </row>
    <row r="2889" spans="1:14">
      <c r="A2889">
        <v>52888</v>
      </c>
      <c r="B2889">
        <v>31653</v>
      </c>
      <c r="C2889" s="2">
        <v>45796</v>
      </c>
      <c r="D2889">
        <v>2010</v>
      </c>
      <c r="E2889">
        <v>1009</v>
      </c>
      <c r="F2889">
        <v>1</v>
      </c>
      <c r="G2889">
        <v>40.28</v>
      </c>
      <c r="H2889" s="2">
        <v>45799</v>
      </c>
      <c r="I2889" s="2">
        <v>45806</v>
      </c>
      <c r="J2889" t="s">
        <v>9</v>
      </c>
      <c r="K2889" s="2" t="str">
        <f>IFERROR(INDEX(Product_lookup[Category],MATCH(RawWorking[[#This Row],[ProductID]],Product_lookup[ProductID],0)),"")</f>
        <v>Home</v>
      </c>
      <c r="L2889" s="9">
        <f>IF(OR(RawWorking[[#This Row],[ShipDate]]="",RawWorking[[#This Row],[DeliveryDate]]=""),"",RawWorking[[#This Row],[DeliveryDate]]-RawWorking[[#This Row],[ShipDate]])</f>
        <v>7</v>
      </c>
      <c r="M2889" s="9">
        <f>IF(COUNTIF(INDEX(RawWorking[OrderID],1):RawWorking[[#This Row],[OrderID]],RawWorking[[#This Row],[OrderID]])=1,1,0)</f>
        <v>0</v>
      </c>
      <c r="N2889" s="4">
        <f>IFERROR(RawWorking[[#This Row],[LineAmount]]/RawWorking[[#This Row],[Quantity]],"")</f>
        <v>40.28</v>
      </c>
    </row>
    <row r="2890" spans="1:14">
      <c r="A2890">
        <v>52889</v>
      </c>
      <c r="B2890">
        <v>31653</v>
      </c>
      <c r="C2890" s="2">
        <v>45796</v>
      </c>
      <c r="D2890">
        <v>2010</v>
      </c>
      <c r="E2890">
        <v>1012</v>
      </c>
      <c r="F2890">
        <v>2</v>
      </c>
      <c r="G2890">
        <v>483.08</v>
      </c>
      <c r="H2890" s="2">
        <v>45799</v>
      </c>
      <c r="I2890" s="2">
        <v>45803</v>
      </c>
      <c r="J2890" t="s">
        <v>9</v>
      </c>
      <c r="K2890" s="2" t="str">
        <f>IFERROR(INDEX(Product_lookup[Category],MATCH(RawWorking[[#This Row],[ProductID]],Product_lookup[ProductID],0)),"")</f>
        <v>Office</v>
      </c>
      <c r="L2890" s="9">
        <f>IF(OR(RawWorking[[#This Row],[ShipDate]]="",RawWorking[[#This Row],[DeliveryDate]]=""),"",RawWorking[[#This Row],[DeliveryDate]]-RawWorking[[#This Row],[ShipDate]])</f>
        <v>4</v>
      </c>
      <c r="M2890" s="9">
        <f>IF(COUNTIF(INDEX(RawWorking[OrderID],1):RawWorking[[#This Row],[OrderID]],RawWorking[[#This Row],[OrderID]])=1,1,0)</f>
        <v>0</v>
      </c>
      <c r="N2890" s="4">
        <f>IFERROR(RawWorking[[#This Row],[LineAmount]]/RawWorking[[#This Row],[Quantity]],"")</f>
        <v>241.54</v>
      </c>
    </row>
    <row r="2891" spans="1:14">
      <c r="A2891">
        <v>52890</v>
      </c>
      <c r="B2891">
        <v>31654</v>
      </c>
      <c r="C2891" s="2">
        <v>45765</v>
      </c>
      <c r="D2891">
        <v>2197</v>
      </c>
      <c r="E2891">
        <v>1010</v>
      </c>
      <c r="F2891">
        <v>1</v>
      </c>
      <c r="G2891">
        <v>121.5</v>
      </c>
      <c r="H2891" s="2">
        <v>45768</v>
      </c>
      <c r="I2891" s="2">
        <v>45777</v>
      </c>
      <c r="J2891" t="s">
        <v>9</v>
      </c>
      <c r="K2891" s="2" t="str">
        <f>IFERROR(INDEX(Product_lookup[Category],MATCH(RawWorking[[#This Row],[ProductID]],Product_lookup[ProductID],0)),"")</f>
        <v>Office</v>
      </c>
      <c r="L2891" s="9">
        <f>IF(OR(RawWorking[[#This Row],[ShipDate]]="",RawWorking[[#This Row],[DeliveryDate]]=""),"",RawWorking[[#This Row],[DeliveryDate]]-RawWorking[[#This Row],[ShipDate]])</f>
        <v>9</v>
      </c>
      <c r="M2891" s="9">
        <f>IF(COUNTIF(INDEX(RawWorking[OrderID],1):RawWorking[[#This Row],[OrderID]],RawWorking[[#This Row],[OrderID]])=1,1,0)</f>
        <v>1</v>
      </c>
      <c r="N2891" s="4">
        <f>IFERROR(RawWorking[[#This Row],[LineAmount]]/RawWorking[[#This Row],[Quantity]],"")</f>
        <v>121.5</v>
      </c>
    </row>
    <row r="2892" spans="1:14">
      <c r="A2892">
        <v>52891</v>
      </c>
      <c r="B2892">
        <v>31655</v>
      </c>
      <c r="C2892" s="2">
        <v>45872</v>
      </c>
      <c r="D2892">
        <v>2227</v>
      </c>
      <c r="E2892">
        <v>1016</v>
      </c>
      <c r="F2892">
        <v>1</v>
      </c>
      <c r="G2892">
        <v>65.260000000000005</v>
      </c>
      <c r="H2892" s="2">
        <v>45875</v>
      </c>
      <c r="I2892" s="2">
        <v>45881</v>
      </c>
      <c r="J2892" t="s">
        <v>9</v>
      </c>
      <c r="K2892" s="2" t="str">
        <f>IFERROR(INDEX(Product_lookup[Category],MATCH(RawWorking[[#This Row],[ProductID]],Product_lookup[ProductID],0)),"")</f>
        <v>Sports</v>
      </c>
      <c r="L2892" s="9">
        <f>IF(OR(RawWorking[[#This Row],[ShipDate]]="",RawWorking[[#This Row],[DeliveryDate]]=""),"",RawWorking[[#This Row],[DeliveryDate]]-RawWorking[[#This Row],[ShipDate]])</f>
        <v>6</v>
      </c>
      <c r="M2892" s="9">
        <f>IF(COUNTIF(INDEX(RawWorking[OrderID],1):RawWorking[[#This Row],[OrderID]],RawWorking[[#This Row],[OrderID]])=1,1,0)</f>
        <v>1</v>
      </c>
      <c r="N2892" s="4">
        <f>IFERROR(RawWorking[[#This Row],[LineAmount]]/RawWorking[[#This Row],[Quantity]],"")</f>
        <v>65.260000000000005</v>
      </c>
    </row>
    <row r="2893" spans="1:14">
      <c r="A2893">
        <v>52892</v>
      </c>
      <c r="B2893">
        <v>31655</v>
      </c>
      <c r="C2893" s="2">
        <v>45872</v>
      </c>
      <c r="D2893">
        <v>2227</v>
      </c>
      <c r="E2893">
        <v>1012</v>
      </c>
      <c r="F2893">
        <v>1</v>
      </c>
      <c r="G2893">
        <v>241.54</v>
      </c>
      <c r="H2893" s="2">
        <v>45873</v>
      </c>
      <c r="I2893" s="2">
        <v>45879</v>
      </c>
      <c r="J2893" t="s">
        <v>9</v>
      </c>
      <c r="K2893" s="2" t="str">
        <f>IFERROR(INDEX(Product_lookup[Category],MATCH(RawWorking[[#This Row],[ProductID]],Product_lookup[ProductID],0)),"")</f>
        <v>Office</v>
      </c>
      <c r="L2893" s="9">
        <f>IF(OR(RawWorking[[#This Row],[ShipDate]]="",RawWorking[[#This Row],[DeliveryDate]]=""),"",RawWorking[[#This Row],[DeliveryDate]]-RawWorking[[#This Row],[ShipDate]])</f>
        <v>6</v>
      </c>
      <c r="M2893" s="9">
        <f>IF(COUNTIF(INDEX(RawWorking[OrderID],1):RawWorking[[#This Row],[OrderID]],RawWorking[[#This Row],[OrderID]])=1,1,0)</f>
        <v>0</v>
      </c>
      <c r="N2893" s="4">
        <f>IFERROR(RawWorking[[#This Row],[LineAmount]]/RawWorking[[#This Row],[Quantity]],"")</f>
        <v>241.54</v>
      </c>
    </row>
    <row r="2894" spans="1:14">
      <c r="A2894">
        <v>52893</v>
      </c>
      <c r="B2894">
        <v>31656</v>
      </c>
      <c r="C2894" s="2">
        <v>45783</v>
      </c>
      <c r="D2894">
        <v>2038</v>
      </c>
      <c r="E2894">
        <v>1007</v>
      </c>
      <c r="F2894">
        <v>1</v>
      </c>
      <c r="G2894">
        <v>199.81</v>
      </c>
      <c r="H2894" s="2">
        <v>45785</v>
      </c>
      <c r="I2894" s="2">
        <v>45793</v>
      </c>
      <c r="J2894" t="s">
        <v>9</v>
      </c>
      <c r="K2894" s="2" t="str">
        <f>IFERROR(INDEX(Product_lookup[Category],MATCH(RawWorking[[#This Row],[ProductID]],Product_lookup[ProductID],0)),"")</f>
        <v>Home</v>
      </c>
      <c r="L2894" s="9">
        <f>IF(OR(RawWorking[[#This Row],[ShipDate]]="",RawWorking[[#This Row],[DeliveryDate]]=""),"",RawWorking[[#This Row],[DeliveryDate]]-RawWorking[[#This Row],[ShipDate]])</f>
        <v>8</v>
      </c>
      <c r="M2894" s="9">
        <f>IF(COUNTIF(INDEX(RawWorking[OrderID],1):RawWorking[[#This Row],[OrderID]],RawWorking[[#This Row],[OrderID]])=1,1,0)</f>
        <v>1</v>
      </c>
      <c r="N2894" s="4">
        <f>IFERROR(RawWorking[[#This Row],[LineAmount]]/RawWorking[[#This Row],[Quantity]],"")</f>
        <v>199.81</v>
      </c>
    </row>
    <row r="2895" spans="1:14">
      <c r="A2895">
        <v>52894</v>
      </c>
      <c r="B2895">
        <v>31656</v>
      </c>
      <c r="C2895" s="2">
        <v>45783</v>
      </c>
      <c r="D2895">
        <v>2038</v>
      </c>
      <c r="E2895">
        <v>1001</v>
      </c>
      <c r="F2895">
        <v>1</v>
      </c>
      <c r="G2895">
        <v>203.04</v>
      </c>
      <c r="H2895" s="2">
        <v>45785</v>
      </c>
      <c r="I2895" s="2">
        <v>45795</v>
      </c>
      <c r="J2895" t="s">
        <v>9</v>
      </c>
      <c r="K2895" s="2" t="str">
        <f>IFERROR(INDEX(Product_lookup[Category],MATCH(RawWorking[[#This Row],[ProductID]],Product_lookup[ProductID],0)),"")</f>
        <v>Electronics</v>
      </c>
      <c r="L2895" s="9">
        <f>IF(OR(RawWorking[[#This Row],[ShipDate]]="",RawWorking[[#This Row],[DeliveryDate]]=""),"",RawWorking[[#This Row],[DeliveryDate]]-RawWorking[[#This Row],[ShipDate]])</f>
        <v>10</v>
      </c>
      <c r="M2895" s="9">
        <f>IF(COUNTIF(INDEX(RawWorking[OrderID],1):RawWorking[[#This Row],[OrderID]],RawWorking[[#This Row],[OrderID]])=1,1,0)</f>
        <v>0</v>
      </c>
      <c r="N2895" s="4">
        <f>IFERROR(RawWorking[[#This Row],[LineAmount]]/RawWorking[[#This Row],[Quantity]],"")</f>
        <v>203.04</v>
      </c>
    </row>
    <row r="2896" spans="1:14">
      <c r="A2896">
        <v>52895</v>
      </c>
      <c r="B2896">
        <v>31656</v>
      </c>
      <c r="C2896" s="2">
        <v>45783</v>
      </c>
      <c r="D2896">
        <v>2038</v>
      </c>
      <c r="E2896">
        <v>1007</v>
      </c>
      <c r="F2896">
        <v>1</v>
      </c>
      <c r="G2896">
        <v>199.81</v>
      </c>
      <c r="H2896" s="2">
        <v>45784</v>
      </c>
      <c r="I2896" s="2">
        <v>45790</v>
      </c>
      <c r="J2896" t="s">
        <v>9</v>
      </c>
      <c r="K2896" s="2" t="str">
        <f>IFERROR(INDEX(Product_lookup[Category],MATCH(RawWorking[[#This Row],[ProductID]],Product_lookup[ProductID],0)),"")</f>
        <v>Home</v>
      </c>
      <c r="L2896" s="9">
        <f>IF(OR(RawWorking[[#This Row],[ShipDate]]="",RawWorking[[#This Row],[DeliveryDate]]=""),"",RawWorking[[#This Row],[DeliveryDate]]-RawWorking[[#This Row],[ShipDate]])</f>
        <v>6</v>
      </c>
      <c r="M2896" s="9">
        <f>IF(COUNTIF(INDEX(RawWorking[OrderID],1):RawWorking[[#This Row],[OrderID]],RawWorking[[#This Row],[OrderID]])=1,1,0)</f>
        <v>0</v>
      </c>
      <c r="N2896" s="4">
        <f>IFERROR(RawWorking[[#This Row],[LineAmount]]/RawWorking[[#This Row],[Quantity]],"")</f>
        <v>199.81</v>
      </c>
    </row>
    <row r="2897" spans="1:14">
      <c r="A2897">
        <v>52896</v>
      </c>
      <c r="B2897">
        <v>31656</v>
      </c>
      <c r="C2897" s="2">
        <v>45783</v>
      </c>
      <c r="D2897">
        <v>2038</v>
      </c>
      <c r="E2897">
        <v>1013</v>
      </c>
      <c r="F2897">
        <v>1</v>
      </c>
      <c r="G2897">
        <v>170.25</v>
      </c>
      <c r="H2897" s="2">
        <v>45786</v>
      </c>
      <c r="I2897" s="2">
        <v>45796</v>
      </c>
      <c r="J2897" t="s">
        <v>9</v>
      </c>
      <c r="K2897" s="2" t="str">
        <f>IFERROR(INDEX(Product_lookup[Category],MATCH(RawWorking[[#This Row],[ProductID]],Product_lookup[ProductID],0)),"")</f>
        <v>Office</v>
      </c>
      <c r="L2897" s="9">
        <f>IF(OR(RawWorking[[#This Row],[ShipDate]]="",RawWorking[[#This Row],[DeliveryDate]]=""),"",RawWorking[[#This Row],[DeliveryDate]]-RawWorking[[#This Row],[ShipDate]])</f>
        <v>10</v>
      </c>
      <c r="M2897" s="9">
        <f>IF(COUNTIF(INDEX(RawWorking[OrderID],1):RawWorking[[#This Row],[OrderID]],RawWorking[[#This Row],[OrderID]])=1,1,0)</f>
        <v>0</v>
      </c>
      <c r="N2897" s="4">
        <f>IFERROR(RawWorking[[#This Row],[LineAmount]]/RawWorking[[#This Row],[Quantity]],"")</f>
        <v>170.25</v>
      </c>
    </row>
    <row r="2898" spans="1:14">
      <c r="A2898">
        <v>52897</v>
      </c>
      <c r="B2898">
        <v>31657</v>
      </c>
      <c r="C2898" s="2">
        <v>45946</v>
      </c>
      <c r="D2898">
        <v>2114</v>
      </c>
      <c r="E2898">
        <v>1016</v>
      </c>
      <c r="F2898">
        <v>2</v>
      </c>
      <c r="G2898">
        <v>130.52000000000001</v>
      </c>
      <c r="H2898" s="2" t="s">
        <v>1421</v>
      </c>
      <c r="I2898" s="2" t="s">
        <v>1421</v>
      </c>
      <c r="J2898" t="s">
        <v>12</v>
      </c>
      <c r="K2898" s="2" t="str">
        <f>IFERROR(INDEX(Product_lookup[Category],MATCH(RawWorking[[#This Row],[ProductID]],Product_lookup[ProductID],0)),"")</f>
        <v>Sports</v>
      </c>
      <c r="L2898" s="9" t="str">
        <f>IF(OR(RawWorking[[#This Row],[ShipDate]]="",RawWorking[[#This Row],[DeliveryDate]]=""),"",RawWorking[[#This Row],[DeliveryDate]]-RawWorking[[#This Row],[ShipDate]])</f>
        <v/>
      </c>
      <c r="M2898" s="9">
        <f>IF(COUNTIF(INDEX(RawWorking[OrderID],1):RawWorking[[#This Row],[OrderID]],RawWorking[[#This Row],[OrderID]])=1,1,0)</f>
        <v>1</v>
      </c>
      <c r="N2898" s="4">
        <f>IFERROR(RawWorking[[#This Row],[LineAmount]]/RawWorking[[#This Row],[Quantity]],"")</f>
        <v>65.260000000000005</v>
      </c>
    </row>
    <row r="2899" spans="1:14">
      <c r="A2899">
        <v>52898</v>
      </c>
      <c r="B2899">
        <v>31658</v>
      </c>
      <c r="C2899" s="2">
        <v>45868</v>
      </c>
      <c r="D2899">
        <v>2175</v>
      </c>
      <c r="E2899">
        <v>1006</v>
      </c>
      <c r="F2899">
        <v>2</v>
      </c>
      <c r="G2899">
        <v>507.72</v>
      </c>
      <c r="H2899" s="2">
        <v>45869</v>
      </c>
      <c r="I2899" s="2">
        <v>45873</v>
      </c>
      <c r="J2899" t="s">
        <v>9</v>
      </c>
      <c r="K2899" s="2" t="str">
        <f>IFERROR(INDEX(Product_lookup[Category],MATCH(RawWorking[[#This Row],[ProductID]],Product_lookup[ProductID],0)),"")</f>
        <v>Home</v>
      </c>
      <c r="L2899" s="9">
        <f>IF(OR(RawWorking[[#This Row],[ShipDate]]="",RawWorking[[#This Row],[DeliveryDate]]=""),"",RawWorking[[#This Row],[DeliveryDate]]-RawWorking[[#This Row],[ShipDate]])</f>
        <v>4</v>
      </c>
      <c r="M2899" s="9">
        <f>IF(COUNTIF(INDEX(RawWorking[OrderID],1):RawWorking[[#This Row],[OrderID]],RawWorking[[#This Row],[OrderID]])=1,1,0)</f>
        <v>1</v>
      </c>
      <c r="N2899" s="4">
        <f>IFERROR(RawWorking[[#This Row],[LineAmount]]/RawWorking[[#This Row],[Quantity]],"")</f>
        <v>253.86</v>
      </c>
    </row>
    <row r="2900" spans="1:14">
      <c r="A2900">
        <v>52899</v>
      </c>
      <c r="B2900">
        <v>31658</v>
      </c>
      <c r="C2900" s="2">
        <v>45868</v>
      </c>
      <c r="D2900">
        <v>2175</v>
      </c>
      <c r="E2900">
        <v>1003</v>
      </c>
      <c r="F2900">
        <v>2</v>
      </c>
      <c r="G2900">
        <v>448.74</v>
      </c>
      <c r="H2900" s="2">
        <v>45869</v>
      </c>
      <c r="I2900" s="2">
        <v>45873</v>
      </c>
      <c r="J2900" t="s">
        <v>9</v>
      </c>
      <c r="K2900" s="2" t="str">
        <f>IFERROR(INDEX(Product_lookup[Category],MATCH(RawWorking[[#This Row],[ProductID]],Product_lookup[ProductID],0)),"")</f>
        <v>Electronics</v>
      </c>
      <c r="L2900" s="9">
        <f>IF(OR(RawWorking[[#This Row],[ShipDate]]="",RawWorking[[#This Row],[DeliveryDate]]=""),"",RawWorking[[#This Row],[DeliveryDate]]-RawWorking[[#This Row],[ShipDate]])</f>
        <v>4</v>
      </c>
      <c r="M2900" s="9">
        <f>IF(COUNTIF(INDEX(RawWorking[OrderID],1):RawWorking[[#This Row],[OrderID]],RawWorking[[#This Row],[OrderID]])=1,1,0)</f>
        <v>0</v>
      </c>
      <c r="N2900" s="4">
        <f>IFERROR(RawWorking[[#This Row],[LineAmount]]/RawWorking[[#This Row],[Quantity]],"")</f>
        <v>224.37</v>
      </c>
    </row>
    <row r="2901" spans="1:14">
      <c r="A2901">
        <v>52900</v>
      </c>
      <c r="B2901">
        <v>31658</v>
      </c>
      <c r="C2901" s="2">
        <v>45868</v>
      </c>
      <c r="D2901">
        <v>2175</v>
      </c>
      <c r="E2901">
        <v>1005</v>
      </c>
      <c r="F2901">
        <v>1</v>
      </c>
      <c r="G2901">
        <v>31.73</v>
      </c>
      <c r="H2901" s="2">
        <v>45870</v>
      </c>
      <c r="I2901" s="2">
        <v>45873</v>
      </c>
      <c r="J2901" t="s">
        <v>9</v>
      </c>
      <c r="K2901" s="2" t="str">
        <f>IFERROR(INDEX(Product_lookup[Category],MATCH(RawWorking[[#This Row],[ProductID]],Product_lookup[ProductID],0)),"")</f>
        <v>Electronics</v>
      </c>
      <c r="L2901" s="9">
        <f>IF(OR(RawWorking[[#This Row],[ShipDate]]="",RawWorking[[#This Row],[DeliveryDate]]=""),"",RawWorking[[#This Row],[DeliveryDate]]-RawWorking[[#This Row],[ShipDate]])</f>
        <v>3</v>
      </c>
      <c r="M2901" s="9">
        <f>IF(COUNTIF(INDEX(RawWorking[OrderID],1):RawWorking[[#This Row],[OrderID]],RawWorking[[#This Row],[OrderID]])=1,1,0)</f>
        <v>0</v>
      </c>
      <c r="N2901" s="4">
        <f>IFERROR(RawWorking[[#This Row],[LineAmount]]/RawWorking[[#This Row],[Quantity]],"")</f>
        <v>31.73</v>
      </c>
    </row>
    <row r="2902" spans="1:14">
      <c r="A2902">
        <v>52901</v>
      </c>
      <c r="B2902">
        <v>31658</v>
      </c>
      <c r="C2902" s="2">
        <v>45868</v>
      </c>
      <c r="D2902">
        <v>2175</v>
      </c>
      <c r="E2902">
        <v>1003</v>
      </c>
      <c r="F2902">
        <v>2</v>
      </c>
      <c r="G2902">
        <v>448.74</v>
      </c>
      <c r="H2902" s="2">
        <v>45869</v>
      </c>
      <c r="I2902" s="2">
        <v>45873</v>
      </c>
      <c r="J2902" t="s">
        <v>9</v>
      </c>
      <c r="K2902" s="2" t="str">
        <f>IFERROR(INDEX(Product_lookup[Category],MATCH(RawWorking[[#This Row],[ProductID]],Product_lookup[ProductID],0)),"")</f>
        <v>Electronics</v>
      </c>
      <c r="L2902" s="9">
        <f>IF(OR(RawWorking[[#This Row],[ShipDate]]="",RawWorking[[#This Row],[DeliveryDate]]=""),"",RawWorking[[#This Row],[DeliveryDate]]-RawWorking[[#This Row],[ShipDate]])</f>
        <v>4</v>
      </c>
      <c r="M2902" s="9">
        <f>IF(COUNTIF(INDEX(RawWorking[OrderID],1):RawWorking[[#This Row],[OrderID]],RawWorking[[#This Row],[OrderID]])=1,1,0)</f>
        <v>0</v>
      </c>
      <c r="N2902" s="4">
        <f>IFERROR(RawWorking[[#This Row],[LineAmount]]/RawWorking[[#This Row],[Quantity]],"")</f>
        <v>224.37</v>
      </c>
    </row>
    <row r="2903" spans="1:14">
      <c r="A2903">
        <v>52902</v>
      </c>
      <c r="B2903">
        <v>31659</v>
      </c>
      <c r="C2903" s="2">
        <v>45928</v>
      </c>
      <c r="D2903">
        <v>2131</v>
      </c>
      <c r="E2903">
        <v>1008</v>
      </c>
      <c r="F2903">
        <v>3</v>
      </c>
      <c r="G2903">
        <v>618.27</v>
      </c>
      <c r="H2903" s="2">
        <v>45930</v>
      </c>
      <c r="I2903" s="2">
        <v>45933</v>
      </c>
      <c r="J2903" t="s">
        <v>9</v>
      </c>
      <c r="K2903" s="2" t="str">
        <f>IFERROR(INDEX(Product_lookup[Category],MATCH(RawWorking[[#This Row],[ProductID]],Product_lookup[ProductID],0)),"")</f>
        <v>Home</v>
      </c>
      <c r="L2903" s="9">
        <f>IF(OR(RawWorking[[#This Row],[ShipDate]]="",RawWorking[[#This Row],[DeliveryDate]]=""),"",RawWorking[[#This Row],[DeliveryDate]]-RawWorking[[#This Row],[ShipDate]])</f>
        <v>3</v>
      </c>
      <c r="M2903" s="9">
        <f>IF(COUNTIF(INDEX(RawWorking[OrderID],1):RawWorking[[#This Row],[OrderID]],RawWorking[[#This Row],[OrderID]])=1,1,0)</f>
        <v>1</v>
      </c>
      <c r="N2903" s="4">
        <f>IFERROR(RawWorking[[#This Row],[LineAmount]]/RawWorking[[#This Row],[Quantity]],"")</f>
        <v>206.09</v>
      </c>
    </row>
    <row r="2904" spans="1:14">
      <c r="A2904">
        <v>52903</v>
      </c>
      <c r="B2904">
        <v>31660</v>
      </c>
      <c r="C2904" s="2">
        <v>45919</v>
      </c>
      <c r="D2904">
        <v>2536</v>
      </c>
      <c r="E2904">
        <v>1009</v>
      </c>
      <c r="F2904">
        <v>1</v>
      </c>
      <c r="G2904">
        <v>40.28</v>
      </c>
      <c r="H2904" s="2">
        <v>45920</v>
      </c>
      <c r="I2904" s="2">
        <v>45921</v>
      </c>
      <c r="J2904" t="s">
        <v>9</v>
      </c>
      <c r="K2904" s="2" t="str">
        <f>IFERROR(INDEX(Product_lookup[Category],MATCH(RawWorking[[#This Row],[ProductID]],Product_lookup[ProductID],0)),"")</f>
        <v>Home</v>
      </c>
      <c r="L2904" s="9">
        <f>IF(OR(RawWorking[[#This Row],[ShipDate]]="",RawWorking[[#This Row],[DeliveryDate]]=""),"",RawWorking[[#This Row],[DeliveryDate]]-RawWorking[[#This Row],[ShipDate]])</f>
        <v>1</v>
      </c>
      <c r="M2904" s="9">
        <f>IF(COUNTIF(INDEX(RawWorking[OrderID],1):RawWorking[[#This Row],[OrderID]],RawWorking[[#This Row],[OrderID]])=1,1,0)</f>
        <v>1</v>
      </c>
      <c r="N2904" s="4">
        <f>IFERROR(RawWorking[[#This Row],[LineAmount]]/RawWorking[[#This Row],[Quantity]],"")</f>
        <v>40.28</v>
      </c>
    </row>
    <row r="2905" spans="1:14">
      <c r="A2905">
        <v>52904</v>
      </c>
      <c r="B2905">
        <v>31660</v>
      </c>
      <c r="C2905" s="2">
        <v>45919</v>
      </c>
      <c r="D2905">
        <v>2536</v>
      </c>
      <c r="E2905">
        <v>1007</v>
      </c>
      <c r="F2905">
        <v>1</v>
      </c>
      <c r="G2905">
        <v>199.81</v>
      </c>
      <c r="H2905" s="2">
        <v>45920</v>
      </c>
      <c r="I2905" s="2">
        <v>45930</v>
      </c>
      <c r="J2905" t="s">
        <v>9</v>
      </c>
      <c r="K2905" s="2" t="str">
        <f>IFERROR(INDEX(Product_lookup[Category],MATCH(RawWorking[[#This Row],[ProductID]],Product_lookup[ProductID],0)),"")</f>
        <v>Home</v>
      </c>
      <c r="L2905" s="9">
        <f>IF(OR(RawWorking[[#This Row],[ShipDate]]="",RawWorking[[#This Row],[DeliveryDate]]=""),"",RawWorking[[#This Row],[DeliveryDate]]-RawWorking[[#This Row],[ShipDate]])</f>
        <v>10</v>
      </c>
      <c r="M2905" s="9">
        <f>IF(COUNTIF(INDEX(RawWorking[OrderID],1):RawWorking[[#This Row],[OrderID]],RawWorking[[#This Row],[OrderID]])=1,1,0)</f>
        <v>0</v>
      </c>
      <c r="N2905" s="4">
        <f>IFERROR(RawWorking[[#This Row],[LineAmount]]/RawWorking[[#This Row],[Quantity]],"")</f>
        <v>199.81</v>
      </c>
    </row>
    <row r="2906" spans="1:14">
      <c r="A2906">
        <v>52905</v>
      </c>
      <c r="B2906">
        <v>31661</v>
      </c>
      <c r="C2906" s="2">
        <v>45762</v>
      </c>
      <c r="D2906">
        <v>2024</v>
      </c>
      <c r="E2906">
        <v>1009</v>
      </c>
      <c r="F2906">
        <v>2</v>
      </c>
      <c r="G2906">
        <v>80.56</v>
      </c>
      <c r="H2906" s="2">
        <v>45763</v>
      </c>
      <c r="I2906" s="2">
        <v>45769</v>
      </c>
      <c r="J2906" t="s">
        <v>11</v>
      </c>
      <c r="K2906" s="2" t="str">
        <f>IFERROR(INDEX(Product_lookup[Category],MATCH(RawWorking[[#This Row],[ProductID]],Product_lookup[ProductID],0)),"")</f>
        <v>Home</v>
      </c>
      <c r="L2906" s="9">
        <f>IF(OR(RawWorking[[#This Row],[ShipDate]]="",RawWorking[[#This Row],[DeliveryDate]]=""),"",RawWorking[[#This Row],[DeliveryDate]]-RawWorking[[#This Row],[ShipDate]])</f>
        <v>6</v>
      </c>
      <c r="M2906" s="9">
        <f>IF(COUNTIF(INDEX(RawWorking[OrderID],1):RawWorking[[#This Row],[OrderID]],RawWorking[[#This Row],[OrderID]])=1,1,0)</f>
        <v>1</v>
      </c>
      <c r="N2906" s="4">
        <f>IFERROR(RawWorking[[#This Row],[LineAmount]]/RawWorking[[#This Row],[Quantity]],"")</f>
        <v>40.28</v>
      </c>
    </row>
    <row r="2907" spans="1:14">
      <c r="A2907">
        <v>52906</v>
      </c>
      <c r="B2907">
        <v>31662</v>
      </c>
      <c r="C2907" s="2">
        <v>45847</v>
      </c>
      <c r="D2907">
        <v>2574</v>
      </c>
      <c r="E2907">
        <v>1001</v>
      </c>
      <c r="F2907">
        <v>1</v>
      </c>
      <c r="G2907">
        <v>203.04</v>
      </c>
      <c r="H2907" s="2" t="s">
        <v>1421</v>
      </c>
      <c r="I2907" s="2" t="s">
        <v>1421</v>
      </c>
      <c r="J2907" t="s">
        <v>12</v>
      </c>
      <c r="K2907" s="2" t="str">
        <f>IFERROR(INDEX(Product_lookup[Category],MATCH(RawWorking[[#This Row],[ProductID]],Product_lookup[ProductID],0)),"")</f>
        <v>Electronics</v>
      </c>
      <c r="L2907" s="9" t="str">
        <f>IF(OR(RawWorking[[#This Row],[ShipDate]]="",RawWorking[[#This Row],[DeliveryDate]]=""),"",RawWorking[[#This Row],[DeliveryDate]]-RawWorking[[#This Row],[ShipDate]])</f>
        <v/>
      </c>
      <c r="M2907" s="9">
        <f>IF(COUNTIF(INDEX(RawWorking[OrderID],1):RawWorking[[#This Row],[OrderID]],RawWorking[[#This Row],[OrderID]])=1,1,0)</f>
        <v>1</v>
      </c>
      <c r="N2907" s="4">
        <f>IFERROR(RawWorking[[#This Row],[LineAmount]]/RawWorking[[#This Row],[Quantity]],"")</f>
        <v>203.04</v>
      </c>
    </row>
    <row r="2908" spans="1:14">
      <c r="A2908">
        <v>52907</v>
      </c>
      <c r="B2908">
        <v>31662</v>
      </c>
      <c r="C2908" s="2">
        <v>45847</v>
      </c>
      <c r="D2908">
        <v>2574</v>
      </c>
      <c r="E2908">
        <v>1014</v>
      </c>
      <c r="F2908">
        <v>1</v>
      </c>
      <c r="G2908">
        <v>215.34</v>
      </c>
      <c r="H2908" s="2" t="s">
        <v>1421</v>
      </c>
      <c r="I2908" s="2" t="s">
        <v>1421</v>
      </c>
      <c r="J2908" t="s">
        <v>12</v>
      </c>
      <c r="K2908" s="2" t="str">
        <f>IFERROR(INDEX(Product_lookup[Category],MATCH(RawWorking[[#This Row],[ProductID]],Product_lookup[ProductID],0)),"")</f>
        <v>Sports</v>
      </c>
      <c r="L2908" s="9" t="str">
        <f>IF(OR(RawWorking[[#This Row],[ShipDate]]="",RawWorking[[#This Row],[DeliveryDate]]=""),"",RawWorking[[#This Row],[DeliveryDate]]-RawWorking[[#This Row],[ShipDate]])</f>
        <v/>
      </c>
      <c r="M2908" s="9">
        <f>IF(COUNTIF(INDEX(RawWorking[OrderID],1):RawWorking[[#This Row],[OrderID]],RawWorking[[#This Row],[OrderID]])=1,1,0)</f>
        <v>0</v>
      </c>
      <c r="N2908" s="4">
        <f>IFERROR(RawWorking[[#This Row],[LineAmount]]/RawWorking[[#This Row],[Quantity]],"")</f>
        <v>215.34</v>
      </c>
    </row>
    <row r="2909" spans="1:14">
      <c r="A2909">
        <v>52908</v>
      </c>
      <c r="B2909">
        <v>31663</v>
      </c>
      <c r="C2909" s="2">
        <v>45964</v>
      </c>
      <c r="D2909">
        <v>2054</v>
      </c>
      <c r="E2909">
        <v>1011</v>
      </c>
      <c r="F2909">
        <v>1</v>
      </c>
      <c r="G2909">
        <v>101.44</v>
      </c>
      <c r="H2909" s="2" t="s">
        <v>1421</v>
      </c>
      <c r="I2909" s="2" t="s">
        <v>1421</v>
      </c>
      <c r="J2909" t="s">
        <v>16</v>
      </c>
      <c r="K2909" s="2" t="str">
        <f>IFERROR(INDEX(Product_lookup[Category],MATCH(RawWorking[[#This Row],[ProductID]],Product_lookup[ProductID],0)),"")</f>
        <v>Office</v>
      </c>
      <c r="L2909" s="9" t="str">
        <f>IF(OR(RawWorking[[#This Row],[ShipDate]]="",RawWorking[[#This Row],[DeliveryDate]]=""),"",RawWorking[[#This Row],[DeliveryDate]]-RawWorking[[#This Row],[ShipDate]])</f>
        <v/>
      </c>
      <c r="M2909" s="9">
        <f>IF(COUNTIF(INDEX(RawWorking[OrderID],1):RawWorking[[#This Row],[OrderID]],RawWorking[[#This Row],[OrderID]])=1,1,0)</f>
        <v>1</v>
      </c>
      <c r="N2909" s="4">
        <f>IFERROR(RawWorking[[#This Row],[LineAmount]]/RawWorking[[#This Row],[Quantity]],"")</f>
        <v>101.44</v>
      </c>
    </row>
    <row r="2910" spans="1:14">
      <c r="A2910">
        <v>52909</v>
      </c>
      <c r="B2910">
        <v>31663</v>
      </c>
      <c r="C2910" s="2">
        <v>45727</v>
      </c>
      <c r="D2910">
        <v>2054</v>
      </c>
      <c r="E2910">
        <v>1014</v>
      </c>
      <c r="F2910">
        <v>1</v>
      </c>
      <c r="G2910">
        <v>215.34</v>
      </c>
      <c r="H2910" s="2" t="s">
        <v>1421</v>
      </c>
      <c r="I2910" s="2" t="s">
        <v>1421</v>
      </c>
      <c r="J2910" t="s">
        <v>16</v>
      </c>
      <c r="K2910" s="2" t="str">
        <f>IFERROR(INDEX(Product_lookup[Category],MATCH(RawWorking[[#This Row],[ProductID]],Product_lookup[ProductID],0)),"")</f>
        <v>Sports</v>
      </c>
      <c r="L2910" s="9" t="str">
        <f>IF(OR(RawWorking[[#This Row],[ShipDate]]="",RawWorking[[#This Row],[DeliveryDate]]=""),"",RawWorking[[#This Row],[DeliveryDate]]-RawWorking[[#This Row],[ShipDate]])</f>
        <v/>
      </c>
      <c r="M2910" s="9">
        <f>IF(COUNTIF(INDEX(RawWorking[OrderID],1):RawWorking[[#This Row],[OrderID]],RawWorking[[#This Row],[OrderID]])=1,1,0)</f>
        <v>0</v>
      </c>
      <c r="N2910" s="4">
        <f>IFERROR(RawWorking[[#This Row],[LineAmount]]/RawWorking[[#This Row],[Quantity]],"")</f>
        <v>215.34</v>
      </c>
    </row>
    <row r="2911" spans="1:14">
      <c r="A2911">
        <v>52910</v>
      </c>
      <c r="B2911">
        <v>31664</v>
      </c>
      <c r="C2911" s="2">
        <v>45928</v>
      </c>
      <c r="D2911">
        <v>2531</v>
      </c>
      <c r="E2911">
        <v>1012</v>
      </c>
      <c r="F2911">
        <v>2</v>
      </c>
      <c r="G2911">
        <v>483.08</v>
      </c>
      <c r="H2911" s="2">
        <v>45931</v>
      </c>
      <c r="I2911" s="2">
        <v>45940</v>
      </c>
      <c r="J2911" t="s">
        <v>9</v>
      </c>
      <c r="K2911" s="2" t="str">
        <f>IFERROR(INDEX(Product_lookup[Category],MATCH(RawWorking[[#This Row],[ProductID]],Product_lookup[ProductID],0)),"")</f>
        <v>Office</v>
      </c>
      <c r="L2911" s="9">
        <f>IF(OR(RawWorking[[#This Row],[ShipDate]]="",RawWorking[[#This Row],[DeliveryDate]]=""),"",RawWorking[[#This Row],[DeliveryDate]]-RawWorking[[#This Row],[ShipDate]])</f>
        <v>9</v>
      </c>
      <c r="M2911" s="9">
        <f>IF(COUNTIF(INDEX(RawWorking[OrderID],1):RawWorking[[#This Row],[OrderID]],RawWorking[[#This Row],[OrderID]])=1,1,0)</f>
        <v>1</v>
      </c>
      <c r="N2911" s="4">
        <f>IFERROR(RawWorking[[#This Row],[LineAmount]]/RawWorking[[#This Row],[Quantity]],"")</f>
        <v>241.54</v>
      </c>
    </row>
    <row r="2912" spans="1:14">
      <c r="A2912">
        <v>52911</v>
      </c>
      <c r="B2912">
        <v>31664</v>
      </c>
      <c r="C2912" s="2">
        <v>45928</v>
      </c>
      <c r="D2912">
        <v>2531</v>
      </c>
      <c r="E2912">
        <v>1002</v>
      </c>
      <c r="F2912">
        <v>1</v>
      </c>
      <c r="G2912">
        <v>118.6</v>
      </c>
      <c r="H2912" s="2">
        <v>45929</v>
      </c>
      <c r="I2912" s="2">
        <v>45938</v>
      </c>
      <c r="J2912" t="s">
        <v>9</v>
      </c>
      <c r="K2912" s="2" t="str">
        <f>IFERROR(INDEX(Product_lookup[Category],MATCH(RawWorking[[#This Row],[ProductID]],Product_lookup[ProductID],0)),"")</f>
        <v>Electronics</v>
      </c>
      <c r="L2912" s="9">
        <f>IF(OR(RawWorking[[#This Row],[ShipDate]]="",RawWorking[[#This Row],[DeliveryDate]]=""),"",RawWorking[[#This Row],[DeliveryDate]]-RawWorking[[#This Row],[ShipDate]])</f>
        <v>9</v>
      </c>
      <c r="M2912" s="9">
        <f>IF(COUNTIF(INDEX(RawWorking[OrderID],1):RawWorking[[#This Row],[OrderID]],RawWorking[[#This Row],[OrderID]])=1,1,0)</f>
        <v>0</v>
      </c>
      <c r="N2912" s="4">
        <f>IFERROR(RawWorking[[#This Row],[LineAmount]]/RawWorking[[#This Row],[Quantity]],"")</f>
        <v>118.6</v>
      </c>
    </row>
    <row r="2913" spans="1:14">
      <c r="A2913">
        <v>52912</v>
      </c>
      <c r="B2913">
        <v>31665</v>
      </c>
      <c r="C2913" s="2">
        <v>45840</v>
      </c>
      <c r="D2913">
        <v>2230</v>
      </c>
      <c r="E2913">
        <v>1014</v>
      </c>
      <c r="F2913">
        <v>1</v>
      </c>
      <c r="G2913">
        <v>215.34</v>
      </c>
      <c r="H2913" s="2">
        <v>45841</v>
      </c>
      <c r="I2913" s="2">
        <v>45842</v>
      </c>
      <c r="J2913" t="s">
        <v>9</v>
      </c>
      <c r="K2913" s="2" t="str">
        <f>IFERROR(INDEX(Product_lookup[Category],MATCH(RawWorking[[#This Row],[ProductID]],Product_lookup[ProductID],0)),"")</f>
        <v>Sports</v>
      </c>
      <c r="L2913" s="9">
        <f>IF(OR(RawWorking[[#This Row],[ShipDate]]="",RawWorking[[#This Row],[DeliveryDate]]=""),"",RawWorking[[#This Row],[DeliveryDate]]-RawWorking[[#This Row],[ShipDate]])</f>
        <v>1</v>
      </c>
      <c r="M2913" s="9">
        <f>IF(COUNTIF(INDEX(RawWorking[OrderID],1):RawWorking[[#This Row],[OrderID]],RawWorking[[#This Row],[OrderID]])=1,1,0)</f>
        <v>1</v>
      </c>
      <c r="N2913" s="4">
        <f>IFERROR(RawWorking[[#This Row],[LineAmount]]/RawWorking[[#This Row],[Quantity]],"")</f>
        <v>215.34</v>
      </c>
    </row>
    <row r="2914" spans="1:14">
      <c r="A2914">
        <v>52913</v>
      </c>
      <c r="B2914">
        <v>31665</v>
      </c>
      <c r="C2914" s="2">
        <v>45840</v>
      </c>
      <c r="D2914">
        <v>2230</v>
      </c>
      <c r="E2914">
        <v>1015</v>
      </c>
      <c r="F2914">
        <v>1</v>
      </c>
      <c r="G2914">
        <v>119.74</v>
      </c>
      <c r="H2914" s="2">
        <v>45843</v>
      </c>
      <c r="I2914" s="2">
        <v>45968</v>
      </c>
      <c r="J2914" t="s">
        <v>9</v>
      </c>
      <c r="K2914" s="2" t="str">
        <f>IFERROR(INDEX(Product_lookup[Category],MATCH(RawWorking[[#This Row],[ProductID]],Product_lookup[ProductID],0)),"")</f>
        <v>Sports</v>
      </c>
      <c r="L2914" s="9">
        <f>IF(OR(RawWorking[[#This Row],[ShipDate]]="",RawWorking[[#This Row],[DeliveryDate]]=""),"",RawWorking[[#This Row],[DeliveryDate]]-RawWorking[[#This Row],[ShipDate]])</f>
        <v>125</v>
      </c>
      <c r="M2914" s="9">
        <f>IF(COUNTIF(INDEX(RawWorking[OrderID],1):RawWorking[[#This Row],[OrderID]],RawWorking[[#This Row],[OrderID]])=1,1,0)</f>
        <v>0</v>
      </c>
      <c r="N2914" s="4">
        <f>IFERROR(RawWorking[[#This Row],[LineAmount]]/RawWorking[[#This Row],[Quantity]],"")</f>
        <v>119.74</v>
      </c>
    </row>
    <row r="2915" spans="1:14">
      <c r="A2915">
        <v>52914</v>
      </c>
      <c r="B2915">
        <v>31666</v>
      </c>
      <c r="C2915" s="2">
        <v>45878</v>
      </c>
      <c r="D2915">
        <v>2324</v>
      </c>
      <c r="E2915">
        <v>1007</v>
      </c>
      <c r="F2915">
        <v>1</v>
      </c>
      <c r="G2915">
        <v>199.81</v>
      </c>
      <c r="H2915" s="2">
        <v>45911</v>
      </c>
      <c r="I2915" s="2">
        <v>45921</v>
      </c>
      <c r="J2915" t="s">
        <v>9</v>
      </c>
      <c r="K2915" s="2" t="str">
        <f>IFERROR(INDEX(Product_lookup[Category],MATCH(RawWorking[[#This Row],[ProductID]],Product_lookup[ProductID],0)),"")</f>
        <v>Home</v>
      </c>
      <c r="L2915" s="9">
        <f>IF(OR(RawWorking[[#This Row],[ShipDate]]="",RawWorking[[#This Row],[DeliveryDate]]=""),"",RawWorking[[#This Row],[DeliveryDate]]-RawWorking[[#This Row],[ShipDate]])</f>
        <v>10</v>
      </c>
      <c r="M2915" s="9">
        <f>IF(COUNTIF(INDEX(RawWorking[OrderID],1):RawWorking[[#This Row],[OrderID]],RawWorking[[#This Row],[OrderID]])=1,1,0)</f>
        <v>1</v>
      </c>
      <c r="N2915" s="4">
        <f>IFERROR(RawWorking[[#This Row],[LineAmount]]/RawWorking[[#This Row],[Quantity]],"")</f>
        <v>199.81</v>
      </c>
    </row>
    <row r="2916" spans="1:14">
      <c r="A2916">
        <v>52915</v>
      </c>
      <c r="B2916">
        <v>31667</v>
      </c>
      <c r="C2916" s="2">
        <v>45753</v>
      </c>
      <c r="D2916">
        <v>2343</v>
      </c>
      <c r="E2916">
        <v>1001</v>
      </c>
      <c r="F2916">
        <v>1</v>
      </c>
      <c r="G2916">
        <v>203.04</v>
      </c>
      <c r="H2916" s="2">
        <v>45756</v>
      </c>
      <c r="I2916" s="2">
        <v>45965</v>
      </c>
      <c r="J2916" t="s">
        <v>9</v>
      </c>
      <c r="K2916" s="2" t="str">
        <f>IFERROR(INDEX(Product_lookup[Category],MATCH(RawWorking[[#This Row],[ProductID]],Product_lookup[ProductID],0)),"")</f>
        <v>Electronics</v>
      </c>
      <c r="L2916" s="9">
        <f>IF(OR(RawWorking[[#This Row],[ShipDate]]="",RawWorking[[#This Row],[DeliveryDate]]=""),"",RawWorking[[#This Row],[DeliveryDate]]-RawWorking[[#This Row],[ShipDate]])</f>
        <v>209</v>
      </c>
      <c r="M2916" s="9">
        <f>IF(COUNTIF(INDEX(RawWorking[OrderID],1):RawWorking[[#This Row],[OrderID]],RawWorking[[#This Row],[OrderID]])=1,1,0)</f>
        <v>1</v>
      </c>
      <c r="N2916" s="4">
        <f>IFERROR(RawWorking[[#This Row],[LineAmount]]/RawWorking[[#This Row],[Quantity]],"")</f>
        <v>203.04</v>
      </c>
    </row>
    <row r="2917" spans="1:14">
      <c r="A2917">
        <v>52916</v>
      </c>
      <c r="B2917">
        <v>31668</v>
      </c>
      <c r="C2917" s="2">
        <v>45671</v>
      </c>
      <c r="D2917">
        <v>2232</v>
      </c>
      <c r="E2917">
        <v>1014</v>
      </c>
      <c r="F2917">
        <v>4</v>
      </c>
      <c r="G2917">
        <v>861.36</v>
      </c>
      <c r="H2917" s="2">
        <v>45673</v>
      </c>
      <c r="I2917" s="2">
        <v>45679</v>
      </c>
      <c r="J2917" t="s">
        <v>11</v>
      </c>
      <c r="K2917" s="2" t="str">
        <f>IFERROR(INDEX(Product_lookup[Category],MATCH(RawWorking[[#This Row],[ProductID]],Product_lookup[ProductID],0)),"")</f>
        <v>Sports</v>
      </c>
      <c r="L2917" s="9">
        <f>IF(OR(RawWorking[[#This Row],[ShipDate]]="",RawWorking[[#This Row],[DeliveryDate]]=""),"",RawWorking[[#This Row],[DeliveryDate]]-RawWorking[[#This Row],[ShipDate]])</f>
        <v>6</v>
      </c>
      <c r="M2917" s="9">
        <f>IF(COUNTIF(INDEX(RawWorking[OrderID],1):RawWorking[[#This Row],[OrderID]],RawWorking[[#This Row],[OrderID]])=1,1,0)</f>
        <v>1</v>
      </c>
      <c r="N2917" s="4">
        <f>IFERROR(RawWorking[[#This Row],[LineAmount]]/RawWorking[[#This Row],[Quantity]],"")</f>
        <v>215.34</v>
      </c>
    </row>
    <row r="2918" spans="1:14">
      <c r="A2918">
        <v>52917</v>
      </c>
      <c r="B2918">
        <v>31668</v>
      </c>
      <c r="C2918" s="2">
        <v>45671</v>
      </c>
      <c r="D2918">
        <v>2232</v>
      </c>
      <c r="E2918">
        <v>1003</v>
      </c>
      <c r="F2918">
        <v>1</v>
      </c>
      <c r="G2918">
        <v>224.37</v>
      </c>
      <c r="H2918" s="2">
        <v>45674</v>
      </c>
      <c r="I2918" s="2">
        <v>45679</v>
      </c>
      <c r="J2918" t="s">
        <v>11</v>
      </c>
      <c r="K2918" s="2" t="str">
        <f>IFERROR(INDEX(Product_lookup[Category],MATCH(RawWorking[[#This Row],[ProductID]],Product_lookup[ProductID],0)),"")</f>
        <v>Electronics</v>
      </c>
      <c r="L2918" s="9">
        <f>IF(OR(RawWorking[[#This Row],[ShipDate]]="",RawWorking[[#This Row],[DeliveryDate]]=""),"",RawWorking[[#This Row],[DeliveryDate]]-RawWorking[[#This Row],[ShipDate]])</f>
        <v>5</v>
      </c>
      <c r="M2918" s="9">
        <f>IF(COUNTIF(INDEX(RawWorking[OrderID],1):RawWorking[[#This Row],[OrderID]],RawWorking[[#This Row],[OrderID]])=1,1,0)</f>
        <v>0</v>
      </c>
      <c r="N2918" s="4">
        <f>IFERROR(RawWorking[[#This Row],[LineAmount]]/RawWorking[[#This Row],[Quantity]],"")</f>
        <v>224.37</v>
      </c>
    </row>
    <row r="2919" spans="1:14">
      <c r="A2919">
        <v>52918</v>
      </c>
      <c r="B2919">
        <v>31669</v>
      </c>
      <c r="C2919" s="2">
        <v>45668</v>
      </c>
      <c r="D2919">
        <v>2256</v>
      </c>
      <c r="E2919">
        <v>1011</v>
      </c>
      <c r="F2919">
        <v>2</v>
      </c>
      <c r="G2919">
        <v>202.88</v>
      </c>
      <c r="H2919" s="2">
        <v>45669</v>
      </c>
      <c r="I2919" s="2">
        <v>45670</v>
      </c>
      <c r="J2919" t="s">
        <v>9</v>
      </c>
      <c r="K2919" s="2" t="str">
        <f>IFERROR(INDEX(Product_lookup[Category],MATCH(RawWorking[[#This Row],[ProductID]],Product_lookup[ProductID],0)),"")</f>
        <v>Office</v>
      </c>
      <c r="L2919" s="9">
        <f>IF(OR(RawWorking[[#This Row],[ShipDate]]="",RawWorking[[#This Row],[DeliveryDate]]=""),"",RawWorking[[#This Row],[DeliveryDate]]-RawWorking[[#This Row],[ShipDate]])</f>
        <v>1</v>
      </c>
      <c r="M2919" s="9">
        <f>IF(COUNTIF(INDEX(RawWorking[OrderID],1):RawWorking[[#This Row],[OrderID]],RawWorking[[#This Row],[OrderID]])=1,1,0)</f>
        <v>1</v>
      </c>
      <c r="N2919" s="4">
        <f>IFERROR(RawWorking[[#This Row],[LineAmount]]/RawWorking[[#This Row],[Quantity]],"")</f>
        <v>101.44</v>
      </c>
    </row>
    <row r="2920" spans="1:14">
      <c r="A2920">
        <v>52919</v>
      </c>
      <c r="B2920">
        <v>31670</v>
      </c>
      <c r="C2920" s="2">
        <v>45897</v>
      </c>
      <c r="D2920">
        <v>2319</v>
      </c>
      <c r="E2920">
        <v>1004</v>
      </c>
      <c r="F2920">
        <v>1</v>
      </c>
      <c r="G2920">
        <v>183.74</v>
      </c>
      <c r="H2920" s="2">
        <v>45899</v>
      </c>
      <c r="I2920" s="2">
        <v>45902</v>
      </c>
      <c r="J2920" t="s">
        <v>9</v>
      </c>
      <c r="K2920" s="2" t="str">
        <f>IFERROR(INDEX(Product_lookup[Category],MATCH(RawWorking[[#This Row],[ProductID]],Product_lookup[ProductID],0)),"")</f>
        <v>Electronics</v>
      </c>
      <c r="L2920" s="9">
        <f>IF(OR(RawWorking[[#This Row],[ShipDate]]="",RawWorking[[#This Row],[DeliveryDate]]=""),"",RawWorking[[#This Row],[DeliveryDate]]-RawWorking[[#This Row],[ShipDate]])</f>
        <v>3</v>
      </c>
      <c r="M2920" s="9">
        <f>IF(COUNTIF(INDEX(RawWorking[OrderID],1):RawWorking[[#This Row],[OrderID]],RawWorking[[#This Row],[OrderID]])=1,1,0)</f>
        <v>1</v>
      </c>
      <c r="N2920" s="4">
        <f>IFERROR(RawWorking[[#This Row],[LineAmount]]/RawWorking[[#This Row],[Quantity]],"")</f>
        <v>183.74</v>
      </c>
    </row>
    <row r="2921" spans="1:14">
      <c r="A2921">
        <v>52920</v>
      </c>
      <c r="B2921">
        <v>31671</v>
      </c>
      <c r="C2921" s="2">
        <v>45915</v>
      </c>
      <c r="D2921">
        <v>2029</v>
      </c>
      <c r="E2921">
        <v>1001</v>
      </c>
      <c r="F2921">
        <v>1</v>
      </c>
      <c r="G2921">
        <v>203.04</v>
      </c>
      <c r="H2921" s="2">
        <v>45917</v>
      </c>
      <c r="I2921" s="2">
        <v>45927</v>
      </c>
      <c r="J2921" t="s">
        <v>9</v>
      </c>
      <c r="K2921" s="2" t="str">
        <f>IFERROR(INDEX(Product_lookup[Category],MATCH(RawWorking[[#This Row],[ProductID]],Product_lookup[ProductID],0)),"")</f>
        <v>Electronics</v>
      </c>
      <c r="L2921" s="9">
        <f>IF(OR(RawWorking[[#This Row],[ShipDate]]="",RawWorking[[#This Row],[DeliveryDate]]=""),"",RawWorking[[#This Row],[DeliveryDate]]-RawWorking[[#This Row],[ShipDate]])</f>
        <v>10</v>
      </c>
      <c r="M2921" s="9">
        <f>IF(COUNTIF(INDEX(RawWorking[OrderID],1):RawWorking[[#This Row],[OrderID]],RawWorking[[#This Row],[OrderID]])=1,1,0)</f>
        <v>1</v>
      </c>
      <c r="N2921" s="4">
        <f>IFERROR(RawWorking[[#This Row],[LineAmount]]/RawWorking[[#This Row],[Quantity]],"")</f>
        <v>203.04</v>
      </c>
    </row>
    <row r="2922" spans="1:14">
      <c r="A2922">
        <v>52921</v>
      </c>
      <c r="B2922">
        <v>31671</v>
      </c>
      <c r="C2922" s="2">
        <v>45915</v>
      </c>
      <c r="D2922">
        <v>2029</v>
      </c>
      <c r="E2922">
        <v>1011</v>
      </c>
      <c r="F2922">
        <v>1</v>
      </c>
      <c r="G2922">
        <v>101.44</v>
      </c>
      <c r="H2922" s="2">
        <v>45918</v>
      </c>
      <c r="I2922" s="2">
        <v>45920</v>
      </c>
      <c r="J2922" t="s">
        <v>9</v>
      </c>
      <c r="K2922" s="2" t="str">
        <f>IFERROR(INDEX(Product_lookup[Category],MATCH(RawWorking[[#This Row],[ProductID]],Product_lookup[ProductID],0)),"")</f>
        <v>Office</v>
      </c>
      <c r="L2922" s="9">
        <f>IF(OR(RawWorking[[#This Row],[ShipDate]]="",RawWorking[[#This Row],[DeliveryDate]]=""),"",RawWorking[[#This Row],[DeliveryDate]]-RawWorking[[#This Row],[ShipDate]])</f>
        <v>2</v>
      </c>
      <c r="M2922" s="9">
        <f>IF(COUNTIF(INDEX(RawWorking[OrderID],1):RawWorking[[#This Row],[OrderID]],RawWorking[[#This Row],[OrderID]])=1,1,0)</f>
        <v>0</v>
      </c>
      <c r="N2922" s="4">
        <f>IFERROR(RawWorking[[#This Row],[LineAmount]]/RawWorking[[#This Row],[Quantity]],"")</f>
        <v>101.44</v>
      </c>
    </row>
    <row r="2923" spans="1:14">
      <c r="A2923">
        <v>52922</v>
      </c>
      <c r="B2923">
        <v>31672</v>
      </c>
      <c r="C2923" s="2">
        <v>45989</v>
      </c>
      <c r="D2923">
        <v>2257</v>
      </c>
      <c r="E2923">
        <v>1016</v>
      </c>
      <c r="F2923">
        <v>2</v>
      </c>
      <c r="G2923">
        <v>130.52000000000001</v>
      </c>
      <c r="H2923" s="2">
        <v>45991</v>
      </c>
      <c r="I2923" s="2">
        <v>45993</v>
      </c>
      <c r="J2923" t="s">
        <v>9</v>
      </c>
      <c r="K2923" s="2" t="str">
        <f>IFERROR(INDEX(Product_lookup[Category],MATCH(RawWorking[[#This Row],[ProductID]],Product_lookup[ProductID],0)),"")</f>
        <v>Sports</v>
      </c>
      <c r="L2923" s="9">
        <f>IF(OR(RawWorking[[#This Row],[ShipDate]]="",RawWorking[[#This Row],[DeliveryDate]]=""),"",RawWorking[[#This Row],[DeliveryDate]]-RawWorking[[#This Row],[ShipDate]])</f>
        <v>2</v>
      </c>
      <c r="M2923" s="9">
        <f>IF(COUNTIF(INDEX(RawWorking[OrderID],1):RawWorking[[#This Row],[OrderID]],RawWorking[[#This Row],[OrderID]])=1,1,0)</f>
        <v>1</v>
      </c>
      <c r="N2923" s="4">
        <f>IFERROR(RawWorking[[#This Row],[LineAmount]]/RawWorking[[#This Row],[Quantity]],"")</f>
        <v>65.260000000000005</v>
      </c>
    </row>
    <row r="2924" spans="1:14">
      <c r="A2924">
        <v>52923</v>
      </c>
      <c r="B2924">
        <v>31672</v>
      </c>
      <c r="C2924" s="2">
        <v>45989</v>
      </c>
      <c r="D2924">
        <v>2257</v>
      </c>
      <c r="E2924">
        <v>1008</v>
      </c>
      <c r="F2924">
        <v>4</v>
      </c>
      <c r="G2924">
        <v>824.36</v>
      </c>
      <c r="H2924" s="2">
        <v>45990</v>
      </c>
      <c r="I2924" s="2">
        <v>45999</v>
      </c>
      <c r="J2924" t="s">
        <v>9</v>
      </c>
      <c r="K2924" s="2" t="str">
        <f>IFERROR(INDEX(Product_lookup[Category],MATCH(RawWorking[[#This Row],[ProductID]],Product_lookup[ProductID],0)),"")</f>
        <v>Home</v>
      </c>
      <c r="L2924" s="9">
        <f>IF(OR(RawWorking[[#This Row],[ShipDate]]="",RawWorking[[#This Row],[DeliveryDate]]=""),"",RawWorking[[#This Row],[DeliveryDate]]-RawWorking[[#This Row],[ShipDate]])</f>
        <v>9</v>
      </c>
      <c r="M2924" s="9">
        <f>IF(COUNTIF(INDEX(RawWorking[OrderID],1):RawWorking[[#This Row],[OrderID]],RawWorking[[#This Row],[OrderID]])=1,1,0)</f>
        <v>0</v>
      </c>
      <c r="N2924" s="4">
        <f>IFERROR(RawWorking[[#This Row],[LineAmount]]/RawWorking[[#This Row],[Quantity]],"")</f>
        <v>206.09</v>
      </c>
    </row>
    <row r="2925" spans="1:14">
      <c r="A2925">
        <v>52924</v>
      </c>
      <c r="B2925">
        <v>31673</v>
      </c>
      <c r="C2925" s="2">
        <v>45769</v>
      </c>
      <c r="D2925">
        <v>2349</v>
      </c>
      <c r="E2925">
        <v>1011</v>
      </c>
      <c r="F2925">
        <v>2</v>
      </c>
      <c r="G2925">
        <v>202.88</v>
      </c>
      <c r="H2925" s="2" t="s">
        <v>1421</v>
      </c>
      <c r="I2925" s="2" t="s">
        <v>1421</v>
      </c>
      <c r="J2925" t="s">
        <v>16</v>
      </c>
      <c r="K2925" s="2" t="str">
        <f>IFERROR(INDEX(Product_lookup[Category],MATCH(RawWorking[[#This Row],[ProductID]],Product_lookup[ProductID],0)),"")</f>
        <v>Office</v>
      </c>
      <c r="L2925" s="9" t="str">
        <f>IF(OR(RawWorking[[#This Row],[ShipDate]]="",RawWorking[[#This Row],[DeliveryDate]]=""),"",RawWorking[[#This Row],[DeliveryDate]]-RawWorking[[#This Row],[ShipDate]])</f>
        <v/>
      </c>
      <c r="M2925" s="9">
        <f>IF(COUNTIF(INDEX(RawWorking[OrderID],1):RawWorking[[#This Row],[OrderID]],RawWorking[[#This Row],[OrderID]])=1,1,0)</f>
        <v>1</v>
      </c>
      <c r="N2925" s="4">
        <f>IFERROR(RawWorking[[#This Row],[LineAmount]]/RawWorking[[#This Row],[Quantity]],"")</f>
        <v>101.44</v>
      </c>
    </row>
    <row r="2926" spans="1:14">
      <c r="A2926">
        <v>52925</v>
      </c>
      <c r="B2926">
        <v>31674</v>
      </c>
      <c r="C2926" s="2">
        <v>45948</v>
      </c>
      <c r="D2926">
        <v>2243</v>
      </c>
      <c r="E2926">
        <v>1015</v>
      </c>
      <c r="F2926">
        <v>4</v>
      </c>
      <c r="G2926">
        <v>478.96</v>
      </c>
      <c r="H2926" s="2">
        <v>45951</v>
      </c>
      <c r="I2926" s="2">
        <v>45955</v>
      </c>
      <c r="J2926" t="s">
        <v>11</v>
      </c>
      <c r="K2926" s="2" t="str">
        <f>IFERROR(INDEX(Product_lookup[Category],MATCH(RawWorking[[#This Row],[ProductID]],Product_lookup[ProductID],0)),"")</f>
        <v>Sports</v>
      </c>
      <c r="L2926" s="9">
        <f>IF(OR(RawWorking[[#This Row],[ShipDate]]="",RawWorking[[#This Row],[DeliveryDate]]=""),"",RawWorking[[#This Row],[DeliveryDate]]-RawWorking[[#This Row],[ShipDate]])</f>
        <v>4</v>
      </c>
      <c r="M2926" s="9">
        <f>IF(COUNTIF(INDEX(RawWorking[OrderID],1):RawWorking[[#This Row],[OrderID]],RawWorking[[#This Row],[OrderID]])=1,1,0)</f>
        <v>1</v>
      </c>
      <c r="N2926" s="4">
        <f>IFERROR(RawWorking[[#This Row],[LineAmount]]/RawWorking[[#This Row],[Quantity]],"")</f>
        <v>119.74</v>
      </c>
    </row>
    <row r="2927" spans="1:14">
      <c r="A2927">
        <v>52926</v>
      </c>
      <c r="B2927">
        <v>31674</v>
      </c>
      <c r="C2927" s="2">
        <v>45948</v>
      </c>
      <c r="D2927">
        <v>2243</v>
      </c>
      <c r="E2927">
        <v>1004</v>
      </c>
      <c r="F2927">
        <v>2</v>
      </c>
      <c r="G2927">
        <v>367.48</v>
      </c>
      <c r="H2927" s="2">
        <v>45949</v>
      </c>
      <c r="I2927" s="2">
        <v>45959</v>
      </c>
      <c r="J2927" t="s">
        <v>11</v>
      </c>
      <c r="K2927" s="2" t="str">
        <f>IFERROR(INDEX(Product_lookup[Category],MATCH(RawWorking[[#This Row],[ProductID]],Product_lookup[ProductID],0)),"")</f>
        <v>Electronics</v>
      </c>
      <c r="L2927" s="9">
        <f>IF(OR(RawWorking[[#This Row],[ShipDate]]="",RawWorking[[#This Row],[DeliveryDate]]=""),"",RawWorking[[#This Row],[DeliveryDate]]-RawWorking[[#This Row],[ShipDate]])</f>
        <v>10</v>
      </c>
      <c r="M2927" s="9">
        <f>IF(COUNTIF(INDEX(RawWorking[OrderID],1):RawWorking[[#This Row],[OrderID]],RawWorking[[#This Row],[OrderID]])=1,1,0)</f>
        <v>0</v>
      </c>
      <c r="N2927" s="4">
        <f>IFERROR(RawWorking[[#This Row],[LineAmount]]/RawWorking[[#This Row],[Quantity]],"")</f>
        <v>183.74</v>
      </c>
    </row>
    <row r="2928" spans="1:14">
      <c r="A2928">
        <v>52927</v>
      </c>
      <c r="B2928">
        <v>31675</v>
      </c>
      <c r="C2928" s="2">
        <v>45960</v>
      </c>
      <c r="D2928">
        <v>2458</v>
      </c>
      <c r="E2928">
        <v>1003</v>
      </c>
      <c r="F2928">
        <v>1</v>
      </c>
      <c r="G2928">
        <v>224.37</v>
      </c>
      <c r="H2928" s="2">
        <v>45963</v>
      </c>
      <c r="I2928" s="2">
        <v>46002</v>
      </c>
      <c r="J2928" t="s">
        <v>9</v>
      </c>
      <c r="K2928" s="2" t="str">
        <f>IFERROR(INDEX(Product_lookup[Category],MATCH(RawWorking[[#This Row],[ProductID]],Product_lookup[ProductID],0)),"")</f>
        <v>Electronics</v>
      </c>
      <c r="L2928" s="9">
        <f>IF(OR(RawWorking[[#This Row],[ShipDate]]="",RawWorking[[#This Row],[DeliveryDate]]=""),"",RawWorking[[#This Row],[DeliveryDate]]-RawWorking[[#This Row],[ShipDate]])</f>
        <v>39</v>
      </c>
      <c r="M2928" s="9">
        <f>IF(COUNTIF(INDEX(RawWorking[OrderID],1):RawWorking[[#This Row],[OrderID]],RawWorking[[#This Row],[OrderID]])=1,1,0)</f>
        <v>1</v>
      </c>
      <c r="N2928" s="4">
        <f>IFERROR(RawWorking[[#This Row],[LineAmount]]/RawWorking[[#This Row],[Quantity]],"")</f>
        <v>224.37</v>
      </c>
    </row>
    <row r="2929" spans="1:14">
      <c r="A2929">
        <v>52928</v>
      </c>
      <c r="B2929">
        <v>31676</v>
      </c>
      <c r="C2929" s="2">
        <v>45714</v>
      </c>
      <c r="D2929">
        <v>2063</v>
      </c>
      <c r="E2929">
        <v>1013</v>
      </c>
      <c r="F2929">
        <v>3</v>
      </c>
      <c r="G2929">
        <v>510.75</v>
      </c>
      <c r="H2929" s="2" t="s">
        <v>1421</v>
      </c>
      <c r="I2929" s="2" t="s">
        <v>1421</v>
      </c>
      <c r="J2929" t="s">
        <v>12</v>
      </c>
      <c r="K2929" s="2" t="str">
        <f>IFERROR(INDEX(Product_lookup[Category],MATCH(RawWorking[[#This Row],[ProductID]],Product_lookup[ProductID],0)),"")</f>
        <v>Office</v>
      </c>
      <c r="L2929" s="9" t="str">
        <f>IF(OR(RawWorking[[#This Row],[ShipDate]]="",RawWorking[[#This Row],[DeliveryDate]]=""),"",RawWorking[[#This Row],[DeliveryDate]]-RawWorking[[#This Row],[ShipDate]])</f>
        <v/>
      </c>
      <c r="M2929" s="9">
        <f>IF(COUNTIF(INDEX(RawWorking[OrderID],1):RawWorking[[#This Row],[OrderID]],RawWorking[[#This Row],[OrderID]])=1,1,0)</f>
        <v>1</v>
      </c>
      <c r="N2929" s="4">
        <f>IFERROR(RawWorking[[#This Row],[LineAmount]]/RawWorking[[#This Row],[Quantity]],"")</f>
        <v>170.25</v>
      </c>
    </row>
    <row r="2930" spans="1:14">
      <c r="A2930">
        <v>52929</v>
      </c>
      <c r="B2930">
        <v>31677</v>
      </c>
      <c r="C2930" s="2">
        <v>45709</v>
      </c>
      <c r="D2930">
        <v>2321</v>
      </c>
      <c r="E2930">
        <v>1003</v>
      </c>
      <c r="F2930">
        <v>5</v>
      </c>
      <c r="G2930">
        <v>1121.8499999999999</v>
      </c>
      <c r="H2930" s="2" t="s">
        <v>1421</v>
      </c>
      <c r="I2930" s="2" t="s">
        <v>1421</v>
      </c>
      <c r="J2930" t="s">
        <v>12</v>
      </c>
      <c r="K2930" s="2" t="str">
        <f>IFERROR(INDEX(Product_lookup[Category],MATCH(RawWorking[[#This Row],[ProductID]],Product_lookup[ProductID],0)),"")</f>
        <v>Electronics</v>
      </c>
      <c r="L2930" s="9" t="str">
        <f>IF(OR(RawWorking[[#This Row],[ShipDate]]="",RawWorking[[#This Row],[DeliveryDate]]=""),"",RawWorking[[#This Row],[DeliveryDate]]-RawWorking[[#This Row],[ShipDate]])</f>
        <v/>
      </c>
      <c r="M2930" s="9">
        <f>IF(COUNTIF(INDEX(RawWorking[OrderID],1):RawWorking[[#This Row],[OrderID]],RawWorking[[#This Row],[OrderID]])=1,1,0)</f>
        <v>1</v>
      </c>
      <c r="N2930" s="4">
        <f>IFERROR(RawWorking[[#This Row],[LineAmount]]/RawWorking[[#This Row],[Quantity]],"")</f>
        <v>224.36999999999998</v>
      </c>
    </row>
    <row r="2931" spans="1:14">
      <c r="A2931">
        <v>52930</v>
      </c>
      <c r="B2931">
        <v>31677</v>
      </c>
      <c r="C2931" s="2">
        <v>45709</v>
      </c>
      <c r="D2931">
        <v>2321</v>
      </c>
      <c r="E2931">
        <v>1005</v>
      </c>
      <c r="F2931">
        <v>3</v>
      </c>
      <c r="G2931">
        <v>95.19</v>
      </c>
      <c r="H2931" s="2" t="s">
        <v>1421</v>
      </c>
      <c r="I2931" s="2" t="s">
        <v>1421</v>
      </c>
      <c r="J2931" t="s">
        <v>12</v>
      </c>
      <c r="K2931" s="2" t="str">
        <f>IFERROR(INDEX(Product_lookup[Category],MATCH(RawWorking[[#This Row],[ProductID]],Product_lookup[ProductID],0)),"")</f>
        <v>Electronics</v>
      </c>
      <c r="L2931" s="9" t="str">
        <f>IF(OR(RawWorking[[#This Row],[ShipDate]]="",RawWorking[[#This Row],[DeliveryDate]]=""),"",RawWorking[[#This Row],[DeliveryDate]]-RawWorking[[#This Row],[ShipDate]])</f>
        <v/>
      </c>
      <c r="M2931" s="9">
        <f>IF(COUNTIF(INDEX(RawWorking[OrderID],1):RawWorking[[#This Row],[OrderID]],RawWorking[[#This Row],[OrderID]])=1,1,0)</f>
        <v>0</v>
      </c>
      <c r="N2931" s="4">
        <f>IFERROR(RawWorking[[#This Row],[LineAmount]]/RawWorking[[#This Row],[Quantity]],"")</f>
        <v>31.73</v>
      </c>
    </row>
    <row r="2932" spans="1:14">
      <c r="A2932">
        <v>52931</v>
      </c>
      <c r="B2932">
        <v>31677</v>
      </c>
      <c r="C2932" s="2">
        <v>45709</v>
      </c>
      <c r="D2932">
        <v>2321</v>
      </c>
      <c r="E2932">
        <v>1002</v>
      </c>
      <c r="F2932">
        <v>1</v>
      </c>
      <c r="G2932">
        <v>118.6</v>
      </c>
      <c r="H2932" s="2" t="s">
        <v>1421</v>
      </c>
      <c r="I2932" s="2" t="s">
        <v>1421</v>
      </c>
      <c r="J2932" t="s">
        <v>12</v>
      </c>
      <c r="K2932" s="2" t="str">
        <f>IFERROR(INDEX(Product_lookup[Category],MATCH(RawWorking[[#This Row],[ProductID]],Product_lookup[ProductID],0)),"")</f>
        <v>Electronics</v>
      </c>
      <c r="L2932" s="9" t="str">
        <f>IF(OR(RawWorking[[#This Row],[ShipDate]]="",RawWorking[[#This Row],[DeliveryDate]]=""),"",RawWorking[[#This Row],[DeliveryDate]]-RawWorking[[#This Row],[ShipDate]])</f>
        <v/>
      </c>
      <c r="M2932" s="9">
        <f>IF(COUNTIF(INDEX(RawWorking[OrderID],1):RawWorking[[#This Row],[OrderID]],RawWorking[[#This Row],[OrderID]])=1,1,0)</f>
        <v>0</v>
      </c>
      <c r="N2932" s="4">
        <f>IFERROR(RawWorking[[#This Row],[LineAmount]]/RawWorking[[#This Row],[Quantity]],"")</f>
        <v>118.6</v>
      </c>
    </row>
    <row r="2933" spans="1:14">
      <c r="A2933">
        <v>52932</v>
      </c>
      <c r="B2933">
        <v>31678</v>
      </c>
      <c r="C2933" s="2">
        <v>45956</v>
      </c>
      <c r="D2933">
        <v>2453</v>
      </c>
      <c r="E2933">
        <v>1014</v>
      </c>
      <c r="F2933">
        <v>2</v>
      </c>
      <c r="G2933">
        <v>430.68</v>
      </c>
      <c r="H2933" s="2">
        <v>45959</v>
      </c>
      <c r="I2933" s="2">
        <v>45966</v>
      </c>
      <c r="J2933" t="s">
        <v>9</v>
      </c>
      <c r="K2933" s="2" t="str">
        <f>IFERROR(INDEX(Product_lookup[Category],MATCH(RawWorking[[#This Row],[ProductID]],Product_lookup[ProductID],0)),"")</f>
        <v>Sports</v>
      </c>
      <c r="L2933" s="9">
        <f>IF(OR(RawWorking[[#This Row],[ShipDate]]="",RawWorking[[#This Row],[DeliveryDate]]=""),"",RawWorking[[#This Row],[DeliveryDate]]-RawWorking[[#This Row],[ShipDate]])</f>
        <v>7</v>
      </c>
      <c r="M2933" s="9">
        <f>IF(COUNTIF(INDEX(RawWorking[OrderID],1):RawWorking[[#This Row],[OrderID]],RawWorking[[#This Row],[OrderID]])=1,1,0)</f>
        <v>1</v>
      </c>
      <c r="N2933" s="4">
        <f>IFERROR(RawWorking[[#This Row],[LineAmount]]/RawWorking[[#This Row],[Quantity]],"")</f>
        <v>215.34</v>
      </c>
    </row>
    <row r="2934" spans="1:14">
      <c r="A2934">
        <v>52933</v>
      </c>
      <c r="B2934">
        <v>31679</v>
      </c>
      <c r="C2934" s="2">
        <v>45801</v>
      </c>
      <c r="D2934">
        <v>2068</v>
      </c>
      <c r="E2934">
        <v>1002</v>
      </c>
      <c r="F2934">
        <v>1</v>
      </c>
      <c r="G2934">
        <v>118.6</v>
      </c>
      <c r="H2934" s="2">
        <v>45802</v>
      </c>
      <c r="I2934" s="2">
        <v>45811</v>
      </c>
      <c r="J2934" t="s">
        <v>9</v>
      </c>
      <c r="K2934" s="2" t="str">
        <f>IFERROR(INDEX(Product_lookup[Category],MATCH(RawWorking[[#This Row],[ProductID]],Product_lookup[ProductID],0)),"")</f>
        <v>Electronics</v>
      </c>
      <c r="L2934" s="9">
        <f>IF(OR(RawWorking[[#This Row],[ShipDate]]="",RawWorking[[#This Row],[DeliveryDate]]=""),"",RawWorking[[#This Row],[DeliveryDate]]-RawWorking[[#This Row],[ShipDate]])</f>
        <v>9</v>
      </c>
      <c r="M2934" s="9">
        <f>IF(COUNTIF(INDEX(RawWorking[OrderID],1):RawWorking[[#This Row],[OrderID]],RawWorking[[#This Row],[OrderID]])=1,1,0)</f>
        <v>1</v>
      </c>
      <c r="N2934" s="4">
        <f>IFERROR(RawWorking[[#This Row],[LineAmount]]/RawWorking[[#This Row],[Quantity]],"")</f>
        <v>118.6</v>
      </c>
    </row>
    <row r="2935" spans="1:14">
      <c r="A2935">
        <v>52934</v>
      </c>
      <c r="B2935">
        <v>31679</v>
      </c>
      <c r="C2935" s="2">
        <v>45801</v>
      </c>
      <c r="D2935">
        <v>2068</v>
      </c>
      <c r="E2935">
        <v>1002</v>
      </c>
      <c r="F2935">
        <v>1</v>
      </c>
      <c r="G2935">
        <v>118.6</v>
      </c>
      <c r="H2935" s="2">
        <v>45802</v>
      </c>
      <c r="I2935" s="2">
        <v>45804</v>
      </c>
      <c r="J2935" t="s">
        <v>9</v>
      </c>
      <c r="K2935" s="2" t="str">
        <f>IFERROR(INDEX(Product_lookup[Category],MATCH(RawWorking[[#This Row],[ProductID]],Product_lookup[ProductID],0)),"")</f>
        <v>Electronics</v>
      </c>
      <c r="L2935" s="9">
        <f>IF(OR(RawWorking[[#This Row],[ShipDate]]="",RawWorking[[#This Row],[DeliveryDate]]=""),"",RawWorking[[#This Row],[DeliveryDate]]-RawWorking[[#This Row],[ShipDate]])</f>
        <v>2</v>
      </c>
      <c r="M2935" s="9">
        <f>IF(COUNTIF(INDEX(RawWorking[OrderID],1):RawWorking[[#This Row],[OrderID]],RawWorking[[#This Row],[OrderID]])=1,1,0)</f>
        <v>0</v>
      </c>
      <c r="N2935" s="4">
        <f>IFERROR(RawWorking[[#This Row],[LineAmount]]/RawWorking[[#This Row],[Quantity]],"")</f>
        <v>118.6</v>
      </c>
    </row>
    <row r="2936" spans="1:14">
      <c r="A2936">
        <v>52935</v>
      </c>
      <c r="B2936">
        <v>31679</v>
      </c>
      <c r="C2936" s="2">
        <v>45801</v>
      </c>
      <c r="D2936">
        <v>2068</v>
      </c>
      <c r="E2936">
        <v>1010</v>
      </c>
      <c r="F2936">
        <v>1</v>
      </c>
      <c r="G2936">
        <v>121.5</v>
      </c>
      <c r="H2936" s="2">
        <v>45802</v>
      </c>
      <c r="I2936" s="2">
        <v>45803</v>
      </c>
      <c r="J2936" t="s">
        <v>9</v>
      </c>
      <c r="K2936" s="2" t="str">
        <f>IFERROR(INDEX(Product_lookup[Category],MATCH(RawWorking[[#This Row],[ProductID]],Product_lookup[ProductID],0)),"")</f>
        <v>Office</v>
      </c>
      <c r="L2936" s="9">
        <f>IF(OR(RawWorking[[#This Row],[ShipDate]]="",RawWorking[[#This Row],[DeliveryDate]]=""),"",RawWorking[[#This Row],[DeliveryDate]]-RawWorking[[#This Row],[ShipDate]])</f>
        <v>1</v>
      </c>
      <c r="M2936" s="9">
        <f>IF(COUNTIF(INDEX(RawWorking[OrderID],1):RawWorking[[#This Row],[OrderID]],RawWorking[[#This Row],[OrderID]])=1,1,0)</f>
        <v>0</v>
      </c>
      <c r="N2936" s="4">
        <f>IFERROR(RawWorking[[#This Row],[LineAmount]]/RawWorking[[#This Row],[Quantity]],"")</f>
        <v>121.5</v>
      </c>
    </row>
    <row r="2937" spans="1:14">
      <c r="A2937">
        <v>52936</v>
      </c>
      <c r="B2937">
        <v>31680</v>
      </c>
      <c r="C2937" s="2">
        <v>45736</v>
      </c>
      <c r="D2937">
        <v>2391</v>
      </c>
      <c r="E2937">
        <v>1014</v>
      </c>
      <c r="F2937">
        <v>1</v>
      </c>
      <c r="G2937">
        <v>215.34</v>
      </c>
      <c r="H2937" s="2">
        <v>45739</v>
      </c>
      <c r="I2937" s="2">
        <v>45747</v>
      </c>
      <c r="J2937" t="s">
        <v>9</v>
      </c>
      <c r="K2937" s="2" t="str">
        <f>IFERROR(INDEX(Product_lookup[Category],MATCH(RawWorking[[#This Row],[ProductID]],Product_lookup[ProductID],0)),"")</f>
        <v>Sports</v>
      </c>
      <c r="L2937" s="9">
        <f>IF(OR(RawWorking[[#This Row],[ShipDate]]="",RawWorking[[#This Row],[DeliveryDate]]=""),"",RawWorking[[#This Row],[DeliveryDate]]-RawWorking[[#This Row],[ShipDate]])</f>
        <v>8</v>
      </c>
      <c r="M2937" s="9">
        <f>IF(COUNTIF(INDEX(RawWorking[OrderID],1):RawWorking[[#This Row],[OrderID]],RawWorking[[#This Row],[OrderID]])=1,1,0)</f>
        <v>1</v>
      </c>
      <c r="N2937" s="4">
        <f>IFERROR(RawWorking[[#This Row],[LineAmount]]/RawWorking[[#This Row],[Quantity]],"")</f>
        <v>215.34</v>
      </c>
    </row>
    <row r="2938" spans="1:14">
      <c r="A2938">
        <v>52937</v>
      </c>
      <c r="B2938">
        <v>31681</v>
      </c>
      <c r="C2938" s="2">
        <v>45683</v>
      </c>
      <c r="D2938">
        <v>2239</v>
      </c>
      <c r="E2938">
        <v>1001</v>
      </c>
      <c r="F2938">
        <v>2</v>
      </c>
      <c r="G2938">
        <v>406.08</v>
      </c>
      <c r="H2938" s="2" t="s">
        <v>1421</v>
      </c>
      <c r="I2938" s="2" t="s">
        <v>1421</v>
      </c>
      <c r="J2938" t="s">
        <v>12</v>
      </c>
      <c r="K2938" s="2" t="str">
        <f>IFERROR(INDEX(Product_lookup[Category],MATCH(RawWorking[[#This Row],[ProductID]],Product_lookup[ProductID],0)),"")</f>
        <v>Electronics</v>
      </c>
      <c r="L2938" s="9" t="str">
        <f>IF(OR(RawWorking[[#This Row],[ShipDate]]="",RawWorking[[#This Row],[DeliveryDate]]=""),"",RawWorking[[#This Row],[DeliveryDate]]-RawWorking[[#This Row],[ShipDate]])</f>
        <v/>
      </c>
      <c r="M2938" s="9">
        <f>IF(COUNTIF(INDEX(RawWorking[OrderID],1):RawWorking[[#This Row],[OrderID]],RawWorking[[#This Row],[OrderID]])=1,1,0)</f>
        <v>1</v>
      </c>
      <c r="N2938" s="4">
        <f>IFERROR(RawWorking[[#This Row],[LineAmount]]/RawWorking[[#This Row],[Quantity]],"")</f>
        <v>203.04</v>
      </c>
    </row>
    <row r="2939" spans="1:14">
      <c r="A2939">
        <v>52938</v>
      </c>
      <c r="B2939">
        <v>31682</v>
      </c>
      <c r="C2939" s="2">
        <v>45676</v>
      </c>
      <c r="D2939">
        <v>2465</v>
      </c>
      <c r="E2939">
        <v>1014</v>
      </c>
      <c r="F2939">
        <v>1</v>
      </c>
      <c r="G2939">
        <v>215.34</v>
      </c>
      <c r="H2939" s="2">
        <v>45677</v>
      </c>
      <c r="I2939" s="2">
        <v>45678</v>
      </c>
      <c r="J2939" t="s">
        <v>9</v>
      </c>
      <c r="K2939" s="2" t="str">
        <f>IFERROR(INDEX(Product_lookup[Category],MATCH(RawWorking[[#This Row],[ProductID]],Product_lookup[ProductID],0)),"")</f>
        <v>Sports</v>
      </c>
      <c r="L2939" s="9">
        <f>IF(OR(RawWorking[[#This Row],[ShipDate]]="",RawWorking[[#This Row],[DeliveryDate]]=""),"",RawWorking[[#This Row],[DeliveryDate]]-RawWorking[[#This Row],[ShipDate]])</f>
        <v>1</v>
      </c>
      <c r="M2939" s="9">
        <f>IF(COUNTIF(INDEX(RawWorking[OrderID],1):RawWorking[[#This Row],[OrderID]],RawWorking[[#This Row],[OrderID]])=1,1,0)</f>
        <v>1</v>
      </c>
      <c r="N2939" s="4">
        <f>IFERROR(RawWorking[[#This Row],[LineAmount]]/RawWorking[[#This Row],[Quantity]],"")</f>
        <v>215.34</v>
      </c>
    </row>
    <row r="2940" spans="1:14">
      <c r="A2940">
        <v>52939</v>
      </c>
      <c r="B2940">
        <v>31683</v>
      </c>
      <c r="C2940" s="2">
        <v>45736</v>
      </c>
      <c r="D2940">
        <v>2104</v>
      </c>
      <c r="E2940">
        <v>1001</v>
      </c>
      <c r="F2940">
        <v>1</v>
      </c>
      <c r="G2940">
        <v>203.04</v>
      </c>
      <c r="H2940" s="2">
        <v>45739</v>
      </c>
      <c r="I2940" s="2">
        <v>45743</v>
      </c>
      <c r="J2940" t="s">
        <v>9</v>
      </c>
      <c r="K2940" s="2" t="str">
        <f>IFERROR(INDEX(Product_lookup[Category],MATCH(RawWorking[[#This Row],[ProductID]],Product_lookup[ProductID],0)),"")</f>
        <v>Electronics</v>
      </c>
      <c r="L2940" s="9">
        <f>IF(OR(RawWorking[[#This Row],[ShipDate]]="",RawWorking[[#This Row],[DeliveryDate]]=""),"",RawWorking[[#This Row],[DeliveryDate]]-RawWorking[[#This Row],[ShipDate]])</f>
        <v>4</v>
      </c>
      <c r="M2940" s="9">
        <f>IF(COUNTIF(INDEX(RawWorking[OrderID],1):RawWorking[[#This Row],[OrderID]],RawWorking[[#This Row],[OrderID]])=1,1,0)</f>
        <v>1</v>
      </c>
      <c r="N2940" s="4">
        <f>IFERROR(RawWorking[[#This Row],[LineAmount]]/RawWorking[[#This Row],[Quantity]],"")</f>
        <v>203.04</v>
      </c>
    </row>
    <row r="2941" spans="1:14">
      <c r="A2941">
        <v>52940</v>
      </c>
      <c r="B2941">
        <v>31683</v>
      </c>
      <c r="C2941" s="2">
        <v>45736</v>
      </c>
      <c r="D2941">
        <v>2104</v>
      </c>
      <c r="E2941">
        <v>1015</v>
      </c>
      <c r="F2941">
        <v>2</v>
      </c>
      <c r="G2941">
        <v>239.48</v>
      </c>
      <c r="H2941" s="2">
        <v>45737</v>
      </c>
      <c r="I2941" s="2">
        <v>45743</v>
      </c>
      <c r="J2941" t="s">
        <v>9</v>
      </c>
      <c r="K2941" s="2" t="str">
        <f>IFERROR(INDEX(Product_lookup[Category],MATCH(RawWorking[[#This Row],[ProductID]],Product_lookup[ProductID],0)),"")</f>
        <v>Sports</v>
      </c>
      <c r="L2941" s="9">
        <f>IF(OR(RawWorking[[#This Row],[ShipDate]]="",RawWorking[[#This Row],[DeliveryDate]]=""),"",RawWorking[[#This Row],[DeliveryDate]]-RawWorking[[#This Row],[ShipDate]])</f>
        <v>6</v>
      </c>
      <c r="M2941" s="9">
        <f>IF(COUNTIF(INDEX(RawWorking[OrderID],1):RawWorking[[#This Row],[OrderID]],RawWorking[[#This Row],[OrderID]])=1,1,0)</f>
        <v>0</v>
      </c>
      <c r="N2941" s="4">
        <f>IFERROR(RawWorking[[#This Row],[LineAmount]]/RawWorking[[#This Row],[Quantity]],"")</f>
        <v>119.74</v>
      </c>
    </row>
    <row r="2942" spans="1:14">
      <c r="A2942">
        <v>52941</v>
      </c>
      <c r="B2942">
        <v>31684</v>
      </c>
      <c r="C2942" s="2">
        <v>45843</v>
      </c>
      <c r="D2942">
        <v>2530</v>
      </c>
      <c r="E2942">
        <v>1007</v>
      </c>
      <c r="F2942">
        <v>4</v>
      </c>
      <c r="G2942">
        <v>799.24</v>
      </c>
      <c r="H2942" s="2">
        <v>45845</v>
      </c>
      <c r="I2942" s="2">
        <v>45846</v>
      </c>
      <c r="J2942" t="s">
        <v>9</v>
      </c>
      <c r="K2942" s="2" t="str">
        <f>IFERROR(INDEX(Product_lookup[Category],MATCH(RawWorking[[#This Row],[ProductID]],Product_lookup[ProductID],0)),"")</f>
        <v>Home</v>
      </c>
      <c r="L2942" s="9">
        <f>IF(OR(RawWorking[[#This Row],[ShipDate]]="",RawWorking[[#This Row],[DeliveryDate]]=""),"",RawWorking[[#This Row],[DeliveryDate]]-RawWorking[[#This Row],[ShipDate]])</f>
        <v>1</v>
      </c>
      <c r="M2942" s="9">
        <f>IF(COUNTIF(INDEX(RawWorking[OrderID],1):RawWorking[[#This Row],[OrderID]],RawWorking[[#This Row],[OrderID]])=1,1,0)</f>
        <v>1</v>
      </c>
      <c r="N2942" s="4">
        <f>IFERROR(RawWorking[[#This Row],[LineAmount]]/RawWorking[[#This Row],[Quantity]],"")</f>
        <v>199.81</v>
      </c>
    </row>
    <row r="2943" spans="1:14">
      <c r="A2943">
        <v>52942</v>
      </c>
      <c r="B2943">
        <v>31685</v>
      </c>
      <c r="C2943" s="2">
        <v>45663</v>
      </c>
      <c r="D2943">
        <v>2111</v>
      </c>
      <c r="E2943">
        <v>1003</v>
      </c>
      <c r="F2943">
        <v>3</v>
      </c>
      <c r="G2943">
        <v>673.11</v>
      </c>
      <c r="H2943" s="2">
        <v>45812</v>
      </c>
      <c r="I2943" s="2">
        <v>45819</v>
      </c>
      <c r="J2943" t="s">
        <v>9</v>
      </c>
      <c r="K2943" s="2" t="str">
        <f>IFERROR(INDEX(Product_lookup[Category],MATCH(RawWorking[[#This Row],[ProductID]],Product_lookup[ProductID],0)),"")</f>
        <v>Electronics</v>
      </c>
      <c r="L2943" s="9">
        <f>IF(OR(RawWorking[[#This Row],[ShipDate]]="",RawWorking[[#This Row],[DeliveryDate]]=""),"",RawWorking[[#This Row],[DeliveryDate]]-RawWorking[[#This Row],[ShipDate]])</f>
        <v>7</v>
      </c>
      <c r="M2943" s="9">
        <f>IF(COUNTIF(INDEX(RawWorking[OrderID],1):RawWorking[[#This Row],[OrderID]],RawWorking[[#This Row],[OrderID]])=1,1,0)</f>
        <v>1</v>
      </c>
      <c r="N2943" s="4">
        <f>IFERROR(RawWorking[[#This Row],[LineAmount]]/RawWorking[[#This Row],[Quantity]],"")</f>
        <v>224.37</v>
      </c>
    </row>
    <row r="2944" spans="1:14">
      <c r="A2944">
        <v>52943</v>
      </c>
      <c r="B2944">
        <v>31686</v>
      </c>
      <c r="C2944" s="2">
        <v>45911</v>
      </c>
      <c r="D2944">
        <v>2199</v>
      </c>
      <c r="E2944">
        <v>1005</v>
      </c>
      <c r="F2944">
        <v>1</v>
      </c>
      <c r="G2944">
        <v>31.73</v>
      </c>
      <c r="H2944" s="2" t="s">
        <v>1421</v>
      </c>
      <c r="I2944" s="2" t="s">
        <v>1421</v>
      </c>
      <c r="J2944" t="s">
        <v>12</v>
      </c>
      <c r="K2944" s="2" t="str">
        <f>IFERROR(INDEX(Product_lookup[Category],MATCH(RawWorking[[#This Row],[ProductID]],Product_lookup[ProductID],0)),"")</f>
        <v>Electronics</v>
      </c>
      <c r="L2944" s="9" t="str">
        <f>IF(OR(RawWorking[[#This Row],[ShipDate]]="",RawWorking[[#This Row],[DeliveryDate]]=""),"",RawWorking[[#This Row],[DeliveryDate]]-RawWorking[[#This Row],[ShipDate]])</f>
        <v/>
      </c>
      <c r="M2944" s="9">
        <f>IF(COUNTIF(INDEX(RawWorking[OrderID],1):RawWorking[[#This Row],[OrderID]],RawWorking[[#This Row],[OrderID]])=1,1,0)</f>
        <v>1</v>
      </c>
      <c r="N2944" s="4">
        <f>IFERROR(RawWorking[[#This Row],[LineAmount]]/RawWorking[[#This Row],[Quantity]],"")</f>
        <v>31.73</v>
      </c>
    </row>
    <row r="2945" spans="1:14">
      <c r="A2945">
        <v>52944</v>
      </c>
      <c r="B2945">
        <v>31686</v>
      </c>
      <c r="C2945" s="2">
        <v>45911</v>
      </c>
      <c r="D2945">
        <v>2199</v>
      </c>
      <c r="E2945">
        <v>1009</v>
      </c>
      <c r="F2945">
        <v>3</v>
      </c>
      <c r="G2945">
        <v>120.84</v>
      </c>
      <c r="H2945" s="2" t="s">
        <v>1421</v>
      </c>
      <c r="I2945" s="2" t="s">
        <v>1421</v>
      </c>
      <c r="J2945" t="s">
        <v>12</v>
      </c>
      <c r="K2945" s="2" t="str">
        <f>IFERROR(INDEX(Product_lookup[Category],MATCH(RawWorking[[#This Row],[ProductID]],Product_lookup[ProductID],0)),"")</f>
        <v>Home</v>
      </c>
      <c r="L2945" s="9" t="str">
        <f>IF(OR(RawWorking[[#This Row],[ShipDate]]="",RawWorking[[#This Row],[DeliveryDate]]=""),"",RawWorking[[#This Row],[DeliveryDate]]-RawWorking[[#This Row],[ShipDate]])</f>
        <v/>
      </c>
      <c r="M2945" s="9">
        <f>IF(COUNTIF(INDEX(RawWorking[OrderID],1):RawWorking[[#This Row],[OrderID]],RawWorking[[#This Row],[OrderID]])=1,1,0)</f>
        <v>0</v>
      </c>
      <c r="N2945" s="4">
        <f>IFERROR(RawWorking[[#This Row],[LineAmount]]/RawWorking[[#This Row],[Quantity]],"")</f>
        <v>40.28</v>
      </c>
    </row>
    <row r="2946" spans="1:14">
      <c r="A2946">
        <v>52945</v>
      </c>
      <c r="B2946">
        <v>31686</v>
      </c>
      <c r="C2946" s="2">
        <v>45911</v>
      </c>
      <c r="D2946">
        <v>2199</v>
      </c>
      <c r="E2946">
        <v>1012</v>
      </c>
      <c r="F2946">
        <v>2</v>
      </c>
      <c r="G2946">
        <v>483.08</v>
      </c>
      <c r="H2946" s="2" t="s">
        <v>1421</v>
      </c>
      <c r="I2946" s="2" t="s">
        <v>1421</v>
      </c>
      <c r="J2946" t="s">
        <v>12</v>
      </c>
      <c r="K2946" s="2" t="str">
        <f>IFERROR(INDEX(Product_lookup[Category],MATCH(RawWorking[[#This Row],[ProductID]],Product_lookup[ProductID],0)),"")</f>
        <v>Office</v>
      </c>
      <c r="L2946" s="9" t="str">
        <f>IF(OR(RawWorking[[#This Row],[ShipDate]]="",RawWorking[[#This Row],[DeliveryDate]]=""),"",RawWorking[[#This Row],[DeliveryDate]]-RawWorking[[#This Row],[ShipDate]])</f>
        <v/>
      </c>
      <c r="M2946" s="9">
        <f>IF(COUNTIF(INDEX(RawWorking[OrderID],1):RawWorking[[#This Row],[OrderID]],RawWorking[[#This Row],[OrderID]])=1,1,0)</f>
        <v>0</v>
      </c>
      <c r="N2946" s="4">
        <f>IFERROR(RawWorking[[#This Row],[LineAmount]]/RawWorking[[#This Row],[Quantity]],"")</f>
        <v>241.54</v>
      </c>
    </row>
    <row r="2947" spans="1:14">
      <c r="A2947">
        <v>52946</v>
      </c>
      <c r="B2947">
        <v>31687</v>
      </c>
      <c r="C2947" s="2">
        <v>45882</v>
      </c>
      <c r="D2947">
        <v>2432</v>
      </c>
      <c r="E2947">
        <v>1015</v>
      </c>
      <c r="F2947">
        <v>1</v>
      </c>
      <c r="G2947">
        <v>119.74</v>
      </c>
      <c r="H2947" s="2">
        <v>45884</v>
      </c>
      <c r="I2947" s="2">
        <v>45886</v>
      </c>
      <c r="J2947" t="s">
        <v>9</v>
      </c>
      <c r="K2947" s="2" t="str">
        <f>IFERROR(INDEX(Product_lookup[Category],MATCH(RawWorking[[#This Row],[ProductID]],Product_lookup[ProductID],0)),"")</f>
        <v>Sports</v>
      </c>
      <c r="L2947" s="9">
        <f>IF(OR(RawWorking[[#This Row],[ShipDate]]="",RawWorking[[#This Row],[DeliveryDate]]=""),"",RawWorking[[#This Row],[DeliveryDate]]-RawWorking[[#This Row],[ShipDate]])</f>
        <v>2</v>
      </c>
      <c r="M2947" s="9">
        <f>IF(COUNTIF(INDEX(RawWorking[OrderID],1):RawWorking[[#This Row],[OrderID]],RawWorking[[#This Row],[OrderID]])=1,1,0)</f>
        <v>1</v>
      </c>
      <c r="N2947" s="4">
        <f>IFERROR(RawWorking[[#This Row],[LineAmount]]/RawWorking[[#This Row],[Quantity]],"")</f>
        <v>119.74</v>
      </c>
    </row>
    <row r="2948" spans="1:14">
      <c r="A2948">
        <v>52947</v>
      </c>
      <c r="B2948">
        <v>31688</v>
      </c>
      <c r="C2948" s="2">
        <v>45774</v>
      </c>
      <c r="D2948">
        <v>2191</v>
      </c>
      <c r="E2948">
        <v>1002</v>
      </c>
      <c r="F2948">
        <v>1</v>
      </c>
      <c r="G2948">
        <v>118.6</v>
      </c>
      <c r="H2948" s="2">
        <v>45777</v>
      </c>
      <c r="I2948" s="2">
        <v>45780</v>
      </c>
      <c r="J2948" t="s">
        <v>9</v>
      </c>
      <c r="K2948" s="2" t="str">
        <f>IFERROR(INDEX(Product_lookup[Category],MATCH(RawWorking[[#This Row],[ProductID]],Product_lookup[ProductID],0)),"")</f>
        <v>Electronics</v>
      </c>
      <c r="L2948" s="9">
        <f>IF(OR(RawWorking[[#This Row],[ShipDate]]="",RawWorking[[#This Row],[DeliveryDate]]=""),"",RawWorking[[#This Row],[DeliveryDate]]-RawWorking[[#This Row],[ShipDate]])</f>
        <v>3</v>
      </c>
      <c r="M2948" s="9">
        <f>IF(COUNTIF(INDEX(RawWorking[OrderID],1):RawWorking[[#This Row],[OrderID]],RawWorking[[#This Row],[OrderID]])=1,1,0)</f>
        <v>1</v>
      </c>
      <c r="N2948" s="4">
        <f>IFERROR(RawWorking[[#This Row],[LineAmount]]/RawWorking[[#This Row],[Quantity]],"")</f>
        <v>118.6</v>
      </c>
    </row>
    <row r="2949" spans="1:14">
      <c r="A2949">
        <v>52948</v>
      </c>
      <c r="B2949">
        <v>31689</v>
      </c>
      <c r="C2949" s="2">
        <v>45910</v>
      </c>
      <c r="D2949">
        <v>2062</v>
      </c>
      <c r="E2949">
        <v>1014</v>
      </c>
      <c r="F2949">
        <v>1</v>
      </c>
      <c r="G2949">
        <v>215.34</v>
      </c>
      <c r="H2949" s="2">
        <v>45911</v>
      </c>
      <c r="I2949" s="2">
        <v>45920</v>
      </c>
      <c r="J2949" t="s">
        <v>9</v>
      </c>
      <c r="K2949" s="2" t="str">
        <f>IFERROR(INDEX(Product_lookup[Category],MATCH(RawWorking[[#This Row],[ProductID]],Product_lookup[ProductID],0)),"")</f>
        <v>Sports</v>
      </c>
      <c r="L2949" s="9">
        <f>IF(OR(RawWorking[[#This Row],[ShipDate]]="",RawWorking[[#This Row],[DeliveryDate]]=""),"",RawWorking[[#This Row],[DeliveryDate]]-RawWorking[[#This Row],[ShipDate]])</f>
        <v>9</v>
      </c>
      <c r="M2949" s="9">
        <f>IF(COUNTIF(INDEX(RawWorking[OrderID],1):RawWorking[[#This Row],[OrderID]],RawWorking[[#This Row],[OrderID]])=1,1,0)</f>
        <v>1</v>
      </c>
      <c r="N2949" s="4">
        <f>IFERROR(RawWorking[[#This Row],[LineAmount]]/RawWorking[[#This Row],[Quantity]],"")</f>
        <v>215.34</v>
      </c>
    </row>
    <row r="2950" spans="1:14">
      <c r="A2950">
        <v>52949</v>
      </c>
      <c r="B2950">
        <v>31689</v>
      </c>
      <c r="C2950" s="2">
        <v>45910</v>
      </c>
      <c r="D2950">
        <v>2062</v>
      </c>
      <c r="E2950">
        <v>1012</v>
      </c>
      <c r="F2950">
        <v>1</v>
      </c>
      <c r="G2950">
        <v>241.54</v>
      </c>
      <c r="H2950" s="2">
        <v>45912</v>
      </c>
      <c r="I2950" s="2">
        <v>45921</v>
      </c>
      <c r="J2950" t="s">
        <v>9</v>
      </c>
      <c r="K2950" s="2" t="str">
        <f>IFERROR(INDEX(Product_lookup[Category],MATCH(RawWorking[[#This Row],[ProductID]],Product_lookup[ProductID],0)),"")</f>
        <v>Office</v>
      </c>
      <c r="L2950" s="9">
        <f>IF(OR(RawWorking[[#This Row],[ShipDate]]="",RawWorking[[#This Row],[DeliveryDate]]=""),"",RawWorking[[#This Row],[DeliveryDate]]-RawWorking[[#This Row],[ShipDate]])</f>
        <v>9</v>
      </c>
      <c r="M2950" s="9">
        <f>IF(COUNTIF(INDEX(RawWorking[OrderID],1):RawWorking[[#This Row],[OrderID]],RawWorking[[#This Row],[OrderID]])=1,1,0)</f>
        <v>0</v>
      </c>
      <c r="N2950" s="4">
        <f>IFERROR(RawWorking[[#This Row],[LineAmount]]/RawWorking[[#This Row],[Quantity]],"")</f>
        <v>241.54</v>
      </c>
    </row>
    <row r="2951" spans="1:14">
      <c r="A2951">
        <v>52950</v>
      </c>
      <c r="B2951">
        <v>31690</v>
      </c>
      <c r="C2951" s="2">
        <v>45955</v>
      </c>
      <c r="D2951">
        <v>2319</v>
      </c>
      <c r="E2951">
        <v>1005</v>
      </c>
      <c r="F2951">
        <v>2</v>
      </c>
      <c r="G2951">
        <v>63.46</v>
      </c>
      <c r="H2951" s="2">
        <v>45956</v>
      </c>
      <c r="I2951" s="2">
        <v>45959</v>
      </c>
      <c r="J2951" t="s">
        <v>9</v>
      </c>
      <c r="K2951" s="2" t="str">
        <f>IFERROR(INDEX(Product_lookup[Category],MATCH(RawWorking[[#This Row],[ProductID]],Product_lookup[ProductID],0)),"")</f>
        <v>Electronics</v>
      </c>
      <c r="L2951" s="9">
        <f>IF(OR(RawWorking[[#This Row],[ShipDate]]="",RawWorking[[#This Row],[DeliveryDate]]=""),"",RawWorking[[#This Row],[DeliveryDate]]-RawWorking[[#This Row],[ShipDate]])</f>
        <v>3</v>
      </c>
      <c r="M2951" s="9">
        <f>IF(COUNTIF(INDEX(RawWorking[OrderID],1):RawWorking[[#This Row],[OrderID]],RawWorking[[#This Row],[OrderID]])=1,1,0)</f>
        <v>1</v>
      </c>
      <c r="N2951" s="4">
        <f>IFERROR(RawWorking[[#This Row],[LineAmount]]/RawWorking[[#This Row],[Quantity]],"")</f>
        <v>31.73</v>
      </c>
    </row>
    <row r="2952" spans="1:14">
      <c r="A2952">
        <v>52951</v>
      </c>
      <c r="B2952">
        <v>31691</v>
      </c>
      <c r="C2952" s="2">
        <v>45712</v>
      </c>
      <c r="D2952">
        <v>2151</v>
      </c>
      <c r="E2952">
        <v>1011</v>
      </c>
      <c r="F2952">
        <v>1</v>
      </c>
      <c r="G2952">
        <v>101.44</v>
      </c>
      <c r="H2952" s="2">
        <v>45713</v>
      </c>
      <c r="I2952" s="2">
        <v>45721</v>
      </c>
      <c r="J2952" t="s">
        <v>9</v>
      </c>
      <c r="K2952" s="2" t="str">
        <f>IFERROR(INDEX(Product_lookup[Category],MATCH(RawWorking[[#This Row],[ProductID]],Product_lookup[ProductID],0)),"")</f>
        <v>Office</v>
      </c>
      <c r="L2952" s="9">
        <f>IF(OR(RawWorking[[#This Row],[ShipDate]]="",RawWorking[[#This Row],[DeliveryDate]]=""),"",RawWorking[[#This Row],[DeliveryDate]]-RawWorking[[#This Row],[ShipDate]])</f>
        <v>8</v>
      </c>
      <c r="M2952" s="9">
        <f>IF(COUNTIF(INDEX(RawWorking[OrderID],1):RawWorking[[#This Row],[OrderID]],RawWorking[[#This Row],[OrderID]])=1,1,0)</f>
        <v>1</v>
      </c>
      <c r="N2952" s="4">
        <f>IFERROR(RawWorking[[#This Row],[LineAmount]]/RawWorking[[#This Row],[Quantity]],"")</f>
        <v>101.44</v>
      </c>
    </row>
    <row r="2953" spans="1:14">
      <c r="A2953">
        <v>52952</v>
      </c>
      <c r="B2953">
        <v>31691</v>
      </c>
      <c r="C2953" s="2">
        <v>45712</v>
      </c>
      <c r="D2953">
        <v>2151</v>
      </c>
      <c r="E2953">
        <v>1010</v>
      </c>
      <c r="F2953">
        <v>3</v>
      </c>
      <c r="G2953">
        <v>364.5</v>
      </c>
      <c r="H2953" s="2">
        <v>45715</v>
      </c>
      <c r="I2953" s="2">
        <v>45724</v>
      </c>
      <c r="J2953" t="s">
        <v>9</v>
      </c>
      <c r="K2953" s="2" t="str">
        <f>IFERROR(INDEX(Product_lookup[Category],MATCH(RawWorking[[#This Row],[ProductID]],Product_lookup[ProductID],0)),"")</f>
        <v>Office</v>
      </c>
      <c r="L2953" s="9">
        <f>IF(OR(RawWorking[[#This Row],[ShipDate]]="",RawWorking[[#This Row],[DeliveryDate]]=""),"",RawWorking[[#This Row],[DeliveryDate]]-RawWorking[[#This Row],[ShipDate]])</f>
        <v>9</v>
      </c>
      <c r="M2953" s="9">
        <f>IF(COUNTIF(INDEX(RawWorking[OrderID],1):RawWorking[[#This Row],[OrderID]],RawWorking[[#This Row],[OrderID]])=1,1,0)</f>
        <v>0</v>
      </c>
      <c r="N2953" s="4">
        <f>IFERROR(RawWorking[[#This Row],[LineAmount]]/RawWorking[[#This Row],[Quantity]],"")</f>
        <v>121.5</v>
      </c>
    </row>
    <row r="2954" spans="1:14">
      <c r="A2954">
        <v>52953</v>
      </c>
      <c r="B2954">
        <v>31692</v>
      </c>
      <c r="C2954" s="2">
        <v>45844</v>
      </c>
      <c r="D2954">
        <v>2378</v>
      </c>
      <c r="E2954">
        <v>1005</v>
      </c>
      <c r="F2954">
        <v>1</v>
      </c>
      <c r="G2954">
        <v>31.73</v>
      </c>
      <c r="H2954" s="2">
        <v>45847</v>
      </c>
      <c r="I2954" s="2">
        <v>45854</v>
      </c>
      <c r="J2954" t="s">
        <v>11</v>
      </c>
      <c r="K2954" s="2" t="str">
        <f>IFERROR(INDEX(Product_lookup[Category],MATCH(RawWorking[[#This Row],[ProductID]],Product_lookup[ProductID],0)),"")</f>
        <v>Electronics</v>
      </c>
      <c r="L2954" s="9">
        <f>IF(OR(RawWorking[[#This Row],[ShipDate]]="",RawWorking[[#This Row],[DeliveryDate]]=""),"",RawWorking[[#This Row],[DeliveryDate]]-RawWorking[[#This Row],[ShipDate]])</f>
        <v>7</v>
      </c>
      <c r="M2954" s="9">
        <f>IF(COUNTIF(INDEX(RawWorking[OrderID],1):RawWorking[[#This Row],[OrderID]],RawWorking[[#This Row],[OrderID]])=1,1,0)</f>
        <v>1</v>
      </c>
      <c r="N2954" s="4">
        <f>IFERROR(RawWorking[[#This Row],[LineAmount]]/RawWorking[[#This Row],[Quantity]],"")</f>
        <v>31.73</v>
      </c>
    </row>
    <row r="2955" spans="1:14">
      <c r="A2955">
        <v>52954</v>
      </c>
      <c r="B2955">
        <v>31692</v>
      </c>
      <c r="C2955" s="2">
        <v>45815</v>
      </c>
      <c r="D2955">
        <v>2378</v>
      </c>
      <c r="E2955">
        <v>1002</v>
      </c>
      <c r="F2955">
        <v>3</v>
      </c>
      <c r="G2955">
        <v>355.8</v>
      </c>
      <c r="H2955" s="2">
        <v>45846</v>
      </c>
      <c r="I2955" s="2">
        <v>45851</v>
      </c>
      <c r="J2955" t="s">
        <v>11</v>
      </c>
      <c r="K2955" s="2" t="str">
        <f>IFERROR(INDEX(Product_lookup[Category],MATCH(RawWorking[[#This Row],[ProductID]],Product_lookup[ProductID],0)),"")</f>
        <v>Electronics</v>
      </c>
      <c r="L2955" s="9">
        <f>IF(OR(RawWorking[[#This Row],[ShipDate]]="",RawWorking[[#This Row],[DeliveryDate]]=""),"",RawWorking[[#This Row],[DeliveryDate]]-RawWorking[[#This Row],[ShipDate]])</f>
        <v>5</v>
      </c>
      <c r="M2955" s="9">
        <f>IF(COUNTIF(INDEX(RawWorking[OrderID],1):RawWorking[[#This Row],[OrderID]],RawWorking[[#This Row],[OrderID]])=1,1,0)</f>
        <v>0</v>
      </c>
      <c r="N2955" s="4">
        <f>IFERROR(RawWorking[[#This Row],[LineAmount]]/RawWorking[[#This Row],[Quantity]],"")</f>
        <v>118.60000000000001</v>
      </c>
    </row>
    <row r="2956" spans="1:14">
      <c r="A2956">
        <v>52955</v>
      </c>
      <c r="B2956">
        <v>31692</v>
      </c>
      <c r="C2956" s="2">
        <v>45844</v>
      </c>
      <c r="D2956">
        <v>2378</v>
      </c>
      <c r="E2956">
        <v>1008</v>
      </c>
      <c r="F2956">
        <v>4</v>
      </c>
      <c r="G2956">
        <v>824.36</v>
      </c>
      <c r="H2956" s="2">
        <v>45847</v>
      </c>
      <c r="I2956" s="2">
        <v>45854</v>
      </c>
      <c r="J2956" t="s">
        <v>11</v>
      </c>
      <c r="K2956" s="2" t="str">
        <f>IFERROR(INDEX(Product_lookup[Category],MATCH(RawWorking[[#This Row],[ProductID]],Product_lookup[ProductID],0)),"")</f>
        <v>Home</v>
      </c>
      <c r="L2956" s="9">
        <f>IF(OR(RawWorking[[#This Row],[ShipDate]]="",RawWorking[[#This Row],[DeliveryDate]]=""),"",RawWorking[[#This Row],[DeliveryDate]]-RawWorking[[#This Row],[ShipDate]])</f>
        <v>7</v>
      </c>
      <c r="M2956" s="9">
        <f>IF(COUNTIF(INDEX(RawWorking[OrderID],1):RawWorking[[#This Row],[OrderID]],RawWorking[[#This Row],[OrderID]])=1,1,0)</f>
        <v>0</v>
      </c>
      <c r="N2956" s="4">
        <f>IFERROR(RawWorking[[#This Row],[LineAmount]]/RawWorking[[#This Row],[Quantity]],"")</f>
        <v>206.09</v>
      </c>
    </row>
    <row r="2957" spans="1:14">
      <c r="A2957">
        <v>52956</v>
      </c>
      <c r="B2957">
        <v>31693</v>
      </c>
      <c r="C2957" s="2">
        <v>45879</v>
      </c>
      <c r="D2957">
        <v>2520</v>
      </c>
      <c r="E2957">
        <v>1002</v>
      </c>
      <c r="F2957">
        <v>4</v>
      </c>
      <c r="G2957">
        <v>474.4</v>
      </c>
      <c r="H2957" s="2" t="s">
        <v>1421</v>
      </c>
      <c r="I2957" s="2" t="s">
        <v>1421</v>
      </c>
      <c r="J2957" t="s">
        <v>16</v>
      </c>
      <c r="K2957" s="2" t="str">
        <f>IFERROR(INDEX(Product_lookup[Category],MATCH(RawWorking[[#This Row],[ProductID]],Product_lookup[ProductID],0)),"")</f>
        <v>Electronics</v>
      </c>
      <c r="L2957" s="9" t="str">
        <f>IF(OR(RawWorking[[#This Row],[ShipDate]]="",RawWorking[[#This Row],[DeliveryDate]]=""),"",RawWorking[[#This Row],[DeliveryDate]]-RawWorking[[#This Row],[ShipDate]])</f>
        <v/>
      </c>
      <c r="M2957" s="9">
        <f>IF(COUNTIF(INDEX(RawWorking[OrderID],1):RawWorking[[#This Row],[OrderID]],RawWorking[[#This Row],[OrderID]])=1,1,0)</f>
        <v>1</v>
      </c>
      <c r="N2957" s="4">
        <f>IFERROR(RawWorking[[#This Row],[LineAmount]]/RawWorking[[#This Row],[Quantity]],"")</f>
        <v>118.6</v>
      </c>
    </row>
    <row r="2958" spans="1:14">
      <c r="A2958">
        <v>52957</v>
      </c>
      <c r="B2958">
        <v>31694</v>
      </c>
      <c r="C2958" s="2">
        <v>45899</v>
      </c>
      <c r="D2958">
        <v>2201</v>
      </c>
      <c r="E2958">
        <v>1007</v>
      </c>
      <c r="F2958">
        <v>3</v>
      </c>
      <c r="G2958">
        <v>599.42999999999995</v>
      </c>
      <c r="H2958" s="2">
        <v>45902</v>
      </c>
      <c r="I2958" s="2">
        <v>45904</v>
      </c>
      <c r="J2958" t="s">
        <v>11</v>
      </c>
      <c r="K2958" s="2" t="str">
        <f>IFERROR(INDEX(Product_lookup[Category],MATCH(RawWorking[[#This Row],[ProductID]],Product_lookup[ProductID],0)),"")</f>
        <v>Home</v>
      </c>
      <c r="L2958" s="9">
        <f>IF(OR(RawWorking[[#This Row],[ShipDate]]="",RawWorking[[#This Row],[DeliveryDate]]=""),"",RawWorking[[#This Row],[DeliveryDate]]-RawWorking[[#This Row],[ShipDate]])</f>
        <v>2</v>
      </c>
      <c r="M2958" s="9">
        <f>IF(COUNTIF(INDEX(RawWorking[OrderID],1):RawWorking[[#This Row],[OrderID]],RawWorking[[#This Row],[OrderID]])=1,1,0)</f>
        <v>1</v>
      </c>
      <c r="N2958" s="4">
        <f>IFERROR(RawWorking[[#This Row],[LineAmount]]/RawWorking[[#This Row],[Quantity]],"")</f>
        <v>199.80999999999997</v>
      </c>
    </row>
    <row r="2959" spans="1:14">
      <c r="A2959">
        <v>52958</v>
      </c>
      <c r="B2959">
        <v>31694</v>
      </c>
      <c r="C2959" s="2">
        <v>45899</v>
      </c>
      <c r="D2959">
        <v>2201</v>
      </c>
      <c r="E2959">
        <v>1003</v>
      </c>
      <c r="F2959">
        <v>4</v>
      </c>
      <c r="G2959">
        <v>897.48</v>
      </c>
      <c r="H2959" s="2">
        <v>45901</v>
      </c>
      <c r="I2959" s="2">
        <v>45904</v>
      </c>
      <c r="J2959" t="s">
        <v>11</v>
      </c>
      <c r="K2959" s="2" t="str">
        <f>IFERROR(INDEX(Product_lookup[Category],MATCH(RawWorking[[#This Row],[ProductID]],Product_lookup[ProductID],0)),"")</f>
        <v>Electronics</v>
      </c>
      <c r="L2959" s="9">
        <f>IF(OR(RawWorking[[#This Row],[ShipDate]]="",RawWorking[[#This Row],[DeliveryDate]]=""),"",RawWorking[[#This Row],[DeliveryDate]]-RawWorking[[#This Row],[ShipDate]])</f>
        <v>3</v>
      </c>
      <c r="M2959" s="9">
        <f>IF(COUNTIF(INDEX(RawWorking[OrderID],1):RawWorking[[#This Row],[OrderID]],RawWorking[[#This Row],[OrderID]])=1,1,0)</f>
        <v>0</v>
      </c>
      <c r="N2959" s="4">
        <f>IFERROR(RawWorking[[#This Row],[LineAmount]]/RawWorking[[#This Row],[Quantity]],"")</f>
        <v>224.37</v>
      </c>
    </row>
    <row r="2960" spans="1:14">
      <c r="A2960">
        <v>52959</v>
      </c>
      <c r="B2960">
        <v>31695</v>
      </c>
      <c r="C2960" s="2">
        <v>45692</v>
      </c>
      <c r="D2960">
        <v>2350</v>
      </c>
      <c r="E2960">
        <v>1016</v>
      </c>
      <c r="F2960">
        <v>1</v>
      </c>
      <c r="G2960">
        <v>65.260000000000005</v>
      </c>
      <c r="H2960" s="2">
        <v>45693</v>
      </c>
      <c r="I2960" s="2">
        <v>45697</v>
      </c>
      <c r="J2960" t="s">
        <v>9</v>
      </c>
      <c r="K2960" s="2" t="str">
        <f>IFERROR(INDEX(Product_lookup[Category],MATCH(RawWorking[[#This Row],[ProductID]],Product_lookup[ProductID],0)),"")</f>
        <v>Sports</v>
      </c>
      <c r="L2960" s="9">
        <f>IF(OR(RawWorking[[#This Row],[ShipDate]]="",RawWorking[[#This Row],[DeliveryDate]]=""),"",RawWorking[[#This Row],[DeliveryDate]]-RawWorking[[#This Row],[ShipDate]])</f>
        <v>4</v>
      </c>
      <c r="M2960" s="9">
        <f>IF(COUNTIF(INDEX(RawWorking[OrderID],1):RawWorking[[#This Row],[OrderID]],RawWorking[[#This Row],[OrderID]])=1,1,0)</f>
        <v>1</v>
      </c>
      <c r="N2960" s="4">
        <f>IFERROR(RawWorking[[#This Row],[LineAmount]]/RawWorking[[#This Row],[Quantity]],"")</f>
        <v>65.260000000000005</v>
      </c>
    </row>
    <row r="2961" spans="1:14">
      <c r="A2961">
        <v>52960</v>
      </c>
      <c r="B2961">
        <v>31695</v>
      </c>
      <c r="C2961" s="2">
        <v>45692</v>
      </c>
      <c r="D2961">
        <v>2350</v>
      </c>
      <c r="E2961">
        <v>1015</v>
      </c>
      <c r="F2961">
        <v>1</v>
      </c>
      <c r="G2961">
        <v>119.74</v>
      </c>
      <c r="H2961" s="2">
        <v>45694</v>
      </c>
      <c r="I2961" s="2">
        <v>45963</v>
      </c>
      <c r="J2961" t="s">
        <v>9</v>
      </c>
      <c r="K2961" s="2" t="str">
        <f>IFERROR(INDEX(Product_lookup[Category],MATCH(RawWorking[[#This Row],[ProductID]],Product_lookup[ProductID],0)),"")</f>
        <v>Sports</v>
      </c>
      <c r="L2961" s="9">
        <f>IF(OR(RawWorking[[#This Row],[ShipDate]]="",RawWorking[[#This Row],[DeliveryDate]]=""),"",RawWorking[[#This Row],[DeliveryDate]]-RawWorking[[#This Row],[ShipDate]])</f>
        <v>269</v>
      </c>
      <c r="M2961" s="9">
        <f>IF(COUNTIF(INDEX(RawWorking[OrderID],1):RawWorking[[#This Row],[OrderID]],RawWorking[[#This Row],[OrderID]])=1,1,0)</f>
        <v>0</v>
      </c>
      <c r="N2961" s="4">
        <f>IFERROR(RawWorking[[#This Row],[LineAmount]]/RawWorking[[#This Row],[Quantity]],"")</f>
        <v>119.74</v>
      </c>
    </row>
    <row r="2962" spans="1:14">
      <c r="A2962">
        <v>52961</v>
      </c>
      <c r="B2962">
        <v>31695</v>
      </c>
      <c r="C2962" s="2">
        <v>45692</v>
      </c>
      <c r="D2962">
        <v>2350</v>
      </c>
      <c r="E2962">
        <v>1011</v>
      </c>
      <c r="F2962">
        <v>1</v>
      </c>
      <c r="G2962">
        <v>101.44</v>
      </c>
      <c r="H2962" s="2">
        <v>45694</v>
      </c>
      <c r="I2962" s="2">
        <v>45704</v>
      </c>
      <c r="J2962" t="s">
        <v>9</v>
      </c>
      <c r="K2962" s="2" t="str">
        <f>IFERROR(INDEX(Product_lookup[Category],MATCH(RawWorking[[#This Row],[ProductID]],Product_lookup[ProductID],0)),"")</f>
        <v>Office</v>
      </c>
      <c r="L2962" s="9">
        <f>IF(OR(RawWorking[[#This Row],[ShipDate]]="",RawWorking[[#This Row],[DeliveryDate]]=""),"",RawWorking[[#This Row],[DeliveryDate]]-RawWorking[[#This Row],[ShipDate]])</f>
        <v>10</v>
      </c>
      <c r="M2962" s="9">
        <f>IF(COUNTIF(INDEX(RawWorking[OrderID],1):RawWorking[[#This Row],[OrderID]],RawWorking[[#This Row],[OrderID]])=1,1,0)</f>
        <v>0</v>
      </c>
      <c r="N2962" s="4">
        <f>IFERROR(RawWorking[[#This Row],[LineAmount]]/RawWorking[[#This Row],[Quantity]],"")</f>
        <v>101.44</v>
      </c>
    </row>
    <row r="2963" spans="1:14">
      <c r="A2963">
        <v>52962</v>
      </c>
      <c r="B2963">
        <v>31696</v>
      </c>
      <c r="C2963" s="2">
        <v>46021</v>
      </c>
      <c r="D2963">
        <v>2593</v>
      </c>
      <c r="E2963">
        <v>1011</v>
      </c>
      <c r="F2963">
        <v>1</v>
      </c>
      <c r="G2963">
        <v>101.44</v>
      </c>
      <c r="H2963" s="2">
        <v>46023</v>
      </c>
      <c r="I2963" s="2">
        <v>46028</v>
      </c>
      <c r="J2963" t="s">
        <v>9</v>
      </c>
      <c r="K2963" s="2" t="str">
        <f>IFERROR(INDEX(Product_lookup[Category],MATCH(RawWorking[[#This Row],[ProductID]],Product_lookup[ProductID],0)),"")</f>
        <v>Office</v>
      </c>
      <c r="L2963" s="9">
        <f>IF(OR(RawWorking[[#This Row],[ShipDate]]="",RawWorking[[#This Row],[DeliveryDate]]=""),"",RawWorking[[#This Row],[DeliveryDate]]-RawWorking[[#This Row],[ShipDate]])</f>
        <v>5</v>
      </c>
      <c r="M2963" s="9">
        <f>IF(COUNTIF(INDEX(RawWorking[OrderID],1):RawWorking[[#This Row],[OrderID]],RawWorking[[#This Row],[OrderID]])=1,1,0)</f>
        <v>1</v>
      </c>
      <c r="N2963" s="4">
        <f>IFERROR(RawWorking[[#This Row],[LineAmount]]/RawWorking[[#This Row],[Quantity]],"")</f>
        <v>101.44</v>
      </c>
    </row>
    <row r="2964" spans="1:14">
      <c r="A2964">
        <v>52963</v>
      </c>
      <c r="B2964">
        <v>31696</v>
      </c>
      <c r="C2964" s="2">
        <v>46021</v>
      </c>
      <c r="D2964">
        <v>2593</v>
      </c>
      <c r="E2964">
        <v>1010</v>
      </c>
      <c r="F2964">
        <v>2</v>
      </c>
      <c r="G2964">
        <v>243</v>
      </c>
      <c r="H2964" s="2">
        <v>46022</v>
      </c>
      <c r="I2964" s="2">
        <v>46023</v>
      </c>
      <c r="J2964" t="s">
        <v>9</v>
      </c>
      <c r="K2964" s="2" t="str">
        <f>IFERROR(INDEX(Product_lookup[Category],MATCH(RawWorking[[#This Row],[ProductID]],Product_lookup[ProductID],0)),"")</f>
        <v>Office</v>
      </c>
      <c r="L2964" s="9">
        <f>IF(OR(RawWorking[[#This Row],[ShipDate]]="",RawWorking[[#This Row],[DeliveryDate]]=""),"",RawWorking[[#This Row],[DeliveryDate]]-RawWorking[[#This Row],[ShipDate]])</f>
        <v>1</v>
      </c>
      <c r="M2964" s="9">
        <f>IF(COUNTIF(INDEX(RawWorking[OrderID],1):RawWorking[[#This Row],[OrderID]],RawWorking[[#This Row],[OrderID]])=1,1,0)</f>
        <v>0</v>
      </c>
      <c r="N2964" s="4">
        <f>IFERROR(RawWorking[[#This Row],[LineAmount]]/RawWorking[[#This Row],[Quantity]],"")</f>
        <v>121.5</v>
      </c>
    </row>
    <row r="2965" spans="1:14">
      <c r="A2965">
        <v>52964</v>
      </c>
      <c r="B2965">
        <v>31696</v>
      </c>
      <c r="C2965" s="2">
        <v>46021</v>
      </c>
      <c r="D2965">
        <v>2593</v>
      </c>
      <c r="E2965">
        <v>1014</v>
      </c>
      <c r="F2965">
        <v>1</v>
      </c>
      <c r="G2965">
        <v>215.34</v>
      </c>
      <c r="H2965" s="2">
        <v>46024</v>
      </c>
      <c r="I2965" s="2">
        <v>46027</v>
      </c>
      <c r="J2965" t="s">
        <v>9</v>
      </c>
      <c r="K2965" s="2" t="str">
        <f>IFERROR(INDEX(Product_lookup[Category],MATCH(RawWorking[[#This Row],[ProductID]],Product_lookup[ProductID],0)),"")</f>
        <v>Sports</v>
      </c>
      <c r="L2965" s="9">
        <f>IF(OR(RawWorking[[#This Row],[ShipDate]]="",RawWorking[[#This Row],[DeliveryDate]]=""),"",RawWorking[[#This Row],[DeliveryDate]]-RawWorking[[#This Row],[ShipDate]])</f>
        <v>3</v>
      </c>
      <c r="M2965" s="9">
        <f>IF(COUNTIF(INDEX(RawWorking[OrderID],1):RawWorking[[#This Row],[OrderID]],RawWorking[[#This Row],[OrderID]])=1,1,0)</f>
        <v>0</v>
      </c>
      <c r="N2965" s="4">
        <f>IFERROR(RawWorking[[#This Row],[LineAmount]]/RawWorking[[#This Row],[Quantity]],"")</f>
        <v>215.34</v>
      </c>
    </row>
    <row r="2966" spans="1:14">
      <c r="A2966">
        <v>52965</v>
      </c>
      <c r="B2966">
        <v>31697</v>
      </c>
      <c r="C2966" s="2">
        <v>45955</v>
      </c>
      <c r="D2966">
        <v>2337</v>
      </c>
      <c r="E2966">
        <v>1015</v>
      </c>
      <c r="F2966">
        <v>2</v>
      </c>
      <c r="G2966">
        <v>239.48</v>
      </c>
      <c r="H2966" s="2">
        <v>45956</v>
      </c>
      <c r="I2966" s="2">
        <v>45966</v>
      </c>
      <c r="J2966" t="s">
        <v>9</v>
      </c>
      <c r="K2966" s="2" t="str">
        <f>IFERROR(INDEX(Product_lookup[Category],MATCH(RawWorking[[#This Row],[ProductID]],Product_lookup[ProductID],0)),"")</f>
        <v>Sports</v>
      </c>
      <c r="L2966" s="9">
        <f>IF(OR(RawWorking[[#This Row],[ShipDate]]="",RawWorking[[#This Row],[DeliveryDate]]=""),"",RawWorking[[#This Row],[DeliveryDate]]-RawWorking[[#This Row],[ShipDate]])</f>
        <v>10</v>
      </c>
      <c r="M2966" s="9">
        <f>IF(COUNTIF(INDEX(RawWorking[OrderID],1):RawWorking[[#This Row],[OrderID]],RawWorking[[#This Row],[OrderID]])=1,1,0)</f>
        <v>1</v>
      </c>
      <c r="N2966" s="4">
        <f>IFERROR(RawWorking[[#This Row],[LineAmount]]/RawWorking[[#This Row],[Quantity]],"")</f>
        <v>119.74</v>
      </c>
    </row>
    <row r="2967" spans="1:14">
      <c r="A2967">
        <v>52966</v>
      </c>
      <c r="B2967">
        <v>31697</v>
      </c>
      <c r="C2967" s="2">
        <v>45955</v>
      </c>
      <c r="D2967">
        <v>2337</v>
      </c>
      <c r="E2967">
        <v>1002</v>
      </c>
      <c r="F2967">
        <v>2</v>
      </c>
      <c r="G2967">
        <v>237.2</v>
      </c>
      <c r="H2967" s="2">
        <v>45956</v>
      </c>
      <c r="I2967" s="2">
        <v>45963</v>
      </c>
      <c r="J2967" t="s">
        <v>9</v>
      </c>
      <c r="K2967" s="2" t="str">
        <f>IFERROR(INDEX(Product_lookup[Category],MATCH(RawWorking[[#This Row],[ProductID]],Product_lookup[ProductID],0)),"")</f>
        <v>Electronics</v>
      </c>
      <c r="L2967" s="9">
        <f>IF(OR(RawWorking[[#This Row],[ShipDate]]="",RawWorking[[#This Row],[DeliveryDate]]=""),"",RawWorking[[#This Row],[DeliveryDate]]-RawWorking[[#This Row],[ShipDate]])</f>
        <v>7</v>
      </c>
      <c r="M2967" s="9">
        <f>IF(COUNTIF(INDEX(RawWorking[OrderID],1):RawWorking[[#This Row],[OrderID]],RawWorking[[#This Row],[OrderID]])=1,1,0)</f>
        <v>0</v>
      </c>
      <c r="N2967" s="4">
        <f>IFERROR(RawWorking[[#This Row],[LineAmount]]/RawWorking[[#This Row],[Quantity]],"")</f>
        <v>118.6</v>
      </c>
    </row>
    <row r="2968" spans="1:14">
      <c r="A2968">
        <v>52967</v>
      </c>
      <c r="B2968">
        <v>31697</v>
      </c>
      <c r="C2968" s="2">
        <v>45955</v>
      </c>
      <c r="D2968">
        <v>2337</v>
      </c>
      <c r="E2968">
        <v>1016</v>
      </c>
      <c r="F2968">
        <v>1</v>
      </c>
      <c r="G2968">
        <v>65.260000000000005</v>
      </c>
      <c r="H2968" s="2">
        <v>45956</v>
      </c>
      <c r="I2968" s="2">
        <v>45957</v>
      </c>
      <c r="J2968" t="s">
        <v>9</v>
      </c>
      <c r="K2968" s="2" t="str">
        <f>IFERROR(INDEX(Product_lookup[Category],MATCH(RawWorking[[#This Row],[ProductID]],Product_lookup[ProductID],0)),"")</f>
        <v>Sports</v>
      </c>
      <c r="L2968" s="9">
        <f>IF(OR(RawWorking[[#This Row],[ShipDate]]="",RawWorking[[#This Row],[DeliveryDate]]=""),"",RawWorking[[#This Row],[DeliveryDate]]-RawWorking[[#This Row],[ShipDate]])</f>
        <v>1</v>
      </c>
      <c r="M2968" s="9">
        <f>IF(COUNTIF(INDEX(RawWorking[OrderID],1):RawWorking[[#This Row],[OrderID]],RawWorking[[#This Row],[OrderID]])=1,1,0)</f>
        <v>0</v>
      </c>
      <c r="N2968" s="4">
        <f>IFERROR(RawWorking[[#This Row],[LineAmount]]/RawWorking[[#This Row],[Quantity]],"")</f>
        <v>65.260000000000005</v>
      </c>
    </row>
    <row r="2969" spans="1:14">
      <c r="A2969">
        <v>52968</v>
      </c>
      <c r="B2969">
        <v>31698</v>
      </c>
      <c r="C2969" s="2">
        <v>45696</v>
      </c>
      <c r="D2969">
        <v>2225</v>
      </c>
      <c r="E2969">
        <v>1008</v>
      </c>
      <c r="F2969">
        <v>2</v>
      </c>
      <c r="G2969">
        <v>412.18</v>
      </c>
      <c r="H2969" s="2" t="s">
        <v>1421</v>
      </c>
      <c r="I2969" s="2" t="s">
        <v>1421</v>
      </c>
      <c r="J2969" t="s">
        <v>12</v>
      </c>
      <c r="K2969" s="2" t="str">
        <f>IFERROR(INDEX(Product_lookup[Category],MATCH(RawWorking[[#This Row],[ProductID]],Product_lookup[ProductID],0)),"")</f>
        <v>Home</v>
      </c>
      <c r="L2969" s="9" t="str">
        <f>IF(OR(RawWorking[[#This Row],[ShipDate]]="",RawWorking[[#This Row],[DeliveryDate]]=""),"",RawWorking[[#This Row],[DeliveryDate]]-RawWorking[[#This Row],[ShipDate]])</f>
        <v/>
      </c>
      <c r="M2969" s="9">
        <f>IF(COUNTIF(INDEX(RawWorking[OrderID],1):RawWorking[[#This Row],[OrderID]],RawWorking[[#This Row],[OrderID]])=1,1,0)</f>
        <v>1</v>
      </c>
      <c r="N2969" s="4">
        <f>IFERROR(RawWorking[[#This Row],[LineAmount]]/RawWorking[[#This Row],[Quantity]],"")</f>
        <v>206.09</v>
      </c>
    </row>
    <row r="2970" spans="1:14">
      <c r="A2970">
        <v>52969</v>
      </c>
      <c r="B2970">
        <v>31698</v>
      </c>
      <c r="C2970" s="2">
        <v>45871</v>
      </c>
      <c r="D2970">
        <v>2225</v>
      </c>
      <c r="E2970">
        <v>1008</v>
      </c>
      <c r="F2970">
        <v>1</v>
      </c>
      <c r="G2970">
        <v>206.09</v>
      </c>
      <c r="H2970" s="2" t="s">
        <v>1421</v>
      </c>
      <c r="I2970" s="2" t="s">
        <v>1421</v>
      </c>
      <c r="J2970" t="s">
        <v>12</v>
      </c>
      <c r="K2970" s="2" t="str">
        <f>IFERROR(INDEX(Product_lookup[Category],MATCH(RawWorking[[#This Row],[ProductID]],Product_lookup[ProductID],0)),"")</f>
        <v>Home</v>
      </c>
      <c r="L2970" s="9" t="str">
        <f>IF(OR(RawWorking[[#This Row],[ShipDate]]="",RawWorking[[#This Row],[DeliveryDate]]=""),"",RawWorking[[#This Row],[DeliveryDate]]-RawWorking[[#This Row],[ShipDate]])</f>
        <v/>
      </c>
      <c r="M2970" s="9">
        <f>IF(COUNTIF(INDEX(RawWorking[OrderID],1):RawWorking[[#This Row],[OrderID]],RawWorking[[#This Row],[OrderID]])=1,1,0)</f>
        <v>0</v>
      </c>
      <c r="N2970" s="4">
        <f>IFERROR(RawWorking[[#This Row],[LineAmount]]/RawWorking[[#This Row],[Quantity]],"")</f>
        <v>206.09</v>
      </c>
    </row>
    <row r="2971" spans="1:14">
      <c r="A2971">
        <v>52970</v>
      </c>
      <c r="B2971">
        <v>31699</v>
      </c>
      <c r="C2971" s="2">
        <v>45745</v>
      </c>
      <c r="D2971">
        <v>2478</v>
      </c>
      <c r="E2971">
        <v>1008</v>
      </c>
      <c r="F2971">
        <v>1</v>
      </c>
      <c r="G2971">
        <v>206.09</v>
      </c>
      <c r="H2971" s="2">
        <v>45747</v>
      </c>
      <c r="I2971" s="2">
        <v>45750</v>
      </c>
      <c r="J2971" t="s">
        <v>9</v>
      </c>
      <c r="K2971" s="2" t="str">
        <f>IFERROR(INDEX(Product_lookup[Category],MATCH(RawWorking[[#This Row],[ProductID]],Product_lookup[ProductID],0)),"")</f>
        <v>Home</v>
      </c>
      <c r="L2971" s="9">
        <f>IF(OR(RawWorking[[#This Row],[ShipDate]]="",RawWorking[[#This Row],[DeliveryDate]]=""),"",RawWorking[[#This Row],[DeliveryDate]]-RawWorking[[#This Row],[ShipDate]])</f>
        <v>3</v>
      </c>
      <c r="M2971" s="9">
        <f>IF(COUNTIF(INDEX(RawWorking[OrderID],1):RawWorking[[#This Row],[OrderID]],RawWorking[[#This Row],[OrderID]])=1,1,0)</f>
        <v>1</v>
      </c>
      <c r="N2971" s="4">
        <f>IFERROR(RawWorking[[#This Row],[LineAmount]]/RawWorking[[#This Row],[Quantity]],"")</f>
        <v>206.09</v>
      </c>
    </row>
    <row r="2972" spans="1:14">
      <c r="A2972">
        <v>52971</v>
      </c>
      <c r="B2972">
        <v>31699</v>
      </c>
      <c r="C2972" s="2">
        <v>45745</v>
      </c>
      <c r="D2972">
        <v>2478</v>
      </c>
      <c r="E2972">
        <v>1016</v>
      </c>
      <c r="F2972">
        <v>4</v>
      </c>
      <c r="G2972">
        <v>261.04000000000002</v>
      </c>
      <c r="H2972" s="2">
        <v>45746</v>
      </c>
      <c r="I2972" s="2">
        <v>45751</v>
      </c>
      <c r="J2972" t="s">
        <v>9</v>
      </c>
      <c r="K2972" s="2" t="str">
        <f>IFERROR(INDEX(Product_lookup[Category],MATCH(RawWorking[[#This Row],[ProductID]],Product_lookup[ProductID],0)),"")</f>
        <v>Sports</v>
      </c>
      <c r="L2972" s="9">
        <f>IF(OR(RawWorking[[#This Row],[ShipDate]]="",RawWorking[[#This Row],[DeliveryDate]]=""),"",RawWorking[[#This Row],[DeliveryDate]]-RawWorking[[#This Row],[ShipDate]])</f>
        <v>5</v>
      </c>
      <c r="M2972" s="9">
        <f>IF(COUNTIF(INDEX(RawWorking[OrderID],1):RawWorking[[#This Row],[OrderID]],RawWorking[[#This Row],[OrderID]])=1,1,0)</f>
        <v>0</v>
      </c>
      <c r="N2972" s="4">
        <f>IFERROR(RawWorking[[#This Row],[LineAmount]]/RawWorking[[#This Row],[Quantity]],"")</f>
        <v>65.260000000000005</v>
      </c>
    </row>
    <row r="2973" spans="1:14">
      <c r="A2973">
        <v>52972</v>
      </c>
      <c r="B2973">
        <v>31700</v>
      </c>
      <c r="C2973" s="2">
        <v>45818</v>
      </c>
      <c r="D2973">
        <v>2340</v>
      </c>
      <c r="E2973">
        <v>1013</v>
      </c>
      <c r="F2973">
        <v>1</v>
      </c>
      <c r="G2973">
        <v>170.25</v>
      </c>
      <c r="H2973" s="2">
        <v>45819</v>
      </c>
      <c r="I2973" s="2" t="s">
        <v>1421</v>
      </c>
      <c r="J2973" t="s">
        <v>16</v>
      </c>
      <c r="K2973" s="2" t="str">
        <f>IFERROR(INDEX(Product_lookup[Category],MATCH(RawWorking[[#This Row],[ProductID]],Product_lookup[ProductID],0)),"")</f>
        <v>Office</v>
      </c>
      <c r="L2973" s="9" t="str">
        <f>IF(OR(RawWorking[[#This Row],[ShipDate]]="",RawWorking[[#This Row],[DeliveryDate]]=""),"",RawWorking[[#This Row],[DeliveryDate]]-RawWorking[[#This Row],[ShipDate]])</f>
        <v/>
      </c>
      <c r="M2973" s="9">
        <f>IF(COUNTIF(INDEX(RawWorking[OrderID],1):RawWorking[[#This Row],[OrderID]],RawWorking[[#This Row],[OrderID]])=1,1,0)</f>
        <v>1</v>
      </c>
      <c r="N2973" s="4">
        <f>IFERROR(RawWorking[[#This Row],[LineAmount]]/RawWorking[[#This Row],[Quantity]],"")</f>
        <v>170.25</v>
      </c>
    </row>
    <row r="2974" spans="1:14">
      <c r="A2974">
        <v>52973</v>
      </c>
      <c r="B2974">
        <v>31701</v>
      </c>
      <c r="C2974" s="2">
        <v>45985</v>
      </c>
      <c r="D2974">
        <v>2189</v>
      </c>
      <c r="E2974">
        <v>1001</v>
      </c>
      <c r="F2974">
        <v>2</v>
      </c>
      <c r="G2974">
        <v>406.08</v>
      </c>
      <c r="H2974" s="2" t="s">
        <v>1421</v>
      </c>
      <c r="I2974" s="2" t="s">
        <v>1421</v>
      </c>
      <c r="J2974" t="s">
        <v>16</v>
      </c>
      <c r="K2974" s="2" t="str">
        <f>IFERROR(INDEX(Product_lookup[Category],MATCH(RawWorking[[#This Row],[ProductID]],Product_lookup[ProductID],0)),"")</f>
        <v>Electronics</v>
      </c>
      <c r="L2974" s="9" t="str">
        <f>IF(OR(RawWorking[[#This Row],[ShipDate]]="",RawWorking[[#This Row],[DeliveryDate]]=""),"",RawWorking[[#This Row],[DeliveryDate]]-RawWorking[[#This Row],[ShipDate]])</f>
        <v/>
      </c>
      <c r="M2974" s="9">
        <f>IF(COUNTIF(INDEX(RawWorking[OrderID],1):RawWorking[[#This Row],[OrderID]],RawWorking[[#This Row],[OrderID]])=1,1,0)</f>
        <v>1</v>
      </c>
      <c r="N2974" s="4">
        <f>IFERROR(RawWorking[[#This Row],[LineAmount]]/RawWorking[[#This Row],[Quantity]],"")</f>
        <v>203.04</v>
      </c>
    </row>
    <row r="2975" spans="1:14">
      <c r="A2975">
        <v>52974</v>
      </c>
      <c r="B2975">
        <v>31701</v>
      </c>
      <c r="C2975" s="2">
        <v>45985</v>
      </c>
      <c r="D2975">
        <v>2189</v>
      </c>
      <c r="E2975">
        <v>1003</v>
      </c>
      <c r="F2975">
        <v>2</v>
      </c>
      <c r="G2975">
        <v>448.74</v>
      </c>
      <c r="H2975" s="2" t="s">
        <v>1421</v>
      </c>
      <c r="I2975" s="2" t="s">
        <v>1421</v>
      </c>
      <c r="J2975" t="s">
        <v>16</v>
      </c>
      <c r="K2975" s="2" t="str">
        <f>IFERROR(INDEX(Product_lookup[Category],MATCH(RawWorking[[#This Row],[ProductID]],Product_lookup[ProductID],0)),"")</f>
        <v>Electronics</v>
      </c>
      <c r="L2975" s="9" t="str">
        <f>IF(OR(RawWorking[[#This Row],[ShipDate]]="",RawWorking[[#This Row],[DeliveryDate]]=""),"",RawWorking[[#This Row],[DeliveryDate]]-RawWorking[[#This Row],[ShipDate]])</f>
        <v/>
      </c>
      <c r="M2975" s="9">
        <f>IF(COUNTIF(INDEX(RawWorking[OrderID],1):RawWorking[[#This Row],[OrderID]],RawWorking[[#This Row],[OrderID]])=1,1,0)</f>
        <v>0</v>
      </c>
      <c r="N2975" s="4">
        <f>IFERROR(RawWorking[[#This Row],[LineAmount]]/RawWorking[[#This Row],[Quantity]],"")</f>
        <v>224.37</v>
      </c>
    </row>
    <row r="2976" spans="1:14">
      <c r="A2976">
        <v>52975</v>
      </c>
      <c r="B2976">
        <v>31701</v>
      </c>
      <c r="C2976" s="2">
        <v>45985</v>
      </c>
      <c r="D2976">
        <v>2189</v>
      </c>
      <c r="E2976">
        <v>1004</v>
      </c>
      <c r="F2976">
        <v>1</v>
      </c>
      <c r="G2976">
        <v>183.74</v>
      </c>
      <c r="H2976" s="2">
        <v>45988</v>
      </c>
      <c r="I2976" s="2" t="s">
        <v>1421</v>
      </c>
      <c r="J2976" t="s">
        <v>16</v>
      </c>
      <c r="K2976" s="2" t="str">
        <f>IFERROR(INDEX(Product_lookup[Category],MATCH(RawWorking[[#This Row],[ProductID]],Product_lookup[ProductID],0)),"")</f>
        <v>Electronics</v>
      </c>
      <c r="L2976" s="9" t="str">
        <f>IF(OR(RawWorking[[#This Row],[ShipDate]]="",RawWorking[[#This Row],[DeliveryDate]]=""),"",RawWorking[[#This Row],[DeliveryDate]]-RawWorking[[#This Row],[ShipDate]])</f>
        <v/>
      </c>
      <c r="M2976" s="9">
        <f>IF(COUNTIF(INDEX(RawWorking[OrderID],1):RawWorking[[#This Row],[OrderID]],RawWorking[[#This Row],[OrderID]])=1,1,0)</f>
        <v>0</v>
      </c>
      <c r="N2976" s="4">
        <f>IFERROR(RawWorking[[#This Row],[LineAmount]]/RawWorking[[#This Row],[Quantity]],"")</f>
        <v>183.74</v>
      </c>
    </row>
    <row r="2977" spans="1:14">
      <c r="A2977">
        <v>52976</v>
      </c>
      <c r="B2977">
        <v>31701</v>
      </c>
      <c r="C2977" s="2">
        <v>45985</v>
      </c>
      <c r="D2977">
        <v>2189</v>
      </c>
      <c r="E2977">
        <v>1015</v>
      </c>
      <c r="F2977">
        <v>1</v>
      </c>
      <c r="G2977">
        <v>119.74</v>
      </c>
      <c r="H2977" s="2">
        <v>46488</v>
      </c>
      <c r="I2977" s="2" t="s">
        <v>1421</v>
      </c>
      <c r="J2977" t="s">
        <v>16</v>
      </c>
      <c r="K2977" s="2" t="str">
        <f>IFERROR(INDEX(Product_lookup[Category],MATCH(RawWorking[[#This Row],[ProductID]],Product_lookup[ProductID],0)),"")</f>
        <v>Sports</v>
      </c>
      <c r="L2977" s="9" t="str">
        <f>IF(OR(RawWorking[[#This Row],[ShipDate]]="",RawWorking[[#This Row],[DeliveryDate]]=""),"",RawWorking[[#This Row],[DeliveryDate]]-RawWorking[[#This Row],[ShipDate]])</f>
        <v/>
      </c>
      <c r="M2977" s="9">
        <f>IF(COUNTIF(INDEX(RawWorking[OrderID],1):RawWorking[[#This Row],[OrderID]],RawWorking[[#This Row],[OrderID]])=1,1,0)</f>
        <v>0</v>
      </c>
      <c r="N2977" s="4">
        <f>IFERROR(RawWorking[[#This Row],[LineAmount]]/RawWorking[[#This Row],[Quantity]],"")</f>
        <v>119.74</v>
      </c>
    </row>
    <row r="2978" spans="1:14">
      <c r="A2978">
        <v>52977</v>
      </c>
      <c r="B2978">
        <v>31702</v>
      </c>
      <c r="C2978" s="2">
        <v>45774</v>
      </c>
      <c r="D2978">
        <v>2600</v>
      </c>
      <c r="E2978">
        <v>1012</v>
      </c>
      <c r="F2978">
        <v>3</v>
      </c>
      <c r="G2978">
        <v>724.62</v>
      </c>
      <c r="H2978" s="2" t="s">
        <v>1421</v>
      </c>
      <c r="I2978" s="2" t="s">
        <v>1421</v>
      </c>
      <c r="J2978" t="s">
        <v>12</v>
      </c>
      <c r="K2978" s="2" t="str">
        <f>IFERROR(INDEX(Product_lookup[Category],MATCH(RawWorking[[#This Row],[ProductID]],Product_lookup[ProductID],0)),"")</f>
        <v>Office</v>
      </c>
      <c r="L2978" s="9" t="str">
        <f>IF(OR(RawWorking[[#This Row],[ShipDate]]="",RawWorking[[#This Row],[DeliveryDate]]=""),"",RawWorking[[#This Row],[DeliveryDate]]-RawWorking[[#This Row],[ShipDate]])</f>
        <v/>
      </c>
      <c r="M2978" s="9">
        <f>IF(COUNTIF(INDEX(RawWorking[OrderID],1):RawWorking[[#This Row],[OrderID]],RawWorking[[#This Row],[OrderID]])=1,1,0)</f>
        <v>1</v>
      </c>
      <c r="N2978" s="4">
        <f>IFERROR(RawWorking[[#This Row],[LineAmount]]/RawWorking[[#This Row],[Quantity]],"")</f>
        <v>241.54</v>
      </c>
    </row>
    <row r="2979" spans="1:14">
      <c r="A2979">
        <v>52978</v>
      </c>
      <c r="B2979">
        <v>31703</v>
      </c>
      <c r="C2979" s="2">
        <v>45941</v>
      </c>
      <c r="D2979">
        <v>2045</v>
      </c>
      <c r="E2979">
        <v>1007</v>
      </c>
      <c r="F2979">
        <v>1</v>
      </c>
      <c r="G2979">
        <v>199.81</v>
      </c>
      <c r="H2979" s="2">
        <v>45943</v>
      </c>
      <c r="I2979" s="2">
        <v>45946</v>
      </c>
      <c r="J2979" t="s">
        <v>11</v>
      </c>
      <c r="K2979" s="2" t="str">
        <f>IFERROR(INDEX(Product_lookup[Category],MATCH(RawWorking[[#This Row],[ProductID]],Product_lookup[ProductID],0)),"")</f>
        <v>Home</v>
      </c>
      <c r="L2979" s="9">
        <f>IF(OR(RawWorking[[#This Row],[ShipDate]]="",RawWorking[[#This Row],[DeliveryDate]]=""),"",RawWorking[[#This Row],[DeliveryDate]]-RawWorking[[#This Row],[ShipDate]])</f>
        <v>3</v>
      </c>
      <c r="M2979" s="9">
        <f>IF(COUNTIF(INDEX(RawWorking[OrderID],1):RawWorking[[#This Row],[OrderID]],RawWorking[[#This Row],[OrderID]])=1,1,0)</f>
        <v>1</v>
      </c>
      <c r="N2979" s="4">
        <f>IFERROR(RawWorking[[#This Row],[LineAmount]]/RawWorking[[#This Row],[Quantity]],"")</f>
        <v>199.81</v>
      </c>
    </row>
    <row r="2980" spans="1:14">
      <c r="A2980">
        <v>52979</v>
      </c>
      <c r="B2980">
        <v>31704</v>
      </c>
      <c r="C2980" s="2">
        <v>45963</v>
      </c>
      <c r="D2980">
        <v>2203</v>
      </c>
      <c r="E2980">
        <v>1008</v>
      </c>
      <c r="F2980">
        <v>1</v>
      </c>
      <c r="G2980">
        <v>206.09</v>
      </c>
      <c r="H2980" s="2">
        <v>45965</v>
      </c>
      <c r="I2980" s="2">
        <v>45974</v>
      </c>
      <c r="J2980" t="s">
        <v>9</v>
      </c>
      <c r="K2980" s="2" t="str">
        <f>IFERROR(INDEX(Product_lookup[Category],MATCH(RawWorking[[#This Row],[ProductID]],Product_lookup[ProductID],0)),"")</f>
        <v>Home</v>
      </c>
      <c r="L2980" s="9">
        <f>IF(OR(RawWorking[[#This Row],[ShipDate]]="",RawWorking[[#This Row],[DeliveryDate]]=""),"",RawWorking[[#This Row],[DeliveryDate]]-RawWorking[[#This Row],[ShipDate]])</f>
        <v>9</v>
      </c>
      <c r="M2980" s="9">
        <f>IF(COUNTIF(INDEX(RawWorking[OrderID],1):RawWorking[[#This Row],[OrderID]],RawWorking[[#This Row],[OrderID]])=1,1,0)</f>
        <v>1</v>
      </c>
      <c r="N2980" s="4">
        <f>IFERROR(RawWorking[[#This Row],[LineAmount]]/RawWorking[[#This Row],[Quantity]],"")</f>
        <v>206.09</v>
      </c>
    </row>
    <row r="2981" spans="1:14">
      <c r="A2981">
        <v>52980</v>
      </c>
      <c r="B2981">
        <v>31705</v>
      </c>
      <c r="C2981" s="2">
        <v>45980</v>
      </c>
      <c r="D2981">
        <v>2269</v>
      </c>
      <c r="E2981">
        <v>1011</v>
      </c>
      <c r="F2981">
        <v>1</v>
      </c>
      <c r="G2981">
        <v>101.44</v>
      </c>
      <c r="H2981" s="2">
        <v>45982</v>
      </c>
      <c r="I2981" s="2">
        <v>45989</v>
      </c>
      <c r="J2981" t="s">
        <v>9</v>
      </c>
      <c r="K2981" s="2" t="str">
        <f>IFERROR(INDEX(Product_lookup[Category],MATCH(RawWorking[[#This Row],[ProductID]],Product_lookup[ProductID],0)),"")</f>
        <v>Office</v>
      </c>
      <c r="L2981" s="9">
        <f>IF(OR(RawWorking[[#This Row],[ShipDate]]="",RawWorking[[#This Row],[DeliveryDate]]=""),"",RawWorking[[#This Row],[DeliveryDate]]-RawWorking[[#This Row],[ShipDate]])</f>
        <v>7</v>
      </c>
      <c r="M2981" s="9">
        <f>IF(COUNTIF(INDEX(RawWorking[OrderID],1):RawWorking[[#This Row],[OrderID]],RawWorking[[#This Row],[OrderID]])=1,1,0)</f>
        <v>1</v>
      </c>
      <c r="N2981" s="4">
        <f>IFERROR(RawWorking[[#This Row],[LineAmount]]/RawWorking[[#This Row],[Quantity]],"")</f>
        <v>101.44</v>
      </c>
    </row>
    <row r="2982" spans="1:14">
      <c r="A2982">
        <v>52981</v>
      </c>
      <c r="B2982">
        <v>31705</v>
      </c>
      <c r="C2982" s="2">
        <v>45980</v>
      </c>
      <c r="D2982">
        <v>2269</v>
      </c>
      <c r="E2982">
        <v>1008</v>
      </c>
      <c r="F2982">
        <v>4</v>
      </c>
      <c r="G2982">
        <v>824.36</v>
      </c>
      <c r="H2982" s="2">
        <v>45983</v>
      </c>
      <c r="I2982" s="2">
        <v>45986</v>
      </c>
      <c r="J2982" t="s">
        <v>9</v>
      </c>
      <c r="K2982" s="2" t="str">
        <f>IFERROR(INDEX(Product_lookup[Category],MATCH(RawWorking[[#This Row],[ProductID]],Product_lookup[ProductID],0)),"")</f>
        <v>Home</v>
      </c>
      <c r="L2982" s="9">
        <f>IF(OR(RawWorking[[#This Row],[ShipDate]]="",RawWorking[[#This Row],[DeliveryDate]]=""),"",RawWorking[[#This Row],[DeliveryDate]]-RawWorking[[#This Row],[ShipDate]])</f>
        <v>3</v>
      </c>
      <c r="M2982" s="9">
        <f>IF(COUNTIF(INDEX(RawWorking[OrderID],1):RawWorking[[#This Row],[OrderID]],RawWorking[[#This Row],[OrderID]])=1,1,0)</f>
        <v>0</v>
      </c>
      <c r="N2982" s="4">
        <f>IFERROR(RawWorking[[#This Row],[LineAmount]]/RawWorking[[#This Row],[Quantity]],"")</f>
        <v>206.09</v>
      </c>
    </row>
    <row r="2983" spans="1:14">
      <c r="A2983">
        <v>52982</v>
      </c>
      <c r="B2983">
        <v>31705</v>
      </c>
      <c r="C2983" s="2">
        <v>45980</v>
      </c>
      <c r="D2983">
        <v>2269</v>
      </c>
      <c r="E2983">
        <v>1006</v>
      </c>
      <c r="F2983">
        <v>2</v>
      </c>
      <c r="G2983">
        <v>507.72</v>
      </c>
      <c r="H2983" s="2">
        <v>45982</v>
      </c>
      <c r="I2983" s="2">
        <v>45992</v>
      </c>
      <c r="J2983" t="s">
        <v>9</v>
      </c>
      <c r="K2983" s="2" t="str">
        <f>IFERROR(INDEX(Product_lookup[Category],MATCH(RawWorking[[#This Row],[ProductID]],Product_lookup[ProductID],0)),"")</f>
        <v>Home</v>
      </c>
      <c r="L2983" s="9">
        <f>IF(OR(RawWorking[[#This Row],[ShipDate]]="",RawWorking[[#This Row],[DeliveryDate]]=""),"",RawWorking[[#This Row],[DeliveryDate]]-RawWorking[[#This Row],[ShipDate]])</f>
        <v>10</v>
      </c>
      <c r="M2983" s="9">
        <f>IF(COUNTIF(INDEX(RawWorking[OrderID],1):RawWorking[[#This Row],[OrderID]],RawWorking[[#This Row],[OrderID]])=1,1,0)</f>
        <v>0</v>
      </c>
      <c r="N2983" s="4">
        <f>IFERROR(RawWorking[[#This Row],[LineAmount]]/RawWorking[[#This Row],[Quantity]],"")</f>
        <v>253.86</v>
      </c>
    </row>
    <row r="2984" spans="1:14">
      <c r="A2984">
        <v>52983</v>
      </c>
      <c r="B2984">
        <v>31706</v>
      </c>
      <c r="C2984" s="2">
        <v>45801</v>
      </c>
      <c r="D2984">
        <v>2201</v>
      </c>
      <c r="E2984">
        <v>1009</v>
      </c>
      <c r="F2984">
        <v>3</v>
      </c>
      <c r="G2984">
        <v>120.84</v>
      </c>
      <c r="H2984" s="2">
        <v>45804</v>
      </c>
      <c r="I2984" s="2">
        <v>45812</v>
      </c>
      <c r="J2984" t="s">
        <v>9</v>
      </c>
      <c r="K2984" s="2" t="str">
        <f>IFERROR(INDEX(Product_lookup[Category],MATCH(RawWorking[[#This Row],[ProductID]],Product_lookup[ProductID],0)),"")</f>
        <v>Home</v>
      </c>
      <c r="L2984" s="9">
        <f>IF(OR(RawWorking[[#This Row],[ShipDate]]="",RawWorking[[#This Row],[DeliveryDate]]=""),"",RawWorking[[#This Row],[DeliveryDate]]-RawWorking[[#This Row],[ShipDate]])</f>
        <v>8</v>
      </c>
      <c r="M2984" s="9">
        <f>IF(COUNTIF(INDEX(RawWorking[OrderID],1):RawWorking[[#This Row],[OrderID]],RawWorking[[#This Row],[OrderID]])=1,1,0)</f>
        <v>1</v>
      </c>
      <c r="N2984" s="4">
        <f>IFERROR(RawWorking[[#This Row],[LineAmount]]/RawWorking[[#This Row],[Quantity]],"")</f>
        <v>40.28</v>
      </c>
    </row>
    <row r="2985" spans="1:14">
      <c r="A2985">
        <v>52984</v>
      </c>
      <c r="B2985">
        <v>31706</v>
      </c>
      <c r="C2985" s="2">
        <v>45801</v>
      </c>
      <c r="D2985">
        <v>2201</v>
      </c>
      <c r="E2985">
        <v>1004</v>
      </c>
      <c r="F2985">
        <v>4</v>
      </c>
      <c r="G2985">
        <v>734.96</v>
      </c>
      <c r="H2985" s="2">
        <v>45802</v>
      </c>
      <c r="I2985" s="2">
        <v>45808</v>
      </c>
      <c r="J2985" t="s">
        <v>9</v>
      </c>
      <c r="K2985" s="2" t="str">
        <f>IFERROR(INDEX(Product_lookup[Category],MATCH(RawWorking[[#This Row],[ProductID]],Product_lookup[ProductID],0)),"")</f>
        <v>Electronics</v>
      </c>
      <c r="L2985" s="9">
        <f>IF(OR(RawWorking[[#This Row],[ShipDate]]="",RawWorking[[#This Row],[DeliveryDate]]=""),"",RawWorking[[#This Row],[DeliveryDate]]-RawWorking[[#This Row],[ShipDate]])</f>
        <v>6</v>
      </c>
      <c r="M2985" s="9">
        <f>IF(COUNTIF(INDEX(RawWorking[OrderID],1):RawWorking[[#This Row],[OrderID]],RawWorking[[#This Row],[OrderID]])=1,1,0)</f>
        <v>0</v>
      </c>
      <c r="N2985" s="4">
        <f>IFERROR(RawWorking[[#This Row],[LineAmount]]/RawWorking[[#This Row],[Quantity]],"")</f>
        <v>183.74</v>
      </c>
    </row>
    <row r="2986" spans="1:14">
      <c r="A2986">
        <v>52985</v>
      </c>
      <c r="B2986">
        <v>31707</v>
      </c>
      <c r="C2986" s="2">
        <v>45670</v>
      </c>
      <c r="D2986">
        <v>2022</v>
      </c>
      <c r="E2986">
        <v>1005</v>
      </c>
      <c r="F2986">
        <v>2</v>
      </c>
      <c r="G2986">
        <v>63.46</v>
      </c>
      <c r="H2986" s="2" t="s">
        <v>1421</v>
      </c>
      <c r="I2986" s="2" t="s">
        <v>1421</v>
      </c>
      <c r="J2986" t="s">
        <v>16</v>
      </c>
      <c r="K2986" s="2" t="str">
        <f>IFERROR(INDEX(Product_lookup[Category],MATCH(RawWorking[[#This Row],[ProductID]],Product_lookup[ProductID],0)),"")</f>
        <v>Electronics</v>
      </c>
      <c r="L2986" s="9" t="str">
        <f>IF(OR(RawWorking[[#This Row],[ShipDate]]="",RawWorking[[#This Row],[DeliveryDate]]=""),"",RawWorking[[#This Row],[DeliveryDate]]-RawWorking[[#This Row],[ShipDate]])</f>
        <v/>
      </c>
      <c r="M2986" s="9">
        <f>IF(COUNTIF(INDEX(RawWorking[OrderID],1):RawWorking[[#This Row],[OrderID]],RawWorking[[#This Row],[OrderID]])=1,1,0)</f>
        <v>1</v>
      </c>
      <c r="N2986" s="4">
        <f>IFERROR(RawWorking[[#This Row],[LineAmount]]/RawWorking[[#This Row],[Quantity]],"")</f>
        <v>31.73</v>
      </c>
    </row>
    <row r="2987" spans="1:14">
      <c r="A2987">
        <v>52986</v>
      </c>
      <c r="B2987">
        <v>31708</v>
      </c>
      <c r="C2987" s="2">
        <v>45868</v>
      </c>
      <c r="D2987">
        <v>2114</v>
      </c>
      <c r="E2987">
        <v>1007</v>
      </c>
      <c r="F2987">
        <v>2</v>
      </c>
      <c r="G2987">
        <v>399.62</v>
      </c>
      <c r="H2987" s="2">
        <v>45869</v>
      </c>
      <c r="I2987" s="2">
        <v>45872</v>
      </c>
      <c r="J2987" t="s">
        <v>9</v>
      </c>
      <c r="K2987" s="2" t="str">
        <f>IFERROR(INDEX(Product_lookup[Category],MATCH(RawWorking[[#This Row],[ProductID]],Product_lookup[ProductID],0)),"")</f>
        <v>Home</v>
      </c>
      <c r="L2987" s="9">
        <f>IF(OR(RawWorking[[#This Row],[ShipDate]]="",RawWorking[[#This Row],[DeliveryDate]]=""),"",RawWorking[[#This Row],[DeliveryDate]]-RawWorking[[#This Row],[ShipDate]])</f>
        <v>3</v>
      </c>
      <c r="M2987" s="9">
        <f>IF(COUNTIF(INDEX(RawWorking[OrderID],1):RawWorking[[#This Row],[OrderID]],RawWorking[[#This Row],[OrderID]])=1,1,0)</f>
        <v>1</v>
      </c>
      <c r="N2987" s="4">
        <f>IFERROR(RawWorking[[#This Row],[LineAmount]]/RawWorking[[#This Row],[Quantity]],"")</f>
        <v>199.81</v>
      </c>
    </row>
    <row r="2988" spans="1:14">
      <c r="A2988">
        <v>52987</v>
      </c>
      <c r="B2988">
        <v>31708</v>
      </c>
      <c r="C2988" s="2">
        <v>45868</v>
      </c>
      <c r="D2988">
        <v>2114</v>
      </c>
      <c r="E2988">
        <v>1010</v>
      </c>
      <c r="F2988">
        <v>1</v>
      </c>
      <c r="G2988">
        <v>121.5</v>
      </c>
      <c r="H2988" s="2">
        <v>45870</v>
      </c>
      <c r="I2988" s="2">
        <v>45908</v>
      </c>
      <c r="J2988" t="s">
        <v>9</v>
      </c>
      <c r="K2988" s="2" t="str">
        <f>IFERROR(INDEX(Product_lookup[Category],MATCH(RawWorking[[#This Row],[ProductID]],Product_lookup[ProductID],0)),"")</f>
        <v>Office</v>
      </c>
      <c r="L2988" s="9">
        <f>IF(OR(RawWorking[[#This Row],[ShipDate]]="",RawWorking[[#This Row],[DeliveryDate]]=""),"",RawWorking[[#This Row],[DeliveryDate]]-RawWorking[[#This Row],[ShipDate]])</f>
        <v>38</v>
      </c>
      <c r="M2988" s="9">
        <f>IF(COUNTIF(INDEX(RawWorking[OrderID],1):RawWorking[[#This Row],[OrderID]],RawWorking[[#This Row],[OrderID]])=1,1,0)</f>
        <v>0</v>
      </c>
      <c r="N2988" s="4">
        <f>IFERROR(RawWorking[[#This Row],[LineAmount]]/RawWorking[[#This Row],[Quantity]],"")</f>
        <v>121.5</v>
      </c>
    </row>
    <row r="2989" spans="1:14">
      <c r="A2989">
        <v>52988</v>
      </c>
      <c r="B2989">
        <v>31708</v>
      </c>
      <c r="C2989" s="2">
        <v>45868</v>
      </c>
      <c r="D2989">
        <v>2114</v>
      </c>
      <c r="E2989">
        <v>1015</v>
      </c>
      <c r="F2989">
        <v>4</v>
      </c>
      <c r="G2989">
        <v>478.96</v>
      </c>
      <c r="H2989" s="2">
        <v>45870</v>
      </c>
      <c r="I2989" s="2">
        <v>45872</v>
      </c>
      <c r="J2989" t="s">
        <v>9</v>
      </c>
      <c r="K2989" s="2" t="str">
        <f>IFERROR(INDEX(Product_lookup[Category],MATCH(RawWorking[[#This Row],[ProductID]],Product_lookup[ProductID],0)),"")</f>
        <v>Sports</v>
      </c>
      <c r="L2989" s="9">
        <f>IF(OR(RawWorking[[#This Row],[ShipDate]]="",RawWorking[[#This Row],[DeliveryDate]]=""),"",RawWorking[[#This Row],[DeliveryDate]]-RawWorking[[#This Row],[ShipDate]])</f>
        <v>2</v>
      </c>
      <c r="M2989" s="9">
        <f>IF(COUNTIF(INDEX(RawWorking[OrderID],1):RawWorking[[#This Row],[OrderID]],RawWorking[[#This Row],[OrderID]])=1,1,0)</f>
        <v>0</v>
      </c>
      <c r="N2989" s="4">
        <f>IFERROR(RawWorking[[#This Row],[LineAmount]]/RawWorking[[#This Row],[Quantity]],"")</f>
        <v>119.74</v>
      </c>
    </row>
    <row r="2990" spans="1:14">
      <c r="A2990">
        <v>52989</v>
      </c>
      <c r="B2990">
        <v>31709</v>
      </c>
      <c r="C2990" s="2">
        <v>45671</v>
      </c>
      <c r="D2990">
        <v>2246</v>
      </c>
      <c r="E2990">
        <v>1012</v>
      </c>
      <c r="F2990">
        <v>1</v>
      </c>
      <c r="G2990">
        <v>241.54</v>
      </c>
      <c r="H2990" s="2">
        <v>45672</v>
      </c>
      <c r="I2990" s="2">
        <v>45675</v>
      </c>
      <c r="J2990" t="s">
        <v>9</v>
      </c>
      <c r="K2990" s="2" t="str">
        <f>IFERROR(INDEX(Product_lookup[Category],MATCH(RawWorking[[#This Row],[ProductID]],Product_lookup[ProductID],0)),"")</f>
        <v>Office</v>
      </c>
      <c r="L2990" s="9">
        <f>IF(OR(RawWorking[[#This Row],[ShipDate]]="",RawWorking[[#This Row],[DeliveryDate]]=""),"",RawWorking[[#This Row],[DeliveryDate]]-RawWorking[[#This Row],[ShipDate]])</f>
        <v>3</v>
      </c>
      <c r="M2990" s="9">
        <f>IF(COUNTIF(INDEX(RawWorking[OrderID],1):RawWorking[[#This Row],[OrderID]],RawWorking[[#This Row],[OrderID]])=1,1,0)</f>
        <v>1</v>
      </c>
      <c r="N2990" s="4">
        <f>IFERROR(RawWorking[[#This Row],[LineAmount]]/RawWorking[[#This Row],[Quantity]],"")</f>
        <v>241.54</v>
      </c>
    </row>
    <row r="2991" spans="1:14">
      <c r="A2991">
        <v>52990</v>
      </c>
      <c r="B2991">
        <v>31710</v>
      </c>
      <c r="C2991" s="2">
        <v>46015</v>
      </c>
      <c r="D2991">
        <v>2176</v>
      </c>
      <c r="E2991">
        <v>1014</v>
      </c>
      <c r="F2991">
        <v>1</v>
      </c>
      <c r="G2991">
        <v>215.34</v>
      </c>
      <c r="H2991" s="2">
        <v>46018</v>
      </c>
      <c r="I2991" s="2">
        <v>46021</v>
      </c>
      <c r="J2991" t="s">
        <v>11</v>
      </c>
      <c r="K2991" s="2" t="str">
        <f>IFERROR(INDEX(Product_lookup[Category],MATCH(RawWorking[[#This Row],[ProductID]],Product_lookup[ProductID],0)),"")</f>
        <v>Sports</v>
      </c>
      <c r="L2991" s="9">
        <f>IF(OR(RawWorking[[#This Row],[ShipDate]]="",RawWorking[[#This Row],[DeliveryDate]]=""),"",RawWorking[[#This Row],[DeliveryDate]]-RawWorking[[#This Row],[ShipDate]])</f>
        <v>3</v>
      </c>
      <c r="M2991" s="9">
        <f>IF(COUNTIF(INDEX(RawWorking[OrderID],1):RawWorking[[#This Row],[OrderID]],RawWorking[[#This Row],[OrderID]])=1,1,0)</f>
        <v>1</v>
      </c>
      <c r="N2991" s="4">
        <f>IFERROR(RawWorking[[#This Row],[LineAmount]]/RawWorking[[#This Row],[Quantity]],"")</f>
        <v>215.34</v>
      </c>
    </row>
    <row r="2992" spans="1:14">
      <c r="A2992">
        <v>52991</v>
      </c>
      <c r="B2992">
        <v>31711</v>
      </c>
      <c r="C2992" s="2">
        <v>45793</v>
      </c>
      <c r="D2992">
        <v>2067</v>
      </c>
      <c r="E2992">
        <v>1005</v>
      </c>
      <c r="F2992">
        <v>1</v>
      </c>
      <c r="G2992">
        <v>31.73</v>
      </c>
      <c r="H2992" s="2">
        <v>45795</v>
      </c>
      <c r="I2992" s="2">
        <v>45803</v>
      </c>
      <c r="J2992" t="s">
        <v>9</v>
      </c>
      <c r="K2992" s="2" t="str">
        <f>IFERROR(INDEX(Product_lookup[Category],MATCH(RawWorking[[#This Row],[ProductID]],Product_lookup[ProductID],0)),"")</f>
        <v>Electronics</v>
      </c>
      <c r="L2992" s="9">
        <f>IF(OR(RawWorking[[#This Row],[ShipDate]]="",RawWorking[[#This Row],[DeliveryDate]]=""),"",RawWorking[[#This Row],[DeliveryDate]]-RawWorking[[#This Row],[ShipDate]])</f>
        <v>8</v>
      </c>
      <c r="M2992" s="9">
        <f>IF(COUNTIF(INDEX(RawWorking[OrderID],1):RawWorking[[#This Row],[OrderID]],RawWorking[[#This Row],[OrderID]])=1,1,0)</f>
        <v>1</v>
      </c>
      <c r="N2992" s="4">
        <f>IFERROR(RawWorking[[#This Row],[LineAmount]]/RawWorking[[#This Row],[Quantity]],"")</f>
        <v>31.73</v>
      </c>
    </row>
    <row r="2993" spans="1:14">
      <c r="A2993">
        <v>52992</v>
      </c>
      <c r="B2993">
        <v>31711</v>
      </c>
      <c r="C2993" s="2">
        <v>45793</v>
      </c>
      <c r="D2993">
        <v>2067</v>
      </c>
      <c r="E2993">
        <v>1007</v>
      </c>
      <c r="F2993">
        <v>1</v>
      </c>
      <c r="G2993">
        <v>199.81</v>
      </c>
      <c r="H2993" s="2">
        <v>45794</v>
      </c>
      <c r="I2993" s="2">
        <v>45800</v>
      </c>
      <c r="J2993" t="s">
        <v>9</v>
      </c>
      <c r="K2993" s="2" t="str">
        <f>IFERROR(INDEX(Product_lookup[Category],MATCH(RawWorking[[#This Row],[ProductID]],Product_lookup[ProductID],0)),"")</f>
        <v>Home</v>
      </c>
      <c r="L2993" s="9">
        <f>IF(OR(RawWorking[[#This Row],[ShipDate]]="",RawWorking[[#This Row],[DeliveryDate]]=""),"",RawWorking[[#This Row],[DeliveryDate]]-RawWorking[[#This Row],[ShipDate]])</f>
        <v>6</v>
      </c>
      <c r="M2993" s="9">
        <f>IF(COUNTIF(INDEX(RawWorking[OrderID],1):RawWorking[[#This Row],[OrderID]],RawWorking[[#This Row],[OrderID]])=1,1,0)</f>
        <v>0</v>
      </c>
      <c r="N2993" s="4">
        <f>IFERROR(RawWorking[[#This Row],[LineAmount]]/RawWorking[[#This Row],[Quantity]],"")</f>
        <v>199.81</v>
      </c>
    </row>
    <row r="2994" spans="1:14">
      <c r="A2994">
        <v>52993</v>
      </c>
      <c r="B2994">
        <v>31711</v>
      </c>
      <c r="C2994" s="2">
        <v>45793</v>
      </c>
      <c r="D2994">
        <v>2067</v>
      </c>
      <c r="E2994">
        <v>1007</v>
      </c>
      <c r="F2994">
        <v>5</v>
      </c>
      <c r="G2994">
        <v>999.05</v>
      </c>
      <c r="H2994" s="2">
        <v>45796</v>
      </c>
      <c r="I2994" s="2">
        <v>45803</v>
      </c>
      <c r="J2994" t="s">
        <v>9</v>
      </c>
      <c r="K2994" s="2" t="str">
        <f>IFERROR(INDEX(Product_lookup[Category],MATCH(RawWorking[[#This Row],[ProductID]],Product_lookup[ProductID],0)),"")</f>
        <v>Home</v>
      </c>
      <c r="L2994" s="9">
        <f>IF(OR(RawWorking[[#This Row],[ShipDate]]="",RawWorking[[#This Row],[DeliveryDate]]=""),"",RawWorking[[#This Row],[DeliveryDate]]-RawWorking[[#This Row],[ShipDate]])</f>
        <v>7</v>
      </c>
      <c r="M2994" s="9">
        <f>IF(COUNTIF(INDEX(RawWorking[OrderID],1):RawWorking[[#This Row],[OrderID]],RawWorking[[#This Row],[OrderID]])=1,1,0)</f>
        <v>0</v>
      </c>
      <c r="N2994" s="4">
        <f>IFERROR(RawWorking[[#This Row],[LineAmount]]/RawWorking[[#This Row],[Quantity]],"")</f>
        <v>199.81</v>
      </c>
    </row>
    <row r="2995" spans="1:14">
      <c r="A2995">
        <v>52994</v>
      </c>
      <c r="B2995">
        <v>31711</v>
      </c>
      <c r="C2995" s="2">
        <v>45793</v>
      </c>
      <c r="D2995">
        <v>2067</v>
      </c>
      <c r="E2995">
        <v>1013</v>
      </c>
      <c r="F2995">
        <v>2</v>
      </c>
      <c r="G2995">
        <v>340.5</v>
      </c>
      <c r="H2995" s="2">
        <v>45794</v>
      </c>
      <c r="I2995" s="2">
        <v>45798</v>
      </c>
      <c r="J2995" t="s">
        <v>9</v>
      </c>
      <c r="K2995" s="2" t="str">
        <f>IFERROR(INDEX(Product_lookup[Category],MATCH(RawWorking[[#This Row],[ProductID]],Product_lookup[ProductID],0)),"")</f>
        <v>Office</v>
      </c>
      <c r="L2995" s="9">
        <f>IF(OR(RawWorking[[#This Row],[ShipDate]]="",RawWorking[[#This Row],[DeliveryDate]]=""),"",RawWorking[[#This Row],[DeliveryDate]]-RawWorking[[#This Row],[ShipDate]])</f>
        <v>4</v>
      </c>
      <c r="M2995" s="9">
        <f>IF(COUNTIF(INDEX(RawWorking[OrderID],1):RawWorking[[#This Row],[OrderID]],RawWorking[[#This Row],[OrderID]])=1,1,0)</f>
        <v>0</v>
      </c>
      <c r="N2995" s="4">
        <f>IFERROR(RawWorking[[#This Row],[LineAmount]]/RawWorking[[#This Row],[Quantity]],"")</f>
        <v>170.25</v>
      </c>
    </row>
    <row r="2996" spans="1:14">
      <c r="A2996">
        <v>52995</v>
      </c>
      <c r="B2996">
        <v>31712</v>
      </c>
      <c r="C2996" s="2">
        <v>45686</v>
      </c>
      <c r="D2996">
        <v>2384</v>
      </c>
      <c r="E2996">
        <v>1014</v>
      </c>
      <c r="F2996">
        <v>1</v>
      </c>
      <c r="G2996">
        <v>215.34</v>
      </c>
      <c r="H2996" s="2">
        <v>45688</v>
      </c>
      <c r="I2996" s="2">
        <v>45697</v>
      </c>
      <c r="J2996" t="s">
        <v>9</v>
      </c>
      <c r="K2996" s="2" t="str">
        <f>IFERROR(INDEX(Product_lookup[Category],MATCH(RawWorking[[#This Row],[ProductID]],Product_lookup[ProductID],0)),"")</f>
        <v>Sports</v>
      </c>
      <c r="L2996" s="9">
        <f>IF(OR(RawWorking[[#This Row],[ShipDate]]="",RawWorking[[#This Row],[DeliveryDate]]=""),"",RawWorking[[#This Row],[DeliveryDate]]-RawWorking[[#This Row],[ShipDate]])</f>
        <v>9</v>
      </c>
      <c r="M2996" s="9">
        <f>IF(COUNTIF(INDEX(RawWorking[OrderID],1):RawWorking[[#This Row],[OrderID]],RawWorking[[#This Row],[OrderID]])=1,1,0)</f>
        <v>1</v>
      </c>
      <c r="N2996" s="4">
        <f>IFERROR(RawWorking[[#This Row],[LineAmount]]/RawWorking[[#This Row],[Quantity]],"")</f>
        <v>215.34</v>
      </c>
    </row>
    <row r="2997" spans="1:14">
      <c r="A2997">
        <v>52996</v>
      </c>
      <c r="B2997">
        <v>31712</v>
      </c>
      <c r="C2997" s="2">
        <v>45686</v>
      </c>
      <c r="D2997">
        <v>2384</v>
      </c>
      <c r="E2997">
        <v>1008</v>
      </c>
      <c r="F2997">
        <v>4</v>
      </c>
      <c r="G2997">
        <v>824.36</v>
      </c>
      <c r="H2997" s="2">
        <v>45687</v>
      </c>
      <c r="I2997" s="2">
        <v>45689</v>
      </c>
      <c r="J2997" t="s">
        <v>9</v>
      </c>
      <c r="K2997" s="2" t="str">
        <f>IFERROR(INDEX(Product_lookup[Category],MATCH(RawWorking[[#This Row],[ProductID]],Product_lookup[ProductID],0)),"")</f>
        <v>Home</v>
      </c>
      <c r="L2997" s="9">
        <f>IF(OR(RawWorking[[#This Row],[ShipDate]]="",RawWorking[[#This Row],[DeliveryDate]]=""),"",RawWorking[[#This Row],[DeliveryDate]]-RawWorking[[#This Row],[ShipDate]])</f>
        <v>2</v>
      </c>
      <c r="M2997" s="9">
        <f>IF(COUNTIF(INDEX(RawWorking[OrderID],1):RawWorking[[#This Row],[OrderID]],RawWorking[[#This Row],[OrderID]])=1,1,0)</f>
        <v>0</v>
      </c>
      <c r="N2997" s="4">
        <f>IFERROR(RawWorking[[#This Row],[LineAmount]]/RawWorking[[#This Row],[Quantity]],"")</f>
        <v>206.09</v>
      </c>
    </row>
    <row r="2998" spans="1:14">
      <c r="A2998">
        <v>52997</v>
      </c>
      <c r="B2998">
        <v>31713</v>
      </c>
      <c r="C2998" s="2">
        <v>45868</v>
      </c>
      <c r="D2998">
        <v>2048</v>
      </c>
      <c r="E2998">
        <v>1007</v>
      </c>
      <c r="F2998">
        <v>1</v>
      </c>
      <c r="G2998">
        <v>199.81</v>
      </c>
      <c r="H2998" s="2" t="s">
        <v>1421</v>
      </c>
      <c r="I2998" s="2" t="s">
        <v>1421</v>
      </c>
      <c r="J2998" t="s">
        <v>16</v>
      </c>
      <c r="K2998" s="2" t="str">
        <f>IFERROR(INDEX(Product_lookup[Category],MATCH(RawWorking[[#This Row],[ProductID]],Product_lookup[ProductID],0)),"")</f>
        <v>Home</v>
      </c>
      <c r="L2998" s="9" t="str">
        <f>IF(OR(RawWorking[[#This Row],[ShipDate]]="",RawWorking[[#This Row],[DeliveryDate]]=""),"",RawWorking[[#This Row],[DeliveryDate]]-RawWorking[[#This Row],[ShipDate]])</f>
        <v/>
      </c>
      <c r="M2998" s="9">
        <f>IF(COUNTIF(INDEX(RawWorking[OrderID],1):RawWorking[[#This Row],[OrderID]],RawWorking[[#This Row],[OrderID]])=1,1,0)</f>
        <v>1</v>
      </c>
      <c r="N2998" s="4">
        <f>IFERROR(RawWorking[[#This Row],[LineAmount]]/RawWorking[[#This Row],[Quantity]],"")</f>
        <v>199.81</v>
      </c>
    </row>
    <row r="2999" spans="1:14">
      <c r="A2999">
        <v>52998</v>
      </c>
      <c r="B2999">
        <v>31714</v>
      </c>
      <c r="C2999" s="2">
        <v>45826</v>
      </c>
      <c r="D2999">
        <v>2302</v>
      </c>
      <c r="E2999">
        <v>1011</v>
      </c>
      <c r="F2999">
        <v>1</v>
      </c>
      <c r="G2999">
        <v>101.44</v>
      </c>
      <c r="H2999" s="2">
        <v>46301</v>
      </c>
      <c r="I2999" s="2" t="s">
        <v>1421</v>
      </c>
      <c r="J2999" t="s">
        <v>16</v>
      </c>
      <c r="K2999" s="2" t="str">
        <f>IFERROR(INDEX(Product_lookup[Category],MATCH(RawWorking[[#This Row],[ProductID]],Product_lookup[ProductID],0)),"")</f>
        <v>Office</v>
      </c>
      <c r="L2999" s="9" t="str">
        <f>IF(OR(RawWorking[[#This Row],[ShipDate]]="",RawWorking[[#This Row],[DeliveryDate]]=""),"",RawWorking[[#This Row],[DeliveryDate]]-RawWorking[[#This Row],[ShipDate]])</f>
        <v/>
      </c>
      <c r="M2999" s="9">
        <f>IF(COUNTIF(INDEX(RawWorking[OrderID],1):RawWorking[[#This Row],[OrderID]],RawWorking[[#This Row],[OrderID]])=1,1,0)</f>
        <v>1</v>
      </c>
      <c r="N2999" s="4">
        <f>IFERROR(RawWorking[[#This Row],[LineAmount]]/RawWorking[[#This Row],[Quantity]],"")</f>
        <v>101.44</v>
      </c>
    </row>
    <row r="3000" spans="1:14">
      <c r="A3000">
        <v>52999</v>
      </c>
      <c r="B3000">
        <v>31715</v>
      </c>
      <c r="C3000" s="2">
        <v>46019</v>
      </c>
      <c r="D3000">
        <v>2287</v>
      </c>
      <c r="E3000">
        <v>1016</v>
      </c>
      <c r="F3000">
        <v>3</v>
      </c>
      <c r="G3000">
        <v>195.78</v>
      </c>
      <c r="H3000" s="2" t="s">
        <v>1421</v>
      </c>
      <c r="I3000" s="2" t="s">
        <v>1421</v>
      </c>
      <c r="J3000" t="s">
        <v>12</v>
      </c>
      <c r="K3000" s="2" t="str">
        <f>IFERROR(INDEX(Product_lookup[Category],MATCH(RawWorking[[#This Row],[ProductID]],Product_lookup[ProductID],0)),"")</f>
        <v>Sports</v>
      </c>
      <c r="L3000" s="9" t="str">
        <f>IF(OR(RawWorking[[#This Row],[ShipDate]]="",RawWorking[[#This Row],[DeliveryDate]]=""),"",RawWorking[[#This Row],[DeliveryDate]]-RawWorking[[#This Row],[ShipDate]])</f>
        <v/>
      </c>
      <c r="M3000" s="9">
        <f>IF(COUNTIF(INDEX(RawWorking[OrderID],1):RawWorking[[#This Row],[OrderID]],RawWorking[[#This Row],[OrderID]])=1,1,0)</f>
        <v>1</v>
      </c>
      <c r="N3000" s="4">
        <f>IFERROR(RawWorking[[#This Row],[LineAmount]]/RawWorking[[#This Row],[Quantity]],"")</f>
        <v>65.260000000000005</v>
      </c>
    </row>
    <row r="3001" spans="1:14">
      <c r="A3001">
        <v>53000</v>
      </c>
      <c r="B3001">
        <v>31716</v>
      </c>
      <c r="C3001" s="2">
        <v>45820</v>
      </c>
      <c r="D3001">
        <v>2215</v>
      </c>
      <c r="E3001">
        <v>1016</v>
      </c>
      <c r="F3001">
        <v>1</v>
      </c>
      <c r="G3001">
        <v>65.260000000000005</v>
      </c>
      <c r="H3001" s="2">
        <v>45821</v>
      </c>
      <c r="I3001" s="2">
        <v>45824</v>
      </c>
      <c r="J3001" t="s">
        <v>9</v>
      </c>
      <c r="K3001" s="2" t="str">
        <f>IFERROR(INDEX(Product_lookup[Category],MATCH(RawWorking[[#This Row],[ProductID]],Product_lookup[ProductID],0)),"")</f>
        <v>Sports</v>
      </c>
      <c r="L3001" s="9">
        <f>IF(OR(RawWorking[[#This Row],[ShipDate]]="",RawWorking[[#This Row],[DeliveryDate]]=""),"",RawWorking[[#This Row],[DeliveryDate]]-RawWorking[[#This Row],[ShipDate]])</f>
        <v>3</v>
      </c>
      <c r="M3001" s="9">
        <f>IF(COUNTIF(INDEX(RawWorking[OrderID],1):RawWorking[[#This Row],[OrderID]],RawWorking[[#This Row],[OrderID]])=1,1,0)</f>
        <v>1</v>
      </c>
      <c r="N3001" s="4">
        <f>IFERROR(RawWorking[[#This Row],[LineAmount]]/RawWorking[[#This Row],[Quantity]],"")</f>
        <v>65.260000000000005</v>
      </c>
    </row>
    <row r="3002" spans="1:14">
      <c r="A3002">
        <v>53001</v>
      </c>
      <c r="B3002">
        <v>31716</v>
      </c>
      <c r="C3002" s="2">
        <v>45820</v>
      </c>
      <c r="D3002">
        <v>2215</v>
      </c>
      <c r="E3002">
        <v>1003</v>
      </c>
      <c r="F3002">
        <v>1</v>
      </c>
      <c r="G3002">
        <v>224.37</v>
      </c>
      <c r="H3002" s="2">
        <v>45823</v>
      </c>
      <c r="I3002" s="2">
        <v>45831</v>
      </c>
      <c r="J3002" t="s">
        <v>9</v>
      </c>
      <c r="K3002" s="2" t="str">
        <f>IFERROR(INDEX(Product_lookup[Category],MATCH(RawWorking[[#This Row],[ProductID]],Product_lookup[ProductID],0)),"")</f>
        <v>Electronics</v>
      </c>
      <c r="L3002" s="9">
        <f>IF(OR(RawWorking[[#This Row],[ShipDate]]="",RawWorking[[#This Row],[DeliveryDate]]=""),"",RawWorking[[#This Row],[DeliveryDate]]-RawWorking[[#This Row],[ShipDate]])</f>
        <v>8</v>
      </c>
      <c r="M3002" s="9">
        <f>IF(COUNTIF(INDEX(RawWorking[OrderID],1):RawWorking[[#This Row],[OrderID]],RawWorking[[#This Row],[OrderID]])=1,1,0)</f>
        <v>0</v>
      </c>
      <c r="N3002" s="4">
        <f>IFERROR(RawWorking[[#This Row],[LineAmount]]/RawWorking[[#This Row],[Quantity]],"")</f>
        <v>224.37</v>
      </c>
    </row>
    <row r="3003" spans="1:14">
      <c r="A3003">
        <v>53002</v>
      </c>
      <c r="B3003">
        <v>31717</v>
      </c>
      <c r="C3003" s="2">
        <v>45723</v>
      </c>
      <c r="D3003">
        <v>2172</v>
      </c>
      <c r="E3003">
        <v>1012</v>
      </c>
      <c r="F3003">
        <v>2</v>
      </c>
      <c r="G3003">
        <v>483.08</v>
      </c>
      <c r="H3003" s="2">
        <v>45724</v>
      </c>
      <c r="I3003" s="2">
        <v>45731</v>
      </c>
      <c r="J3003" t="s">
        <v>9</v>
      </c>
      <c r="K3003" s="2" t="str">
        <f>IFERROR(INDEX(Product_lookup[Category],MATCH(RawWorking[[#This Row],[ProductID]],Product_lookup[ProductID],0)),"")</f>
        <v>Office</v>
      </c>
      <c r="L3003" s="9">
        <f>IF(OR(RawWorking[[#This Row],[ShipDate]]="",RawWorking[[#This Row],[DeliveryDate]]=""),"",RawWorking[[#This Row],[DeliveryDate]]-RawWorking[[#This Row],[ShipDate]])</f>
        <v>7</v>
      </c>
      <c r="M3003" s="9">
        <f>IF(COUNTIF(INDEX(RawWorking[OrderID],1):RawWorking[[#This Row],[OrderID]],RawWorking[[#This Row],[OrderID]])=1,1,0)</f>
        <v>1</v>
      </c>
      <c r="N3003" s="4">
        <f>IFERROR(RawWorking[[#This Row],[LineAmount]]/RawWorking[[#This Row],[Quantity]],"")</f>
        <v>241.54</v>
      </c>
    </row>
    <row r="3004" spans="1:14">
      <c r="A3004">
        <v>53003</v>
      </c>
      <c r="B3004">
        <v>31717</v>
      </c>
      <c r="C3004" s="2">
        <v>45723</v>
      </c>
      <c r="D3004">
        <v>2172</v>
      </c>
      <c r="E3004">
        <v>1016</v>
      </c>
      <c r="F3004">
        <v>1</v>
      </c>
      <c r="G3004">
        <v>65.260000000000005</v>
      </c>
      <c r="H3004" s="2">
        <v>45726</v>
      </c>
      <c r="I3004" s="2">
        <v>45729</v>
      </c>
      <c r="J3004" t="s">
        <v>9</v>
      </c>
      <c r="K3004" s="2" t="str">
        <f>IFERROR(INDEX(Product_lookup[Category],MATCH(RawWorking[[#This Row],[ProductID]],Product_lookup[ProductID],0)),"")</f>
        <v>Sports</v>
      </c>
      <c r="L3004" s="9">
        <f>IF(OR(RawWorking[[#This Row],[ShipDate]]="",RawWorking[[#This Row],[DeliveryDate]]=""),"",RawWorking[[#This Row],[DeliveryDate]]-RawWorking[[#This Row],[ShipDate]])</f>
        <v>3</v>
      </c>
      <c r="M3004" s="9">
        <f>IF(COUNTIF(INDEX(RawWorking[OrderID],1):RawWorking[[#This Row],[OrderID]],RawWorking[[#This Row],[OrderID]])=1,1,0)</f>
        <v>0</v>
      </c>
      <c r="N3004" s="4">
        <f>IFERROR(RawWorking[[#This Row],[LineAmount]]/RawWorking[[#This Row],[Quantity]],"")</f>
        <v>65.260000000000005</v>
      </c>
    </row>
    <row r="3005" spans="1:14">
      <c r="A3005">
        <v>53004</v>
      </c>
      <c r="B3005">
        <v>31718</v>
      </c>
      <c r="C3005" s="2">
        <v>46005</v>
      </c>
      <c r="D3005">
        <v>2532</v>
      </c>
      <c r="E3005">
        <v>1011</v>
      </c>
      <c r="F3005">
        <v>2</v>
      </c>
      <c r="G3005">
        <v>202.88</v>
      </c>
      <c r="H3005" s="2">
        <v>46008</v>
      </c>
      <c r="I3005" s="2">
        <v>46014</v>
      </c>
      <c r="J3005" t="s">
        <v>9</v>
      </c>
      <c r="K3005" s="2" t="str">
        <f>IFERROR(INDEX(Product_lookup[Category],MATCH(RawWorking[[#This Row],[ProductID]],Product_lookup[ProductID],0)),"")</f>
        <v>Office</v>
      </c>
      <c r="L3005" s="9">
        <f>IF(OR(RawWorking[[#This Row],[ShipDate]]="",RawWorking[[#This Row],[DeliveryDate]]=""),"",RawWorking[[#This Row],[DeliveryDate]]-RawWorking[[#This Row],[ShipDate]])</f>
        <v>6</v>
      </c>
      <c r="M3005" s="9">
        <f>IF(COUNTIF(INDEX(RawWorking[OrderID],1):RawWorking[[#This Row],[OrderID]],RawWorking[[#This Row],[OrderID]])=1,1,0)</f>
        <v>1</v>
      </c>
      <c r="N3005" s="4">
        <f>IFERROR(RawWorking[[#This Row],[LineAmount]]/RawWorking[[#This Row],[Quantity]],"")</f>
        <v>101.44</v>
      </c>
    </row>
    <row r="3006" spans="1:14">
      <c r="A3006">
        <v>53005</v>
      </c>
      <c r="B3006">
        <v>31718</v>
      </c>
      <c r="C3006" s="2">
        <v>46005</v>
      </c>
      <c r="D3006">
        <v>2532</v>
      </c>
      <c r="E3006">
        <v>1012</v>
      </c>
      <c r="F3006">
        <v>1</v>
      </c>
      <c r="G3006">
        <v>241.54</v>
      </c>
      <c r="H3006" s="2">
        <v>46006</v>
      </c>
      <c r="I3006" s="2">
        <v>46016</v>
      </c>
      <c r="J3006" t="s">
        <v>9</v>
      </c>
      <c r="K3006" s="2" t="str">
        <f>IFERROR(INDEX(Product_lookup[Category],MATCH(RawWorking[[#This Row],[ProductID]],Product_lookup[ProductID],0)),"")</f>
        <v>Office</v>
      </c>
      <c r="L3006" s="9">
        <f>IF(OR(RawWorking[[#This Row],[ShipDate]]="",RawWorking[[#This Row],[DeliveryDate]]=""),"",RawWorking[[#This Row],[DeliveryDate]]-RawWorking[[#This Row],[ShipDate]])</f>
        <v>10</v>
      </c>
      <c r="M3006" s="9">
        <f>IF(COUNTIF(INDEX(RawWorking[OrderID],1):RawWorking[[#This Row],[OrderID]],RawWorking[[#This Row],[OrderID]])=1,1,0)</f>
        <v>0</v>
      </c>
      <c r="N3006" s="4">
        <f>IFERROR(RawWorking[[#This Row],[LineAmount]]/RawWorking[[#This Row],[Quantity]],"")</f>
        <v>241.54</v>
      </c>
    </row>
    <row r="3007" spans="1:14">
      <c r="A3007">
        <v>53006</v>
      </c>
      <c r="B3007">
        <v>31719</v>
      </c>
      <c r="C3007" s="2">
        <v>46003</v>
      </c>
      <c r="D3007">
        <v>2539</v>
      </c>
      <c r="E3007">
        <v>1016</v>
      </c>
      <c r="F3007">
        <v>1</v>
      </c>
      <c r="G3007">
        <v>65.260000000000005</v>
      </c>
      <c r="H3007" s="2">
        <v>46006</v>
      </c>
      <c r="I3007" s="2">
        <v>46016</v>
      </c>
      <c r="J3007" t="s">
        <v>9</v>
      </c>
      <c r="K3007" s="2" t="str">
        <f>IFERROR(INDEX(Product_lookup[Category],MATCH(RawWorking[[#This Row],[ProductID]],Product_lookup[ProductID],0)),"")</f>
        <v>Sports</v>
      </c>
      <c r="L3007" s="9">
        <f>IF(OR(RawWorking[[#This Row],[ShipDate]]="",RawWorking[[#This Row],[DeliveryDate]]=""),"",RawWorking[[#This Row],[DeliveryDate]]-RawWorking[[#This Row],[ShipDate]])</f>
        <v>10</v>
      </c>
      <c r="M3007" s="9">
        <f>IF(COUNTIF(INDEX(RawWorking[OrderID],1):RawWorking[[#This Row],[OrderID]],RawWorking[[#This Row],[OrderID]])=1,1,0)</f>
        <v>1</v>
      </c>
      <c r="N3007" s="4">
        <f>IFERROR(RawWorking[[#This Row],[LineAmount]]/RawWorking[[#This Row],[Quantity]],"")</f>
        <v>65.260000000000005</v>
      </c>
    </row>
    <row r="3008" spans="1:14">
      <c r="A3008">
        <v>53007</v>
      </c>
      <c r="B3008">
        <v>31719</v>
      </c>
      <c r="C3008" s="2">
        <v>46003</v>
      </c>
      <c r="D3008">
        <v>2539</v>
      </c>
      <c r="E3008">
        <v>1016</v>
      </c>
      <c r="F3008">
        <v>2</v>
      </c>
      <c r="G3008">
        <v>130.52000000000001</v>
      </c>
      <c r="H3008" s="2">
        <v>46006</v>
      </c>
      <c r="I3008" s="2">
        <v>46010</v>
      </c>
      <c r="J3008" t="s">
        <v>9</v>
      </c>
      <c r="K3008" s="2" t="str">
        <f>IFERROR(INDEX(Product_lookup[Category],MATCH(RawWorking[[#This Row],[ProductID]],Product_lookup[ProductID],0)),"")</f>
        <v>Sports</v>
      </c>
      <c r="L3008" s="9">
        <f>IF(OR(RawWorking[[#This Row],[ShipDate]]="",RawWorking[[#This Row],[DeliveryDate]]=""),"",RawWorking[[#This Row],[DeliveryDate]]-RawWorking[[#This Row],[ShipDate]])</f>
        <v>4</v>
      </c>
      <c r="M3008" s="9">
        <f>IF(COUNTIF(INDEX(RawWorking[OrderID],1):RawWorking[[#This Row],[OrderID]],RawWorking[[#This Row],[OrderID]])=1,1,0)</f>
        <v>0</v>
      </c>
      <c r="N3008" s="4">
        <f>IFERROR(RawWorking[[#This Row],[LineAmount]]/RawWorking[[#This Row],[Quantity]],"")</f>
        <v>65.260000000000005</v>
      </c>
    </row>
    <row r="3009" spans="1:14">
      <c r="A3009">
        <v>53008</v>
      </c>
      <c r="B3009">
        <v>31720</v>
      </c>
      <c r="C3009" s="2">
        <v>45744</v>
      </c>
      <c r="D3009">
        <v>2275</v>
      </c>
      <c r="E3009">
        <v>1002</v>
      </c>
      <c r="F3009">
        <v>1</v>
      </c>
      <c r="G3009">
        <v>118.6</v>
      </c>
      <c r="H3009" s="2">
        <v>45746</v>
      </c>
      <c r="I3009" s="2">
        <v>45756</v>
      </c>
      <c r="J3009" t="s">
        <v>9</v>
      </c>
      <c r="K3009" s="2" t="str">
        <f>IFERROR(INDEX(Product_lookup[Category],MATCH(RawWorking[[#This Row],[ProductID]],Product_lookup[ProductID],0)),"")</f>
        <v>Electronics</v>
      </c>
      <c r="L3009" s="9">
        <f>IF(OR(RawWorking[[#This Row],[ShipDate]]="",RawWorking[[#This Row],[DeliveryDate]]=""),"",RawWorking[[#This Row],[DeliveryDate]]-RawWorking[[#This Row],[ShipDate]])</f>
        <v>10</v>
      </c>
      <c r="M3009" s="9">
        <f>IF(COUNTIF(INDEX(RawWorking[OrderID],1):RawWorking[[#This Row],[OrderID]],RawWorking[[#This Row],[OrderID]])=1,1,0)</f>
        <v>1</v>
      </c>
      <c r="N3009" s="4">
        <f>IFERROR(RawWorking[[#This Row],[LineAmount]]/RawWorking[[#This Row],[Quantity]],"")</f>
        <v>118.6</v>
      </c>
    </row>
    <row r="3010" spans="1:14">
      <c r="A3010">
        <v>53009</v>
      </c>
      <c r="B3010">
        <v>31720</v>
      </c>
      <c r="C3010" s="2">
        <v>45744</v>
      </c>
      <c r="D3010">
        <v>2275</v>
      </c>
      <c r="E3010">
        <v>1007</v>
      </c>
      <c r="F3010">
        <v>2</v>
      </c>
      <c r="G3010">
        <v>399.62</v>
      </c>
      <c r="H3010" s="2">
        <v>45746</v>
      </c>
      <c r="I3010" s="2">
        <v>45873</v>
      </c>
      <c r="J3010" t="s">
        <v>9</v>
      </c>
      <c r="K3010" s="2" t="str">
        <f>IFERROR(INDEX(Product_lookup[Category],MATCH(RawWorking[[#This Row],[ProductID]],Product_lookup[ProductID],0)),"")</f>
        <v>Home</v>
      </c>
      <c r="L3010" s="9">
        <f>IF(OR(RawWorking[[#This Row],[ShipDate]]="",RawWorking[[#This Row],[DeliveryDate]]=""),"",RawWorking[[#This Row],[DeliveryDate]]-RawWorking[[#This Row],[ShipDate]])</f>
        <v>127</v>
      </c>
      <c r="M3010" s="9">
        <f>IF(COUNTIF(INDEX(RawWorking[OrderID],1):RawWorking[[#This Row],[OrderID]],RawWorking[[#This Row],[OrderID]])=1,1,0)</f>
        <v>0</v>
      </c>
      <c r="N3010" s="4">
        <f>IFERROR(RawWorking[[#This Row],[LineAmount]]/RawWorking[[#This Row],[Quantity]],"")</f>
        <v>199.81</v>
      </c>
    </row>
    <row r="3011" spans="1:14">
      <c r="A3011">
        <v>53010</v>
      </c>
      <c r="B3011">
        <v>31721</v>
      </c>
      <c r="C3011" s="2">
        <v>45729</v>
      </c>
      <c r="D3011">
        <v>2225</v>
      </c>
      <c r="E3011">
        <v>1015</v>
      </c>
      <c r="F3011">
        <v>1</v>
      </c>
      <c r="G3011">
        <v>119.74</v>
      </c>
      <c r="H3011" s="2" t="s">
        <v>1421</v>
      </c>
      <c r="I3011" s="2" t="s">
        <v>1421</v>
      </c>
      <c r="J3011" t="s">
        <v>12</v>
      </c>
      <c r="K3011" s="2" t="str">
        <f>IFERROR(INDEX(Product_lookup[Category],MATCH(RawWorking[[#This Row],[ProductID]],Product_lookup[ProductID],0)),"")</f>
        <v>Sports</v>
      </c>
      <c r="L3011" s="9" t="str">
        <f>IF(OR(RawWorking[[#This Row],[ShipDate]]="",RawWorking[[#This Row],[DeliveryDate]]=""),"",RawWorking[[#This Row],[DeliveryDate]]-RawWorking[[#This Row],[ShipDate]])</f>
        <v/>
      </c>
      <c r="M3011" s="9">
        <f>IF(COUNTIF(INDEX(RawWorking[OrderID],1):RawWorking[[#This Row],[OrderID]],RawWorking[[#This Row],[OrderID]])=1,1,0)</f>
        <v>1</v>
      </c>
      <c r="N3011" s="4">
        <f>IFERROR(RawWorking[[#This Row],[LineAmount]]/RawWorking[[#This Row],[Quantity]],"")</f>
        <v>119.74</v>
      </c>
    </row>
    <row r="3012" spans="1:14">
      <c r="A3012">
        <v>53011</v>
      </c>
      <c r="B3012">
        <v>31721</v>
      </c>
      <c r="C3012" s="2">
        <v>45729</v>
      </c>
      <c r="D3012">
        <v>2225</v>
      </c>
      <c r="E3012">
        <v>1008</v>
      </c>
      <c r="F3012">
        <v>1</v>
      </c>
      <c r="G3012">
        <v>206.09</v>
      </c>
      <c r="H3012" s="2" t="s">
        <v>1421</v>
      </c>
      <c r="I3012" s="2" t="s">
        <v>1421</v>
      </c>
      <c r="J3012" t="s">
        <v>12</v>
      </c>
      <c r="K3012" s="2" t="str">
        <f>IFERROR(INDEX(Product_lookup[Category],MATCH(RawWorking[[#This Row],[ProductID]],Product_lookup[ProductID],0)),"")</f>
        <v>Home</v>
      </c>
      <c r="L3012" s="9" t="str">
        <f>IF(OR(RawWorking[[#This Row],[ShipDate]]="",RawWorking[[#This Row],[DeliveryDate]]=""),"",RawWorking[[#This Row],[DeliveryDate]]-RawWorking[[#This Row],[ShipDate]])</f>
        <v/>
      </c>
      <c r="M3012" s="9">
        <f>IF(COUNTIF(INDEX(RawWorking[OrderID],1):RawWorking[[#This Row],[OrderID]],RawWorking[[#This Row],[OrderID]])=1,1,0)</f>
        <v>0</v>
      </c>
      <c r="N3012" s="4">
        <f>IFERROR(RawWorking[[#This Row],[LineAmount]]/RawWorking[[#This Row],[Quantity]],"")</f>
        <v>206.09</v>
      </c>
    </row>
    <row r="3013" spans="1:14">
      <c r="A3013">
        <v>53012</v>
      </c>
      <c r="B3013">
        <v>31721</v>
      </c>
      <c r="C3013" s="2">
        <v>45729</v>
      </c>
      <c r="D3013">
        <v>2225</v>
      </c>
      <c r="E3013">
        <v>1013</v>
      </c>
      <c r="F3013">
        <v>2</v>
      </c>
      <c r="G3013">
        <v>340.5</v>
      </c>
      <c r="H3013" s="2" t="s">
        <v>1421</v>
      </c>
      <c r="I3013" s="2" t="s">
        <v>1421</v>
      </c>
      <c r="J3013" t="s">
        <v>12</v>
      </c>
      <c r="K3013" s="2" t="str">
        <f>IFERROR(INDEX(Product_lookup[Category],MATCH(RawWorking[[#This Row],[ProductID]],Product_lookup[ProductID],0)),"")</f>
        <v>Office</v>
      </c>
      <c r="L3013" s="9" t="str">
        <f>IF(OR(RawWorking[[#This Row],[ShipDate]]="",RawWorking[[#This Row],[DeliveryDate]]=""),"",RawWorking[[#This Row],[DeliveryDate]]-RawWorking[[#This Row],[ShipDate]])</f>
        <v/>
      </c>
      <c r="M3013" s="9">
        <f>IF(COUNTIF(INDEX(RawWorking[OrderID],1):RawWorking[[#This Row],[OrderID]],RawWorking[[#This Row],[OrderID]])=1,1,0)</f>
        <v>0</v>
      </c>
      <c r="N3013" s="4">
        <f>IFERROR(RawWorking[[#This Row],[LineAmount]]/RawWorking[[#This Row],[Quantity]],"")</f>
        <v>170.25</v>
      </c>
    </row>
    <row r="3014" spans="1:14">
      <c r="A3014">
        <v>53013</v>
      </c>
      <c r="B3014">
        <v>31722</v>
      </c>
      <c r="C3014" s="2">
        <v>45735</v>
      </c>
      <c r="D3014">
        <v>2224</v>
      </c>
      <c r="E3014">
        <v>1013</v>
      </c>
      <c r="F3014">
        <v>2</v>
      </c>
      <c r="G3014">
        <v>340.5</v>
      </c>
      <c r="H3014" s="2">
        <v>45737</v>
      </c>
      <c r="I3014" s="2">
        <v>45747</v>
      </c>
      <c r="J3014" t="s">
        <v>9</v>
      </c>
      <c r="K3014" s="2" t="str">
        <f>IFERROR(INDEX(Product_lookup[Category],MATCH(RawWorking[[#This Row],[ProductID]],Product_lookup[ProductID],0)),"")</f>
        <v>Office</v>
      </c>
      <c r="L3014" s="9">
        <f>IF(OR(RawWorking[[#This Row],[ShipDate]]="",RawWorking[[#This Row],[DeliveryDate]]=""),"",RawWorking[[#This Row],[DeliveryDate]]-RawWorking[[#This Row],[ShipDate]])</f>
        <v>10</v>
      </c>
      <c r="M3014" s="9">
        <f>IF(COUNTIF(INDEX(RawWorking[OrderID],1):RawWorking[[#This Row],[OrderID]],RawWorking[[#This Row],[OrderID]])=1,1,0)</f>
        <v>1</v>
      </c>
      <c r="N3014" s="4">
        <f>IFERROR(RawWorking[[#This Row],[LineAmount]]/RawWorking[[#This Row],[Quantity]],"")</f>
        <v>170.25</v>
      </c>
    </row>
    <row r="3015" spans="1:14">
      <c r="A3015">
        <v>53014</v>
      </c>
      <c r="B3015">
        <v>31723</v>
      </c>
      <c r="C3015" s="2">
        <v>45987</v>
      </c>
      <c r="D3015">
        <v>2586</v>
      </c>
      <c r="E3015">
        <v>1012</v>
      </c>
      <c r="F3015">
        <v>3</v>
      </c>
      <c r="G3015">
        <v>724.62</v>
      </c>
      <c r="H3015" s="2">
        <v>45990</v>
      </c>
      <c r="I3015" s="2">
        <v>45993</v>
      </c>
      <c r="J3015" t="s">
        <v>9</v>
      </c>
      <c r="K3015" s="2" t="str">
        <f>IFERROR(INDEX(Product_lookup[Category],MATCH(RawWorking[[#This Row],[ProductID]],Product_lookup[ProductID],0)),"")</f>
        <v>Office</v>
      </c>
      <c r="L3015" s="9">
        <f>IF(OR(RawWorking[[#This Row],[ShipDate]]="",RawWorking[[#This Row],[DeliveryDate]]=""),"",RawWorking[[#This Row],[DeliveryDate]]-RawWorking[[#This Row],[ShipDate]])</f>
        <v>3</v>
      </c>
      <c r="M3015" s="9">
        <f>IF(COUNTIF(INDEX(RawWorking[OrderID],1):RawWorking[[#This Row],[OrderID]],RawWorking[[#This Row],[OrderID]])=1,1,0)</f>
        <v>1</v>
      </c>
      <c r="N3015" s="4">
        <f>IFERROR(RawWorking[[#This Row],[LineAmount]]/RawWorking[[#This Row],[Quantity]],"")</f>
        <v>241.54</v>
      </c>
    </row>
    <row r="3016" spans="1:14">
      <c r="A3016">
        <v>53015</v>
      </c>
      <c r="B3016">
        <v>31723</v>
      </c>
      <c r="C3016" s="2">
        <v>45987</v>
      </c>
      <c r="D3016">
        <v>2586</v>
      </c>
      <c r="E3016">
        <v>1009</v>
      </c>
      <c r="F3016">
        <v>1</v>
      </c>
      <c r="G3016">
        <v>40.28</v>
      </c>
      <c r="H3016" s="2">
        <v>45988</v>
      </c>
      <c r="I3016" s="2">
        <v>45994</v>
      </c>
      <c r="J3016" t="s">
        <v>9</v>
      </c>
      <c r="K3016" s="2" t="str">
        <f>IFERROR(INDEX(Product_lookup[Category],MATCH(RawWorking[[#This Row],[ProductID]],Product_lookup[ProductID],0)),"")</f>
        <v>Home</v>
      </c>
      <c r="L3016" s="9">
        <f>IF(OR(RawWorking[[#This Row],[ShipDate]]="",RawWorking[[#This Row],[DeliveryDate]]=""),"",RawWorking[[#This Row],[DeliveryDate]]-RawWorking[[#This Row],[ShipDate]])</f>
        <v>6</v>
      </c>
      <c r="M3016" s="9">
        <f>IF(COUNTIF(INDEX(RawWorking[OrderID],1):RawWorking[[#This Row],[OrderID]],RawWorking[[#This Row],[OrderID]])=1,1,0)</f>
        <v>0</v>
      </c>
      <c r="N3016" s="4">
        <f>IFERROR(RawWorking[[#This Row],[LineAmount]]/RawWorking[[#This Row],[Quantity]],"")</f>
        <v>40.28</v>
      </c>
    </row>
    <row r="3017" spans="1:14">
      <c r="A3017">
        <v>53016</v>
      </c>
      <c r="B3017">
        <v>31723</v>
      </c>
      <c r="C3017" s="2">
        <v>45987</v>
      </c>
      <c r="D3017">
        <v>2586</v>
      </c>
      <c r="E3017">
        <v>1003</v>
      </c>
      <c r="F3017">
        <v>1</v>
      </c>
      <c r="G3017">
        <v>224.37</v>
      </c>
      <c r="H3017" s="2">
        <v>45989</v>
      </c>
      <c r="I3017" s="2">
        <v>45997</v>
      </c>
      <c r="J3017" t="s">
        <v>9</v>
      </c>
      <c r="K3017" s="2" t="str">
        <f>IFERROR(INDEX(Product_lookup[Category],MATCH(RawWorking[[#This Row],[ProductID]],Product_lookup[ProductID],0)),"")</f>
        <v>Electronics</v>
      </c>
      <c r="L3017" s="9">
        <f>IF(OR(RawWorking[[#This Row],[ShipDate]]="",RawWorking[[#This Row],[DeliveryDate]]=""),"",RawWorking[[#This Row],[DeliveryDate]]-RawWorking[[#This Row],[ShipDate]])</f>
        <v>8</v>
      </c>
      <c r="M3017" s="9">
        <f>IF(COUNTIF(INDEX(RawWorking[OrderID],1):RawWorking[[#This Row],[OrderID]],RawWorking[[#This Row],[OrderID]])=1,1,0)</f>
        <v>0</v>
      </c>
      <c r="N3017" s="4">
        <f>IFERROR(RawWorking[[#This Row],[LineAmount]]/RawWorking[[#This Row],[Quantity]],"")</f>
        <v>224.37</v>
      </c>
    </row>
    <row r="3018" spans="1:14">
      <c r="A3018">
        <v>53017</v>
      </c>
      <c r="B3018">
        <v>31724</v>
      </c>
      <c r="C3018" s="2">
        <v>45772</v>
      </c>
      <c r="D3018">
        <v>2138</v>
      </c>
      <c r="E3018">
        <v>1010</v>
      </c>
      <c r="F3018">
        <v>1</v>
      </c>
      <c r="G3018">
        <v>121.5</v>
      </c>
      <c r="H3018" s="2">
        <v>45773</v>
      </c>
      <c r="I3018" s="2">
        <v>45777</v>
      </c>
      <c r="J3018" t="s">
        <v>9</v>
      </c>
      <c r="K3018" s="2" t="str">
        <f>IFERROR(INDEX(Product_lookup[Category],MATCH(RawWorking[[#This Row],[ProductID]],Product_lookup[ProductID],0)),"")</f>
        <v>Office</v>
      </c>
      <c r="L3018" s="9">
        <f>IF(OR(RawWorking[[#This Row],[ShipDate]]="",RawWorking[[#This Row],[DeliveryDate]]=""),"",RawWorking[[#This Row],[DeliveryDate]]-RawWorking[[#This Row],[ShipDate]])</f>
        <v>4</v>
      </c>
      <c r="M3018" s="9">
        <f>IF(COUNTIF(INDEX(RawWorking[OrderID],1):RawWorking[[#This Row],[OrderID]],RawWorking[[#This Row],[OrderID]])=1,1,0)</f>
        <v>1</v>
      </c>
      <c r="N3018" s="4">
        <f>IFERROR(RawWorking[[#This Row],[LineAmount]]/RawWorking[[#This Row],[Quantity]],"")</f>
        <v>121.5</v>
      </c>
    </row>
    <row r="3019" spans="1:14">
      <c r="A3019">
        <v>53018</v>
      </c>
      <c r="B3019">
        <v>31725</v>
      </c>
      <c r="C3019" s="2">
        <v>45761</v>
      </c>
      <c r="D3019">
        <v>2456</v>
      </c>
      <c r="E3019">
        <v>1008</v>
      </c>
      <c r="F3019">
        <v>2</v>
      </c>
      <c r="G3019">
        <v>412.18</v>
      </c>
      <c r="H3019" s="2">
        <v>45763</v>
      </c>
      <c r="I3019" s="2">
        <v>45769</v>
      </c>
      <c r="J3019" t="s">
        <v>9</v>
      </c>
      <c r="K3019" s="2" t="str">
        <f>IFERROR(INDEX(Product_lookup[Category],MATCH(RawWorking[[#This Row],[ProductID]],Product_lookup[ProductID],0)),"")</f>
        <v>Home</v>
      </c>
      <c r="L3019" s="9">
        <f>IF(OR(RawWorking[[#This Row],[ShipDate]]="",RawWorking[[#This Row],[DeliveryDate]]=""),"",RawWorking[[#This Row],[DeliveryDate]]-RawWorking[[#This Row],[ShipDate]])</f>
        <v>6</v>
      </c>
      <c r="M3019" s="9">
        <f>IF(COUNTIF(INDEX(RawWorking[OrderID],1):RawWorking[[#This Row],[OrderID]],RawWorking[[#This Row],[OrderID]])=1,1,0)</f>
        <v>1</v>
      </c>
      <c r="N3019" s="4">
        <f>IFERROR(RawWorking[[#This Row],[LineAmount]]/RawWorking[[#This Row],[Quantity]],"")</f>
        <v>206.09</v>
      </c>
    </row>
    <row r="3020" spans="1:14">
      <c r="A3020">
        <v>53019</v>
      </c>
      <c r="B3020">
        <v>31726</v>
      </c>
      <c r="C3020" s="2">
        <v>45728</v>
      </c>
      <c r="D3020">
        <v>2598</v>
      </c>
      <c r="E3020">
        <v>1011</v>
      </c>
      <c r="F3020">
        <v>3</v>
      </c>
      <c r="G3020">
        <v>304.32</v>
      </c>
      <c r="H3020" s="2">
        <v>45759</v>
      </c>
      <c r="I3020" s="2">
        <v>46004</v>
      </c>
      <c r="J3020" t="s">
        <v>9</v>
      </c>
      <c r="K3020" s="2" t="str">
        <f>IFERROR(INDEX(Product_lookup[Category],MATCH(RawWorking[[#This Row],[ProductID]],Product_lookup[ProductID],0)),"")</f>
        <v>Office</v>
      </c>
      <c r="L3020" s="9">
        <f>IF(OR(RawWorking[[#This Row],[ShipDate]]="",RawWorking[[#This Row],[DeliveryDate]]=""),"",RawWorking[[#This Row],[DeliveryDate]]-RawWorking[[#This Row],[ShipDate]])</f>
        <v>245</v>
      </c>
      <c r="M3020" s="9">
        <f>IF(COUNTIF(INDEX(RawWorking[OrderID],1):RawWorking[[#This Row],[OrderID]],RawWorking[[#This Row],[OrderID]])=1,1,0)</f>
        <v>1</v>
      </c>
      <c r="N3020" s="4">
        <f>IFERROR(RawWorking[[#This Row],[LineAmount]]/RawWorking[[#This Row],[Quantity]],"")</f>
        <v>101.44</v>
      </c>
    </row>
    <row r="3021" spans="1:14">
      <c r="A3021">
        <v>53020</v>
      </c>
      <c r="B3021">
        <v>31727</v>
      </c>
      <c r="C3021" s="2">
        <v>45691</v>
      </c>
      <c r="D3021">
        <v>2437</v>
      </c>
      <c r="E3021">
        <v>1014</v>
      </c>
      <c r="F3021">
        <v>1</v>
      </c>
      <c r="G3021">
        <v>215.34</v>
      </c>
      <c r="H3021" s="2">
        <v>45694</v>
      </c>
      <c r="I3021" s="2">
        <v>45700</v>
      </c>
      <c r="J3021" t="s">
        <v>9</v>
      </c>
      <c r="K3021" s="2" t="str">
        <f>IFERROR(INDEX(Product_lookup[Category],MATCH(RawWorking[[#This Row],[ProductID]],Product_lookup[ProductID],0)),"")</f>
        <v>Sports</v>
      </c>
      <c r="L3021" s="9">
        <f>IF(OR(RawWorking[[#This Row],[ShipDate]]="",RawWorking[[#This Row],[DeliveryDate]]=""),"",RawWorking[[#This Row],[DeliveryDate]]-RawWorking[[#This Row],[ShipDate]])</f>
        <v>6</v>
      </c>
      <c r="M3021" s="9">
        <f>IF(COUNTIF(INDEX(RawWorking[OrderID],1):RawWorking[[#This Row],[OrderID]],RawWorking[[#This Row],[OrderID]])=1,1,0)</f>
        <v>1</v>
      </c>
      <c r="N3021" s="4">
        <f>IFERROR(RawWorking[[#This Row],[LineAmount]]/RawWorking[[#This Row],[Quantity]],"")</f>
        <v>215.34</v>
      </c>
    </row>
    <row r="3022" spans="1:14">
      <c r="A3022">
        <v>53021</v>
      </c>
      <c r="B3022">
        <v>31728</v>
      </c>
      <c r="C3022" s="2">
        <v>45847</v>
      </c>
      <c r="D3022">
        <v>2419</v>
      </c>
      <c r="E3022">
        <v>1016</v>
      </c>
      <c r="F3022">
        <v>4</v>
      </c>
      <c r="G3022">
        <v>261.04000000000002</v>
      </c>
      <c r="H3022" s="2">
        <v>45850</v>
      </c>
      <c r="I3022" s="2">
        <v>45853</v>
      </c>
      <c r="J3022" t="s">
        <v>9</v>
      </c>
      <c r="K3022" s="2" t="str">
        <f>IFERROR(INDEX(Product_lookup[Category],MATCH(RawWorking[[#This Row],[ProductID]],Product_lookup[ProductID],0)),"")</f>
        <v>Sports</v>
      </c>
      <c r="L3022" s="9">
        <f>IF(OR(RawWorking[[#This Row],[ShipDate]]="",RawWorking[[#This Row],[DeliveryDate]]=""),"",RawWorking[[#This Row],[DeliveryDate]]-RawWorking[[#This Row],[ShipDate]])</f>
        <v>3</v>
      </c>
      <c r="M3022" s="9">
        <f>IF(COUNTIF(INDEX(RawWorking[OrderID],1):RawWorking[[#This Row],[OrderID]],RawWorking[[#This Row],[OrderID]])=1,1,0)</f>
        <v>1</v>
      </c>
      <c r="N3022" s="4">
        <f>IFERROR(RawWorking[[#This Row],[LineAmount]]/RawWorking[[#This Row],[Quantity]],"")</f>
        <v>65.260000000000005</v>
      </c>
    </row>
    <row r="3023" spans="1:14">
      <c r="A3023">
        <v>53022</v>
      </c>
      <c r="B3023">
        <v>31728</v>
      </c>
      <c r="C3023" s="2">
        <v>45847</v>
      </c>
      <c r="D3023">
        <v>2419</v>
      </c>
      <c r="E3023">
        <v>1011</v>
      </c>
      <c r="F3023">
        <v>1</v>
      </c>
      <c r="G3023">
        <v>101.44</v>
      </c>
      <c r="H3023" s="2">
        <v>45850</v>
      </c>
      <c r="I3023" s="2">
        <v>45858</v>
      </c>
      <c r="J3023" t="s">
        <v>9</v>
      </c>
      <c r="K3023" s="2" t="str">
        <f>IFERROR(INDEX(Product_lookup[Category],MATCH(RawWorking[[#This Row],[ProductID]],Product_lookup[ProductID],0)),"")</f>
        <v>Office</v>
      </c>
      <c r="L3023" s="9">
        <f>IF(OR(RawWorking[[#This Row],[ShipDate]]="",RawWorking[[#This Row],[DeliveryDate]]=""),"",RawWorking[[#This Row],[DeliveryDate]]-RawWorking[[#This Row],[ShipDate]])</f>
        <v>8</v>
      </c>
      <c r="M3023" s="9">
        <f>IF(COUNTIF(INDEX(RawWorking[OrderID],1):RawWorking[[#This Row],[OrderID]],RawWorking[[#This Row],[OrderID]])=1,1,0)</f>
        <v>0</v>
      </c>
      <c r="N3023" s="4">
        <f>IFERROR(RawWorking[[#This Row],[LineAmount]]/RawWorking[[#This Row],[Quantity]],"")</f>
        <v>101.44</v>
      </c>
    </row>
    <row r="3024" spans="1:14">
      <c r="A3024">
        <v>53023</v>
      </c>
      <c r="B3024">
        <v>31729</v>
      </c>
      <c r="C3024" s="2">
        <v>45746</v>
      </c>
      <c r="D3024">
        <v>2280</v>
      </c>
      <c r="E3024">
        <v>1006</v>
      </c>
      <c r="F3024">
        <v>1</v>
      </c>
      <c r="G3024">
        <v>253.86</v>
      </c>
      <c r="H3024" s="2">
        <v>45748</v>
      </c>
      <c r="I3024" s="2">
        <v>45754</v>
      </c>
      <c r="J3024" t="s">
        <v>9</v>
      </c>
      <c r="K3024" s="2" t="str">
        <f>IFERROR(INDEX(Product_lookup[Category],MATCH(RawWorking[[#This Row],[ProductID]],Product_lookup[ProductID],0)),"")</f>
        <v>Home</v>
      </c>
      <c r="L3024" s="9">
        <f>IF(OR(RawWorking[[#This Row],[ShipDate]]="",RawWorking[[#This Row],[DeliveryDate]]=""),"",RawWorking[[#This Row],[DeliveryDate]]-RawWorking[[#This Row],[ShipDate]])</f>
        <v>6</v>
      </c>
      <c r="M3024" s="9">
        <f>IF(COUNTIF(INDEX(RawWorking[OrderID],1):RawWorking[[#This Row],[OrderID]],RawWorking[[#This Row],[OrderID]])=1,1,0)</f>
        <v>1</v>
      </c>
      <c r="N3024" s="4">
        <f>IFERROR(RawWorking[[#This Row],[LineAmount]]/RawWorking[[#This Row],[Quantity]],"")</f>
        <v>253.86</v>
      </c>
    </row>
    <row r="3025" spans="1:14">
      <c r="A3025">
        <v>53024</v>
      </c>
      <c r="B3025">
        <v>31730</v>
      </c>
      <c r="C3025" s="2">
        <v>45729</v>
      </c>
      <c r="D3025">
        <v>2453</v>
      </c>
      <c r="E3025">
        <v>1003</v>
      </c>
      <c r="F3025">
        <v>1</v>
      </c>
      <c r="G3025">
        <v>224.37</v>
      </c>
      <c r="H3025" s="2">
        <v>45730</v>
      </c>
      <c r="I3025" s="2">
        <v>45735</v>
      </c>
      <c r="J3025" t="s">
        <v>9</v>
      </c>
      <c r="K3025" s="2" t="str">
        <f>IFERROR(INDEX(Product_lookup[Category],MATCH(RawWorking[[#This Row],[ProductID]],Product_lookup[ProductID],0)),"")</f>
        <v>Electronics</v>
      </c>
      <c r="L3025" s="9">
        <f>IF(OR(RawWorking[[#This Row],[ShipDate]]="",RawWorking[[#This Row],[DeliveryDate]]=""),"",RawWorking[[#This Row],[DeliveryDate]]-RawWorking[[#This Row],[ShipDate]])</f>
        <v>5</v>
      </c>
      <c r="M3025" s="9">
        <f>IF(COUNTIF(INDEX(RawWorking[OrderID],1):RawWorking[[#This Row],[OrderID]],RawWorking[[#This Row],[OrderID]])=1,1,0)</f>
        <v>1</v>
      </c>
      <c r="N3025" s="4">
        <f>IFERROR(RawWorking[[#This Row],[LineAmount]]/RawWorking[[#This Row],[Quantity]],"")</f>
        <v>224.37</v>
      </c>
    </row>
    <row r="3026" spans="1:14">
      <c r="A3026">
        <v>53025</v>
      </c>
      <c r="B3026">
        <v>31731</v>
      </c>
      <c r="C3026" s="2">
        <v>45903</v>
      </c>
      <c r="D3026">
        <v>2368</v>
      </c>
      <c r="E3026">
        <v>1010</v>
      </c>
      <c r="F3026">
        <v>4</v>
      </c>
      <c r="G3026">
        <v>486</v>
      </c>
      <c r="H3026" s="2" t="s">
        <v>1421</v>
      </c>
      <c r="I3026" s="2" t="s">
        <v>1421</v>
      </c>
      <c r="J3026" t="s">
        <v>12</v>
      </c>
      <c r="K3026" s="2" t="str">
        <f>IFERROR(INDEX(Product_lookup[Category],MATCH(RawWorking[[#This Row],[ProductID]],Product_lookup[ProductID],0)),"")</f>
        <v>Office</v>
      </c>
      <c r="L3026" s="9" t="str">
        <f>IF(OR(RawWorking[[#This Row],[ShipDate]]="",RawWorking[[#This Row],[DeliveryDate]]=""),"",RawWorking[[#This Row],[DeliveryDate]]-RawWorking[[#This Row],[ShipDate]])</f>
        <v/>
      </c>
      <c r="M3026" s="9">
        <f>IF(COUNTIF(INDEX(RawWorking[OrderID],1):RawWorking[[#This Row],[OrderID]],RawWorking[[#This Row],[OrderID]])=1,1,0)</f>
        <v>1</v>
      </c>
      <c r="N3026" s="4">
        <f>IFERROR(RawWorking[[#This Row],[LineAmount]]/RawWorking[[#This Row],[Quantity]],"")</f>
        <v>121.5</v>
      </c>
    </row>
    <row r="3027" spans="1:14">
      <c r="A3027">
        <v>53026</v>
      </c>
      <c r="B3027">
        <v>31731</v>
      </c>
      <c r="C3027" s="2">
        <v>45903</v>
      </c>
      <c r="D3027">
        <v>2368</v>
      </c>
      <c r="E3027">
        <v>1003</v>
      </c>
      <c r="F3027">
        <v>1</v>
      </c>
      <c r="G3027">
        <v>224.37</v>
      </c>
      <c r="H3027" s="2" t="s">
        <v>1421</v>
      </c>
      <c r="I3027" s="2" t="s">
        <v>1421</v>
      </c>
      <c r="J3027" t="s">
        <v>12</v>
      </c>
      <c r="K3027" s="2" t="str">
        <f>IFERROR(INDEX(Product_lookup[Category],MATCH(RawWorking[[#This Row],[ProductID]],Product_lookup[ProductID],0)),"")</f>
        <v>Electronics</v>
      </c>
      <c r="L3027" s="9" t="str">
        <f>IF(OR(RawWorking[[#This Row],[ShipDate]]="",RawWorking[[#This Row],[DeliveryDate]]=""),"",RawWorking[[#This Row],[DeliveryDate]]-RawWorking[[#This Row],[ShipDate]])</f>
        <v/>
      </c>
      <c r="M3027" s="9">
        <f>IF(COUNTIF(INDEX(RawWorking[OrderID],1):RawWorking[[#This Row],[OrderID]],RawWorking[[#This Row],[OrderID]])=1,1,0)</f>
        <v>0</v>
      </c>
      <c r="N3027" s="4">
        <f>IFERROR(RawWorking[[#This Row],[LineAmount]]/RawWorking[[#This Row],[Quantity]],"")</f>
        <v>224.37</v>
      </c>
    </row>
    <row r="3028" spans="1:14">
      <c r="A3028">
        <v>53027</v>
      </c>
      <c r="B3028">
        <v>31732</v>
      </c>
      <c r="C3028" s="2">
        <v>45716</v>
      </c>
      <c r="D3028">
        <v>2284</v>
      </c>
      <c r="E3028">
        <v>1004</v>
      </c>
      <c r="F3028">
        <v>2</v>
      </c>
      <c r="G3028">
        <v>367.48</v>
      </c>
      <c r="H3028" s="2" t="s">
        <v>1421</v>
      </c>
      <c r="I3028" s="2" t="s">
        <v>1421</v>
      </c>
      <c r="J3028" t="s">
        <v>12</v>
      </c>
      <c r="K3028" s="2" t="str">
        <f>IFERROR(INDEX(Product_lookup[Category],MATCH(RawWorking[[#This Row],[ProductID]],Product_lookup[ProductID],0)),"")</f>
        <v>Electronics</v>
      </c>
      <c r="L3028" s="9" t="str">
        <f>IF(OR(RawWorking[[#This Row],[ShipDate]]="",RawWorking[[#This Row],[DeliveryDate]]=""),"",RawWorking[[#This Row],[DeliveryDate]]-RawWorking[[#This Row],[ShipDate]])</f>
        <v/>
      </c>
      <c r="M3028" s="9">
        <f>IF(COUNTIF(INDEX(RawWorking[OrderID],1):RawWorking[[#This Row],[OrderID]],RawWorking[[#This Row],[OrderID]])=1,1,0)</f>
        <v>1</v>
      </c>
      <c r="N3028" s="4">
        <f>IFERROR(RawWorking[[#This Row],[LineAmount]]/RawWorking[[#This Row],[Quantity]],"")</f>
        <v>183.74</v>
      </c>
    </row>
    <row r="3029" spans="1:14">
      <c r="A3029">
        <v>53028</v>
      </c>
      <c r="B3029">
        <v>31732</v>
      </c>
      <c r="C3029" s="2">
        <v>45716</v>
      </c>
      <c r="D3029">
        <v>2284</v>
      </c>
      <c r="E3029">
        <v>1004</v>
      </c>
      <c r="F3029">
        <v>2</v>
      </c>
      <c r="G3029">
        <v>367.48</v>
      </c>
      <c r="H3029" s="2" t="s">
        <v>1421</v>
      </c>
      <c r="I3029" s="2" t="s">
        <v>1421</v>
      </c>
      <c r="J3029" t="s">
        <v>12</v>
      </c>
      <c r="K3029" s="2" t="str">
        <f>IFERROR(INDEX(Product_lookup[Category],MATCH(RawWorking[[#This Row],[ProductID]],Product_lookup[ProductID],0)),"")</f>
        <v>Electronics</v>
      </c>
      <c r="L3029" s="9" t="str">
        <f>IF(OR(RawWorking[[#This Row],[ShipDate]]="",RawWorking[[#This Row],[DeliveryDate]]=""),"",RawWorking[[#This Row],[DeliveryDate]]-RawWorking[[#This Row],[ShipDate]])</f>
        <v/>
      </c>
      <c r="M3029" s="9">
        <f>IF(COUNTIF(INDEX(RawWorking[OrderID],1):RawWorking[[#This Row],[OrderID]],RawWorking[[#This Row],[OrderID]])=1,1,0)</f>
        <v>0</v>
      </c>
      <c r="N3029" s="4">
        <f>IFERROR(RawWorking[[#This Row],[LineAmount]]/RawWorking[[#This Row],[Quantity]],"")</f>
        <v>183.74</v>
      </c>
    </row>
    <row r="3030" spans="1:14">
      <c r="A3030">
        <v>53029</v>
      </c>
      <c r="B3030">
        <v>31732</v>
      </c>
      <c r="C3030" s="2">
        <v>45716</v>
      </c>
      <c r="D3030">
        <v>2284</v>
      </c>
      <c r="E3030">
        <v>1003</v>
      </c>
      <c r="F3030">
        <v>1</v>
      </c>
      <c r="G3030">
        <v>224.37</v>
      </c>
      <c r="H3030" s="2" t="s">
        <v>1421</v>
      </c>
      <c r="I3030" s="2" t="s">
        <v>1421</v>
      </c>
      <c r="J3030" t="s">
        <v>12</v>
      </c>
      <c r="K3030" s="2" t="str">
        <f>IFERROR(INDEX(Product_lookup[Category],MATCH(RawWorking[[#This Row],[ProductID]],Product_lookup[ProductID],0)),"")</f>
        <v>Electronics</v>
      </c>
      <c r="L3030" s="9" t="str">
        <f>IF(OR(RawWorking[[#This Row],[ShipDate]]="",RawWorking[[#This Row],[DeliveryDate]]=""),"",RawWorking[[#This Row],[DeliveryDate]]-RawWorking[[#This Row],[ShipDate]])</f>
        <v/>
      </c>
      <c r="M3030" s="9">
        <f>IF(COUNTIF(INDEX(RawWorking[OrderID],1):RawWorking[[#This Row],[OrderID]],RawWorking[[#This Row],[OrderID]])=1,1,0)</f>
        <v>0</v>
      </c>
      <c r="N3030" s="4">
        <f>IFERROR(RawWorking[[#This Row],[LineAmount]]/RawWorking[[#This Row],[Quantity]],"")</f>
        <v>224.37</v>
      </c>
    </row>
    <row r="3031" spans="1:14">
      <c r="A3031">
        <v>53030</v>
      </c>
      <c r="B3031">
        <v>31732</v>
      </c>
      <c r="C3031" s="2">
        <v>45716</v>
      </c>
      <c r="D3031">
        <v>2284</v>
      </c>
      <c r="E3031">
        <v>1012</v>
      </c>
      <c r="F3031">
        <v>1</v>
      </c>
      <c r="G3031">
        <v>241.54</v>
      </c>
      <c r="H3031" s="2" t="s">
        <v>1421</v>
      </c>
      <c r="I3031" s="2" t="s">
        <v>1421</v>
      </c>
      <c r="J3031" t="s">
        <v>12</v>
      </c>
      <c r="K3031" s="2" t="str">
        <f>IFERROR(INDEX(Product_lookup[Category],MATCH(RawWorking[[#This Row],[ProductID]],Product_lookup[ProductID],0)),"")</f>
        <v>Office</v>
      </c>
      <c r="L3031" s="9" t="str">
        <f>IF(OR(RawWorking[[#This Row],[ShipDate]]="",RawWorking[[#This Row],[DeliveryDate]]=""),"",RawWorking[[#This Row],[DeliveryDate]]-RawWorking[[#This Row],[ShipDate]])</f>
        <v/>
      </c>
      <c r="M3031" s="9">
        <f>IF(COUNTIF(INDEX(RawWorking[OrderID],1):RawWorking[[#This Row],[OrderID]],RawWorking[[#This Row],[OrderID]])=1,1,0)</f>
        <v>0</v>
      </c>
      <c r="N3031" s="4">
        <f>IFERROR(RawWorking[[#This Row],[LineAmount]]/RawWorking[[#This Row],[Quantity]],"")</f>
        <v>241.54</v>
      </c>
    </row>
    <row r="3032" spans="1:14">
      <c r="A3032">
        <v>53031</v>
      </c>
      <c r="B3032">
        <v>31733</v>
      </c>
      <c r="C3032" s="2">
        <v>45801</v>
      </c>
      <c r="D3032">
        <v>2040</v>
      </c>
      <c r="E3032">
        <v>1011</v>
      </c>
      <c r="F3032">
        <v>2</v>
      </c>
      <c r="G3032">
        <v>202.88</v>
      </c>
      <c r="H3032" s="2">
        <v>45802</v>
      </c>
      <c r="I3032" s="2">
        <v>45808</v>
      </c>
      <c r="J3032" t="s">
        <v>9</v>
      </c>
      <c r="K3032" s="2" t="str">
        <f>IFERROR(INDEX(Product_lookup[Category],MATCH(RawWorking[[#This Row],[ProductID]],Product_lookup[ProductID],0)),"")</f>
        <v>Office</v>
      </c>
      <c r="L3032" s="9">
        <f>IF(OR(RawWorking[[#This Row],[ShipDate]]="",RawWorking[[#This Row],[DeliveryDate]]=""),"",RawWorking[[#This Row],[DeliveryDate]]-RawWorking[[#This Row],[ShipDate]])</f>
        <v>6</v>
      </c>
      <c r="M3032" s="9">
        <f>IF(COUNTIF(INDEX(RawWorking[OrderID],1):RawWorking[[#This Row],[OrderID]],RawWorking[[#This Row],[OrderID]])=1,1,0)</f>
        <v>1</v>
      </c>
      <c r="N3032" s="4">
        <f>IFERROR(RawWorking[[#This Row],[LineAmount]]/RawWorking[[#This Row],[Quantity]],"")</f>
        <v>101.44</v>
      </c>
    </row>
    <row r="3033" spans="1:14">
      <c r="A3033">
        <v>53032</v>
      </c>
      <c r="B3033">
        <v>31733</v>
      </c>
      <c r="C3033" s="2">
        <v>45801</v>
      </c>
      <c r="D3033">
        <v>2040</v>
      </c>
      <c r="E3033">
        <v>1007</v>
      </c>
      <c r="F3033">
        <v>1</v>
      </c>
      <c r="G3033">
        <v>199.81</v>
      </c>
      <c r="H3033" s="2">
        <v>45802</v>
      </c>
      <c r="I3033" s="2">
        <v>45806</v>
      </c>
      <c r="J3033" t="s">
        <v>9</v>
      </c>
      <c r="K3033" s="2" t="str">
        <f>IFERROR(INDEX(Product_lookup[Category],MATCH(RawWorking[[#This Row],[ProductID]],Product_lookup[ProductID],0)),"")</f>
        <v>Home</v>
      </c>
      <c r="L3033" s="9">
        <f>IF(OR(RawWorking[[#This Row],[ShipDate]]="",RawWorking[[#This Row],[DeliveryDate]]=""),"",RawWorking[[#This Row],[DeliveryDate]]-RawWorking[[#This Row],[ShipDate]])</f>
        <v>4</v>
      </c>
      <c r="M3033" s="9">
        <f>IF(COUNTIF(INDEX(RawWorking[OrderID],1):RawWorking[[#This Row],[OrderID]],RawWorking[[#This Row],[OrderID]])=1,1,0)</f>
        <v>0</v>
      </c>
      <c r="N3033" s="4">
        <f>IFERROR(RawWorking[[#This Row],[LineAmount]]/RawWorking[[#This Row],[Quantity]],"")</f>
        <v>199.81</v>
      </c>
    </row>
    <row r="3034" spans="1:14">
      <c r="A3034">
        <v>53033</v>
      </c>
      <c r="B3034">
        <v>31733</v>
      </c>
      <c r="C3034" s="2">
        <v>45801</v>
      </c>
      <c r="D3034">
        <v>2040</v>
      </c>
      <c r="E3034">
        <v>1011</v>
      </c>
      <c r="F3034">
        <v>1</v>
      </c>
      <c r="G3034">
        <v>101.44</v>
      </c>
      <c r="H3034" s="2">
        <v>45804</v>
      </c>
      <c r="I3034" s="2">
        <v>45812</v>
      </c>
      <c r="J3034" t="s">
        <v>9</v>
      </c>
      <c r="K3034" s="2" t="str">
        <f>IFERROR(INDEX(Product_lookup[Category],MATCH(RawWorking[[#This Row],[ProductID]],Product_lookup[ProductID],0)),"")</f>
        <v>Office</v>
      </c>
      <c r="L3034" s="9">
        <f>IF(OR(RawWorking[[#This Row],[ShipDate]]="",RawWorking[[#This Row],[DeliveryDate]]=""),"",RawWorking[[#This Row],[DeliveryDate]]-RawWorking[[#This Row],[ShipDate]])</f>
        <v>8</v>
      </c>
      <c r="M3034" s="9">
        <f>IF(COUNTIF(INDEX(RawWorking[OrderID],1):RawWorking[[#This Row],[OrderID]],RawWorking[[#This Row],[OrderID]])=1,1,0)</f>
        <v>0</v>
      </c>
      <c r="N3034" s="4">
        <f>IFERROR(RawWorking[[#This Row],[LineAmount]]/RawWorking[[#This Row],[Quantity]],"")</f>
        <v>101.44</v>
      </c>
    </row>
    <row r="3035" spans="1:14">
      <c r="A3035">
        <v>53034</v>
      </c>
      <c r="B3035">
        <v>31734</v>
      </c>
      <c r="C3035" s="2">
        <v>45982</v>
      </c>
      <c r="D3035">
        <v>2257</v>
      </c>
      <c r="E3035">
        <v>1009</v>
      </c>
      <c r="F3035">
        <v>1</v>
      </c>
      <c r="G3035">
        <v>40.28</v>
      </c>
      <c r="H3035" s="2">
        <v>45984</v>
      </c>
      <c r="I3035" s="2">
        <v>45986</v>
      </c>
      <c r="J3035" t="s">
        <v>9</v>
      </c>
      <c r="K3035" s="2" t="str">
        <f>IFERROR(INDEX(Product_lookup[Category],MATCH(RawWorking[[#This Row],[ProductID]],Product_lookup[ProductID],0)),"")</f>
        <v>Home</v>
      </c>
      <c r="L3035" s="9">
        <f>IF(OR(RawWorking[[#This Row],[ShipDate]]="",RawWorking[[#This Row],[DeliveryDate]]=""),"",RawWorking[[#This Row],[DeliveryDate]]-RawWorking[[#This Row],[ShipDate]])</f>
        <v>2</v>
      </c>
      <c r="M3035" s="9">
        <f>IF(COUNTIF(INDEX(RawWorking[OrderID],1):RawWorking[[#This Row],[OrderID]],RawWorking[[#This Row],[OrderID]])=1,1,0)</f>
        <v>1</v>
      </c>
      <c r="N3035" s="4">
        <f>IFERROR(RawWorking[[#This Row],[LineAmount]]/RawWorking[[#This Row],[Quantity]],"")</f>
        <v>40.28</v>
      </c>
    </row>
    <row r="3036" spans="1:14">
      <c r="A3036">
        <v>53035</v>
      </c>
      <c r="B3036">
        <v>31735</v>
      </c>
      <c r="C3036" s="2">
        <v>45996</v>
      </c>
      <c r="D3036">
        <v>2196</v>
      </c>
      <c r="E3036">
        <v>1005</v>
      </c>
      <c r="F3036">
        <v>1</v>
      </c>
      <c r="G3036">
        <v>31.73</v>
      </c>
      <c r="H3036" s="2">
        <v>45998</v>
      </c>
      <c r="I3036" s="2">
        <v>46005</v>
      </c>
      <c r="J3036" t="s">
        <v>9</v>
      </c>
      <c r="K3036" s="2" t="str">
        <f>IFERROR(INDEX(Product_lookup[Category],MATCH(RawWorking[[#This Row],[ProductID]],Product_lookup[ProductID],0)),"")</f>
        <v>Electronics</v>
      </c>
      <c r="L3036" s="9">
        <f>IF(OR(RawWorking[[#This Row],[ShipDate]]="",RawWorking[[#This Row],[DeliveryDate]]=""),"",RawWorking[[#This Row],[DeliveryDate]]-RawWorking[[#This Row],[ShipDate]])</f>
        <v>7</v>
      </c>
      <c r="M3036" s="9">
        <f>IF(COUNTIF(INDEX(RawWorking[OrderID],1):RawWorking[[#This Row],[OrderID]],RawWorking[[#This Row],[OrderID]])=1,1,0)</f>
        <v>1</v>
      </c>
      <c r="N3036" s="4">
        <f>IFERROR(RawWorking[[#This Row],[LineAmount]]/RawWorking[[#This Row],[Quantity]],"")</f>
        <v>31.73</v>
      </c>
    </row>
    <row r="3037" spans="1:14">
      <c r="A3037">
        <v>53036</v>
      </c>
      <c r="B3037">
        <v>31736</v>
      </c>
      <c r="C3037" s="2">
        <v>45809</v>
      </c>
      <c r="D3037">
        <v>2557</v>
      </c>
      <c r="E3037">
        <v>1001</v>
      </c>
      <c r="F3037">
        <v>3</v>
      </c>
      <c r="G3037">
        <v>609.12</v>
      </c>
      <c r="H3037" s="2" t="s">
        <v>1421</v>
      </c>
      <c r="I3037" s="2" t="s">
        <v>1421</v>
      </c>
      <c r="J3037" t="s">
        <v>12</v>
      </c>
      <c r="K3037" s="2" t="str">
        <f>IFERROR(INDEX(Product_lookup[Category],MATCH(RawWorking[[#This Row],[ProductID]],Product_lookup[ProductID],0)),"")</f>
        <v>Electronics</v>
      </c>
      <c r="L3037" s="9" t="str">
        <f>IF(OR(RawWorking[[#This Row],[ShipDate]]="",RawWorking[[#This Row],[DeliveryDate]]=""),"",RawWorking[[#This Row],[DeliveryDate]]-RawWorking[[#This Row],[ShipDate]])</f>
        <v/>
      </c>
      <c r="M3037" s="9">
        <f>IF(COUNTIF(INDEX(RawWorking[OrderID],1):RawWorking[[#This Row],[OrderID]],RawWorking[[#This Row],[OrderID]])=1,1,0)</f>
        <v>1</v>
      </c>
      <c r="N3037" s="4">
        <f>IFERROR(RawWorking[[#This Row],[LineAmount]]/RawWorking[[#This Row],[Quantity]],"")</f>
        <v>203.04</v>
      </c>
    </row>
    <row r="3038" spans="1:14">
      <c r="A3038">
        <v>53037</v>
      </c>
      <c r="B3038">
        <v>31736</v>
      </c>
      <c r="C3038" s="2">
        <v>45809</v>
      </c>
      <c r="D3038">
        <v>2557</v>
      </c>
      <c r="E3038">
        <v>1010</v>
      </c>
      <c r="F3038">
        <v>1</v>
      </c>
      <c r="G3038">
        <v>121.5</v>
      </c>
      <c r="H3038" s="2" t="s">
        <v>1421</v>
      </c>
      <c r="I3038" s="2" t="s">
        <v>1421</v>
      </c>
      <c r="J3038" t="s">
        <v>12</v>
      </c>
      <c r="K3038" s="2" t="str">
        <f>IFERROR(INDEX(Product_lookup[Category],MATCH(RawWorking[[#This Row],[ProductID]],Product_lookup[ProductID],0)),"")</f>
        <v>Office</v>
      </c>
      <c r="L3038" s="9" t="str">
        <f>IF(OR(RawWorking[[#This Row],[ShipDate]]="",RawWorking[[#This Row],[DeliveryDate]]=""),"",RawWorking[[#This Row],[DeliveryDate]]-RawWorking[[#This Row],[ShipDate]])</f>
        <v/>
      </c>
      <c r="M3038" s="9">
        <f>IF(COUNTIF(INDEX(RawWorking[OrderID],1):RawWorking[[#This Row],[OrderID]],RawWorking[[#This Row],[OrderID]])=1,1,0)</f>
        <v>0</v>
      </c>
      <c r="N3038" s="4">
        <f>IFERROR(RawWorking[[#This Row],[LineAmount]]/RawWorking[[#This Row],[Quantity]],"")</f>
        <v>121.5</v>
      </c>
    </row>
    <row r="3039" spans="1:14">
      <c r="A3039">
        <v>53038</v>
      </c>
      <c r="B3039">
        <v>31737</v>
      </c>
      <c r="C3039" s="2">
        <v>45950</v>
      </c>
      <c r="D3039">
        <v>2289</v>
      </c>
      <c r="E3039">
        <v>1013</v>
      </c>
      <c r="F3039">
        <v>3</v>
      </c>
      <c r="G3039">
        <v>510.75</v>
      </c>
      <c r="H3039" s="2" t="s">
        <v>1421</v>
      </c>
      <c r="I3039" s="2" t="s">
        <v>1421</v>
      </c>
      <c r="J3039" t="s">
        <v>16</v>
      </c>
      <c r="K3039" s="2" t="str">
        <f>IFERROR(INDEX(Product_lookup[Category],MATCH(RawWorking[[#This Row],[ProductID]],Product_lookup[ProductID],0)),"")</f>
        <v>Office</v>
      </c>
      <c r="L3039" s="9" t="str">
        <f>IF(OR(RawWorking[[#This Row],[ShipDate]]="",RawWorking[[#This Row],[DeliveryDate]]=""),"",RawWorking[[#This Row],[DeliveryDate]]-RawWorking[[#This Row],[ShipDate]])</f>
        <v/>
      </c>
      <c r="M3039" s="9">
        <f>IF(COUNTIF(INDEX(RawWorking[OrderID],1):RawWorking[[#This Row],[OrderID]],RawWorking[[#This Row],[OrderID]])=1,1,0)</f>
        <v>1</v>
      </c>
      <c r="N3039" s="4">
        <f>IFERROR(RawWorking[[#This Row],[LineAmount]]/RawWorking[[#This Row],[Quantity]],"")</f>
        <v>170.25</v>
      </c>
    </row>
    <row r="3040" spans="1:14">
      <c r="A3040">
        <v>53039</v>
      </c>
      <c r="B3040">
        <v>31737</v>
      </c>
      <c r="C3040" s="2">
        <v>45950</v>
      </c>
      <c r="D3040">
        <v>2289</v>
      </c>
      <c r="E3040">
        <v>1001</v>
      </c>
      <c r="F3040">
        <v>1</v>
      </c>
      <c r="G3040">
        <v>203.04</v>
      </c>
      <c r="H3040" s="2" t="s">
        <v>1421</v>
      </c>
      <c r="I3040" s="2" t="s">
        <v>1421</v>
      </c>
      <c r="J3040" t="s">
        <v>16</v>
      </c>
      <c r="K3040" s="2" t="str">
        <f>IFERROR(INDEX(Product_lookup[Category],MATCH(RawWorking[[#This Row],[ProductID]],Product_lookup[ProductID],0)),"")</f>
        <v>Electronics</v>
      </c>
      <c r="L3040" s="9" t="str">
        <f>IF(OR(RawWorking[[#This Row],[ShipDate]]="",RawWorking[[#This Row],[DeliveryDate]]=""),"",RawWorking[[#This Row],[DeliveryDate]]-RawWorking[[#This Row],[ShipDate]])</f>
        <v/>
      </c>
      <c r="M3040" s="9">
        <f>IF(COUNTIF(INDEX(RawWorking[OrderID],1):RawWorking[[#This Row],[OrderID]],RawWorking[[#This Row],[OrderID]])=1,1,0)</f>
        <v>0</v>
      </c>
      <c r="N3040" s="4">
        <f>IFERROR(RawWorking[[#This Row],[LineAmount]]/RawWorking[[#This Row],[Quantity]],"")</f>
        <v>203.04</v>
      </c>
    </row>
    <row r="3041" spans="1:14">
      <c r="A3041">
        <v>53040</v>
      </c>
      <c r="B3041">
        <v>31737</v>
      </c>
      <c r="C3041" s="2">
        <v>45950</v>
      </c>
      <c r="D3041">
        <v>2289</v>
      </c>
      <c r="E3041">
        <v>1005</v>
      </c>
      <c r="F3041">
        <v>2</v>
      </c>
      <c r="G3041">
        <f>IFERROR(RawWorking[[#This Row],[Quantity]]*INDEX(Product_lookup[UnitPrice],MATCH(RawWorking[[#This Row],[ProductID]],Product_lookup[ProductID],0)),"")</f>
        <v>63.46</v>
      </c>
      <c r="H3041" s="2" t="s">
        <v>1421</v>
      </c>
      <c r="I3041" s="2" t="s">
        <v>1421</v>
      </c>
      <c r="J3041" t="s">
        <v>16</v>
      </c>
      <c r="K3041" s="2" t="str">
        <f>IFERROR(INDEX(Product_lookup[Category],MATCH(RawWorking[[#This Row],[ProductID]],Product_lookup[ProductID],0)),"")</f>
        <v>Electronics</v>
      </c>
      <c r="L3041" s="9" t="str">
        <f>IF(OR(RawWorking[[#This Row],[ShipDate]]="",RawWorking[[#This Row],[DeliveryDate]]=""),"",RawWorking[[#This Row],[DeliveryDate]]-RawWorking[[#This Row],[ShipDate]])</f>
        <v/>
      </c>
      <c r="M3041" s="9">
        <f>IF(COUNTIF(INDEX(RawWorking[OrderID],1):RawWorking[[#This Row],[OrderID]],RawWorking[[#This Row],[OrderID]])=1,1,0)</f>
        <v>0</v>
      </c>
      <c r="N3041" s="4">
        <f>IFERROR(RawWorking[[#This Row],[LineAmount]]/RawWorking[[#This Row],[Quantity]],"")</f>
        <v>31.73</v>
      </c>
    </row>
    <row r="3042" spans="1:14">
      <c r="A3042">
        <v>53041</v>
      </c>
      <c r="B3042">
        <v>31738</v>
      </c>
      <c r="C3042" s="2">
        <v>45941</v>
      </c>
      <c r="D3042">
        <v>2234</v>
      </c>
      <c r="E3042">
        <v>1007</v>
      </c>
      <c r="F3042">
        <v>1</v>
      </c>
      <c r="G3042">
        <v>199.81</v>
      </c>
      <c r="H3042" s="2">
        <v>45942</v>
      </c>
      <c r="I3042" s="2">
        <v>45946</v>
      </c>
      <c r="J3042" t="s">
        <v>9</v>
      </c>
      <c r="K3042" s="2" t="str">
        <f>IFERROR(INDEX(Product_lookup[Category],MATCH(RawWorking[[#This Row],[ProductID]],Product_lookup[ProductID],0)),"")</f>
        <v>Home</v>
      </c>
      <c r="L3042" s="9">
        <f>IF(OR(RawWorking[[#This Row],[ShipDate]]="",RawWorking[[#This Row],[DeliveryDate]]=""),"",RawWorking[[#This Row],[DeliveryDate]]-RawWorking[[#This Row],[ShipDate]])</f>
        <v>4</v>
      </c>
      <c r="M3042" s="9">
        <f>IF(COUNTIF(INDEX(RawWorking[OrderID],1):RawWorking[[#This Row],[OrderID]],RawWorking[[#This Row],[OrderID]])=1,1,0)</f>
        <v>1</v>
      </c>
      <c r="N3042" s="4">
        <f>IFERROR(RawWorking[[#This Row],[LineAmount]]/RawWorking[[#This Row],[Quantity]],"")</f>
        <v>199.81</v>
      </c>
    </row>
    <row r="3043" spans="1:14">
      <c r="A3043">
        <v>53042</v>
      </c>
      <c r="B3043">
        <v>31739</v>
      </c>
      <c r="C3043" s="2">
        <v>45666</v>
      </c>
      <c r="D3043">
        <v>2486</v>
      </c>
      <c r="E3043">
        <v>1015</v>
      </c>
      <c r="F3043">
        <v>1</v>
      </c>
      <c r="G3043">
        <v>119.74</v>
      </c>
      <c r="H3043" s="2">
        <v>45669</v>
      </c>
      <c r="I3043" s="2">
        <v>45675</v>
      </c>
      <c r="J3043" t="s">
        <v>9</v>
      </c>
      <c r="K3043" s="2" t="str">
        <f>IFERROR(INDEX(Product_lookup[Category],MATCH(RawWorking[[#This Row],[ProductID]],Product_lookup[ProductID],0)),"")</f>
        <v>Sports</v>
      </c>
      <c r="L3043" s="9">
        <f>IF(OR(RawWorking[[#This Row],[ShipDate]]="",RawWorking[[#This Row],[DeliveryDate]]=""),"",RawWorking[[#This Row],[DeliveryDate]]-RawWorking[[#This Row],[ShipDate]])</f>
        <v>6</v>
      </c>
      <c r="M3043" s="9">
        <f>IF(COUNTIF(INDEX(RawWorking[OrderID],1):RawWorking[[#This Row],[OrderID]],RawWorking[[#This Row],[OrderID]])=1,1,0)</f>
        <v>1</v>
      </c>
      <c r="N3043" s="4">
        <f>IFERROR(RawWorking[[#This Row],[LineAmount]]/RawWorking[[#This Row],[Quantity]],"")</f>
        <v>119.74</v>
      </c>
    </row>
    <row r="3044" spans="1:14">
      <c r="A3044">
        <v>53043</v>
      </c>
      <c r="B3044">
        <v>31739</v>
      </c>
      <c r="C3044" s="2">
        <v>45666</v>
      </c>
      <c r="D3044">
        <v>2486</v>
      </c>
      <c r="E3044">
        <v>1015</v>
      </c>
      <c r="F3044">
        <v>1</v>
      </c>
      <c r="G3044">
        <v>119.74</v>
      </c>
      <c r="H3044" s="2">
        <v>45669</v>
      </c>
      <c r="I3044" s="2">
        <v>45673</v>
      </c>
      <c r="J3044" t="s">
        <v>9</v>
      </c>
      <c r="K3044" s="2" t="str">
        <f>IFERROR(INDEX(Product_lookup[Category],MATCH(RawWorking[[#This Row],[ProductID]],Product_lookup[ProductID],0)),"")</f>
        <v>Sports</v>
      </c>
      <c r="L3044" s="9">
        <f>IF(OR(RawWorking[[#This Row],[ShipDate]]="",RawWorking[[#This Row],[DeliveryDate]]=""),"",RawWorking[[#This Row],[DeliveryDate]]-RawWorking[[#This Row],[ShipDate]])</f>
        <v>4</v>
      </c>
      <c r="M3044" s="9">
        <f>IF(COUNTIF(INDEX(RawWorking[OrderID],1):RawWorking[[#This Row],[OrderID]],RawWorking[[#This Row],[OrderID]])=1,1,0)</f>
        <v>0</v>
      </c>
      <c r="N3044" s="4">
        <f>IFERROR(RawWorking[[#This Row],[LineAmount]]/RawWorking[[#This Row],[Quantity]],"")</f>
        <v>119.74</v>
      </c>
    </row>
    <row r="3045" spans="1:14">
      <c r="A3045">
        <v>53044</v>
      </c>
      <c r="B3045">
        <v>31739</v>
      </c>
      <c r="C3045" s="2">
        <v>45666</v>
      </c>
      <c r="D3045">
        <v>2486</v>
      </c>
      <c r="E3045">
        <v>1011</v>
      </c>
      <c r="F3045">
        <v>1</v>
      </c>
      <c r="G3045">
        <v>101.44</v>
      </c>
      <c r="H3045" s="2">
        <v>45669</v>
      </c>
      <c r="I3045" s="2">
        <v>45673</v>
      </c>
      <c r="J3045" t="s">
        <v>9</v>
      </c>
      <c r="K3045" s="2" t="str">
        <f>IFERROR(INDEX(Product_lookup[Category],MATCH(RawWorking[[#This Row],[ProductID]],Product_lookup[ProductID],0)),"")</f>
        <v>Office</v>
      </c>
      <c r="L3045" s="9">
        <f>IF(OR(RawWorking[[#This Row],[ShipDate]]="",RawWorking[[#This Row],[DeliveryDate]]=""),"",RawWorking[[#This Row],[DeliveryDate]]-RawWorking[[#This Row],[ShipDate]])</f>
        <v>4</v>
      </c>
      <c r="M3045" s="9">
        <f>IF(COUNTIF(INDEX(RawWorking[OrderID],1):RawWorking[[#This Row],[OrderID]],RawWorking[[#This Row],[OrderID]])=1,1,0)</f>
        <v>0</v>
      </c>
      <c r="N3045" s="4">
        <f>IFERROR(RawWorking[[#This Row],[LineAmount]]/RawWorking[[#This Row],[Quantity]],"")</f>
        <v>101.44</v>
      </c>
    </row>
    <row r="3046" spans="1:14">
      <c r="A3046">
        <v>53045</v>
      </c>
      <c r="B3046">
        <v>31739</v>
      </c>
      <c r="C3046" s="2">
        <v>45666</v>
      </c>
      <c r="D3046">
        <v>2486</v>
      </c>
      <c r="E3046">
        <v>1003</v>
      </c>
      <c r="F3046">
        <v>2</v>
      </c>
      <c r="G3046">
        <v>448.74</v>
      </c>
      <c r="H3046" s="2">
        <v>45667</v>
      </c>
      <c r="I3046" s="2">
        <v>45677</v>
      </c>
      <c r="J3046" t="s">
        <v>9</v>
      </c>
      <c r="K3046" s="2" t="str">
        <f>IFERROR(INDEX(Product_lookup[Category],MATCH(RawWorking[[#This Row],[ProductID]],Product_lookup[ProductID],0)),"")</f>
        <v>Electronics</v>
      </c>
      <c r="L3046" s="9">
        <f>IF(OR(RawWorking[[#This Row],[ShipDate]]="",RawWorking[[#This Row],[DeliveryDate]]=""),"",RawWorking[[#This Row],[DeliveryDate]]-RawWorking[[#This Row],[ShipDate]])</f>
        <v>10</v>
      </c>
      <c r="M3046" s="9">
        <f>IF(COUNTIF(INDEX(RawWorking[OrderID],1):RawWorking[[#This Row],[OrderID]],RawWorking[[#This Row],[OrderID]])=1,1,0)</f>
        <v>0</v>
      </c>
      <c r="N3046" s="4">
        <f>IFERROR(RawWorking[[#This Row],[LineAmount]]/RawWorking[[#This Row],[Quantity]],"")</f>
        <v>224.37</v>
      </c>
    </row>
    <row r="3047" spans="1:14">
      <c r="A3047">
        <v>53046</v>
      </c>
      <c r="B3047">
        <v>31740</v>
      </c>
      <c r="C3047" s="2">
        <v>45916</v>
      </c>
      <c r="D3047">
        <v>2321</v>
      </c>
      <c r="E3047">
        <v>1014</v>
      </c>
      <c r="F3047">
        <v>2</v>
      </c>
      <c r="G3047">
        <v>430.68</v>
      </c>
      <c r="H3047" s="2" t="s">
        <v>1421</v>
      </c>
      <c r="I3047" s="2" t="s">
        <v>1421</v>
      </c>
      <c r="J3047" t="s">
        <v>16</v>
      </c>
      <c r="K3047" s="2" t="str">
        <f>IFERROR(INDEX(Product_lookup[Category],MATCH(RawWorking[[#This Row],[ProductID]],Product_lookup[ProductID],0)),"")</f>
        <v>Sports</v>
      </c>
      <c r="L3047" s="9" t="str">
        <f>IF(OR(RawWorking[[#This Row],[ShipDate]]="",RawWorking[[#This Row],[DeliveryDate]]=""),"",RawWorking[[#This Row],[DeliveryDate]]-RawWorking[[#This Row],[ShipDate]])</f>
        <v/>
      </c>
      <c r="M3047" s="9">
        <f>IF(COUNTIF(INDEX(RawWorking[OrderID],1):RawWorking[[#This Row],[OrderID]],RawWorking[[#This Row],[OrderID]])=1,1,0)</f>
        <v>1</v>
      </c>
      <c r="N3047" s="4">
        <f>IFERROR(RawWorking[[#This Row],[LineAmount]]/RawWorking[[#This Row],[Quantity]],"")</f>
        <v>215.34</v>
      </c>
    </row>
    <row r="3048" spans="1:14">
      <c r="A3048">
        <v>53047</v>
      </c>
      <c r="B3048">
        <v>31740</v>
      </c>
      <c r="C3048" s="2">
        <v>45916</v>
      </c>
      <c r="D3048">
        <v>2321</v>
      </c>
      <c r="E3048">
        <v>1014</v>
      </c>
      <c r="F3048">
        <v>2</v>
      </c>
      <c r="G3048">
        <v>430.68</v>
      </c>
      <c r="H3048" s="2">
        <v>46182</v>
      </c>
      <c r="I3048" s="2" t="s">
        <v>1421</v>
      </c>
      <c r="J3048" t="s">
        <v>16</v>
      </c>
      <c r="K3048" s="2" t="str">
        <f>IFERROR(INDEX(Product_lookup[Category],MATCH(RawWorking[[#This Row],[ProductID]],Product_lookup[ProductID],0)),"")</f>
        <v>Sports</v>
      </c>
      <c r="L3048" s="9" t="str">
        <f>IF(OR(RawWorking[[#This Row],[ShipDate]]="",RawWorking[[#This Row],[DeliveryDate]]=""),"",RawWorking[[#This Row],[DeliveryDate]]-RawWorking[[#This Row],[ShipDate]])</f>
        <v/>
      </c>
      <c r="M3048" s="9">
        <f>IF(COUNTIF(INDEX(RawWorking[OrderID],1):RawWorking[[#This Row],[OrderID]],RawWorking[[#This Row],[OrderID]])=1,1,0)</f>
        <v>0</v>
      </c>
      <c r="N3048" s="4">
        <f>IFERROR(RawWorking[[#This Row],[LineAmount]]/RawWorking[[#This Row],[Quantity]],"")</f>
        <v>215.34</v>
      </c>
    </row>
    <row r="3049" spans="1:14">
      <c r="A3049">
        <v>53048</v>
      </c>
      <c r="B3049">
        <v>31740</v>
      </c>
      <c r="C3049" s="2">
        <v>45916</v>
      </c>
      <c r="D3049">
        <v>2321</v>
      </c>
      <c r="E3049">
        <v>1015</v>
      </c>
      <c r="F3049">
        <v>1</v>
      </c>
      <c r="G3049">
        <v>119.74</v>
      </c>
      <c r="H3049" s="2" t="s">
        <v>1421</v>
      </c>
      <c r="I3049" s="2" t="s">
        <v>1421</v>
      </c>
      <c r="J3049" t="s">
        <v>16</v>
      </c>
      <c r="K3049" s="2" t="str">
        <f>IFERROR(INDEX(Product_lookup[Category],MATCH(RawWorking[[#This Row],[ProductID]],Product_lookup[ProductID],0)),"")</f>
        <v>Sports</v>
      </c>
      <c r="L3049" s="9" t="str">
        <f>IF(OR(RawWorking[[#This Row],[ShipDate]]="",RawWorking[[#This Row],[DeliveryDate]]=""),"",RawWorking[[#This Row],[DeliveryDate]]-RawWorking[[#This Row],[ShipDate]])</f>
        <v/>
      </c>
      <c r="M3049" s="9">
        <f>IF(COUNTIF(INDEX(RawWorking[OrderID],1):RawWorking[[#This Row],[OrderID]],RawWorking[[#This Row],[OrderID]])=1,1,0)</f>
        <v>0</v>
      </c>
      <c r="N3049" s="4">
        <f>IFERROR(RawWorking[[#This Row],[LineAmount]]/RawWorking[[#This Row],[Quantity]],"")</f>
        <v>119.74</v>
      </c>
    </row>
    <row r="3050" spans="1:14">
      <c r="A3050">
        <v>53049</v>
      </c>
      <c r="B3050">
        <v>31740</v>
      </c>
      <c r="C3050" s="2">
        <v>45916</v>
      </c>
      <c r="D3050">
        <v>2321</v>
      </c>
      <c r="E3050">
        <v>1001</v>
      </c>
      <c r="F3050">
        <v>1</v>
      </c>
      <c r="G3050">
        <v>203.04</v>
      </c>
      <c r="H3050" s="2" t="s">
        <v>1421</v>
      </c>
      <c r="I3050" s="2" t="s">
        <v>1421</v>
      </c>
      <c r="J3050" t="s">
        <v>16</v>
      </c>
      <c r="K3050" s="2" t="str">
        <f>IFERROR(INDEX(Product_lookup[Category],MATCH(RawWorking[[#This Row],[ProductID]],Product_lookup[ProductID],0)),"")</f>
        <v>Electronics</v>
      </c>
      <c r="L3050" s="9" t="str">
        <f>IF(OR(RawWorking[[#This Row],[ShipDate]]="",RawWorking[[#This Row],[DeliveryDate]]=""),"",RawWorking[[#This Row],[DeliveryDate]]-RawWorking[[#This Row],[ShipDate]])</f>
        <v/>
      </c>
      <c r="M3050" s="9">
        <f>IF(COUNTIF(INDEX(RawWorking[OrderID],1):RawWorking[[#This Row],[OrderID]],RawWorking[[#This Row],[OrderID]])=1,1,0)</f>
        <v>0</v>
      </c>
      <c r="N3050" s="4">
        <f>IFERROR(RawWorking[[#This Row],[LineAmount]]/RawWorking[[#This Row],[Quantity]],"")</f>
        <v>203.04</v>
      </c>
    </row>
    <row r="3051" spans="1:14">
      <c r="A3051">
        <v>53050</v>
      </c>
      <c r="B3051">
        <v>31741</v>
      </c>
      <c r="C3051" s="2">
        <v>45923</v>
      </c>
      <c r="D3051">
        <v>2592</v>
      </c>
      <c r="E3051">
        <v>1010</v>
      </c>
      <c r="F3051">
        <v>1</v>
      </c>
      <c r="G3051">
        <v>121.5</v>
      </c>
      <c r="H3051" s="2" t="s">
        <v>1421</v>
      </c>
      <c r="I3051" s="2" t="s">
        <v>1421</v>
      </c>
      <c r="J3051" t="s">
        <v>12</v>
      </c>
      <c r="K3051" s="2" t="str">
        <f>IFERROR(INDEX(Product_lookup[Category],MATCH(RawWorking[[#This Row],[ProductID]],Product_lookup[ProductID],0)),"")</f>
        <v>Office</v>
      </c>
      <c r="L3051" s="9" t="str">
        <f>IF(OR(RawWorking[[#This Row],[ShipDate]]="",RawWorking[[#This Row],[DeliveryDate]]=""),"",RawWorking[[#This Row],[DeliveryDate]]-RawWorking[[#This Row],[ShipDate]])</f>
        <v/>
      </c>
      <c r="M3051" s="9">
        <f>IF(COUNTIF(INDEX(RawWorking[OrderID],1):RawWorking[[#This Row],[OrderID]],RawWorking[[#This Row],[OrderID]])=1,1,0)</f>
        <v>1</v>
      </c>
      <c r="N3051" s="4">
        <f>IFERROR(RawWorking[[#This Row],[LineAmount]]/RawWorking[[#This Row],[Quantity]],"")</f>
        <v>121.5</v>
      </c>
    </row>
    <row r="3052" spans="1:14">
      <c r="A3052">
        <v>53051</v>
      </c>
      <c r="B3052">
        <v>31741</v>
      </c>
      <c r="C3052" s="2">
        <v>45923</v>
      </c>
      <c r="D3052">
        <v>2592</v>
      </c>
      <c r="E3052">
        <v>1001</v>
      </c>
      <c r="F3052">
        <v>3</v>
      </c>
      <c r="G3052">
        <v>609.12</v>
      </c>
      <c r="H3052" s="2" t="s">
        <v>1421</v>
      </c>
      <c r="I3052" s="2" t="s">
        <v>1421</v>
      </c>
      <c r="J3052" t="s">
        <v>12</v>
      </c>
      <c r="K3052" s="2" t="str">
        <f>IFERROR(INDEX(Product_lookup[Category],MATCH(RawWorking[[#This Row],[ProductID]],Product_lookup[ProductID],0)),"")</f>
        <v>Electronics</v>
      </c>
      <c r="L3052" s="9" t="str">
        <f>IF(OR(RawWorking[[#This Row],[ShipDate]]="",RawWorking[[#This Row],[DeliveryDate]]=""),"",RawWorking[[#This Row],[DeliveryDate]]-RawWorking[[#This Row],[ShipDate]])</f>
        <v/>
      </c>
      <c r="M3052" s="9">
        <f>IF(COUNTIF(INDEX(RawWorking[OrderID],1):RawWorking[[#This Row],[OrderID]],RawWorking[[#This Row],[OrderID]])=1,1,0)</f>
        <v>0</v>
      </c>
      <c r="N3052" s="4">
        <f>IFERROR(RawWorking[[#This Row],[LineAmount]]/RawWorking[[#This Row],[Quantity]],"")</f>
        <v>203.04</v>
      </c>
    </row>
    <row r="3053" spans="1:14">
      <c r="A3053">
        <v>53052</v>
      </c>
      <c r="B3053">
        <v>31742</v>
      </c>
      <c r="C3053" s="2">
        <v>45968</v>
      </c>
      <c r="D3053">
        <v>2512</v>
      </c>
      <c r="E3053">
        <v>1012</v>
      </c>
      <c r="F3053">
        <v>2</v>
      </c>
      <c r="G3053">
        <v>483.08</v>
      </c>
      <c r="H3053" s="2" t="s">
        <v>1421</v>
      </c>
      <c r="I3053" s="2" t="s">
        <v>1421</v>
      </c>
      <c r="J3053" t="s">
        <v>16</v>
      </c>
      <c r="K3053" s="2" t="str">
        <f>IFERROR(INDEX(Product_lookup[Category],MATCH(RawWorking[[#This Row],[ProductID]],Product_lookup[ProductID],0)),"")</f>
        <v>Office</v>
      </c>
      <c r="L3053" s="9" t="str">
        <f>IF(OR(RawWorking[[#This Row],[ShipDate]]="",RawWorking[[#This Row],[DeliveryDate]]=""),"",RawWorking[[#This Row],[DeliveryDate]]-RawWorking[[#This Row],[ShipDate]])</f>
        <v/>
      </c>
      <c r="M3053" s="9">
        <f>IF(COUNTIF(INDEX(RawWorking[OrderID],1):RawWorking[[#This Row],[OrderID]],RawWorking[[#This Row],[OrderID]])=1,1,0)</f>
        <v>1</v>
      </c>
      <c r="N3053" s="4">
        <f>IFERROR(RawWorking[[#This Row],[LineAmount]]/RawWorking[[#This Row],[Quantity]],"")</f>
        <v>241.54</v>
      </c>
    </row>
    <row r="3054" spans="1:14">
      <c r="A3054">
        <v>53053</v>
      </c>
      <c r="B3054">
        <v>31743</v>
      </c>
      <c r="C3054" s="2">
        <v>45781</v>
      </c>
      <c r="D3054">
        <v>2430</v>
      </c>
      <c r="E3054">
        <v>1013</v>
      </c>
      <c r="F3054">
        <v>1</v>
      </c>
      <c r="G3054">
        <v>170.25</v>
      </c>
      <c r="H3054" s="2">
        <v>45782</v>
      </c>
      <c r="I3054" s="2">
        <v>45787</v>
      </c>
      <c r="J3054" t="s">
        <v>9</v>
      </c>
      <c r="K3054" s="2" t="str">
        <f>IFERROR(INDEX(Product_lookup[Category],MATCH(RawWorking[[#This Row],[ProductID]],Product_lookup[ProductID],0)),"")</f>
        <v>Office</v>
      </c>
      <c r="L3054" s="9">
        <f>IF(OR(RawWorking[[#This Row],[ShipDate]]="",RawWorking[[#This Row],[DeliveryDate]]=""),"",RawWorking[[#This Row],[DeliveryDate]]-RawWorking[[#This Row],[ShipDate]])</f>
        <v>5</v>
      </c>
      <c r="M3054" s="9">
        <f>IF(COUNTIF(INDEX(RawWorking[OrderID],1):RawWorking[[#This Row],[OrderID]],RawWorking[[#This Row],[OrderID]])=1,1,0)</f>
        <v>1</v>
      </c>
      <c r="N3054" s="4">
        <f>IFERROR(RawWorking[[#This Row],[LineAmount]]/RawWorking[[#This Row],[Quantity]],"")</f>
        <v>170.25</v>
      </c>
    </row>
    <row r="3055" spans="1:14">
      <c r="A3055">
        <v>53054</v>
      </c>
      <c r="B3055">
        <v>31743</v>
      </c>
      <c r="C3055" s="2">
        <v>45781</v>
      </c>
      <c r="D3055">
        <v>2430</v>
      </c>
      <c r="E3055">
        <v>1010</v>
      </c>
      <c r="F3055">
        <v>2</v>
      </c>
      <c r="G3055">
        <v>243</v>
      </c>
      <c r="H3055" s="2">
        <v>45782</v>
      </c>
      <c r="I3055" s="2">
        <v>45784</v>
      </c>
      <c r="J3055" t="s">
        <v>9</v>
      </c>
      <c r="K3055" s="2" t="str">
        <f>IFERROR(INDEX(Product_lookup[Category],MATCH(RawWorking[[#This Row],[ProductID]],Product_lookup[ProductID],0)),"")</f>
        <v>Office</v>
      </c>
      <c r="L3055" s="9">
        <f>IF(OR(RawWorking[[#This Row],[ShipDate]]="",RawWorking[[#This Row],[DeliveryDate]]=""),"",RawWorking[[#This Row],[DeliveryDate]]-RawWorking[[#This Row],[ShipDate]])</f>
        <v>2</v>
      </c>
      <c r="M3055" s="9">
        <f>IF(COUNTIF(INDEX(RawWorking[OrderID],1):RawWorking[[#This Row],[OrderID]],RawWorking[[#This Row],[OrderID]])=1,1,0)</f>
        <v>0</v>
      </c>
      <c r="N3055" s="4">
        <f>IFERROR(RawWorking[[#This Row],[LineAmount]]/RawWorking[[#This Row],[Quantity]],"")</f>
        <v>121.5</v>
      </c>
    </row>
    <row r="3056" spans="1:14">
      <c r="A3056">
        <v>53055</v>
      </c>
      <c r="B3056">
        <v>31743</v>
      </c>
      <c r="C3056" s="2">
        <v>45781</v>
      </c>
      <c r="D3056">
        <v>2430</v>
      </c>
      <c r="E3056">
        <v>1011</v>
      </c>
      <c r="F3056">
        <v>4</v>
      </c>
      <c r="G3056">
        <v>405.76</v>
      </c>
      <c r="H3056" s="2">
        <v>45782</v>
      </c>
      <c r="I3056" s="2">
        <v>45787</v>
      </c>
      <c r="J3056" t="s">
        <v>9</v>
      </c>
      <c r="K3056" s="2" t="str">
        <f>IFERROR(INDEX(Product_lookup[Category],MATCH(RawWorking[[#This Row],[ProductID]],Product_lookup[ProductID],0)),"")</f>
        <v>Office</v>
      </c>
      <c r="L3056" s="9">
        <f>IF(OR(RawWorking[[#This Row],[ShipDate]]="",RawWorking[[#This Row],[DeliveryDate]]=""),"",RawWorking[[#This Row],[DeliveryDate]]-RawWorking[[#This Row],[ShipDate]])</f>
        <v>5</v>
      </c>
      <c r="M3056" s="9">
        <f>IF(COUNTIF(INDEX(RawWorking[OrderID],1):RawWorking[[#This Row],[OrderID]],RawWorking[[#This Row],[OrderID]])=1,1,0)</f>
        <v>0</v>
      </c>
      <c r="N3056" s="4">
        <f>IFERROR(RawWorking[[#This Row],[LineAmount]]/RawWorking[[#This Row],[Quantity]],"")</f>
        <v>101.44</v>
      </c>
    </row>
    <row r="3057" spans="1:14">
      <c r="A3057">
        <v>53056</v>
      </c>
      <c r="B3057">
        <v>31744</v>
      </c>
      <c r="C3057" s="2">
        <v>45897</v>
      </c>
      <c r="D3057">
        <v>2024</v>
      </c>
      <c r="E3057">
        <v>1002</v>
      </c>
      <c r="F3057">
        <v>1</v>
      </c>
      <c r="G3057">
        <v>118.6</v>
      </c>
      <c r="H3057" s="2">
        <v>45899</v>
      </c>
      <c r="I3057" s="2">
        <v>45909</v>
      </c>
      <c r="J3057" t="s">
        <v>9</v>
      </c>
      <c r="K3057" s="2" t="str">
        <f>IFERROR(INDEX(Product_lookup[Category],MATCH(RawWorking[[#This Row],[ProductID]],Product_lookup[ProductID],0)),"")</f>
        <v>Electronics</v>
      </c>
      <c r="L3057" s="9">
        <f>IF(OR(RawWorking[[#This Row],[ShipDate]]="",RawWorking[[#This Row],[DeliveryDate]]=""),"",RawWorking[[#This Row],[DeliveryDate]]-RawWorking[[#This Row],[ShipDate]])</f>
        <v>10</v>
      </c>
      <c r="M3057" s="9">
        <f>IF(COUNTIF(INDEX(RawWorking[OrderID],1):RawWorking[[#This Row],[OrderID]],RawWorking[[#This Row],[OrderID]])=1,1,0)</f>
        <v>1</v>
      </c>
      <c r="N3057" s="4">
        <f>IFERROR(RawWorking[[#This Row],[LineAmount]]/RawWorking[[#This Row],[Quantity]],"")</f>
        <v>118.6</v>
      </c>
    </row>
    <row r="3058" spans="1:14">
      <c r="A3058">
        <v>53057</v>
      </c>
      <c r="B3058">
        <v>31745</v>
      </c>
      <c r="C3058" s="2">
        <v>45769</v>
      </c>
      <c r="D3058">
        <v>2143</v>
      </c>
      <c r="E3058">
        <v>1011</v>
      </c>
      <c r="F3058">
        <v>1</v>
      </c>
      <c r="G3058">
        <v>101.44</v>
      </c>
      <c r="H3058" s="2">
        <v>45771</v>
      </c>
      <c r="I3058" s="2">
        <v>45781</v>
      </c>
      <c r="J3058" t="s">
        <v>9</v>
      </c>
      <c r="K3058" s="2" t="str">
        <f>IFERROR(INDEX(Product_lookup[Category],MATCH(RawWorking[[#This Row],[ProductID]],Product_lookup[ProductID],0)),"")</f>
        <v>Office</v>
      </c>
      <c r="L3058" s="9">
        <f>IF(OR(RawWorking[[#This Row],[ShipDate]]="",RawWorking[[#This Row],[DeliveryDate]]=""),"",RawWorking[[#This Row],[DeliveryDate]]-RawWorking[[#This Row],[ShipDate]])</f>
        <v>10</v>
      </c>
      <c r="M3058" s="9">
        <f>IF(COUNTIF(INDEX(RawWorking[OrderID],1):RawWorking[[#This Row],[OrderID]],RawWorking[[#This Row],[OrderID]])=1,1,0)</f>
        <v>1</v>
      </c>
      <c r="N3058" s="4">
        <f>IFERROR(RawWorking[[#This Row],[LineAmount]]/RawWorking[[#This Row],[Quantity]],"")</f>
        <v>101.44</v>
      </c>
    </row>
    <row r="3059" spans="1:14">
      <c r="A3059">
        <v>53058</v>
      </c>
      <c r="B3059">
        <v>31745</v>
      </c>
      <c r="C3059" s="2">
        <v>45769</v>
      </c>
      <c r="D3059">
        <v>2143</v>
      </c>
      <c r="E3059">
        <v>1013</v>
      </c>
      <c r="F3059">
        <v>1</v>
      </c>
      <c r="G3059">
        <v>170.25</v>
      </c>
      <c r="H3059" s="2">
        <v>45772</v>
      </c>
      <c r="I3059" s="2">
        <v>45778</v>
      </c>
      <c r="J3059" t="s">
        <v>9</v>
      </c>
      <c r="K3059" s="2" t="str">
        <f>IFERROR(INDEX(Product_lookup[Category],MATCH(RawWorking[[#This Row],[ProductID]],Product_lookup[ProductID],0)),"")</f>
        <v>Office</v>
      </c>
      <c r="L3059" s="9">
        <f>IF(OR(RawWorking[[#This Row],[ShipDate]]="",RawWorking[[#This Row],[DeliveryDate]]=""),"",RawWorking[[#This Row],[DeliveryDate]]-RawWorking[[#This Row],[ShipDate]])</f>
        <v>6</v>
      </c>
      <c r="M3059" s="9">
        <f>IF(COUNTIF(INDEX(RawWorking[OrderID],1):RawWorking[[#This Row],[OrderID]],RawWorking[[#This Row],[OrderID]])=1,1,0)</f>
        <v>0</v>
      </c>
      <c r="N3059" s="4">
        <f>IFERROR(RawWorking[[#This Row],[LineAmount]]/RawWorking[[#This Row],[Quantity]],"")</f>
        <v>170.25</v>
      </c>
    </row>
    <row r="3060" spans="1:14">
      <c r="A3060">
        <v>53059</v>
      </c>
      <c r="B3060">
        <v>31745</v>
      </c>
      <c r="C3060" s="2">
        <v>45769</v>
      </c>
      <c r="D3060">
        <v>2143</v>
      </c>
      <c r="E3060">
        <v>1013</v>
      </c>
      <c r="F3060">
        <v>1</v>
      </c>
      <c r="G3060">
        <v>170.25</v>
      </c>
      <c r="H3060" s="2">
        <v>45772</v>
      </c>
      <c r="I3060" s="2">
        <v>45781</v>
      </c>
      <c r="J3060" t="s">
        <v>9</v>
      </c>
      <c r="K3060" s="2" t="str">
        <f>IFERROR(INDEX(Product_lookup[Category],MATCH(RawWorking[[#This Row],[ProductID]],Product_lookup[ProductID],0)),"")</f>
        <v>Office</v>
      </c>
      <c r="L3060" s="9">
        <f>IF(OR(RawWorking[[#This Row],[ShipDate]]="",RawWorking[[#This Row],[DeliveryDate]]=""),"",RawWorking[[#This Row],[DeliveryDate]]-RawWorking[[#This Row],[ShipDate]])</f>
        <v>9</v>
      </c>
      <c r="M3060" s="9">
        <f>IF(COUNTIF(INDEX(RawWorking[OrderID],1):RawWorking[[#This Row],[OrderID]],RawWorking[[#This Row],[OrderID]])=1,1,0)</f>
        <v>0</v>
      </c>
      <c r="N3060" s="4">
        <f>IFERROR(RawWorking[[#This Row],[LineAmount]]/RawWorking[[#This Row],[Quantity]],"")</f>
        <v>170.25</v>
      </c>
    </row>
    <row r="3061" spans="1:14">
      <c r="A3061">
        <v>53060</v>
      </c>
      <c r="B3061">
        <v>31746</v>
      </c>
      <c r="C3061" s="2">
        <v>45679</v>
      </c>
      <c r="D3061">
        <v>2210</v>
      </c>
      <c r="E3061">
        <v>1003</v>
      </c>
      <c r="F3061">
        <v>5</v>
      </c>
      <c r="G3061">
        <v>1121.8499999999999</v>
      </c>
      <c r="H3061" s="2">
        <v>45680</v>
      </c>
      <c r="I3061" s="2">
        <v>45684</v>
      </c>
      <c r="J3061" t="s">
        <v>11</v>
      </c>
      <c r="K3061" s="2" t="str">
        <f>IFERROR(INDEX(Product_lookup[Category],MATCH(RawWorking[[#This Row],[ProductID]],Product_lookup[ProductID],0)),"")</f>
        <v>Electronics</v>
      </c>
      <c r="L3061" s="9">
        <f>IF(OR(RawWorking[[#This Row],[ShipDate]]="",RawWorking[[#This Row],[DeliveryDate]]=""),"",RawWorking[[#This Row],[DeliveryDate]]-RawWorking[[#This Row],[ShipDate]])</f>
        <v>4</v>
      </c>
      <c r="M3061" s="9">
        <f>IF(COUNTIF(INDEX(RawWorking[OrderID],1):RawWorking[[#This Row],[OrderID]],RawWorking[[#This Row],[OrderID]])=1,1,0)</f>
        <v>1</v>
      </c>
      <c r="N3061" s="4">
        <f>IFERROR(RawWorking[[#This Row],[LineAmount]]/RawWorking[[#This Row],[Quantity]],"")</f>
        <v>224.36999999999998</v>
      </c>
    </row>
    <row r="3062" spans="1:14">
      <c r="A3062">
        <v>53061</v>
      </c>
      <c r="B3062">
        <v>31746</v>
      </c>
      <c r="C3062" s="2">
        <v>45679</v>
      </c>
      <c r="D3062">
        <v>2210</v>
      </c>
      <c r="E3062">
        <v>1013</v>
      </c>
      <c r="F3062">
        <v>4</v>
      </c>
      <c r="G3062">
        <v>681</v>
      </c>
      <c r="H3062" s="2">
        <v>45681</v>
      </c>
      <c r="I3062" s="2">
        <v>45683</v>
      </c>
      <c r="J3062" t="s">
        <v>11</v>
      </c>
      <c r="K3062" s="2" t="str">
        <f>IFERROR(INDEX(Product_lookup[Category],MATCH(RawWorking[[#This Row],[ProductID]],Product_lookup[ProductID],0)),"")</f>
        <v>Office</v>
      </c>
      <c r="L3062" s="9">
        <f>IF(OR(RawWorking[[#This Row],[ShipDate]]="",RawWorking[[#This Row],[DeliveryDate]]=""),"",RawWorking[[#This Row],[DeliveryDate]]-RawWorking[[#This Row],[ShipDate]])</f>
        <v>2</v>
      </c>
      <c r="M3062" s="9">
        <f>IF(COUNTIF(INDEX(RawWorking[OrderID],1):RawWorking[[#This Row],[OrderID]],RawWorking[[#This Row],[OrderID]])=1,1,0)</f>
        <v>0</v>
      </c>
      <c r="N3062" s="4">
        <f>IFERROR(RawWorking[[#This Row],[LineAmount]]/RawWorking[[#This Row],[Quantity]],"")</f>
        <v>170.25</v>
      </c>
    </row>
    <row r="3063" spans="1:14">
      <c r="A3063">
        <v>53062</v>
      </c>
      <c r="B3063">
        <v>31746</v>
      </c>
      <c r="C3063" s="2">
        <v>45679</v>
      </c>
      <c r="D3063">
        <v>2210</v>
      </c>
      <c r="E3063">
        <v>1007</v>
      </c>
      <c r="F3063">
        <v>1</v>
      </c>
      <c r="G3063">
        <v>199.81</v>
      </c>
      <c r="H3063" s="2">
        <v>45682</v>
      </c>
      <c r="I3063" s="2">
        <v>45683</v>
      </c>
      <c r="J3063" t="s">
        <v>11</v>
      </c>
      <c r="K3063" s="2" t="str">
        <f>IFERROR(INDEX(Product_lookup[Category],MATCH(RawWorking[[#This Row],[ProductID]],Product_lookup[ProductID],0)),"")</f>
        <v>Home</v>
      </c>
      <c r="L3063" s="9">
        <f>IF(OR(RawWorking[[#This Row],[ShipDate]]="",RawWorking[[#This Row],[DeliveryDate]]=""),"",RawWorking[[#This Row],[DeliveryDate]]-RawWorking[[#This Row],[ShipDate]])</f>
        <v>1</v>
      </c>
      <c r="M3063" s="9">
        <f>IF(COUNTIF(INDEX(RawWorking[OrderID],1):RawWorking[[#This Row],[OrderID]],RawWorking[[#This Row],[OrderID]])=1,1,0)</f>
        <v>0</v>
      </c>
      <c r="N3063" s="4">
        <f>IFERROR(RawWorking[[#This Row],[LineAmount]]/RawWorking[[#This Row],[Quantity]],"")</f>
        <v>199.81</v>
      </c>
    </row>
    <row r="3064" spans="1:14">
      <c r="A3064">
        <v>53063</v>
      </c>
      <c r="B3064">
        <v>31746</v>
      </c>
      <c r="C3064" s="2">
        <v>45679</v>
      </c>
      <c r="D3064">
        <v>2210</v>
      </c>
      <c r="E3064">
        <v>1016</v>
      </c>
      <c r="F3064">
        <v>1</v>
      </c>
      <c r="G3064">
        <v>65.260000000000005</v>
      </c>
      <c r="H3064" s="2">
        <v>45680</v>
      </c>
      <c r="I3064" s="2">
        <v>45681</v>
      </c>
      <c r="J3064" t="s">
        <v>11</v>
      </c>
      <c r="K3064" s="2" t="str">
        <f>IFERROR(INDEX(Product_lookup[Category],MATCH(RawWorking[[#This Row],[ProductID]],Product_lookup[ProductID],0)),"")</f>
        <v>Sports</v>
      </c>
      <c r="L3064" s="9">
        <f>IF(OR(RawWorking[[#This Row],[ShipDate]]="",RawWorking[[#This Row],[DeliveryDate]]=""),"",RawWorking[[#This Row],[DeliveryDate]]-RawWorking[[#This Row],[ShipDate]])</f>
        <v>1</v>
      </c>
      <c r="M3064" s="9">
        <f>IF(COUNTIF(INDEX(RawWorking[OrderID],1):RawWorking[[#This Row],[OrderID]],RawWorking[[#This Row],[OrderID]])=1,1,0)</f>
        <v>0</v>
      </c>
      <c r="N3064" s="4">
        <f>IFERROR(RawWorking[[#This Row],[LineAmount]]/RawWorking[[#This Row],[Quantity]],"")</f>
        <v>65.260000000000005</v>
      </c>
    </row>
    <row r="3065" spans="1:14">
      <c r="A3065">
        <v>53064</v>
      </c>
      <c r="B3065">
        <v>31747</v>
      </c>
      <c r="C3065" s="2">
        <v>45847</v>
      </c>
      <c r="D3065">
        <v>2112</v>
      </c>
      <c r="E3065">
        <v>1015</v>
      </c>
      <c r="F3065">
        <v>2</v>
      </c>
      <c r="G3065">
        <v>239.48</v>
      </c>
      <c r="H3065" s="2">
        <v>45849</v>
      </c>
      <c r="I3065" s="2">
        <v>45856</v>
      </c>
      <c r="J3065" t="s">
        <v>9</v>
      </c>
      <c r="K3065" s="2" t="str">
        <f>IFERROR(INDEX(Product_lookup[Category],MATCH(RawWorking[[#This Row],[ProductID]],Product_lookup[ProductID],0)),"")</f>
        <v>Sports</v>
      </c>
      <c r="L3065" s="9">
        <f>IF(OR(RawWorking[[#This Row],[ShipDate]]="",RawWorking[[#This Row],[DeliveryDate]]=""),"",RawWorking[[#This Row],[DeliveryDate]]-RawWorking[[#This Row],[ShipDate]])</f>
        <v>7</v>
      </c>
      <c r="M3065" s="9">
        <f>IF(COUNTIF(INDEX(RawWorking[OrderID],1):RawWorking[[#This Row],[OrderID]],RawWorking[[#This Row],[OrderID]])=1,1,0)</f>
        <v>1</v>
      </c>
      <c r="N3065" s="4">
        <f>IFERROR(RawWorking[[#This Row],[LineAmount]]/RawWorking[[#This Row],[Quantity]],"")</f>
        <v>119.74</v>
      </c>
    </row>
    <row r="3066" spans="1:14">
      <c r="A3066">
        <v>53065</v>
      </c>
      <c r="B3066">
        <v>31748</v>
      </c>
      <c r="C3066" s="2">
        <v>45962</v>
      </c>
      <c r="D3066">
        <v>2312</v>
      </c>
      <c r="E3066">
        <v>1004</v>
      </c>
      <c r="F3066">
        <v>1</v>
      </c>
      <c r="G3066">
        <v>183.74</v>
      </c>
      <c r="H3066" s="2">
        <v>45964</v>
      </c>
      <c r="I3066" s="2">
        <v>45972</v>
      </c>
      <c r="J3066" t="s">
        <v>9</v>
      </c>
      <c r="K3066" s="2" t="str">
        <f>IFERROR(INDEX(Product_lookup[Category],MATCH(RawWorking[[#This Row],[ProductID]],Product_lookup[ProductID],0)),"")</f>
        <v>Electronics</v>
      </c>
      <c r="L3066" s="9">
        <f>IF(OR(RawWorking[[#This Row],[ShipDate]]="",RawWorking[[#This Row],[DeliveryDate]]=""),"",RawWorking[[#This Row],[DeliveryDate]]-RawWorking[[#This Row],[ShipDate]])</f>
        <v>8</v>
      </c>
      <c r="M3066" s="9">
        <f>IF(COUNTIF(INDEX(RawWorking[OrderID],1):RawWorking[[#This Row],[OrderID]],RawWorking[[#This Row],[OrderID]])=1,1,0)</f>
        <v>1</v>
      </c>
      <c r="N3066" s="4">
        <f>IFERROR(RawWorking[[#This Row],[LineAmount]]/RawWorking[[#This Row],[Quantity]],"")</f>
        <v>183.74</v>
      </c>
    </row>
    <row r="3067" spans="1:14">
      <c r="A3067">
        <v>53066</v>
      </c>
      <c r="B3067">
        <v>31748</v>
      </c>
      <c r="C3067" s="2">
        <v>45962</v>
      </c>
      <c r="D3067">
        <v>2312</v>
      </c>
      <c r="E3067">
        <v>1006</v>
      </c>
      <c r="F3067">
        <v>1</v>
      </c>
      <c r="G3067">
        <v>253.86</v>
      </c>
      <c r="H3067" s="2">
        <v>45964</v>
      </c>
      <c r="I3067" s="2">
        <v>45972</v>
      </c>
      <c r="J3067" t="s">
        <v>9</v>
      </c>
      <c r="K3067" s="2" t="str">
        <f>IFERROR(INDEX(Product_lookup[Category],MATCH(RawWorking[[#This Row],[ProductID]],Product_lookup[ProductID],0)),"")</f>
        <v>Home</v>
      </c>
      <c r="L3067" s="9">
        <f>IF(OR(RawWorking[[#This Row],[ShipDate]]="",RawWorking[[#This Row],[DeliveryDate]]=""),"",RawWorking[[#This Row],[DeliveryDate]]-RawWorking[[#This Row],[ShipDate]])</f>
        <v>8</v>
      </c>
      <c r="M3067" s="9">
        <f>IF(COUNTIF(INDEX(RawWorking[OrderID],1):RawWorking[[#This Row],[OrderID]],RawWorking[[#This Row],[OrderID]])=1,1,0)</f>
        <v>0</v>
      </c>
      <c r="N3067" s="4">
        <f>IFERROR(RawWorking[[#This Row],[LineAmount]]/RawWorking[[#This Row],[Quantity]],"")</f>
        <v>253.86</v>
      </c>
    </row>
    <row r="3068" spans="1:14">
      <c r="A3068">
        <v>53067</v>
      </c>
      <c r="B3068">
        <v>31749</v>
      </c>
      <c r="C3068" s="2">
        <v>45661</v>
      </c>
      <c r="D3068">
        <v>2033</v>
      </c>
      <c r="E3068">
        <v>1016</v>
      </c>
      <c r="F3068">
        <v>1</v>
      </c>
      <c r="G3068">
        <v>65.260000000000005</v>
      </c>
      <c r="H3068" s="2">
        <v>45664</v>
      </c>
      <c r="I3068" s="2" t="s">
        <v>1421</v>
      </c>
      <c r="J3068" t="s">
        <v>16</v>
      </c>
      <c r="K3068" s="2" t="str">
        <f>IFERROR(INDEX(Product_lookup[Category],MATCH(RawWorking[[#This Row],[ProductID]],Product_lookup[ProductID],0)),"")</f>
        <v>Sports</v>
      </c>
      <c r="L3068" s="9" t="str">
        <f>IF(OR(RawWorking[[#This Row],[ShipDate]]="",RawWorking[[#This Row],[DeliveryDate]]=""),"",RawWorking[[#This Row],[DeliveryDate]]-RawWorking[[#This Row],[ShipDate]])</f>
        <v/>
      </c>
      <c r="M3068" s="9">
        <f>IF(COUNTIF(INDEX(RawWorking[OrderID],1):RawWorking[[#This Row],[OrderID]],RawWorking[[#This Row],[OrderID]])=1,1,0)</f>
        <v>1</v>
      </c>
      <c r="N3068" s="4">
        <f>IFERROR(RawWorking[[#This Row],[LineAmount]]/RawWorking[[#This Row],[Quantity]],"")</f>
        <v>65.260000000000005</v>
      </c>
    </row>
    <row r="3069" spans="1:14">
      <c r="A3069">
        <v>53068</v>
      </c>
      <c r="B3069">
        <v>31750</v>
      </c>
      <c r="C3069" s="2">
        <v>45931</v>
      </c>
      <c r="D3069">
        <v>2204</v>
      </c>
      <c r="E3069">
        <v>1013</v>
      </c>
      <c r="F3069">
        <v>2</v>
      </c>
      <c r="G3069">
        <v>340.5</v>
      </c>
      <c r="H3069" s="2">
        <v>45934</v>
      </c>
      <c r="I3069" s="2">
        <v>45940</v>
      </c>
      <c r="J3069" t="s">
        <v>9</v>
      </c>
      <c r="K3069" s="2" t="str">
        <f>IFERROR(INDEX(Product_lookup[Category],MATCH(RawWorking[[#This Row],[ProductID]],Product_lookup[ProductID],0)),"")</f>
        <v>Office</v>
      </c>
      <c r="L3069" s="9">
        <f>IF(OR(RawWorking[[#This Row],[ShipDate]]="",RawWorking[[#This Row],[DeliveryDate]]=""),"",RawWorking[[#This Row],[DeliveryDate]]-RawWorking[[#This Row],[ShipDate]])</f>
        <v>6</v>
      </c>
      <c r="M3069" s="9">
        <f>IF(COUNTIF(INDEX(RawWorking[OrderID],1):RawWorking[[#This Row],[OrderID]],RawWorking[[#This Row],[OrderID]])=1,1,0)</f>
        <v>1</v>
      </c>
      <c r="N3069" s="4">
        <f>IFERROR(RawWorking[[#This Row],[LineAmount]]/RawWorking[[#This Row],[Quantity]],"")</f>
        <v>170.25</v>
      </c>
    </row>
    <row r="3070" spans="1:14">
      <c r="A3070">
        <v>53069</v>
      </c>
      <c r="B3070">
        <v>31750</v>
      </c>
      <c r="C3070" s="2">
        <v>45931</v>
      </c>
      <c r="D3070">
        <v>2204</v>
      </c>
      <c r="E3070">
        <v>1010</v>
      </c>
      <c r="F3070">
        <v>4</v>
      </c>
      <c r="G3070">
        <v>486</v>
      </c>
      <c r="H3070" s="2">
        <v>45934</v>
      </c>
      <c r="I3070" s="2">
        <v>45944</v>
      </c>
      <c r="J3070" t="s">
        <v>9</v>
      </c>
      <c r="K3070" s="2" t="str">
        <f>IFERROR(INDEX(Product_lookup[Category],MATCH(RawWorking[[#This Row],[ProductID]],Product_lookup[ProductID],0)),"")</f>
        <v>Office</v>
      </c>
      <c r="L3070" s="9">
        <f>IF(OR(RawWorking[[#This Row],[ShipDate]]="",RawWorking[[#This Row],[DeliveryDate]]=""),"",RawWorking[[#This Row],[DeliveryDate]]-RawWorking[[#This Row],[ShipDate]])</f>
        <v>10</v>
      </c>
      <c r="M3070" s="9">
        <f>IF(COUNTIF(INDEX(RawWorking[OrderID],1):RawWorking[[#This Row],[OrderID]],RawWorking[[#This Row],[OrderID]])=1,1,0)</f>
        <v>0</v>
      </c>
      <c r="N3070" s="4">
        <f>IFERROR(RawWorking[[#This Row],[LineAmount]]/RawWorking[[#This Row],[Quantity]],"")</f>
        <v>121.5</v>
      </c>
    </row>
    <row r="3071" spans="1:14">
      <c r="A3071">
        <v>53070</v>
      </c>
      <c r="B3071">
        <v>31750</v>
      </c>
      <c r="C3071" s="2">
        <v>45667</v>
      </c>
      <c r="D3071">
        <v>2204</v>
      </c>
      <c r="E3071">
        <v>1007</v>
      </c>
      <c r="F3071">
        <v>2</v>
      </c>
      <c r="G3071">
        <v>399.62</v>
      </c>
      <c r="H3071" s="2">
        <v>45932</v>
      </c>
      <c r="I3071" s="2">
        <v>45941</v>
      </c>
      <c r="J3071" t="s">
        <v>9</v>
      </c>
      <c r="K3071" s="2" t="str">
        <f>IFERROR(INDEX(Product_lookup[Category],MATCH(RawWorking[[#This Row],[ProductID]],Product_lookup[ProductID],0)),"")</f>
        <v>Home</v>
      </c>
      <c r="L3071" s="9">
        <f>IF(OR(RawWorking[[#This Row],[ShipDate]]="",RawWorking[[#This Row],[DeliveryDate]]=""),"",RawWorking[[#This Row],[DeliveryDate]]-RawWorking[[#This Row],[ShipDate]])</f>
        <v>9</v>
      </c>
      <c r="M3071" s="9">
        <f>IF(COUNTIF(INDEX(RawWorking[OrderID],1):RawWorking[[#This Row],[OrderID]],RawWorking[[#This Row],[OrderID]])=1,1,0)</f>
        <v>0</v>
      </c>
      <c r="N3071" s="4">
        <f>IFERROR(RawWorking[[#This Row],[LineAmount]]/RawWorking[[#This Row],[Quantity]],"")</f>
        <v>199.81</v>
      </c>
    </row>
    <row r="3072" spans="1:14">
      <c r="A3072">
        <v>53071</v>
      </c>
      <c r="B3072">
        <v>31751</v>
      </c>
      <c r="C3072" s="2">
        <v>45785</v>
      </c>
      <c r="D3072">
        <v>2239</v>
      </c>
      <c r="E3072">
        <v>1003</v>
      </c>
      <c r="F3072">
        <v>1</v>
      </c>
      <c r="G3072">
        <v>224.37</v>
      </c>
      <c r="H3072" s="2">
        <v>45786</v>
      </c>
      <c r="I3072" s="2">
        <v>45796</v>
      </c>
      <c r="J3072" t="s">
        <v>9</v>
      </c>
      <c r="K3072" s="2" t="str">
        <f>IFERROR(INDEX(Product_lookup[Category],MATCH(RawWorking[[#This Row],[ProductID]],Product_lookup[ProductID],0)),"")</f>
        <v>Electronics</v>
      </c>
      <c r="L3072" s="9">
        <f>IF(OR(RawWorking[[#This Row],[ShipDate]]="",RawWorking[[#This Row],[DeliveryDate]]=""),"",RawWorking[[#This Row],[DeliveryDate]]-RawWorking[[#This Row],[ShipDate]])</f>
        <v>10</v>
      </c>
      <c r="M3072" s="9">
        <f>IF(COUNTIF(INDEX(RawWorking[OrderID],1):RawWorking[[#This Row],[OrderID]],RawWorking[[#This Row],[OrderID]])=1,1,0)</f>
        <v>1</v>
      </c>
      <c r="N3072" s="4">
        <f>IFERROR(RawWorking[[#This Row],[LineAmount]]/RawWorking[[#This Row],[Quantity]],"")</f>
        <v>224.37</v>
      </c>
    </row>
    <row r="3073" spans="1:14">
      <c r="A3073">
        <v>53072</v>
      </c>
      <c r="B3073">
        <v>31752</v>
      </c>
      <c r="C3073" s="2">
        <v>45919</v>
      </c>
      <c r="D3073">
        <v>2466</v>
      </c>
      <c r="E3073">
        <v>1001</v>
      </c>
      <c r="F3073">
        <v>1</v>
      </c>
      <c r="G3073">
        <v>203.04</v>
      </c>
      <c r="H3073" s="2">
        <v>45922</v>
      </c>
      <c r="I3073" s="2">
        <v>45931</v>
      </c>
      <c r="J3073" t="s">
        <v>9</v>
      </c>
      <c r="K3073" s="2" t="str">
        <f>IFERROR(INDEX(Product_lookup[Category],MATCH(RawWorking[[#This Row],[ProductID]],Product_lookup[ProductID],0)),"")</f>
        <v>Electronics</v>
      </c>
      <c r="L3073" s="9">
        <f>IF(OR(RawWorking[[#This Row],[ShipDate]]="",RawWorking[[#This Row],[DeliveryDate]]=""),"",RawWorking[[#This Row],[DeliveryDate]]-RawWorking[[#This Row],[ShipDate]])</f>
        <v>9</v>
      </c>
      <c r="M3073" s="9">
        <f>IF(COUNTIF(INDEX(RawWorking[OrderID],1):RawWorking[[#This Row],[OrderID]],RawWorking[[#This Row],[OrderID]])=1,1,0)</f>
        <v>1</v>
      </c>
      <c r="N3073" s="4">
        <f>IFERROR(RawWorking[[#This Row],[LineAmount]]/RawWorking[[#This Row],[Quantity]],"")</f>
        <v>203.04</v>
      </c>
    </row>
    <row r="3074" spans="1:14">
      <c r="A3074">
        <v>53073</v>
      </c>
      <c r="B3074">
        <v>31753</v>
      </c>
      <c r="C3074" s="2">
        <v>45812</v>
      </c>
      <c r="D3074">
        <v>2176</v>
      </c>
      <c r="E3074">
        <v>1014</v>
      </c>
      <c r="F3074">
        <v>4</v>
      </c>
      <c r="G3074">
        <v>861.36</v>
      </c>
      <c r="H3074" s="2">
        <v>45815</v>
      </c>
      <c r="I3074" s="2">
        <v>45819</v>
      </c>
      <c r="J3074" t="s">
        <v>9</v>
      </c>
      <c r="K3074" s="2" t="str">
        <f>IFERROR(INDEX(Product_lookup[Category],MATCH(RawWorking[[#This Row],[ProductID]],Product_lookup[ProductID],0)),"")</f>
        <v>Sports</v>
      </c>
      <c r="L3074" s="9">
        <f>IF(OR(RawWorking[[#This Row],[ShipDate]]="",RawWorking[[#This Row],[DeliveryDate]]=""),"",RawWorking[[#This Row],[DeliveryDate]]-RawWorking[[#This Row],[ShipDate]])</f>
        <v>4</v>
      </c>
      <c r="M3074" s="9">
        <f>IF(COUNTIF(INDEX(RawWorking[OrderID],1):RawWorking[[#This Row],[OrderID]],RawWorking[[#This Row],[OrderID]])=1,1,0)</f>
        <v>1</v>
      </c>
      <c r="N3074" s="4">
        <f>IFERROR(RawWorking[[#This Row],[LineAmount]]/RawWorking[[#This Row],[Quantity]],"")</f>
        <v>215.34</v>
      </c>
    </row>
    <row r="3075" spans="1:14">
      <c r="A3075">
        <v>53074</v>
      </c>
      <c r="B3075">
        <v>31753</v>
      </c>
      <c r="C3075" s="2">
        <v>45753</v>
      </c>
      <c r="D3075">
        <v>2176</v>
      </c>
      <c r="E3075">
        <v>1013</v>
      </c>
      <c r="F3075">
        <v>1</v>
      </c>
      <c r="G3075">
        <v>170.25</v>
      </c>
      <c r="H3075" s="2">
        <v>45813</v>
      </c>
      <c r="I3075" s="2">
        <v>45819</v>
      </c>
      <c r="J3075" t="s">
        <v>9</v>
      </c>
      <c r="K3075" s="2" t="str">
        <f>IFERROR(INDEX(Product_lookup[Category],MATCH(RawWorking[[#This Row],[ProductID]],Product_lookup[ProductID],0)),"")</f>
        <v>Office</v>
      </c>
      <c r="L3075" s="9">
        <f>IF(OR(RawWorking[[#This Row],[ShipDate]]="",RawWorking[[#This Row],[DeliveryDate]]=""),"",RawWorking[[#This Row],[DeliveryDate]]-RawWorking[[#This Row],[ShipDate]])</f>
        <v>6</v>
      </c>
      <c r="M3075" s="9">
        <f>IF(COUNTIF(INDEX(RawWorking[OrderID],1):RawWorking[[#This Row],[OrderID]],RawWorking[[#This Row],[OrderID]])=1,1,0)</f>
        <v>0</v>
      </c>
      <c r="N3075" s="4">
        <f>IFERROR(RawWorking[[#This Row],[LineAmount]]/RawWorking[[#This Row],[Quantity]],"")</f>
        <v>170.25</v>
      </c>
    </row>
    <row r="3076" spans="1:14">
      <c r="A3076">
        <v>53075</v>
      </c>
      <c r="B3076">
        <v>31754</v>
      </c>
      <c r="C3076" s="2">
        <v>45817</v>
      </c>
      <c r="D3076">
        <v>2161</v>
      </c>
      <c r="E3076">
        <v>1005</v>
      </c>
      <c r="F3076">
        <v>1</v>
      </c>
      <c r="G3076">
        <v>31.73</v>
      </c>
      <c r="H3076" s="2">
        <v>45819</v>
      </c>
      <c r="I3076" s="2">
        <v>45826</v>
      </c>
      <c r="J3076" t="s">
        <v>11</v>
      </c>
      <c r="K3076" s="2" t="str">
        <f>IFERROR(INDEX(Product_lookup[Category],MATCH(RawWorking[[#This Row],[ProductID]],Product_lookup[ProductID],0)),"")</f>
        <v>Electronics</v>
      </c>
      <c r="L3076" s="9">
        <f>IF(OR(RawWorking[[#This Row],[ShipDate]]="",RawWorking[[#This Row],[DeliveryDate]]=""),"",RawWorking[[#This Row],[DeliveryDate]]-RawWorking[[#This Row],[ShipDate]])</f>
        <v>7</v>
      </c>
      <c r="M3076" s="9">
        <f>IF(COUNTIF(INDEX(RawWorking[OrderID],1):RawWorking[[#This Row],[OrderID]],RawWorking[[#This Row],[OrderID]])=1,1,0)</f>
        <v>1</v>
      </c>
      <c r="N3076" s="4">
        <f>IFERROR(RawWorking[[#This Row],[LineAmount]]/RawWorking[[#This Row],[Quantity]],"")</f>
        <v>31.73</v>
      </c>
    </row>
    <row r="3077" spans="1:14">
      <c r="A3077">
        <v>53076</v>
      </c>
      <c r="B3077">
        <v>31755</v>
      </c>
      <c r="C3077" s="2">
        <v>45719</v>
      </c>
      <c r="D3077">
        <v>2550</v>
      </c>
      <c r="E3077">
        <v>1003</v>
      </c>
      <c r="F3077">
        <v>3</v>
      </c>
      <c r="G3077">
        <v>673.11</v>
      </c>
      <c r="H3077" s="2">
        <v>45720</v>
      </c>
      <c r="I3077" s="2">
        <v>45872</v>
      </c>
      <c r="J3077" t="s">
        <v>9</v>
      </c>
      <c r="K3077" s="2" t="str">
        <f>IFERROR(INDEX(Product_lookup[Category],MATCH(RawWorking[[#This Row],[ProductID]],Product_lookup[ProductID],0)),"")</f>
        <v>Electronics</v>
      </c>
      <c r="L3077" s="9">
        <f>IF(OR(RawWorking[[#This Row],[ShipDate]]="",RawWorking[[#This Row],[DeliveryDate]]=""),"",RawWorking[[#This Row],[DeliveryDate]]-RawWorking[[#This Row],[ShipDate]])</f>
        <v>152</v>
      </c>
      <c r="M3077" s="9">
        <f>IF(COUNTIF(INDEX(RawWorking[OrderID],1):RawWorking[[#This Row],[OrderID]],RawWorking[[#This Row],[OrderID]])=1,1,0)</f>
        <v>1</v>
      </c>
      <c r="N3077" s="4">
        <f>IFERROR(RawWorking[[#This Row],[LineAmount]]/RawWorking[[#This Row],[Quantity]],"")</f>
        <v>224.37</v>
      </c>
    </row>
    <row r="3078" spans="1:14">
      <c r="A3078">
        <v>53077</v>
      </c>
      <c r="B3078">
        <v>31756</v>
      </c>
      <c r="C3078" s="2">
        <v>45926</v>
      </c>
      <c r="D3078">
        <v>2399</v>
      </c>
      <c r="E3078">
        <v>1007</v>
      </c>
      <c r="F3078">
        <v>4</v>
      </c>
      <c r="G3078">
        <v>799.24</v>
      </c>
      <c r="H3078" s="2">
        <v>45927</v>
      </c>
      <c r="I3078" s="2">
        <v>45929</v>
      </c>
      <c r="J3078" t="s">
        <v>11</v>
      </c>
      <c r="K3078" s="2" t="str">
        <f>IFERROR(INDEX(Product_lookup[Category],MATCH(RawWorking[[#This Row],[ProductID]],Product_lookup[ProductID],0)),"")</f>
        <v>Home</v>
      </c>
      <c r="L3078" s="9">
        <f>IF(OR(RawWorking[[#This Row],[ShipDate]]="",RawWorking[[#This Row],[DeliveryDate]]=""),"",RawWorking[[#This Row],[DeliveryDate]]-RawWorking[[#This Row],[ShipDate]])</f>
        <v>2</v>
      </c>
      <c r="M3078" s="9">
        <f>IF(COUNTIF(INDEX(RawWorking[OrderID],1):RawWorking[[#This Row],[OrderID]],RawWorking[[#This Row],[OrderID]])=1,1,0)</f>
        <v>1</v>
      </c>
      <c r="N3078" s="4">
        <f>IFERROR(RawWorking[[#This Row],[LineAmount]]/RawWorking[[#This Row],[Quantity]],"")</f>
        <v>199.81</v>
      </c>
    </row>
    <row r="3079" spans="1:14">
      <c r="A3079">
        <v>53078</v>
      </c>
      <c r="B3079">
        <v>31756</v>
      </c>
      <c r="C3079" s="2">
        <v>45926</v>
      </c>
      <c r="D3079">
        <v>2399</v>
      </c>
      <c r="E3079">
        <v>1005</v>
      </c>
      <c r="F3079">
        <v>1</v>
      </c>
      <c r="G3079">
        <v>31.73</v>
      </c>
      <c r="H3079" s="2">
        <v>45928</v>
      </c>
      <c r="I3079" s="2">
        <v>45933</v>
      </c>
      <c r="J3079" t="s">
        <v>11</v>
      </c>
      <c r="K3079" s="2" t="str">
        <f>IFERROR(INDEX(Product_lookup[Category],MATCH(RawWorking[[#This Row],[ProductID]],Product_lookup[ProductID],0)),"")</f>
        <v>Electronics</v>
      </c>
      <c r="L3079" s="9">
        <f>IF(OR(RawWorking[[#This Row],[ShipDate]]="",RawWorking[[#This Row],[DeliveryDate]]=""),"",RawWorking[[#This Row],[DeliveryDate]]-RawWorking[[#This Row],[ShipDate]])</f>
        <v>5</v>
      </c>
      <c r="M3079" s="9">
        <f>IF(COUNTIF(INDEX(RawWorking[OrderID],1):RawWorking[[#This Row],[OrderID]],RawWorking[[#This Row],[OrderID]])=1,1,0)</f>
        <v>0</v>
      </c>
      <c r="N3079" s="4">
        <f>IFERROR(RawWorking[[#This Row],[LineAmount]]/RawWorking[[#This Row],[Quantity]],"")</f>
        <v>31.73</v>
      </c>
    </row>
    <row r="3080" spans="1:14">
      <c r="A3080">
        <v>53079</v>
      </c>
      <c r="B3080">
        <v>31757</v>
      </c>
      <c r="C3080" s="2">
        <v>45909</v>
      </c>
      <c r="D3080">
        <v>2211</v>
      </c>
      <c r="E3080">
        <v>1016</v>
      </c>
      <c r="F3080">
        <v>2</v>
      </c>
      <c r="G3080">
        <v>130.52000000000001</v>
      </c>
      <c r="H3080" s="2">
        <v>45910</v>
      </c>
      <c r="I3080" s="2">
        <v>45913</v>
      </c>
      <c r="J3080" t="s">
        <v>9</v>
      </c>
      <c r="K3080" s="2" t="str">
        <f>IFERROR(INDEX(Product_lookup[Category],MATCH(RawWorking[[#This Row],[ProductID]],Product_lookup[ProductID],0)),"")</f>
        <v>Sports</v>
      </c>
      <c r="L3080" s="9">
        <f>IF(OR(RawWorking[[#This Row],[ShipDate]]="",RawWorking[[#This Row],[DeliveryDate]]=""),"",RawWorking[[#This Row],[DeliveryDate]]-RawWorking[[#This Row],[ShipDate]])</f>
        <v>3</v>
      </c>
      <c r="M3080" s="9">
        <f>IF(COUNTIF(INDEX(RawWorking[OrderID],1):RawWorking[[#This Row],[OrderID]],RawWorking[[#This Row],[OrderID]])=1,1,0)</f>
        <v>1</v>
      </c>
      <c r="N3080" s="4">
        <f>IFERROR(RawWorking[[#This Row],[LineAmount]]/RawWorking[[#This Row],[Quantity]],"")</f>
        <v>65.260000000000005</v>
      </c>
    </row>
    <row r="3081" spans="1:14">
      <c r="A3081">
        <v>53080</v>
      </c>
      <c r="B3081">
        <v>31758</v>
      </c>
      <c r="C3081" s="2">
        <v>45912</v>
      </c>
      <c r="D3081">
        <v>2163</v>
      </c>
      <c r="E3081">
        <v>1010</v>
      </c>
      <c r="F3081">
        <v>2</v>
      </c>
      <c r="G3081">
        <v>243</v>
      </c>
      <c r="H3081" s="2">
        <v>46001</v>
      </c>
      <c r="I3081" s="2">
        <v>46003</v>
      </c>
      <c r="J3081" t="s">
        <v>9</v>
      </c>
      <c r="K3081" s="2" t="str">
        <f>IFERROR(INDEX(Product_lookup[Category],MATCH(RawWorking[[#This Row],[ProductID]],Product_lookup[ProductID],0)),"")</f>
        <v>Office</v>
      </c>
      <c r="L3081" s="9">
        <f>IF(OR(RawWorking[[#This Row],[ShipDate]]="",RawWorking[[#This Row],[DeliveryDate]]=""),"",RawWorking[[#This Row],[DeliveryDate]]-RawWorking[[#This Row],[ShipDate]])</f>
        <v>2</v>
      </c>
      <c r="M3081" s="9">
        <f>IF(COUNTIF(INDEX(RawWorking[OrderID],1):RawWorking[[#This Row],[OrderID]],RawWorking[[#This Row],[OrderID]])=1,1,0)</f>
        <v>1</v>
      </c>
      <c r="N3081" s="4">
        <f>IFERROR(RawWorking[[#This Row],[LineAmount]]/RawWorking[[#This Row],[Quantity]],"")</f>
        <v>121.5</v>
      </c>
    </row>
    <row r="3082" spans="1:14">
      <c r="A3082">
        <v>53081</v>
      </c>
      <c r="B3082">
        <v>31759</v>
      </c>
      <c r="C3082" s="2">
        <v>45801</v>
      </c>
      <c r="D3082">
        <v>2208</v>
      </c>
      <c r="E3082">
        <v>1015</v>
      </c>
      <c r="F3082">
        <v>1</v>
      </c>
      <c r="G3082">
        <v>119.74</v>
      </c>
      <c r="H3082" s="2">
        <v>45804</v>
      </c>
      <c r="I3082" s="2">
        <v>45812</v>
      </c>
      <c r="J3082" t="s">
        <v>9</v>
      </c>
      <c r="K3082" s="2" t="str">
        <f>IFERROR(INDEX(Product_lookup[Category],MATCH(RawWorking[[#This Row],[ProductID]],Product_lookup[ProductID],0)),"")</f>
        <v>Sports</v>
      </c>
      <c r="L3082" s="9">
        <f>IF(OR(RawWorking[[#This Row],[ShipDate]]="",RawWorking[[#This Row],[DeliveryDate]]=""),"",RawWorking[[#This Row],[DeliveryDate]]-RawWorking[[#This Row],[ShipDate]])</f>
        <v>8</v>
      </c>
      <c r="M3082" s="9">
        <f>IF(COUNTIF(INDEX(RawWorking[OrderID],1):RawWorking[[#This Row],[OrderID]],RawWorking[[#This Row],[OrderID]])=1,1,0)</f>
        <v>1</v>
      </c>
      <c r="N3082" s="4">
        <f>IFERROR(RawWorking[[#This Row],[LineAmount]]/RawWorking[[#This Row],[Quantity]],"")</f>
        <v>119.74</v>
      </c>
    </row>
    <row r="3083" spans="1:14">
      <c r="A3083">
        <v>53082</v>
      </c>
      <c r="B3083">
        <v>31760</v>
      </c>
      <c r="C3083" s="2">
        <v>45962</v>
      </c>
      <c r="D3083">
        <v>2283</v>
      </c>
      <c r="E3083">
        <v>1005</v>
      </c>
      <c r="F3083">
        <v>2</v>
      </c>
      <c r="G3083">
        <v>63.46</v>
      </c>
      <c r="H3083" s="2">
        <v>45963</v>
      </c>
      <c r="I3083" s="2">
        <v>45970</v>
      </c>
      <c r="J3083" t="s">
        <v>9</v>
      </c>
      <c r="K3083" s="2" t="str">
        <f>IFERROR(INDEX(Product_lookup[Category],MATCH(RawWorking[[#This Row],[ProductID]],Product_lookup[ProductID],0)),"")</f>
        <v>Electronics</v>
      </c>
      <c r="L3083" s="9">
        <f>IF(OR(RawWorking[[#This Row],[ShipDate]]="",RawWorking[[#This Row],[DeliveryDate]]=""),"",RawWorking[[#This Row],[DeliveryDate]]-RawWorking[[#This Row],[ShipDate]])</f>
        <v>7</v>
      </c>
      <c r="M3083" s="9">
        <f>IF(COUNTIF(INDEX(RawWorking[OrderID],1):RawWorking[[#This Row],[OrderID]],RawWorking[[#This Row],[OrderID]])=1,1,0)</f>
        <v>1</v>
      </c>
      <c r="N3083" s="4">
        <f>IFERROR(RawWorking[[#This Row],[LineAmount]]/RawWorking[[#This Row],[Quantity]],"")</f>
        <v>31.73</v>
      </c>
    </row>
    <row r="3084" spans="1:14">
      <c r="A3084">
        <v>53083</v>
      </c>
      <c r="B3084">
        <v>31760</v>
      </c>
      <c r="C3084" s="2">
        <v>45962</v>
      </c>
      <c r="D3084">
        <v>2283</v>
      </c>
      <c r="E3084">
        <v>1015</v>
      </c>
      <c r="F3084">
        <v>4</v>
      </c>
      <c r="G3084">
        <v>478.96</v>
      </c>
      <c r="H3084" s="2">
        <v>45964</v>
      </c>
      <c r="I3084" s="2">
        <v>45973</v>
      </c>
      <c r="J3084" t="s">
        <v>9</v>
      </c>
      <c r="K3084" s="2" t="str">
        <f>IFERROR(INDEX(Product_lookup[Category],MATCH(RawWorking[[#This Row],[ProductID]],Product_lookup[ProductID],0)),"")</f>
        <v>Sports</v>
      </c>
      <c r="L3084" s="9">
        <f>IF(OR(RawWorking[[#This Row],[ShipDate]]="",RawWorking[[#This Row],[DeliveryDate]]=""),"",RawWorking[[#This Row],[DeliveryDate]]-RawWorking[[#This Row],[ShipDate]])</f>
        <v>9</v>
      </c>
      <c r="M3084" s="9">
        <f>IF(COUNTIF(INDEX(RawWorking[OrderID],1):RawWorking[[#This Row],[OrderID]],RawWorking[[#This Row],[OrderID]])=1,1,0)</f>
        <v>0</v>
      </c>
      <c r="N3084" s="4">
        <f>IFERROR(RawWorking[[#This Row],[LineAmount]]/RawWorking[[#This Row],[Quantity]],"")</f>
        <v>119.74</v>
      </c>
    </row>
    <row r="3085" spans="1:14">
      <c r="A3085">
        <v>53084</v>
      </c>
      <c r="B3085">
        <v>31761</v>
      </c>
      <c r="C3085" s="2">
        <v>45984</v>
      </c>
      <c r="D3085">
        <v>2066</v>
      </c>
      <c r="E3085">
        <v>1008</v>
      </c>
      <c r="F3085">
        <v>1</v>
      </c>
      <c r="G3085">
        <v>206.09</v>
      </c>
      <c r="H3085" s="2" t="s">
        <v>1421</v>
      </c>
      <c r="I3085" s="2" t="s">
        <v>1421</v>
      </c>
      <c r="J3085" t="s">
        <v>16</v>
      </c>
      <c r="K3085" s="2" t="str">
        <f>IFERROR(INDEX(Product_lookup[Category],MATCH(RawWorking[[#This Row],[ProductID]],Product_lookup[ProductID],0)),"")</f>
        <v>Home</v>
      </c>
      <c r="L3085" s="9" t="str">
        <f>IF(OR(RawWorking[[#This Row],[ShipDate]]="",RawWorking[[#This Row],[DeliveryDate]]=""),"",RawWorking[[#This Row],[DeliveryDate]]-RawWorking[[#This Row],[ShipDate]])</f>
        <v/>
      </c>
      <c r="M3085" s="9">
        <f>IF(COUNTIF(INDEX(RawWorking[OrderID],1):RawWorking[[#This Row],[OrderID]],RawWorking[[#This Row],[OrderID]])=1,1,0)</f>
        <v>1</v>
      </c>
      <c r="N3085" s="4">
        <f>IFERROR(RawWorking[[#This Row],[LineAmount]]/RawWorking[[#This Row],[Quantity]],"")</f>
        <v>206.09</v>
      </c>
    </row>
    <row r="3086" spans="1:14">
      <c r="A3086">
        <v>53085</v>
      </c>
      <c r="B3086">
        <v>31762</v>
      </c>
      <c r="C3086" s="2">
        <v>45719</v>
      </c>
      <c r="D3086">
        <v>2583</v>
      </c>
      <c r="E3086">
        <v>1015</v>
      </c>
      <c r="F3086">
        <v>1</v>
      </c>
      <c r="G3086">
        <v>119.74</v>
      </c>
      <c r="H3086" s="2" t="s">
        <v>1421</v>
      </c>
      <c r="I3086" s="2" t="s">
        <v>1421</v>
      </c>
      <c r="J3086" t="s">
        <v>12</v>
      </c>
      <c r="K3086" s="2" t="str">
        <f>IFERROR(INDEX(Product_lookup[Category],MATCH(RawWorking[[#This Row],[ProductID]],Product_lookup[ProductID],0)),"")</f>
        <v>Sports</v>
      </c>
      <c r="L3086" s="9" t="str">
        <f>IF(OR(RawWorking[[#This Row],[ShipDate]]="",RawWorking[[#This Row],[DeliveryDate]]=""),"",RawWorking[[#This Row],[DeliveryDate]]-RawWorking[[#This Row],[ShipDate]])</f>
        <v/>
      </c>
      <c r="M3086" s="9">
        <f>IF(COUNTIF(INDEX(RawWorking[OrderID],1):RawWorking[[#This Row],[OrderID]],RawWorking[[#This Row],[OrderID]])=1,1,0)</f>
        <v>1</v>
      </c>
      <c r="N3086" s="4">
        <f>IFERROR(RawWorking[[#This Row],[LineAmount]]/RawWorking[[#This Row],[Quantity]],"")</f>
        <v>119.74</v>
      </c>
    </row>
    <row r="3087" spans="1:14">
      <c r="A3087">
        <v>53086</v>
      </c>
      <c r="B3087">
        <v>31763</v>
      </c>
      <c r="C3087" s="2">
        <v>45770</v>
      </c>
      <c r="D3087">
        <v>2474</v>
      </c>
      <c r="E3087">
        <v>1003</v>
      </c>
      <c r="F3087">
        <v>3</v>
      </c>
      <c r="G3087">
        <v>673.11</v>
      </c>
      <c r="H3087" s="2">
        <v>45773</v>
      </c>
      <c r="I3087" s="2">
        <v>45777</v>
      </c>
      <c r="J3087" t="s">
        <v>9</v>
      </c>
      <c r="K3087" s="2" t="str">
        <f>IFERROR(INDEX(Product_lookup[Category],MATCH(RawWorking[[#This Row],[ProductID]],Product_lookup[ProductID],0)),"")</f>
        <v>Electronics</v>
      </c>
      <c r="L3087" s="9">
        <f>IF(OR(RawWorking[[#This Row],[ShipDate]]="",RawWorking[[#This Row],[DeliveryDate]]=""),"",RawWorking[[#This Row],[DeliveryDate]]-RawWorking[[#This Row],[ShipDate]])</f>
        <v>4</v>
      </c>
      <c r="M3087" s="9">
        <f>IF(COUNTIF(INDEX(RawWorking[OrderID],1):RawWorking[[#This Row],[OrderID]],RawWorking[[#This Row],[OrderID]])=1,1,0)</f>
        <v>1</v>
      </c>
      <c r="N3087" s="4">
        <f>IFERROR(RawWorking[[#This Row],[LineAmount]]/RawWorking[[#This Row],[Quantity]],"")</f>
        <v>224.37</v>
      </c>
    </row>
    <row r="3088" spans="1:14">
      <c r="A3088">
        <v>53087</v>
      </c>
      <c r="B3088">
        <v>31763</v>
      </c>
      <c r="C3088" s="2">
        <v>45770</v>
      </c>
      <c r="D3088">
        <v>2474</v>
      </c>
      <c r="E3088">
        <v>1010</v>
      </c>
      <c r="F3088">
        <v>1</v>
      </c>
      <c r="G3088">
        <v>121.5</v>
      </c>
      <c r="H3088" s="2">
        <v>45773</v>
      </c>
      <c r="I3088" s="2">
        <v>45774</v>
      </c>
      <c r="J3088" t="s">
        <v>9</v>
      </c>
      <c r="K3088" s="2" t="str">
        <f>IFERROR(INDEX(Product_lookup[Category],MATCH(RawWorking[[#This Row],[ProductID]],Product_lookup[ProductID],0)),"")</f>
        <v>Office</v>
      </c>
      <c r="L3088" s="9">
        <f>IF(OR(RawWorking[[#This Row],[ShipDate]]="",RawWorking[[#This Row],[DeliveryDate]]=""),"",RawWorking[[#This Row],[DeliveryDate]]-RawWorking[[#This Row],[ShipDate]])</f>
        <v>1</v>
      </c>
      <c r="M3088" s="9">
        <f>IF(COUNTIF(INDEX(RawWorking[OrderID],1):RawWorking[[#This Row],[OrderID]],RawWorking[[#This Row],[OrderID]])=1,1,0)</f>
        <v>0</v>
      </c>
      <c r="N3088" s="4">
        <f>IFERROR(RawWorking[[#This Row],[LineAmount]]/RawWorking[[#This Row],[Quantity]],"")</f>
        <v>121.5</v>
      </c>
    </row>
    <row r="3089" spans="1:14">
      <c r="A3089">
        <v>53088</v>
      </c>
      <c r="B3089">
        <v>31763</v>
      </c>
      <c r="C3089" s="2">
        <v>45770</v>
      </c>
      <c r="D3089">
        <v>2474</v>
      </c>
      <c r="E3089">
        <v>1015</v>
      </c>
      <c r="F3089">
        <v>1</v>
      </c>
      <c r="G3089">
        <v>119.74</v>
      </c>
      <c r="H3089" s="2">
        <v>45773</v>
      </c>
      <c r="I3089" s="2">
        <v>45774</v>
      </c>
      <c r="J3089" t="s">
        <v>9</v>
      </c>
      <c r="K3089" s="2" t="str">
        <f>IFERROR(INDEX(Product_lookup[Category],MATCH(RawWorking[[#This Row],[ProductID]],Product_lookup[ProductID],0)),"")</f>
        <v>Sports</v>
      </c>
      <c r="L3089" s="9">
        <f>IF(OR(RawWorking[[#This Row],[ShipDate]]="",RawWorking[[#This Row],[DeliveryDate]]=""),"",RawWorking[[#This Row],[DeliveryDate]]-RawWorking[[#This Row],[ShipDate]])</f>
        <v>1</v>
      </c>
      <c r="M3089" s="9">
        <f>IF(COUNTIF(INDEX(RawWorking[OrderID],1):RawWorking[[#This Row],[OrderID]],RawWorking[[#This Row],[OrderID]])=1,1,0)</f>
        <v>0</v>
      </c>
      <c r="N3089" s="4">
        <f>IFERROR(RawWorking[[#This Row],[LineAmount]]/RawWorking[[#This Row],[Quantity]],"")</f>
        <v>119.74</v>
      </c>
    </row>
    <row r="3090" spans="1:14">
      <c r="A3090">
        <v>53089</v>
      </c>
      <c r="B3090">
        <v>31764</v>
      </c>
      <c r="C3090" s="2">
        <v>45941</v>
      </c>
      <c r="D3090">
        <v>2356</v>
      </c>
      <c r="E3090">
        <v>1010</v>
      </c>
      <c r="F3090">
        <v>1</v>
      </c>
      <c r="G3090">
        <v>121.5</v>
      </c>
      <c r="H3090" s="2">
        <v>45944</v>
      </c>
      <c r="I3090" s="2">
        <v>45953</v>
      </c>
      <c r="J3090" t="s">
        <v>9</v>
      </c>
      <c r="K3090" s="2" t="str">
        <f>IFERROR(INDEX(Product_lookup[Category],MATCH(RawWorking[[#This Row],[ProductID]],Product_lookup[ProductID],0)),"")</f>
        <v>Office</v>
      </c>
      <c r="L3090" s="9">
        <f>IF(OR(RawWorking[[#This Row],[ShipDate]]="",RawWorking[[#This Row],[DeliveryDate]]=""),"",RawWorking[[#This Row],[DeliveryDate]]-RawWorking[[#This Row],[ShipDate]])</f>
        <v>9</v>
      </c>
      <c r="M3090" s="9">
        <f>IF(COUNTIF(INDEX(RawWorking[OrderID],1):RawWorking[[#This Row],[OrderID]],RawWorking[[#This Row],[OrderID]])=1,1,0)</f>
        <v>1</v>
      </c>
      <c r="N3090" s="4">
        <f>IFERROR(RawWorking[[#This Row],[LineAmount]]/RawWorking[[#This Row],[Quantity]],"")</f>
        <v>121.5</v>
      </c>
    </row>
    <row r="3091" spans="1:14">
      <c r="A3091">
        <v>53090</v>
      </c>
      <c r="B3091">
        <v>31764</v>
      </c>
      <c r="C3091" s="2">
        <v>45941</v>
      </c>
      <c r="D3091">
        <v>2356</v>
      </c>
      <c r="E3091">
        <v>1013</v>
      </c>
      <c r="F3091">
        <v>1</v>
      </c>
      <c r="G3091">
        <v>170.25</v>
      </c>
      <c r="H3091" s="2">
        <v>45944</v>
      </c>
      <c r="I3091" s="2">
        <v>45951</v>
      </c>
      <c r="J3091" t="s">
        <v>9</v>
      </c>
      <c r="K3091" s="2" t="str">
        <f>IFERROR(INDEX(Product_lookup[Category],MATCH(RawWorking[[#This Row],[ProductID]],Product_lookup[ProductID],0)),"")</f>
        <v>Office</v>
      </c>
      <c r="L3091" s="9">
        <f>IF(OR(RawWorking[[#This Row],[ShipDate]]="",RawWorking[[#This Row],[DeliveryDate]]=""),"",RawWorking[[#This Row],[DeliveryDate]]-RawWorking[[#This Row],[ShipDate]])</f>
        <v>7</v>
      </c>
      <c r="M3091" s="9">
        <f>IF(COUNTIF(INDEX(RawWorking[OrderID],1):RawWorking[[#This Row],[OrderID]],RawWorking[[#This Row],[OrderID]])=1,1,0)</f>
        <v>0</v>
      </c>
      <c r="N3091" s="4">
        <f>IFERROR(RawWorking[[#This Row],[LineAmount]]/RawWorking[[#This Row],[Quantity]],"")</f>
        <v>170.25</v>
      </c>
    </row>
    <row r="3092" spans="1:14">
      <c r="A3092">
        <v>53091</v>
      </c>
      <c r="B3092">
        <v>31764</v>
      </c>
      <c r="C3092" s="2">
        <v>45941</v>
      </c>
      <c r="D3092">
        <v>2356</v>
      </c>
      <c r="E3092">
        <v>1006</v>
      </c>
      <c r="F3092">
        <v>1</v>
      </c>
      <c r="G3092">
        <v>253.86</v>
      </c>
      <c r="H3092" s="2">
        <v>45944</v>
      </c>
      <c r="I3092" s="2">
        <v>45947</v>
      </c>
      <c r="J3092" t="s">
        <v>9</v>
      </c>
      <c r="K3092" s="2" t="str">
        <f>IFERROR(INDEX(Product_lookup[Category],MATCH(RawWorking[[#This Row],[ProductID]],Product_lookup[ProductID],0)),"")</f>
        <v>Home</v>
      </c>
      <c r="L3092" s="9">
        <f>IF(OR(RawWorking[[#This Row],[ShipDate]]="",RawWorking[[#This Row],[DeliveryDate]]=""),"",RawWorking[[#This Row],[DeliveryDate]]-RawWorking[[#This Row],[ShipDate]])</f>
        <v>3</v>
      </c>
      <c r="M3092" s="9">
        <f>IF(COUNTIF(INDEX(RawWorking[OrderID],1):RawWorking[[#This Row],[OrderID]],RawWorking[[#This Row],[OrderID]])=1,1,0)</f>
        <v>0</v>
      </c>
      <c r="N3092" s="4">
        <f>IFERROR(RawWorking[[#This Row],[LineAmount]]/RawWorking[[#This Row],[Quantity]],"")</f>
        <v>253.86</v>
      </c>
    </row>
    <row r="3093" spans="1:14">
      <c r="A3093">
        <v>53092</v>
      </c>
      <c r="B3093">
        <v>31765</v>
      </c>
      <c r="C3093" s="2">
        <v>45727</v>
      </c>
      <c r="D3093">
        <v>2426</v>
      </c>
      <c r="E3093">
        <v>1014</v>
      </c>
      <c r="F3093">
        <v>1</v>
      </c>
      <c r="G3093">
        <v>215.34</v>
      </c>
      <c r="H3093" s="2">
        <v>45730</v>
      </c>
      <c r="I3093" s="2">
        <v>45736</v>
      </c>
      <c r="J3093" t="s">
        <v>9</v>
      </c>
      <c r="K3093" s="2" t="str">
        <f>IFERROR(INDEX(Product_lookup[Category],MATCH(RawWorking[[#This Row],[ProductID]],Product_lookup[ProductID],0)),"")</f>
        <v>Sports</v>
      </c>
      <c r="L3093" s="9">
        <f>IF(OR(RawWorking[[#This Row],[ShipDate]]="",RawWorking[[#This Row],[DeliveryDate]]=""),"",RawWorking[[#This Row],[DeliveryDate]]-RawWorking[[#This Row],[ShipDate]])</f>
        <v>6</v>
      </c>
      <c r="M3093" s="9">
        <f>IF(COUNTIF(INDEX(RawWorking[OrderID],1):RawWorking[[#This Row],[OrderID]],RawWorking[[#This Row],[OrderID]])=1,1,0)</f>
        <v>1</v>
      </c>
      <c r="N3093" s="4">
        <f>IFERROR(RawWorking[[#This Row],[LineAmount]]/RawWorking[[#This Row],[Quantity]],"")</f>
        <v>215.34</v>
      </c>
    </row>
    <row r="3094" spans="1:14">
      <c r="A3094">
        <v>53093</v>
      </c>
      <c r="B3094">
        <v>31765</v>
      </c>
      <c r="C3094" s="2">
        <v>45727</v>
      </c>
      <c r="D3094">
        <v>2426</v>
      </c>
      <c r="E3094">
        <v>1015</v>
      </c>
      <c r="F3094">
        <v>1</v>
      </c>
      <c r="G3094">
        <v>119.74</v>
      </c>
      <c r="H3094" s="2">
        <v>45728</v>
      </c>
      <c r="I3094" s="2">
        <v>45735</v>
      </c>
      <c r="J3094" t="s">
        <v>9</v>
      </c>
      <c r="K3094" s="2" t="str">
        <f>IFERROR(INDEX(Product_lookup[Category],MATCH(RawWorking[[#This Row],[ProductID]],Product_lookup[ProductID],0)),"")</f>
        <v>Sports</v>
      </c>
      <c r="L3094" s="9">
        <f>IF(OR(RawWorking[[#This Row],[ShipDate]]="",RawWorking[[#This Row],[DeliveryDate]]=""),"",RawWorking[[#This Row],[DeliveryDate]]-RawWorking[[#This Row],[ShipDate]])</f>
        <v>7</v>
      </c>
      <c r="M3094" s="9">
        <f>IF(COUNTIF(INDEX(RawWorking[OrderID],1):RawWorking[[#This Row],[OrderID]],RawWorking[[#This Row],[OrderID]])=1,1,0)</f>
        <v>0</v>
      </c>
      <c r="N3094" s="4">
        <f>IFERROR(RawWorking[[#This Row],[LineAmount]]/RawWorking[[#This Row],[Quantity]],"")</f>
        <v>119.74</v>
      </c>
    </row>
    <row r="3095" spans="1:14">
      <c r="A3095">
        <v>53094</v>
      </c>
      <c r="B3095">
        <v>31766</v>
      </c>
      <c r="C3095" s="2">
        <v>45767</v>
      </c>
      <c r="D3095">
        <v>2394</v>
      </c>
      <c r="E3095">
        <v>1006</v>
      </c>
      <c r="F3095">
        <v>1</v>
      </c>
      <c r="G3095">
        <v>253.86</v>
      </c>
      <c r="H3095" s="2" t="s">
        <v>1421</v>
      </c>
      <c r="I3095" s="2" t="s">
        <v>1421</v>
      </c>
      <c r="J3095" t="s">
        <v>12</v>
      </c>
      <c r="K3095" s="2" t="str">
        <f>IFERROR(INDEX(Product_lookup[Category],MATCH(RawWorking[[#This Row],[ProductID]],Product_lookup[ProductID],0)),"")</f>
        <v>Home</v>
      </c>
      <c r="L3095" s="9" t="str">
        <f>IF(OR(RawWorking[[#This Row],[ShipDate]]="",RawWorking[[#This Row],[DeliveryDate]]=""),"",RawWorking[[#This Row],[DeliveryDate]]-RawWorking[[#This Row],[ShipDate]])</f>
        <v/>
      </c>
      <c r="M3095" s="9">
        <f>IF(COUNTIF(INDEX(RawWorking[OrderID],1):RawWorking[[#This Row],[OrderID]],RawWorking[[#This Row],[OrderID]])=1,1,0)</f>
        <v>1</v>
      </c>
      <c r="N3095" s="4">
        <f>IFERROR(RawWorking[[#This Row],[LineAmount]]/RawWorking[[#This Row],[Quantity]],"")</f>
        <v>253.86</v>
      </c>
    </row>
    <row r="3096" spans="1:14">
      <c r="A3096">
        <v>53095</v>
      </c>
      <c r="B3096">
        <v>31767</v>
      </c>
      <c r="C3096" s="2">
        <v>45960</v>
      </c>
      <c r="D3096">
        <v>2583</v>
      </c>
      <c r="E3096">
        <v>1002</v>
      </c>
      <c r="F3096">
        <v>1</v>
      </c>
      <c r="G3096">
        <v>118.6</v>
      </c>
      <c r="H3096" s="2">
        <v>45961</v>
      </c>
      <c r="I3096" s="2">
        <v>45967</v>
      </c>
      <c r="J3096" t="s">
        <v>9</v>
      </c>
      <c r="K3096" s="2" t="str">
        <f>IFERROR(INDEX(Product_lookup[Category],MATCH(RawWorking[[#This Row],[ProductID]],Product_lookup[ProductID],0)),"")</f>
        <v>Electronics</v>
      </c>
      <c r="L3096" s="9">
        <f>IF(OR(RawWorking[[#This Row],[ShipDate]]="",RawWorking[[#This Row],[DeliveryDate]]=""),"",RawWorking[[#This Row],[DeliveryDate]]-RawWorking[[#This Row],[ShipDate]])</f>
        <v>6</v>
      </c>
      <c r="M3096" s="9">
        <f>IF(COUNTIF(INDEX(RawWorking[OrderID],1):RawWorking[[#This Row],[OrderID]],RawWorking[[#This Row],[OrderID]])=1,1,0)</f>
        <v>1</v>
      </c>
      <c r="N3096" s="4">
        <f>IFERROR(RawWorking[[#This Row],[LineAmount]]/RawWorking[[#This Row],[Quantity]],"")</f>
        <v>118.6</v>
      </c>
    </row>
    <row r="3097" spans="1:14">
      <c r="A3097">
        <v>53096</v>
      </c>
      <c r="B3097">
        <v>31767</v>
      </c>
      <c r="C3097" s="2">
        <v>45960</v>
      </c>
      <c r="D3097">
        <v>2583</v>
      </c>
      <c r="E3097">
        <v>1008</v>
      </c>
      <c r="F3097">
        <v>2</v>
      </c>
      <c r="G3097">
        <v>412.18</v>
      </c>
      <c r="H3097" s="2">
        <v>45963</v>
      </c>
      <c r="I3097" s="2">
        <v>45967</v>
      </c>
      <c r="J3097" t="s">
        <v>9</v>
      </c>
      <c r="K3097" s="2" t="str">
        <f>IFERROR(INDEX(Product_lookup[Category],MATCH(RawWorking[[#This Row],[ProductID]],Product_lookup[ProductID],0)),"")</f>
        <v>Home</v>
      </c>
      <c r="L3097" s="9">
        <f>IF(OR(RawWorking[[#This Row],[ShipDate]]="",RawWorking[[#This Row],[DeliveryDate]]=""),"",RawWorking[[#This Row],[DeliveryDate]]-RawWorking[[#This Row],[ShipDate]])</f>
        <v>4</v>
      </c>
      <c r="M3097" s="9">
        <f>IF(COUNTIF(INDEX(RawWorking[OrderID],1):RawWorking[[#This Row],[OrderID]],RawWorking[[#This Row],[OrderID]])=1,1,0)</f>
        <v>0</v>
      </c>
      <c r="N3097" s="4">
        <f>IFERROR(RawWorking[[#This Row],[LineAmount]]/RawWorking[[#This Row],[Quantity]],"")</f>
        <v>206.09</v>
      </c>
    </row>
    <row r="3098" spans="1:14">
      <c r="A3098">
        <v>53097</v>
      </c>
      <c r="B3098">
        <v>31768</v>
      </c>
      <c r="C3098" s="2">
        <v>45859</v>
      </c>
      <c r="D3098">
        <v>2162</v>
      </c>
      <c r="E3098">
        <v>1010</v>
      </c>
      <c r="F3098">
        <v>2</v>
      </c>
      <c r="G3098">
        <v>243</v>
      </c>
      <c r="H3098" s="2">
        <v>45862</v>
      </c>
      <c r="I3098" s="2">
        <v>45870</v>
      </c>
      <c r="J3098" t="s">
        <v>9</v>
      </c>
      <c r="K3098" s="2" t="str">
        <f>IFERROR(INDEX(Product_lookup[Category],MATCH(RawWorking[[#This Row],[ProductID]],Product_lookup[ProductID],0)),"")</f>
        <v>Office</v>
      </c>
      <c r="L3098" s="9">
        <f>IF(OR(RawWorking[[#This Row],[ShipDate]]="",RawWorking[[#This Row],[DeliveryDate]]=""),"",RawWorking[[#This Row],[DeliveryDate]]-RawWorking[[#This Row],[ShipDate]])</f>
        <v>8</v>
      </c>
      <c r="M3098" s="9">
        <f>IF(COUNTIF(INDEX(RawWorking[OrderID],1):RawWorking[[#This Row],[OrderID]],RawWorking[[#This Row],[OrderID]])=1,1,0)</f>
        <v>1</v>
      </c>
      <c r="N3098" s="4">
        <f>IFERROR(RawWorking[[#This Row],[LineAmount]]/RawWorking[[#This Row],[Quantity]],"")</f>
        <v>121.5</v>
      </c>
    </row>
    <row r="3099" spans="1:14">
      <c r="A3099">
        <v>53098</v>
      </c>
      <c r="B3099">
        <v>31769</v>
      </c>
      <c r="C3099" s="2">
        <v>45709</v>
      </c>
      <c r="D3099">
        <v>2069</v>
      </c>
      <c r="E3099">
        <v>1007</v>
      </c>
      <c r="F3099">
        <v>1</v>
      </c>
      <c r="G3099">
        <f>IFERROR(RawWorking[[#This Row],[Quantity]]*INDEX(Product_lookup[UnitPrice],MATCH(RawWorking[[#This Row],[ProductID]],Product_lookup[ProductID],0)),"")</f>
        <v>199.81</v>
      </c>
      <c r="H3099" s="2">
        <v>45712</v>
      </c>
      <c r="I3099" s="2">
        <v>45722</v>
      </c>
      <c r="J3099" t="s">
        <v>9</v>
      </c>
      <c r="K3099" s="2" t="str">
        <f>IFERROR(INDEX(Product_lookup[Category],MATCH(RawWorking[[#This Row],[ProductID]],Product_lookup[ProductID],0)),"")</f>
        <v>Home</v>
      </c>
      <c r="L3099" s="9">
        <f>IF(OR(RawWorking[[#This Row],[ShipDate]]="",RawWorking[[#This Row],[DeliveryDate]]=""),"",RawWorking[[#This Row],[DeliveryDate]]-RawWorking[[#This Row],[ShipDate]])</f>
        <v>10</v>
      </c>
      <c r="M3099" s="9">
        <f>IF(COUNTIF(INDEX(RawWorking[OrderID],1):RawWorking[[#This Row],[OrderID]],RawWorking[[#This Row],[OrderID]])=1,1,0)</f>
        <v>1</v>
      </c>
      <c r="N3099" s="4">
        <f>IFERROR(RawWorking[[#This Row],[LineAmount]]/RawWorking[[#This Row],[Quantity]],"")</f>
        <v>199.81</v>
      </c>
    </row>
    <row r="3100" spans="1:14">
      <c r="A3100">
        <v>53099</v>
      </c>
      <c r="B3100">
        <v>31770</v>
      </c>
      <c r="C3100" s="2">
        <v>45807</v>
      </c>
      <c r="D3100">
        <v>2506</v>
      </c>
      <c r="E3100">
        <v>1004</v>
      </c>
      <c r="F3100">
        <v>1</v>
      </c>
      <c r="G3100">
        <v>183.74</v>
      </c>
      <c r="H3100" s="2">
        <v>45810</v>
      </c>
      <c r="I3100" s="2">
        <v>45875</v>
      </c>
      <c r="J3100" t="s">
        <v>9</v>
      </c>
      <c r="K3100" s="2" t="str">
        <f>IFERROR(INDEX(Product_lookup[Category],MATCH(RawWorking[[#This Row],[ProductID]],Product_lookup[ProductID],0)),"")</f>
        <v>Electronics</v>
      </c>
      <c r="L3100" s="9">
        <f>IF(OR(RawWorking[[#This Row],[ShipDate]]="",RawWorking[[#This Row],[DeliveryDate]]=""),"",RawWorking[[#This Row],[DeliveryDate]]-RawWorking[[#This Row],[ShipDate]])</f>
        <v>65</v>
      </c>
      <c r="M3100" s="9">
        <f>IF(COUNTIF(INDEX(RawWorking[OrderID],1):RawWorking[[#This Row],[OrderID]],RawWorking[[#This Row],[OrderID]])=1,1,0)</f>
        <v>1</v>
      </c>
      <c r="N3100" s="4">
        <f>IFERROR(RawWorking[[#This Row],[LineAmount]]/RawWorking[[#This Row],[Quantity]],"")</f>
        <v>183.74</v>
      </c>
    </row>
    <row r="3101" spans="1:14">
      <c r="A3101">
        <v>53100</v>
      </c>
      <c r="B3101">
        <v>31770</v>
      </c>
      <c r="C3101" s="2">
        <v>45807</v>
      </c>
      <c r="D3101">
        <v>2506</v>
      </c>
      <c r="E3101">
        <v>1012</v>
      </c>
      <c r="F3101">
        <v>2</v>
      </c>
      <c r="G3101">
        <v>483.08</v>
      </c>
      <c r="H3101" s="2">
        <v>45809</v>
      </c>
      <c r="I3101" s="2">
        <v>45811</v>
      </c>
      <c r="J3101" t="s">
        <v>9</v>
      </c>
      <c r="K3101" s="2" t="str">
        <f>IFERROR(INDEX(Product_lookup[Category],MATCH(RawWorking[[#This Row],[ProductID]],Product_lookup[ProductID],0)),"")</f>
        <v>Office</v>
      </c>
      <c r="L3101" s="9">
        <f>IF(OR(RawWorking[[#This Row],[ShipDate]]="",RawWorking[[#This Row],[DeliveryDate]]=""),"",RawWorking[[#This Row],[DeliveryDate]]-RawWorking[[#This Row],[ShipDate]])</f>
        <v>2</v>
      </c>
      <c r="M3101" s="9">
        <f>IF(COUNTIF(INDEX(RawWorking[OrderID],1):RawWorking[[#This Row],[OrderID]],RawWorking[[#This Row],[OrderID]])=1,1,0)</f>
        <v>0</v>
      </c>
      <c r="N3101" s="4">
        <f>IFERROR(RawWorking[[#This Row],[LineAmount]]/RawWorking[[#This Row],[Quantity]],"")</f>
        <v>241.54</v>
      </c>
    </row>
    <row r="3102" spans="1:14">
      <c r="A3102">
        <v>53101</v>
      </c>
      <c r="B3102">
        <v>31770</v>
      </c>
      <c r="C3102" s="2">
        <v>45807</v>
      </c>
      <c r="D3102">
        <v>2506</v>
      </c>
      <c r="E3102">
        <v>1003</v>
      </c>
      <c r="F3102">
        <v>1</v>
      </c>
      <c r="G3102">
        <v>224.37</v>
      </c>
      <c r="H3102" s="2">
        <v>45810</v>
      </c>
      <c r="I3102" s="2">
        <v>45815</v>
      </c>
      <c r="J3102" t="s">
        <v>9</v>
      </c>
      <c r="K3102" s="2" t="str">
        <f>IFERROR(INDEX(Product_lookup[Category],MATCH(RawWorking[[#This Row],[ProductID]],Product_lookup[ProductID],0)),"")</f>
        <v>Electronics</v>
      </c>
      <c r="L3102" s="9">
        <f>IF(OR(RawWorking[[#This Row],[ShipDate]]="",RawWorking[[#This Row],[DeliveryDate]]=""),"",RawWorking[[#This Row],[DeliveryDate]]-RawWorking[[#This Row],[ShipDate]])</f>
        <v>5</v>
      </c>
      <c r="M3102" s="9">
        <f>IF(COUNTIF(INDEX(RawWorking[OrderID],1):RawWorking[[#This Row],[OrderID]],RawWorking[[#This Row],[OrderID]])=1,1,0)</f>
        <v>0</v>
      </c>
      <c r="N3102" s="4">
        <f>IFERROR(RawWorking[[#This Row],[LineAmount]]/RawWorking[[#This Row],[Quantity]],"")</f>
        <v>224.37</v>
      </c>
    </row>
    <row r="3103" spans="1:14">
      <c r="A3103">
        <v>53102</v>
      </c>
      <c r="B3103">
        <v>31771</v>
      </c>
      <c r="C3103" s="2">
        <v>45984</v>
      </c>
      <c r="D3103">
        <v>2108</v>
      </c>
      <c r="E3103">
        <v>1011</v>
      </c>
      <c r="F3103">
        <v>1</v>
      </c>
      <c r="G3103">
        <v>101.44</v>
      </c>
      <c r="H3103" s="2">
        <v>45987</v>
      </c>
      <c r="I3103" s="2">
        <v>45997</v>
      </c>
      <c r="J3103" t="s">
        <v>9</v>
      </c>
      <c r="K3103" s="2" t="str">
        <f>IFERROR(INDEX(Product_lookup[Category],MATCH(RawWorking[[#This Row],[ProductID]],Product_lookup[ProductID],0)),"")</f>
        <v>Office</v>
      </c>
      <c r="L3103" s="9">
        <f>IF(OR(RawWorking[[#This Row],[ShipDate]]="",RawWorking[[#This Row],[DeliveryDate]]=""),"",RawWorking[[#This Row],[DeliveryDate]]-RawWorking[[#This Row],[ShipDate]])</f>
        <v>10</v>
      </c>
      <c r="M3103" s="9">
        <f>IF(COUNTIF(INDEX(RawWorking[OrderID],1):RawWorking[[#This Row],[OrderID]],RawWorking[[#This Row],[OrderID]])=1,1,0)</f>
        <v>1</v>
      </c>
      <c r="N3103" s="4">
        <f>IFERROR(RawWorking[[#This Row],[LineAmount]]/RawWorking[[#This Row],[Quantity]],"")</f>
        <v>101.44</v>
      </c>
    </row>
    <row r="3104" spans="1:14">
      <c r="A3104">
        <v>53103</v>
      </c>
      <c r="B3104">
        <v>31772</v>
      </c>
      <c r="C3104" s="2">
        <v>45839</v>
      </c>
      <c r="D3104">
        <v>2420</v>
      </c>
      <c r="E3104">
        <v>1009</v>
      </c>
      <c r="F3104">
        <v>1</v>
      </c>
      <c r="G3104">
        <v>40.28</v>
      </c>
      <c r="H3104" s="2">
        <v>45841</v>
      </c>
      <c r="I3104" s="2">
        <v>45850</v>
      </c>
      <c r="J3104" t="s">
        <v>9</v>
      </c>
      <c r="K3104" s="2" t="str">
        <f>IFERROR(INDEX(Product_lookup[Category],MATCH(RawWorking[[#This Row],[ProductID]],Product_lookup[ProductID],0)),"")</f>
        <v>Home</v>
      </c>
      <c r="L3104" s="9">
        <f>IF(OR(RawWorking[[#This Row],[ShipDate]]="",RawWorking[[#This Row],[DeliveryDate]]=""),"",RawWorking[[#This Row],[DeliveryDate]]-RawWorking[[#This Row],[ShipDate]])</f>
        <v>9</v>
      </c>
      <c r="M3104" s="9">
        <f>IF(COUNTIF(INDEX(RawWorking[OrderID],1):RawWorking[[#This Row],[OrderID]],RawWorking[[#This Row],[OrderID]])=1,1,0)</f>
        <v>1</v>
      </c>
      <c r="N3104" s="4">
        <f>IFERROR(RawWorking[[#This Row],[LineAmount]]/RawWorking[[#This Row],[Quantity]],"")</f>
        <v>40.28</v>
      </c>
    </row>
    <row r="3105" spans="1:14">
      <c r="A3105">
        <v>53104</v>
      </c>
      <c r="B3105">
        <v>31773</v>
      </c>
      <c r="C3105" s="2">
        <v>46016</v>
      </c>
      <c r="D3105">
        <v>2213</v>
      </c>
      <c r="E3105">
        <v>1015</v>
      </c>
      <c r="F3105">
        <v>2</v>
      </c>
      <c r="G3105">
        <v>239.48</v>
      </c>
      <c r="H3105" s="2">
        <v>46018</v>
      </c>
      <c r="I3105" s="2">
        <v>46022</v>
      </c>
      <c r="J3105" t="s">
        <v>9</v>
      </c>
      <c r="K3105" s="2" t="str">
        <f>IFERROR(INDEX(Product_lookup[Category],MATCH(RawWorking[[#This Row],[ProductID]],Product_lookup[ProductID],0)),"")</f>
        <v>Sports</v>
      </c>
      <c r="L3105" s="9">
        <f>IF(OR(RawWorking[[#This Row],[ShipDate]]="",RawWorking[[#This Row],[DeliveryDate]]=""),"",RawWorking[[#This Row],[DeliveryDate]]-RawWorking[[#This Row],[ShipDate]])</f>
        <v>4</v>
      </c>
      <c r="M3105" s="9">
        <f>IF(COUNTIF(INDEX(RawWorking[OrderID],1):RawWorking[[#This Row],[OrderID]],RawWorking[[#This Row],[OrderID]])=1,1,0)</f>
        <v>1</v>
      </c>
      <c r="N3105" s="4">
        <f>IFERROR(RawWorking[[#This Row],[LineAmount]]/RawWorking[[#This Row],[Quantity]],"")</f>
        <v>119.74</v>
      </c>
    </row>
    <row r="3106" spans="1:14">
      <c r="A3106">
        <v>53105</v>
      </c>
      <c r="B3106">
        <v>31774</v>
      </c>
      <c r="C3106" s="2">
        <v>45771</v>
      </c>
      <c r="D3106">
        <v>2028</v>
      </c>
      <c r="E3106">
        <v>1015</v>
      </c>
      <c r="F3106">
        <v>1</v>
      </c>
      <c r="G3106">
        <v>119.74</v>
      </c>
      <c r="H3106" s="2">
        <v>45772</v>
      </c>
      <c r="I3106" s="2">
        <v>45775</v>
      </c>
      <c r="J3106" t="s">
        <v>9</v>
      </c>
      <c r="K3106" s="2" t="str">
        <f>IFERROR(INDEX(Product_lookup[Category],MATCH(RawWorking[[#This Row],[ProductID]],Product_lookup[ProductID],0)),"")</f>
        <v>Sports</v>
      </c>
      <c r="L3106" s="9">
        <f>IF(OR(RawWorking[[#This Row],[ShipDate]]="",RawWorking[[#This Row],[DeliveryDate]]=""),"",RawWorking[[#This Row],[DeliveryDate]]-RawWorking[[#This Row],[ShipDate]])</f>
        <v>3</v>
      </c>
      <c r="M3106" s="9">
        <f>IF(COUNTIF(INDEX(RawWorking[OrderID],1):RawWorking[[#This Row],[OrderID]],RawWorking[[#This Row],[OrderID]])=1,1,0)</f>
        <v>1</v>
      </c>
      <c r="N3106" s="4">
        <f>IFERROR(RawWorking[[#This Row],[LineAmount]]/RawWorking[[#This Row],[Quantity]],"")</f>
        <v>119.74</v>
      </c>
    </row>
    <row r="3107" spans="1:14">
      <c r="A3107">
        <v>53106</v>
      </c>
      <c r="B3107">
        <v>31775</v>
      </c>
      <c r="C3107" s="2">
        <v>45733</v>
      </c>
      <c r="D3107">
        <v>2391</v>
      </c>
      <c r="E3107">
        <v>1013</v>
      </c>
      <c r="F3107">
        <v>2</v>
      </c>
      <c r="G3107">
        <v>340.5</v>
      </c>
      <c r="H3107" s="2">
        <v>45735</v>
      </c>
      <c r="I3107" s="2">
        <v>45741</v>
      </c>
      <c r="J3107" t="s">
        <v>9</v>
      </c>
      <c r="K3107" s="2" t="str">
        <f>IFERROR(INDEX(Product_lookup[Category],MATCH(RawWorking[[#This Row],[ProductID]],Product_lookup[ProductID],0)),"")</f>
        <v>Office</v>
      </c>
      <c r="L3107" s="9">
        <f>IF(OR(RawWorking[[#This Row],[ShipDate]]="",RawWorking[[#This Row],[DeliveryDate]]=""),"",RawWorking[[#This Row],[DeliveryDate]]-RawWorking[[#This Row],[ShipDate]])</f>
        <v>6</v>
      </c>
      <c r="M3107" s="9">
        <f>IF(COUNTIF(INDEX(RawWorking[OrderID],1):RawWorking[[#This Row],[OrderID]],RawWorking[[#This Row],[OrderID]])=1,1,0)</f>
        <v>1</v>
      </c>
      <c r="N3107" s="4">
        <f>IFERROR(RawWorking[[#This Row],[LineAmount]]/RawWorking[[#This Row],[Quantity]],"")</f>
        <v>170.25</v>
      </c>
    </row>
    <row r="3108" spans="1:14">
      <c r="A3108">
        <v>53107</v>
      </c>
      <c r="B3108">
        <v>31776</v>
      </c>
      <c r="C3108" s="2">
        <v>45738</v>
      </c>
      <c r="D3108">
        <v>2200</v>
      </c>
      <c r="E3108">
        <v>1001</v>
      </c>
      <c r="F3108">
        <v>1</v>
      </c>
      <c r="G3108">
        <v>203.04</v>
      </c>
      <c r="H3108" s="2">
        <v>45741</v>
      </c>
      <c r="I3108" s="2">
        <v>45745</v>
      </c>
      <c r="J3108" t="s">
        <v>9</v>
      </c>
      <c r="K3108" s="2" t="str">
        <f>IFERROR(INDEX(Product_lookup[Category],MATCH(RawWorking[[#This Row],[ProductID]],Product_lookup[ProductID],0)),"")</f>
        <v>Electronics</v>
      </c>
      <c r="L3108" s="9">
        <f>IF(OR(RawWorking[[#This Row],[ShipDate]]="",RawWorking[[#This Row],[DeliveryDate]]=""),"",RawWorking[[#This Row],[DeliveryDate]]-RawWorking[[#This Row],[ShipDate]])</f>
        <v>4</v>
      </c>
      <c r="M3108" s="9">
        <f>IF(COUNTIF(INDEX(RawWorking[OrderID],1):RawWorking[[#This Row],[OrderID]],RawWorking[[#This Row],[OrderID]])=1,1,0)</f>
        <v>1</v>
      </c>
      <c r="N3108" s="4">
        <f>IFERROR(RawWorking[[#This Row],[LineAmount]]/RawWorking[[#This Row],[Quantity]],"")</f>
        <v>203.04</v>
      </c>
    </row>
    <row r="3109" spans="1:14">
      <c r="A3109">
        <v>53108</v>
      </c>
      <c r="B3109">
        <v>31776</v>
      </c>
      <c r="C3109" s="2">
        <v>45738</v>
      </c>
      <c r="D3109">
        <v>2200</v>
      </c>
      <c r="E3109">
        <v>1009</v>
      </c>
      <c r="F3109">
        <v>1</v>
      </c>
      <c r="G3109">
        <v>40.28</v>
      </c>
      <c r="H3109" s="2">
        <v>45740</v>
      </c>
      <c r="I3109" s="2">
        <v>45742</v>
      </c>
      <c r="J3109" t="s">
        <v>9</v>
      </c>
      <c r="K3109" s="2" t="str">
        <f>IFERROR(INDEX(Product_lookup[Category],MATCH(RawWorking[[#This Row],[ProductID]],Product_lookup[ProductID],0)),"")</f>
        <v>Home</v>
      </c>
      <c r="L3109" s="9">
        <f>IF(OR(RawWorking[[#This Row],[ShipDate]]="",RawWorking[[#This Row],[DeliveryDate]]=""),"",RawWorking[[#This Row],[DeliveryDate]]-RawWorking[[#This Row],[ShipDate]])</f>
        <v>2</v>
      </c>
      <c r="M3109" s="9">
        <f>IF(COUNTIF(INDEX(RawWorking[OrderID],1):RawWorking[[#This Row],[OrderID]],RawWorking[[#This Row],[OrderID]])=1,1,0)</f>
        <v>0</v>
      </c>
      <c r="N3109" s="4">
        <f>IFERROR(RawWorking[[#This Row],[LineAmount]]/RawWorking[[#This Row],[Quantity]],"")</f>
        <v>40.28</v>
      </c>
    </row>
    <row r="3110" spans="1:14">
      <c r="A3110">
        <v>53109</v>
      </c>
      <c r="B3110">
        <v>31776</v>
      </c>
      <c r="C3110" s="2">
        <v>45738</v>
      </c>
      <c r="D3110">
        <v>2200</v>
      </c>
      <c r="E3110">
        <v>1004</v>
      </c>
      <c r="F3110">
        <v>1</v>
      </c>
      <c r="G3110">
        <v>183.74</v>
      </c>
      <c r="H3110" s="2">
        <v>45740</v>
      </c>
      <c r="I3110" s="2">
        <v>45749</v>
      </c>
      <c r="J3110" t="s">
        <v>9</v>
      </c>
      <c r="K3110" s="2" t="str">
        <f>IFERROR(INDEX(Product_lookup[Category],MATCH(RawWorking[[#This Row],[ProductID]],Product_lookup[ProductID],0)),"")</f>
        <v>Electronics</v>
      </c>
      <c r="L3110" s="9">
        <f>IF(OR(RawWorking[[#This Row],[ShipDate]]="",RawWorking[[#This Row],[DeliveryDate]]=""),"",RawWorking[[#This Row],[DeliveryDate]]-RawWorking[[#This Row],[ShipDate]])</f>
        <v>9</v>
      </c>
      <c r="M3110" s="9">
        <f>IF(COUNTIF(INDEX(RawWorking[OrderID],1):RawWorking[[#This Row],[OrderID]],RawWorking[[#This Row],[OrderID]])=1,1,0)</f>
        <v>0</v>
      </c>
      <c r="N3110" s="4">
        <f>IFERROR(RawWorking[[#This Row],[LineAmount]]/RawWorking[[#This Row],[Quantity]],"")</f>
        <v>183.74</v>
      </c>
    </row>
    <row r="3111" spans="1:14">
      <c r="A3111">
        <v>53110</v>
      </c>
      <c r="B3111">
        <v>31777</v>
      </c>
      <c r="C3111" s="2">
        <v>45772</v>
      </c>
      <c r="D3111">
        <v>2140</v>
      </c>
      <c r="E3111">
        <v>1015</v>
      </c>
      <c r="F3111">
        <v>1</v>
      </c>
      <c r="G3111">
        <v>119.74</v>
      </c>
      <c r="H3111" s="2">
        <v>45773</v>
      </c>
      <c r="I3111" s="2">
        <v>45813</v>
      </c>
      <c r="J3111" t="s">
        <v>9</v>
      </c>
      <c r="K3111" s="2" t="str">
        <f>IFERROR(INDEX(Product_lookup[Category],MATCH(RawWorking[[#This Row],[ProductID]],Product_lookup[ProductID],0)),"")</f>
        <v>Sports</v>
      </c>
      <c r="L3111" s="9">
        <f>IF(OR(RawWorking[[#This Row],[ShipDate]]="",RawWorking[[#This Row],[DeliveryDate]]=""),"",RawWorking[[#This Row],[DeliveryDate]]-RawWorking[[#This Row],[ShipDate]])</f>
        <v>40</v>
      </c>
      <c r="M3111" s="9">
        <f>IF(COUNTIF(INDEX(RawWorking[OrderID],1):RawWorking[[#This Row],[OrderID]],RawWorking[[#This Row],[OrderID]])=1,1,0)</f>
        <v>1</v>
      </c>
      <c r="N3111" s="4">
        <f>IFERROR(RawWorking[[#This Row],[LineAmount]]/RawWorking[[#This Row],[Quantity]],"")</f>
        <v>119.74</v>
      </c>
    </row>
    <row r="3112" spans="1:14">
      <c r="A3112">
        <v>53111</v>
      </c>
      <c r="B3112">
        <v>31778</v>
      </c>
      <c r="C3112" s="2">
        <v>45771</v>
      </c>
      <c r="D3112">
        <v>2497</v>
      </c>
      <c r="E3112">
        <v>1003</v>
      </c>
      <c r="F3112">
        <v>1</v>
      </c>
      <c r="G3112">
        <v>224.37</v>
      </c>
      <c r="H3112" s="2">
        <v>45773</v>
      </c>
      <c r="I3112" s="2">
        <v>45774</v>
      </c>
      <c r="J3112" t="s">
        <v>9</v>
      </c>
      <c r="K3112" s="2" t="str">
        <f>IFERROR(INDEX(Product_lookup[Category],MATCH(RawWorking[[#This Row],[ProductID]],Product_lookup[ProductID],0)),"")</f>
        <v>Electronics</v>
      </c>
      <c r="L3112" s="9">
        <f>IF(OR(RawWorking[[#This Row],[ShipDate]]="",RawWorking[[#This Row],[DeliveryDate]]=""),"",RawWorking[[#This Row],[DeliveryDate]]-RawWorking[[#This Row],[ShipDate]])</f>
        <v>1</v>
      </c>
      <c r="M3112" s="9">
        <f>IF(COUNTIF(INDEX(RawWorking[OrderID],1):RawWorking[[#This Row],[OrderID]],RawWorking[[#This Row],[OrderID]])=1,1,0)</f>
        <v>1</v>
      </c>
      <c r="N3112" s="4">
        <f>IFERROR(RawWorking[[#This Row],[LineAmount]]/RawWorking[[#This Row],[Quantity]],"")</f>
        <v>224.37</v>
      </c>
    </row>
    <row r="3113" spans="1:14">
      <c r="A3113">
        <v>53112</v>
      </c>
      <c r="B3113">
        <v>31779</v>
      </c>
      <c r="C3113" s="2">
        <v>45697</v>
      </c>
      <c r="D3113">
        <v>2562</v>
      </c>
      <c r="E3113">
        <v>1015</v>
      </c>
      <c r="F3113">
        <v>1</v>
      </c>
      <c r="G3113">
        <v>119.74</v>
      </c>
      <c r="H3113" s="2">
        <v>45903</v>
      </c>
      <c r="I3113" s="2">
        <v>45970</v>
      </c>
      <c r="J3113" t="s">
        <v>9</v>
      </c>
      <c r="K3113" s="2" t="str">
        <f>IFERROR(INDEX(Product_lookup[Category],MATCH(RawWorking[[#This Row],[ProductID]],Product_lookup[ProductID],0)),"")</f>
        <v>Sports</v>
      </c>
      <c r="L3113" s="9">
        <f>IF(OR(RawWorking[[#This Row],[ShipDate]]="",RawWorking[[#This Row],[DeliveryDate]]=""),"",RawWorking[[#This Row],[DeliveryDate]]-RawWorking[[#This Row],[ShipDate]])</f>
        <v>67</v>
      </c>
      <c r="M3113" s="9">
        <f>IF(COUNTIF(INDEX(RawWorking[OrderID],1):RawWorking[[#This Row],[OrderID]],RawWorking[[#This Row],[OrderID]])=1,1,0)</f>
        <v>1</v>
      </c>
      <c r="N3113" s="4">
        <f>IFERROR(RawWorking[[#This Row],[LineAmount]]/RawWorking[[#This Row],[Quantity]],"")</f>
        <v>119.74</v>
      </c>
    </row>
    <row r="3114" spans="1:14">
      <c r="A3114">
        <v>53113</v>
      </c>
      <c r="B3114">
        <v>31780</v>
      </c>
      <c r="C3114" s="2">
        <v>45810</v>
      </c>
      <c r="D3114">
        <v>2144</v>
      </c>
      <c r="E3114">
        <v>1009</v>
      </c>
      <c r="F3114">
        <v>1</v>
      </c>
      <c r="G3114">
        <v>40.28</v>
      </c>
      <c r="H3114" s="2">
        <v>45811</v>
      </c>
      <c r="I3114" s="2">
        <v>45819</v>
      </c>
      <c r="J3114" t="s">
        <v>9</v>
      </c>
      <c r="K3114" s="2" t="str">
        <f>IFERROR(INDEX(Product_lookup[Category],MATCH(RawWorking[[#This Row],[ProductID]],Product_lookup[ProductID],0)),"")</f>
        <v>Home</v>
      </c>
      <c r="L3114" s="9">
        <f>IF(OR(RawWorking[[#This Row],[ShipDate]]="",RawWorking[[#This Row],[DeliveryDate]]=""),"",RawWorking[[#This Row],[DeliveryDate]]-RawWorking[[#This Row],[ShipDate]])</f>
        <v>8</v>
      </c>
      <c r="M3114" s="9">
        <f>IF(COUNTIF(INDEX(RawWorking[OrderID],1):RawWorking[[#This Row],[OrderID]],RawWorking[[#This Row],[OrderID]])=1,1,0)</f>
        <v>1</v>
      </c>
      <c r="N3114" s="4">
        <f>IFERROR(RawWorking[[#This Row],[LineAmount]]/RawWorking[[#This Row],[Quantity]],"")</f>
        <v>40.28</v>
      </c>
    </row>
    <row r="3115" spans="1:14">
      <c r="A3115">
        <v>53114</v>
      </c>
      <c r="B3115">
        <v>31780</v>
      </c>
      <c r="C3115" s="2">
        <v>45694</v>
      </c>
      <c r="D3115">
        <v>2144</v>
      </c>
      <c r="E3115">
        <v>1006</v>
      </c>
      <c r="F3115">
        <v>5</v>
      </c>
      <c r="G3115">
        <v>1269.3</v>
      </c>
      <c r="H3115" s="2">
        <v>45783</v>
      </c>
      <c r="I3115" s="2">
        <v>45822</v>
      </c>
      <c r="J3115" t="s">
        <v>9</v>
      </c>
      <c r="K3115" s="2" t="str">
        <f>IFERROR(INDEX(Product_lookup[Category],MATCH(RawWorking[[#This Row],[ProductID]],Product_lookup[ProductID],0)),"")</f>
        <v>Home</v>
      </c>
      <c r="L3115" s="9">
        <f>IF(OR(RawWorking[[#This Row],[ShipDate]]="",RawWorking[[#This Row],[DeliveryDate]]=""),"",RawWorking[[#This Row],[DeliveryDate]]-RawWorking[[#This Row],[ShipDate]])</f>
        <v>39</v>
      </c>
      <c r="M3115" s="9">
        <f>IF(COUNTIF(INDEX(RawWorking[OrderID],1):RawWorking[[#This Row],[OrderID]],RawWorking[[#This Row],[OrderID]])=1,1,0)</f>
        <v>0</v>
      </c>
      <c r="N3115" s="4">
        <f>IFERROR(RawWorking[[#This Row],[LineAmount]]/RawWorking[[#This Row],[Quantity]],"")</f>
        <v>253.85999999999999</v>
      </c>
    </row>
    <row r="3116" spans="1:14">
      <c r="A3116">
        <v>53115</v>
      </c>
      <c r="B3116">
        <v>31781</v>
      </c>
      <c r="C3116" s="2">
        <v>45948</v>
      </c>
      <c r="D3116">
        <v>2175</v>
      </c>
      <c r="E3116">
        <v>1004</v>
      </c>
      <c r="F3116">
        <v>1</v>
      </c>
      <c r="G3116">
        <v>183.74</v>
      </c>
      <c r="H3116" s="2">
        <v>45951</v>
      </c>
      <c r="I3116" s="2" t="s">
        <v>1421</v>
      </c>
      <c r="J3116" t="s">
        <v>16</v>
      </c>
      <c r="K3116" s="2" t="str">
        <f>IFERROR(INDEX(Product_lookup[Category],MATCH(RawWorking[[#This Row],[ProductID]],Product_lookup[ProductID],0)),"")</f>
        <v>Electronics</v>
      </c>
      <c r="L3116" s="9" t="str">
        <f>IF(OR(RawWorking[[#This Row],[ShipDate]]="",RawWorking[[#This Row],[DeliveryDate]]=""),"",RawWorking[[#This Row],[DeliveryDate]]-RawWorking[[#This Row],[ShipDate]])</f>
        <v/>
      </c>
      <c r="M3116" s="9">
        <f>IF(COUNTIF(INDEX(RawWorking[OrderID],1):RawWorking[[#This Row],[OrderID]],RawWorking[[#This Row],[OrderID]])=1,1,0)</f>
        <v>1</v>
      </c>
      <c r="N3116" s="4">
        <f>IFERROR(RawWorking[[#This Row],[LineAmount]]/RawWorking[[#This Row],[Quantity]],"")</f>
        <v>183.74</v>
      </c>
    </row>
    <row r="3117" spans="1:14">
      <c r="A3117">
        <v>53116</v>
      </c>
      <c r="B3117">
        <v>31782</v>
      </c>
      <c r="C3117" s="2">
        <v>45872</v>
      </c>
      <c r="D3117">
        <v>2128</v>
      </c>
      <c r="E3117">
        <v>1013</v>
      </c>
      <c r="F3117">
        <v>4</v>
      </c>
      <c r="G3117">
        <v>681</v>
      </c>
      <c r="H3117" s="2">
        <v>45875</v>
      </c>
      <c r="I3117" s="2">
        <v>45884</v>
      </c>
      <c r="J3117" t="s">
        <v>9</v>
      </c>
      <c r="K3117" s="2" t="str">
        <f>IFERROR(INDEX(Product_lookup[Category],MATCH(RawWorking[[#This Row],[ProductID]],Product_lookup[ProductID],0)),"")</f>
        <v>Office</v>
      </c>
      <c r="L3117" s="9">
        <f>IF(OR(RawWorking[[#This Row],[ShipDate]]="",RawWorking[[#This Row],[DeliveryDate]]=""),"",RawWorking[[#This Row],[DeliveryDate]]-RawWorking[[#This Row],[ShipDate]])</f>
        <v>9</v>
      </c>
      <c r="M3117" s="9">
        <f>IF(COUNTIF(INDEX(RawWorking[OrderID],1):RawWorking[[#This Row],[OrderID]],RawWorking[[#This Row],[OrderID]])=1,1,0)</f>
        <v>1</v>
      </c>
      <c r="N3117" s="4">
        <f>IFERROR(RawWorking[[#This Row],[LineAmount]]/RawWorking[[#This Row],[Quantity]],"")</f>
        <v>170.25</v>
      </c>
    </row>
    <row r="3118" spans="1:14">
      <c r="A3118">
        <v>53117</v>
      </c>
      <c r="B3118">
        <v>31782</v>
      </c>
      <c r="C3118" s="2">
        <v>45724</v>
      </c>
      <c r="D3118">
        <v>2128</v>
      </c>
      <c r="E3118">
        <v>1006</v>
      </c>
      <c r="F3118">
        <v>1</v>
      </c>
      <c r="G3118">
        <v>253.86</v>
      </c>
      <c r="H3118" s="2">
        <v>45873</v>
      </c>
      <c r="I3118" s="2">
        <v>45881</v>
      </c>
      <c r="J3118" t="s">
        <v>9</v>
      </c>
      <c r="K3118" s="2" t="str">
        <f>IFERROR(INDEX(Product_lookup[Category],MATCH(RawWorking[[#This Row],[ProductID]],Product_lookup[ProductID],0)),"")</f>
        <v>Home</v>
      </c>
      <c r="L3118" s="9">
        <f>IF(OR(RawWorking[[#This Row],[ShipDate]]="",RawWorking[[#This Row],[DeliveryDate]]=""),"",RawWorking[[#This Row],[DeliveryDate]]-RawWorking[[#This Row],[ShipDate]])</f>
        <v>8</v>
      </c>
      <c r="M3118" s="9">
        <f>IF(COUNTIF(INDEX(RawWorking[OrderID],1):RawWorking[[#This Row],[OrderID]],RawWorking[[#This Row],[OrderID]])=1,1,0)</f>
        <v>0</v>
      </c>
      <c r="N3118" s="4">
        <f>IFERROR(RawWorking[[#This Row],[LineAmount]]/RawWorking[[#This Row],[Quantity]],"")</f>
        <v>253.86</v>
      </c>
    </row>
    <row r="3119" spans="1:14">
      <c r="A3119">
        <v>53118</v>
      </c>
      <c r="B3119">
        <v>31782</v>
      </c>
      <c r="C3119" s="2">
        <v>45724</v>
      </c>
      <c r="D3119">
        <v>2128</v>
      </c>
      <c r="E3119">
        <v>1003</v>
      </c>
      <c r="F3119">
        <v>3</v>
      </c>
      <c r="G3119">
        <v>673.11</v>
      </c>
      <c r="H3119" s="2">
        <v>45875</v>
      </c>
      <c r="I3119" s="2">
        <v>45882</v>
      </c>
      <c r="J3119" t="s">
        <v>9</v>
      </c>
      <c r="K3119" s="2" t="str">
        <f>IFERROR(INDEX(Product_lookup[Category],MATCH(RawWorking[[#This Row],[ProductID]],Product_lookup[ProductID],0)),"")</f>
        <v>Electronics</v>
      </c>
      <c r="L3119" s="9">
        <f>IF(OR(RawWorking[[#This Row],[ShipDate]]="",RawWorking[[#This Row],[DeliveryDate]]=""),"",RawWorking[[#This Row],[DeliveryDate]]-RawWorking[[#This Row],[ShipDate]])</f>
        <v>7</v>
      </c>
      <c r="M3119" s="9">
        <f>IF(COUNTIF(INDEX(RawWorking[OrderID],1):RawWorking[[#This Row],[OrderID]],RawWorking[[#This Row],[OrderID]])=1,1,0)</f>
        <v>0</v>
      </c>
      <c r="N3119" s="4">
        <f>IFERROR(RawWorking[[#This Row],[LineAmount]]/RawWorking[[#This Row],[Quantity]],"")</f>
        <v>224.37</v>
      </c>
    </row>
    <row r="3120" spans="1:14">
      <c r="A3120">
        <v>53119</v>
      </c>
      <c r="B3120">
        <v>31783</v>
      </c>
      <c r="C3120" s="2">
        <v>46005</v>
      </c>
      <c r="D3120">
        <v>2012</v>
      </c>
      <c r="E3120">
        <v>1005</v>
      </c>
      <c r="F3120">
        <v>2</v>
      </c>
      <c r="G3120">
        <v>63.46</v>
      </c>
      <c r="H3120" s="2">
        <v>46008</v>
      </c>
      <c r="I3120" s="2">
        <v>46015</v>
      </c>
      <c r="J3120" t="s">
        <v>9</v>
      </c>
      <c r="K3120" s="2" t="str">
        <f>IFERROR(INDEX(Product_lookup[Category],MATCH(RawWorking[[#This Row],[ProductID]],Product_lookup[ProductID],0)),"")</f>
        <v>Electronics</v>
      </c>
      <c r="L3120" s="9">
        <f>IF(OR(RawWorking[[#This Row],[ShipDate]]="",RawWorking[[#This Row],[DeliveryDate]]=""),"",RawWorking[[#This Row],[DeliveryDate]]-RawWorking[[#This Row],[ShipDate]])</f>
        <v>7</v>
      </c>
      <c r="M3120" s="9">
        <f>IF(COUNTIF(INDEX(RawWorking[OrderID],1):RawWorking[[#This Row],[OrderID]],RawWorking[[#This Row],[OrderID]])=1,1,0)</f>
        <v>1</v>
      </c>
      <c r="N3120" s="4">
        <f>IFERROR(RawWorking[[#This Row],[LineAmount]]/RawWorking[[#This Row],[Quantity]],"")</f>
        <v>31.73</v>
      </c>
    </row>
    <row r="3121" spans="1:14">
      <c r="A3121">
        <v>53120</v>
      </c>
      <c r="B3121">
        <v>31784</v>
      </c>
      <c r="C3121" s="2">
        <v>45765</v>
      </c>
      <c r="D3121">
        <v>2452</v>
      </c>
      <c r="E3121">
        <v>1007</v>
      </c>
      <c r="F3121">
        <v>3</v>
      </c>
      <c r="G3121">
        <v>599.42999999999995</v>
      </c>
      <c r="H3121" s="2">
        <v>45767</v>
      </c>
      <c r="I3121" s="2">
        <v>45777</v>
      </c>
      <c r="J3121" t="s">
        <v>9</v>
      </c>
      <c r="K3121" s="2" t="str">
        <f>IFERROR(INDEX(Product_lookup[Category],MATCH(RawWorking[[#This Row],[ProductID]],Product_lookup[ProductID],0)),"")</f>
        <v>Home</v>
      </c>
      <c r="L3121" s="9">
        <f>IF(OR(RawWorking[[#This Row],[ShipDate]]="",RawWorking[[#This Row],[DeliveryDate]]=""),"",RawWorking[[#This Row],[DeliveryDate]]-RawWorking[[#This Row],[ShipDate]])</f>
        <v>10</v>
      </c>
      <c r="M3121" s="9">
        <f>IF(COUNTIF(INDEX(RawWorking[OrderID],1):RawWorking[[#This Row],[OrderID]],RawWorking[[#This Row],[OrderID]])=1,1,0)</f>
        <v>1</v>
      </c>
      <c r="N3121" s="4">
        <f>IFERROR(RawWorking[[#This Row],[LineAmount]]/RawWorking[[#This Row],[Quantity]],"")</f>
        <v>199.80999999999997</v>
      </c>
    </row>
    <row r="3122" spans="1:14">
      <c r="A3122">
        <v>53121</v>
      </c>
      <c r="B3122">
        <v>31785</v>
      </c>
      <c r="C3122" s="2">
        <v>45789</v>
      </c>
      <c r="D3122">
        <v>2036</v>
      </c>
      <c r="E3122">
        <v>1007</v>
      </c>
      <c r="F3122">
        <v>1</v>
      </c>
      <c r="G3122">
        <v>199.81</v>
      </c>
      <c r="H3122" s="2" t="s">
        <v>1421</v>
      </c>
      <c r="I3122" s="2" t="s">
        <v>1421</v>
      </c>
      <c r="J3122" t="s">
        <v>12</v>
      </c>
      <c r="K3122" s="2" t="str">
        <f>IFERROR(INDEX(Product_lookup[Category],MATCH(RawWorking[[#This Row],[ProductID]],Product_lookup[ProductID],0)),"")</f>
        <v>Home</v>
      </c>
      <c r="L3122" s="9" t="str">
        <f>IF(OR(RawWorking[[#This Row],[ShipDate]]="",RawWorking[[#This Row],[DeliveryDate]]=""),"",RawWorking[[#This Row],[DeliveryDate]]-RawWorking[[#This Row],[ShipDate]])</f>
        <v/>
      </c>
      <c r="M3122" s="9">
        <f>IF(COUNTIF(INDEX(RawWorking[OrderID],1):RawWorking[[#This Row],[OrderID]],RawWorking[[#This Row],[OrderID]])=1,1,0)</f>
        <v>1</v>
      </c>
      <c r="N3122" s="4">
        <f>IFERROR(RawWorking[[#This Row],[LineAmount]]/RawWorking[[#This Row],[Quantity]],"")</f>
        <v>199.81</v>
      </c>
    </row>
    <row r="3123" spans="1:14">
      <c r="A3123">
        <v>53122</v>
      </c>
      <c r="B3123">
        <v>31786</v>
      </c>
      <c r="C3123" s="2">
        <v>45970</v>
      </c>
      <c r="D3123">
        <v>2453</v>
      </c>
      <c r="E3123">
        <v>1004</v>
      </c>
      <c r="F3123">
        <v>3</v>
      </c>
      <c r="G3123">
        <v>551.22</v>
      </c>
      <c r="H3123" s="2">
        <v>45972</v>
      </c>
      <c r="I3123" s="2">
        <v>45979</v>
      </c>
      <c r="J3123" t="s">
        <v>9</v>
      </c>
      <c r="K3123" s="2" t="str">
        <f>IFERROR(INDEX(Product_lookup[Category],MATCH(RawWorking[[#This Row],[ProductID]],Product_lookup[ProductID],0)),"")</f>
        <v>Electronics</v>
      </c>
      <c r="L3123" s="9">
        <f>IF(OR(RawWorking[[#This Row],[ShipDate]]="",RawWorking[[#This Row],[DeliveryDate]]=""),"",RawWorking[[#This Row],[DeliveryDate]]-RawWorking[[#This Row],[ShipDate]])</f>
        <v>7</v>
      </c>
      <c r="M3123" s="9">
        <f>IF(COUNTIF(INDEX(RawWorking[OrderID],1):RawWorking[[#This Row],[OrderID]],RawWorking[[#This Row],[OrderID]])=1,1,0)</f>
        <v>1</v>
      </c>
      <c r="N3123" s="4">
        <f>IFERROR(RawWorking[[#This Row],[LineAmount]]/RawWorking[[#This Row],[Quantity]],"")</f>
        <v>183.74</v>
      </c>
    </row>
    <row r="3124" spans="1:14">
      <c r="A3124">
        <v>53123</v>
      </c>
      <c r="B3124">
        <v>31787</v>
      </c>
      <c r="C3124" s="2">
        <v>45896</v>
      </c>
      <c r="D3124">
        <v>2400</v>
      </c>
      <c r="E3124">
        <v>1015</v>
      </c>
      <c r="F3124">
        <v>1</v>
      </c>
      <c r="G3124">
        <v>119.74</v>
      </c>
      <c r="H3124" s="2">
        <v>45899</v>
      </c>
      <c r="I3124" s="2">
        <v>45905</v>
      </c>
      <c r="J3124" t="s">
        <v>9</v>
      </c>
      <c r="K3124" s="2" t="str">
        <f>IFERROR(INDEX(Product_lookup[Category],MATCH(RawWorking[[#This Row],[ProductID]],Product_lookup[ProductID],0)),"")</f>
        <v>Sports</v>
      </c>
      <c r="L3124" s="9">
        <f>IF(OR(RawWorking[[#This Row],[ShipDate]]="",RawWorking[[#This Row],[DeliveryDate]]=""),"",RawWorking[[#This Row],[DeliveryDate]]-RawWorking[[#This Row],[ShipDate]])</f>
        <v>6</v>
      </c>
      <c r="M3124" s="9">
        <f>IF(COUNTIF(INDEX(RawWorking[OrderID],1):RawWorking[[#This Row],[OrderID]],RawWorking[[#This Row],[OrderID]])=1,1,0)</f>
        <v>1</v>
      </c>
      <c r="N3124" s="4">
        <f>IFERROR(RawWorking[[#This Row],[LineAmount]]/RawWorking[[#This Row],[Quantity]],"")</f>
        <v>119.74</v>
      </c>
    </row>
    <row r="3125" spans="1:14">
      <c r="A3125">
        <v>53124</v>
      </c>
      <c r="B3125">
        <v>31788</v>
      </c>
      <c r="C3125" s="2">
        <v>45946</v>
      </c>
      <c r="D3125">
        <v>2054</v>
      </c>
      <c r="E3125">
        <v>1002</v>
      </c>
      <c r="F3125">
        <v>4</v>
      </c>
      <c r="G3125">
        <v>474.4</v>
      </c>
      <c r="H3125" s="2">
        <v>45948</v>
      </c>
      <c r="I3125" s="2">
        <v>45954</v>
      </c>
      <c r="J3125" t="s">
        <v>9</v>
      </c>
      <c r="K3125" s="2" t="str">
        <f>IFERROR(INDEX(Product_lookup[Category],MATCH(RawWorking[[#This Row],[ProductID]],Product_lookup[ProductID],0)),"")</f>
        <v>Electronics</v>
      </c>
      <c r="L3125" s="9">
        <f>IF(OR(RawWorking[[#This Row],[ShipDate]]="",RawWorking[[#This Row],[DeliveryDate]]=""),"",RawWorking[[#This Row],[DeliveryDate]]-RawWorking[[#This Row],[ShipDate]])</f>
        <v>6</v>
      </c>
      <c r="M3125" s="9">
        <f>IF(COUNTIF(INDEX(RawWorking[OrderID],1):RawWorking[[#This Row],[OrderID]],RawWorking[[#This Row],[OrderID]])=1,1,0)</f>
        <v>1</v>
      </c>
      <c r="N3125" s="4">
        <f>IFERROR(RawWorking[[#This Row],[LineAmount]]/RawWorking[[#This Row],[Quantity]],"")</f>
        <v>118.6</v>
      </c>
    </row>
    <row r="3126" spans="1:14">
      <c r="A3126">
        <v>53125</v>
      </c>
      <c r="B3126">
        <v>31789</v>
      </c>
      <c r="C3126" s="2">
        <v>45722</v>
      </c>
      <c r="D3126">
        <v>2387</v>
      </c>
      <c r="E3126">
        <v>1008</v>
      </c>
      <c r="F3126">
        <v>3</v>
      </c>
      <c r="G3126">
        <v>618.27</v>
      </c>
      <c r="H3126" s="2" t="s">
        <v>1421</v>
      </c>
      <c r="I3126" s="2" t="s">
        <v>1421</v>
      </c>
      <c r="J3126" t="s">
        <v>16</v>
      </c>
      <c r="K3126" s="2" t="str">
        <f>IFERROR(INDEX(Product_lookup[Category],MATCH(RawWorking[[#This Row],[ProductID]],Product_lookup[ProductID],0)),"")</f>
        <v>Home</v>
      </c>
      <c r="L3126" s="9" t="str">
        <f>IF(OR(RawWorking[[#This Row],[ShipDate]]="",RawWorking[[#This Row],[DeliveryDate]]=""),"",RawWorking[[#This Row],[DeliveryDate]]-RawWorking[[#This Row],[ShipDate]])</f>
        <v/>
      </c>
      <c r="M3126" s="9">
        <f>IF(COUNTIF(INDEX(RawWorking[OrderID],1):RawWorking[[#This Row],[OrderID]],RawWorking[[#This Row],[OrderID]])=1,1,0)</f>
        <v>1</v>
      </c>
      <c r="N3126" s="4">
        <f>IFERROR(RawWorking[[#This Row],[LineAmount]]/RawWorking[[#This Row],[Quantity]],"")</f>
        <v>206.09</v>
      </c>
    </row>
    <row r="3127" spans="1:14">
      <c r="A3127">
        <v>53126</v>
      </c>
      <c r="B3127">
        <v>31790</v>
      </c>
      <c r="C3127" s="2">
        <v>45660</v>
      </c>
      <c r="D3127">
        <v>2245</v>
      </c>
      <c r="E3127">
        <v>1001</v>
      </c>
      <c r="F3127">
        <v>2</v>
      </c>
      <c r="G3127">
        <v>406.08</v>
      </c>
      <c r="H3127" s="2">
        <v>45662</v>
      </c>
      <c r="I3127" s="2">
        <v>45670</v>
      </c>
      <c r="J3127" t="s">
        <v>9</v>
      </c>
      <c r="K3127" s="2" t="str">
        <f>IFERROR(INDEX(Product_lookup[Category],MATCH(RawWorking[[#This Row],[ProductID]],Product_lookup[ProductID],0)),"")</f>
        <v>Electronics</v>
      </c>
      <c r="L3127" s="9">
        <f>IF(OR(RawWorking[[#This Row],[ShipDate]]="",RawWorking[[#This Row],[DeliveryDate]]=""),"",RawWorking[[#This Row],[DeliveryDate]]-RawWorking[[#This Row],[ShipDate]])</f>
        <v>8</v>
      </c>
      <c r="M3127" s="9">
        <f>IF(COUNTIF(INDEX(RawWorking[OrderID],1):RawWorking[[#This Row],[OrderID]],RawWorking[[#This Row],[OrderID]])=1,1,0)</f>
        <v>1</v>
      </c>
      <c r="N3127" s="4">
        <f>IFERROR(RawWorking[[#This Row],[LineAmount]]/RawWorking[[#This Row],[Quantity]],"")</f>
        <v>203.04</v>
      </c>
    </row>
    <row r="3128" spans="1:14">
      <c r="A3128">
        <v>53127</v>
      </c>
      <c r="B3128">
        <v>31790</v>
      </c>
      <c r="C3128" s="2">
        <v>45660</v>
      </c>
      <c r="D3128">
        <v>2245</v>
      </c>
      <c r="E3128">
        <v>1014</v>
      </c>
      <c r="F3128">
        <v>1</v>
      </c>
      <c r="G3128">
        <v>215.34</v>
      </c>
      <c r="H3128" s="2">
        <v>45662</v>
      </c>
      <c r="I3128" s="2">
        <v>45670</v>
      </c>
      <c r="J3128" t="s">
        <v>9</v>
      </c>
      <c r="K3128" s="2" t="str">
        <f>IFERROR(INDEX(Product_lookup[Category],MATCH(RawWorking[[#This Row],[ProductID]],Product_lookup[ProductID],0)),"")</f>
        <v>Sports</v>
      </c>
      <c r="L3128" s="9">
        <f>IF(OR(RawWorking[[#This Row],[ShipDate]]="",RawWorking[[#This Row],[DeliveryDate]]=""),"",RawWorking[[#This Row],[DeliveryDate]]-RawWorking[[#This Row],[ShipDate]])</f>
        <v>8</v>
      </c>
      <c r="M3128" s="9">
        <f>IF(COUNTIF(INDEX(RawWorking[OrderID],1):RawWorking[[#This Row],[OrderID]],RawWorking[[#This Row],[OrderID]])=1,1,0)</f>
        <v>0</v>
      </c>
      <c r="N3128" s="4">
        <f>IFERROR(RawWorking[[#This Row],[LineAmount]]/RawWorking[[#This Row],[Quantity]],"")</f>
        <v>215.34</v>
      </c>
    </row>
    <row r="3129" spans="1:14">
      <c r="A3129">
        <v>53128</v>
      </c>
      <c r="B3129">
        <v>31791</v>
      </c>
      <c r="C3129" s="2">
        <v>45807</v>
      </c>
      <c r="D3129">
        <v>2029</v>
      </c>
      <c r="E3129">
        <v>1011</v>
      </c>
      <c r="F3129">
        <v>2</v>
      </c>
      <c r="G3129">
        <v>202.88</v>
      </c>
      <c r="H3129" s="2">
        <v>45810</v>
      </c>
      <c r="I3129" s="2">
        <v>45817</v>
      </c>
      <c r="J3129" t="s">
        <v>11</v>
      </c>
      <c r="K3129" s="2" t="str">
        <f>IFERROR(INDEX(Product_lookup[Category],MATCH(RawWorking[[#This Row],[ProductID]],Product_lookup[ProductID],0)),"")</f>
        <v>Office</v>
      </c>
      <c r="L3129" s="9">
        <f>IF(OR(RawWorking[[#This Row],[ShipDate]]="",RawWorking[[#This Row],[DeliveryDate]]=""),"",RawWorking[[#This Row],[DeliveryDate]]-RawWorking[[#This Row],[ShipDate]])</f>
        <v>7</v>
      </c>
      <c r="M3129" s="9">
        <f>IF(COUNTIF(INDEX(RawWorking[OrderID],1):RawWorking[[#This Row],[OrderID]],RawWorking[[#This Row],[OrderID]])=1,1,0)</f>
        <v>1</v>
      </c>
      <c r="N3129" s="4">
        <f>IFERROR(RawWorking[[#This Row],[LineAmount]]/RawWorking[[#This Row],[Quantity]],"")</f>
        <v>101.44</v>
      </c>
    </row>
    <row r="3130" spans="1:14">
      <c r="A3130">
        <v>53129</v>
      </c>
      <c r="B3130">
        <v>31792</v>
      </c>
      <c r="C3130" s="2">
        <v>45770</v>
      </c>
      <c r="D3130">
        <v>2197</v>
      </c>
      <c r="E3130">
        <v>1003</v>
      </c>
      <c r="F3130">
        <v>1</v>
      </c>
      <c r="G3130">
        <v>224.37</v>
      </c>
      <c r="H3130" s="2">
        <v>45773</v>
      </c>
      <c r="I3130" s="2">
        <v>45782</v>
      </c>
      <c r="J3130" t="s">
        <v>9</v>
      </c>
      <c r="K3130" s="2" t="str">
        <f>IFERROR(INDEX(Product_lookup[Category],MATCH(RawWorking[[#This Row],[ProductID]],Product_lookup[ProductID],0)),"")</f>
        <v>Electronics</v>
      </c>
      <c r="L3130" s="9">
        <f>IF(OR(RawWorking[[#This Row],[ShipDate]]="",RawWorking[[#This Row],[DeliveryDate]]=""),"",RawWorking[[#This Row],[DeliveryDate]]-RawWorking[[#This Row],[ShipDate]])</f>
        <v>9</v>
      </c>
      <c r="M3130" s="9">
        <f>IF(COUNTIF(INDEX(RawWorking[OrderID],1):RawWorking[[#This Row],[OrderID]],RawWorking[[#This Row],[OrderID]])=1,1,0)</f>
        <v>1</v>
      </c>
      <c r="N3130" s="4">
        <f>IFERROR(RawWorking[[#This Row],[LineAmount]]/RawWorking[[#This Row],[Quantity]],"")</f>
        <v>224.37</v>
      </c>
    </row>
    <row r="3131" spans="1:14">
      <c r="A3131">
        <v>53130</v>
      </c>
      <c r="B3131">
        <v>31793</v>
      </c>
      <c r="C3131" s="2">
        <v>45940</v>
      </c>
      <c r="D3131">
        <v>2226</v>
      </c>
      <c r="E3131">
        <v>1004</v>
      </c>
      <c r="F3131">
        <v>2</v>
      </c>
      <c r="G3131">
        <v>367.48</v>
      </c>
      <c r="H3131" s="2">
        <v>45941</v>
      </c>
      <c r="I3131" s="2">
        <v>45944</v>
      </c>
      <c r="J3131" t="s">
        <v>11</v>
      </c>
      <c r="K3131" s="2" t="str">
        <f>IFERROR(INDEX(Product_lookup[Category],MATCH(RawWorking[[#This Row],[ProductID]],Product_lookup[ProductID],0)),"")</f>
        <v>Electronics</v>
      </c>
      <c r="L3131" s="9">
        <f>IF(OR(RawWorking[[#This Row],[ShipDate]]="",RawWorking[[#This Row],[DeliveryDate]]=""),"",RawWorking[[#This Row],[DeliveryDate]]-RawWorking[[#This Row],[ShipDate]])</f>
        <v>3</v>
      </c>
      <c r="M3131" s="9">
        <f>IF(COUNTIF(INDEX(RawWorking[OrderID],1):RawWorking[[#This Row],[OrderID]],RawWorking[[#This Row],[OrderID]])=1,1,0)</f>
        <v>1</v>
      </c>
      <c r="N3131" s="4">
        <f>IFERROR(RawWorking[[#This Row],[LineAmount]]/RawWorking[[#This Row],[Quantity]],"")</f>
        <v>183.74</v>
      </c>
    </row>
    <row r="3132" spans="1:14">
      <c r="A3132">
        <v>53131</v>
      </c>
      <c r="B3132">
        <v>31794</v>
      </c>
      <c r="C3132" s="2">
        <v>45698</v>
      </c>
      <c r="D3132">
        <v>2172</v>
      </c>
      <c r="E3132">
        <v>1002</v>
      </c>
      <c r="F3132">
        <v>4</v>
      </c>
      <c r="G3132">
        <v>474.4</v>
      </c>
      <c r="H3132" s="2">
        <v>45700</v>
      </c>
      <c r="I3132" s="2">
        <v>45701</v>
      </c>
      <c r="J3132" t="s">
        <v>9</v>
      </c>
      <c r="K3132" s="2" t="str">
        <f>IFERROR(INDEX(Product_lookup[Category],MATCH(RawWorking[[#This Row],[ProductID]],Product_lookup[ProductID],0)),"")</f>
        <v>Electronics</v>
      </c>
      <c r="L3132" s="9">
        <f>IF(OR(RawWorking[[#This Row],[ShipDate]]="",RawWorking[[#This Row],[DeliveryDate]]=""),"",RawWorking[[#This Row],[DeliveryDate]]-RawWorking[[#This Row],[ShipDate]])</f>
        <v>1</v>
      </c>
      <c r="M3132" s="9">
        <f>IF(COUNTIF(INDEX(RawWorking[OrderID],1):RawWorking[[#This Row],[OrderID]],RawWorking[[#This Row],[OrderID]])=1,1,0)</f>
        <v>1</v>
      </c>
      <c r="N3132" s="4">
        <f>IFERROR(RawWorking[[#This Row],[LineAmount]]/RawWorking[[#This Row],[Quantity]],"")</f>
        <v>118.6</v>
      </c>
    </row>
    <row r="3133" spans="1:14">
      <c r="A3133">
        <v>53132</v>
      </c>
      <c r="B3133">
        <v>31794</v>
      </c>
      <c r="C3133" s="2">
        <v>45698</v>
      </c>
      <c r="D3133">
        <v>2172</v>
      </c>
      <c r="E3133">
        <v>1014</v>
      </c>
      <c r="F3133">
        <v>1</v>
      </c>
      <c r="G3133">
        <v>215.34</v>
      </c>
      <c r="H3133" s="2">
        <v>45699</v>
      </c>
      <c r="I3133" s="2">
        <v>45709</v>
      </c>
      <c r="J3133" t="s">
        <v>9</v>
      </c>
      <c r="K3133" s="2" t="str">
        <f>IFERROR(INDEX(Product_lookup[Category],MATCH(RawWorking[[#This Row],[ProductID]],Product_lookup[ProductID],0)),"")</f>
        <v>Sports</v>
      </c>
      <c r="L3133" s="9">
        <f>IF(OR(RawWorking[[#This Row],[ShipDate]]="",RawWorking[[#This Row],[DeliveryDate]]=""),"",RawWorking[[#This Row],[DeliveryDate]]-RawWorking[[#This Row],[ShipDate]])</f>
        <v>10</v>
      </c>
      <c r="M3133" s="9">
        <f>IF(COUNTIF(INDEX(RawWorking[OrderID],1):RawWorking[[#This Row],[OrderID]],RawWorking[[#This Row],[OrderID]])=1,1,0)</f>
        <v>0</v>
      </c>
      <c r="N3133" s="4">
        <f>IFERROR(RawWorking[[#This Row],[LineAmount]]/RawWorking[[#This Row],[Quantity]],"")</f>
        <v>215.34</v>
      </c>
    </row>
    <row r="3134" spans="1:14">
      <c r="A3134">
        <v>53133</v>
      </c>
      <c r="B3134">
        <v>31795</v>
      </c>
      <c r="C3134" s="2">
        <v>45841</v>
      </c>
      <c r="D3134">
        <v>2525</v>
      </c>
      <c r="E3134">
        <v>1011</v>
      </c>
      <c r="F3134">
        <v>4</v>
      </c>
      <c r="G3134">
        <v>405.76</v>
      </c>
      <c r="H3134" s="2">
        <v>45842</v>
      </c>
      <c r="I3134" s="2">
        <v>45845</v>
      </c>
      <c r="J3134" t="s">
        <v>9</v>
      </c>
      <c r="K3134" s="2" t="str">
        <f>IFERROR(INDEX(Product_lookup[Category],MATCH(RawWorking[[#This Row],[ProductID]],Product_lookup[ProductID],0)),"")</f>
        <v>Office</v>
      </c>
      <c r="L3134" s="9">
        <f>IF(OR(RawWorking[[#This Row],[ShipDate]]="",RawWorking[[#This Row],[DeliveryDate]]=""),"",RawWorking[[#This Row],[DeliveryDate]]-RawWorking[[#This Row],[ShipDate]])</f>
        <v>3</v>
      </c>
      <c r="M3134" s="9">
        <f>IF(COUNTIF(INDEX(RawWorking[OrderID],1):RawWorking[[#This Row],[OrderID]],RawWorking[[#This Row],[OrderID]])=1,1,0)</f>
        <v>1</v>
      </c>
      <c r="N3134" s="4">
        <f>IFERROR(RawWorking[[#This Row],[LineAmount]]/RawWorking[[#This Row],[Quantity]],"")</f>
        <v>101.44</v>
      </c>
    </row>
    <row r="3135" spans="1:14">
      <c r="A3135">
        <v>53134</v>
      </c>
      <c r="B3135">
        <v>31796</v>
      </c>
      <c r="C3135" s="2">
        <v>45983</v>
      </c>
      <c r="D3135">
        <v>2331</v>
      </c>
      <c r="E3135">
        <v>1007</v>
      </c>
      <c r="F3135">
        <v>1</v>
      </c>
      <c r="G3135">
        <v>199.81</v>
      </c>
      <c r="H3135" s="2">
        <v>45984</v>
      </c>
      <c r="I3135" s="2">
        <v>45994</v>
      </c>
      <c r="J3135" t="s">
        <v>9</v>
      </c>
      <c r="K3135" s="2" t="str">
        <f>IFERROR(INDEX(Product_lookup[Category],MATCH(RawWorking[[#This Row],[ProductID]],Product_lookup[ProductID],0)),"")</f>
        <v>Home</v>
      </c>
      <c r="L3135" s="9">
        <f>IF(OR(RawWorking[[#This Row],[ShipDate]]="",RawWorking[[#This Row],[DeliveryDate]]=""),"",RawWorking[[#This Row],[DeliveryDate]]-RawWorking[[#This Row],[ShipDate]])</f>
        <v>10</v>
      </c>
      <c r="M3135" s="9">
        <f>IF(COUNTIF(INDEX(RawWorking[OrderID],1):RawWorking[[#This Row],[OrderID]],RawWorking[[#This Row],[OrderID]])=1,1,0)</f>
        <v>1</v>
      </c>
      <c r="N3135" s="4">
        <f>IFERROR(RawWorking[[#This Row],[LineAmount]]/RawWorking[[#This Row],[Quantity]],"")</f>
        <v>199.81</v>
      </c>
    </row>
    <row r="3136" spans="1:14">
      <c r="A3136">
        <v>53135</v>
      </c>
      <c r="B3136">
        <v>31796</v>
      </c>
      <c r="C3136" s="2">
        <v>45983</v>
      </c>
      <c r="D3136">
        <v>2331</v>
      </c>
      <c r="E3136">
        <v>1007</v>
      </c>
      <c r="F3136">
        <v>2</v>
      </c>
      <c r="G3136">
        <v>399.62</v>
      </c>
      <c r="H3136" s="2">
        <v>45985</v>
      </c>
      <c r="I3136" s="2">
        <v>45992</v>
      </c>
      <c r="J3136" t="s">
        <v>9</v>
      </c>
      <c r="K3136" s="2" t="str">
        <f>IFERROR(INDEX(Product_lookup[Category],MATCH(RawWorking[[#This Row],[ProductID]],Product_lookup[ProductID],0)),"")</f>
        <v>Home</v>
      </c>
      <c r="L3136" s="9">
        <f>IF(OR(RawWorking[[#This Row],[ShipDate]]="",RawWorking[[#This Row],[DeliveryDate]]=""),"",RawWorking[[#This Row],[DeliveryDate]]-RawWorking[[#This Row],[ShipDate]])</f>
        <v>7</v>
      </c>
      <c r="M3136" s="9">
        <f>IF(COUNTIF(INDEX(RawWorking[OrderID],1):RawWorking[[#This Row],[OrderID]],RawWorking[[#This Row],[OrderID]])=1,1,0)</f>
        <v>0</v>
      </c>
      <c r="N3136" s="4">
        <f>IFERROR(RawWorking[[#This Row],[LineAmount]]/RawWorking[[#This Row],[Quantity]],"")</f>
        <v>199.81</v>
      </c>
    </row>
    <row r="3137" spans="1:14">
      <c r="A3137">
        <v>53136</v>
      </c>
      <c r="B3137">
        <v>31797</v>
      </c>
      <c r="C3137" s="2">
        <v>45787</v>
      </c>
      <c r="D3137">
        <v>2555</v>
      </c>
      <c r="E3137">
        <v>1014</v>
      </c>
      <c r="F3137">
        <v>1</v>
      </c>
      <c r="G3137">
        <v>215.34</v>
      </c>
      <c r="H3137" s="2">
        <v>45790</v>
      </c>
      <c r="I3137" s="2">
        <v>45791</v>
      </c>
      <c r="J3137" t="s">
        <v>9</v>
      </c>
      <c r="K3137" s="2" t="str">
        <f>IFERROR(INDEX(Product_lookup[Category],MATCH(RawWorking[[#This Row],[ProductID]],Product_lookup[ProductID],0)),"")</f>
        <v>Sports</v>
      </c>
      <c r="L3137" s="9">
        <f>IF(OR(RawWorking[[#This Row],[ShipDate]]="",RawWorking[[#This Row],[DeliveryDate]]=""),"",RawWorking[[#This Row],[DeliveryDate]]-RawWorking[[#This Row],[ShipDate]])</f>
        <v>1</v>
      </c>
      <c r="M3137" s="9">
        <f>IF(COUNTIF(INDEX(RawWorking[OrderID],1):RawWorking[[#This Row],[OrderID]],RawWorking[[#This Row],[OrderID]])=1,1,0)</f>
        <v>1</v>
      </c>
      <c r="N3137" s="4">
        <f>IFERROR(RawWorking[[#This Row],[LineAmount]]/RawWorking[[#This Row],[Quantity]],"")</f>
        <v>215.34</v>
      </c>
    </row>
    <row r="3138" spans="1:14">
      <c r="A3138">
        <v>53137</v>
      </c>
      <c r="B3138">
        <v>31797</v>
      </c>
      <c r="C3138" s="2">
        <v>45787</v>
      </c>
      <c r="D3138">
        <v>2555</v>
      </c>
      <c r="E3138">
        <v>1004</v>
      </c>
      <c r="F3138">
        <v>1</v>
      </c>
      <c r="G3138">
        <v>183.74</v>
      </c>
      <c r="H3138" s="2">
        <v>45789</v>
      </c>
      <c r="I3138" s="2">
        <v>45796</v>
      </c>
      <c r="J3138" t="s">
        <v>9</v>
      </c>
      <c r="K3138" s="2" t="str">
        <f>IFERROR(INDEX(Product_lookup[Category],MATCH(RawWorking[[#This Row],[ProductID]],Product_lookup[ProductID],0)),"")</f>
        <v>Electronics</v>
      </c>
      <c r="L3138" s="9">
        <f>IF(OR(RawWorking[[#This Row],[ShipDate]]="",RawWorking[[#This Row],[DeliveryDate]]=""),"",RawWorking[[#This Row],[DeliveryDate]]-RawWorking[[#This Row],[ShipDate]])</f>
        <v>7</v>
      </c>
      <c r="M3138" s="9">
        <f>IF(COUNTIF(INDEX(RawWorking[OrderID],1):RawWorking[[#This Row],[OrderID]],RawWorking[[#This Row],[OrderID]])=1,1,0)</f>
        <v>0</v>
      </c>
      <c r="N3138" s="4">
        <f>IFERROR(RawWorking[[#This Row],[LineAmount]]/RawWorking[[#This Row],[Quantity]],"")</f>
        <v>183.74</v>
      </c>
    </row>
    <row r="3139" spans="1:14">
      <c r="A3139">
        <v>53138</v>
      </c>
      <c r="B3139">
        <v>31798</v>
      </c>
      <c r="C3139" s="2">
        <v>45848</v>
      </c>
      <c r="D3139">
        <v>2238</v>
      </c>
      <c r="E3139">
        <v>1012</v>
      </c>
      <c r="F3139">
        <v>1</v>
      </c>
      <c r="G3139">
        <v>241.54</v>
      </c>
      <c r="H3139" s="2">
        <v>45849</v>
      </c>
      <c r="I3139" s="2">
        <v>45858</v>
      </c>
      <c r="J3139" t="s">
        <v>9</v>
      </c>
      <c r="K3139" s="2" t="str">
        <f>IFERROR(INDEX(Product_lookup[Category],MATCH(RawWorking[[#This Row],[ProductID]],Product_lookup[ProductID],0)),"")</f>
        <v>Office</v>
      </c>
      <c r="L3139" s="9">
        <f>IF(OR(RawWorking[[#This Row],[ShipDate]]="",RawWorking[[#This Row],[DeliveryDate]]=""),"",RawWorking[[#This Row],[DeliveryDate]]-RawWorking[[#This Row],[ShipDate]])</f>
        <v>9</v>
      </c>
      <c r="M3139" s="9">
        <f>IF(COUNTIF(INDEX(RawWorking[OrderID],1):RawWorking[[#This Row],[OrderID]],RawWorking[[#This Row],[OrderID]])=1,1,0)</f>
        <v>1</v>
      </c>
      <c r="N3139" s="4">
        <f>IFERROR(RawWorking[[#This Row],[LineAmount]]/RawWorking[[#This Row],[Quantity]],"")</f>
        <v>241.54</v>
      </c>
    </row>
    <row r="3140" spans="1:14">
      <c r="A3140">
        <v>53139</v>
      </c>
      <c r="B3140">
        <v>31799</v>
      </c>
      <c r="C3140" s="2">
        <v>45953</v>
      </c>
      <c r="D3140">
        <v>2332</v>
      </c>
      <c r="E3140">
        <v>1013</v>
      </c>
      <c r="F3140">
        <v>1</v>
      </c>
      <c r="G3140">
        <v>170.25</v>
      </c>
      <c r="H3140" s="2">
        <v>45955</v>
      </c>
      <c r="I3140" s="2">
        <v>45959</v>
      </c>
      <c r="J3140" t="s">
        <v>9</v>
      </c>
      <c r="K3140" s="2" t="str">
        <f>IFERROR(INDEX(Product_lookup[Category],MATCH(RawWorking[[#This Row],[ProductID]],Product_lookup[ProductID],0)),"")</f>
        <v>Office</v>
      </c>
      <c r="L3140" s="9">
        <f>IF(OR(RawWorking[[#This Row],[ShipDate]]="",RawWorking[[#This Row],[DeliveryDate]]=""),"",RawWorking[[#This Row],[DeliveryDate]]-RawWorking[[#This Row],[ShipDate]])</f>
        <v>4</v>
      </c>
      <c r="M3140" s="9">
        <f>IF(COUNTIF(INDEX(RawWorking[OrderID],1):RawWorking[[#This Row],[OrderID]],RawWorking[[#This Row],[OrderID]])=1,1,0)</f>
        <v>1</v>
      </c>
      <c r="N3140" s="4">
        <f>IFERROR(RawWorking[[#This Row],[LineAmount]]/RawWorking[[#This Row],[Quantity]],"")</f>
        <v>170.25</v>
      </c>
    </row>
    <row r="3141" spans="1:14">
      <c r="A3141">
        <v>53140</v>
      </c>
      <c r="B3141">
        <v>31800</v>
      </c>
      <c r="C3141" s="2">
        <v>45742</v>
      </c>
      <c r="D3141">
        <v>2324</v>
      </c>
      <c r="E3141">
        <v>1007</v>
      </c>
      <c r="F3141">
        <v>1</v>
      </c>
      <c r="G3141">
        <v>199.81</v>
      </c>
      <c r="H3141" s="2">
        <v>45743</v>
      </c>
      <c r="I3141" s="2">
        <v>45746</v>
      </c>
      <c r="J3141" t="s">
        <v>9</v>
      </c>
      <c r="K3141" s="2" t="str">
        <f>IFERROR(INDEX(Product_lookup[Category],MATCH(RawWorking[[#This Row],[ProductID]],Product_lookup[ProductID],0)),"")</f>
        <v>Home</v>
      </c>
      <c r="L3141" s="9">
        <f>IF(OR(RawWorking[[#This Row],[ShipDate]]="",RawWorking[[#This Row],[DeliveryDate]]=""),"",RawWorking[[#This Row],[DeliveryDate]]-RawWorking[[#This Row],[ShipDate]])</f>
        <v>3</v>
      </c>
      <c r="M3141" s="9">
        <f>IF(COUNTIF(INDEX(RawWorking[OrderID],1):RawWorking[[#This Row],[OrderID]],RawWorking[[#This Row],[OrderID]])=1,1,0)</f>
        <v>1</v>
      </c>
      <c r="N3141" s="4">
        <f>IFERROR(RawWorking[[#This Row],[LineAmount]]/RawWorking[[#This Row],[Quantity]],"")</f>
        <v>199.81</v>
      </c>
    </row>
    <row r="3142" spans="1:14">
      <c r="A3142">
        <v>53141</v>
      </c>
      <c r="B3142">
        <v>31800</v>
      </c>
      <c r="C3142" s="2">
        <v>45742</v>
      </c>
      <c r="D3142">
        <v>2324</v>
      </c>
      <c r="E3142">
        <v>1015</v>
      </c>
      <c r="F3142">
        <v>3</v>
      </c>
      <c r="G3142">
        <v>359.22</v>
      </c>
      <c r="H3142" s="2">
        <v>45743</v>
      </c>
      <c r="I3142" s="2">
        <v>45744</v>
      </c>
      <c r="J3142" t="s">
        <v>9</v>
      </c>
      <c r="K3142" s="2" t="str">
        <f>IFERROR(INDEX(Product_lookup[Category],MATCH(RawWorking[[#This Row],[ProductID]],Product_lookup[ProductID],0)),"")</f>
        <v>Sports</v>
      </c>
      <c r="L3142" s="9">
        <f>IF(OR(RawWorking[[#This Row],[ShipDate]]="",RawWorking[[#This Row],[DeliveryDate]]=""),"",RawWorking[[#This Row],[DeliveryDate]]-RawWorking[[#This Row],[ShipDate]])</f>
        <v>1</v>
      </c>
      <c r="M3142" s="9">
        <f>IF(COUNTIF(INDEX(RawWorking[OrderID],1):RawWorking[[#This Row],[OrderID]],RawWorking[[#This Row],[OrderID]])=1,1,0)</f>
        <v>0</v>
      </c>
      <c r="N3142" s="4">
        <f>IFERROR(RawWorking[[#This Row],[LineAmount]]/RawWorking[[#This Row],[Quantity]],"")</f>
        <v>119.74000000000001</v>
      </c>
    </row>
    <row r="3143" spans="1:14">
      <c r="A3143">
        <v>51549</v>
      </c>
      <c r="B3143">
        <v>30901</v>
      </c>
      <c r="C3143" s="2">
        <v>45865</v>
      </c>
      <c r="D3143">
        <v>2223</v>
      </c>
      <c r="E3143">
        <v>1010</v>
      </c>
      <c r="F3143">
        <v>2</v>
      </c>
      <c r="G3143">
        <v>243</v>
      </c>
      <c r="H3143" s="2">
        <v>45867</v>
      </c>
      <c r="I3143" s="2">
        <v>45868</v>
      </c>
      <c r="J3143" t="s">
        <v>9</v>
      </c>
      <c r="K3143" s="2" t="str">
        <f>IFERROR(INDEX(Product_lookup[Category],MATCH(RawWorking[[#This Row],[ProductID]],Product_lookup[ProductID],0)),"")</f>
        <v>Office</v>
      </c>
      <c r="L3143" s="9">
        <f>IF(OR(RawWorking[[#This Row],[ShipDate]]="",RawWorking[[#This Row],[DeliveryDate]]=""),"",RawWorking[[#This Row],[DeliveryDate]]-RawWorking[[#This Row],[ShipDate]])</f>
        <v>1</v>
      </c>
      <c r="M3143" s="9">
        <f>IF(COUNTIF(INDEX(RawWorking[OrderID],1):RawWorking[[#This Row],[OrderID]],RawWorking[[#This Row],[OrderID]])=1,1,0)</f>
        <v>0</v>
      </c>
      <c r="N3143" s="4">
        <f>IFERROR(RawWorking[[#This Row],[LineAmount]]/RawWorking[[#This Row],[Quantity]],"")</f>
        <v>121.5</v>
      </c>
    </row>
    <row r="3144" spans="1:14">
      <c r="A3144">
        <v>50764</v>
      </c>
      <c r="B3144">
        <v>30431</v>
      </c>
      <c r="C3144" s="2">
        <v>45972</v>
      </c>
      <c r="D3144">
        <v>2269</v>
      </c>
      <c r="E3144">
        <v>1013</v>
      </c>
      <c r="F3144">
        <v>1</v>
      </c>
      <c r="G3144">
        <v>170.25</v>
      </c>
      <c r="H3144" s="2">
        <v>45973</v>
      </c>
      <c r="I3144" s="2">
        <v>45975</v>
      </c>
      <c r="J3144" t="s">
        <v>9</v>
      </c>
      <c r="K3144" s="2" t="str">
        <f>IFERROR(INDEX(Product_lookup[Category],MATCH(RawWorking[[#This Row],[ProductID]],Product_lookup[ProductID],0)),"")</f>
        <v>Office</v>
      </c>
      <c r="L3144" s="9">
        <f>IF(OR(RawWorking[[#This Row],[ShipDate]]="",RawWorking[[#This Row],[DeliveryDate]]=""),"",RawWorking[[#This Row],[DeliveryDate]]-RawWorking[[#This Row],[ShipDate]])</f>
        <v>2</v>
      </c>
      <c r="M3144" s="9">
        <f>IF(COUNTIF(INDEX(RawWorking[OrderID],1):RawWorking[[#This Row],[OrderID]],RawWorking[[#This Row],[OrderID]])=1,1,0)</f>
        <v>0</v>
      </c>
      <c r="N3144" s="4">
        <f>IFERROR(RawWorking[[#This Row],[LineAmount]]/RawWorking[[#This Row],[Quantity]],"")</f>
        <v>170.25</v>
      </c>
    </row>
    <row r="3145" spans="1:14">
      <c r="A3145">
        <v>50921</v>
      </c>
      <c r="B3145">
        <v>30521</v>
      </c>
      <c r="C3145" s="2">
        <v>46004</v>
      </c>
      <c r="D3145">
        <v>2449</v>
      </c>
      <c r="E3145">
        <v>1014</v>
      </c>
      <c r="F3145">
        <v>4</v>
      </c>
      <c r="G3145">
        <v>861.36</v>
      </c>
      <c r="H3145" s="2">
        <v>46006</v>
      </c>
      <c r="I3145" s="2">
        <v>46016</v>
      </c>
      <c r="J3145" t="s">
        <v>9</v>
      </c>
      <c r="K3145" s="2" t="str">
        <f>IFERROR(INDEX(Product_lookup[Category],MATCH(RawWorking[[#This Row],[ProductID]],Product_lookup[ProductID],0)),"")</f>
        <v>Sports</v>
      </c>
      <c r="L3145" s="9">
        <f>IF(OR(RawWorking[[#This Row],[ShipDate]]="",RawWorking[[#This Row],[DeliveryDate]]=""),"",RawWorking[[#This Row],[DeliveryDate]]-RawWorking[[#This Row],[ShipDate]])</f>
        <v>10</v>
      </c>
      <c r="M3145" s="9">
        <f>IF(COUNTIF(INDEX(RawWorking[OrderID],1):RawWorking[[#This Row],[OrderID]],RawWorking[[#This Row],[OrderID]])=1,1,0)</f>
        <v>0</v>
      </c>
      <c r="N3145" s="4">
        <f>IFERROR(RawWorking[[#This Row],[LineAmount]]/RawWorking[[#This Row],[Quantity]],"")</f>
        <v>215.34</v>
      </c>
    </row>
    <row r="3146" spans="1:14">
      <c r="A3146">
        <v>52791</v>
      </c>
      <c r="B3146">
        <v>31600</v>
      </c>
      <c r="C3146" s="2">
        <v>45832</v>
      </c>
      <c r="D3146">
        <v>2311</v>
      </c>
      <c r="E3146">
        <v>1001</v>
      </c>
      <c r="F3146">
        <v>1</v>
      </c>
      <c r="G3146">
        <v>203.04</v>
      </c>
      <c r="H3146" s="2">
        <v>45834</v>
      </c>
      <c r="I3146" s="2">
        <v>45837</v>
      </c>
      <c r="J3146" t="s">
        <v>9</v>
      </c>
      <c r="K3146" s="2" t="str">
        <f>IFERROR(INDEX(Product_lookup[Category],MATCH(RawWorking[[#This Row],[ProductID]],Product_lookup[ProductID],0)),"")</f>
        <v>Electronics</v>
      </c>
      <c r="L3146" s="9">
        <f>IF(OR(RawWorking[[#This Row],[ShipDate]]="",RawWorking[[#This Row],[DeliveryDate]]=""),"",RawWorking[[#This Row],[DeliveryDate]]-RawWorking[[#This Row],[ShipDate]])</f>
        <v>3</v>
      </c>
      <c r="M3146" s="9">
        <f>IF(COUNTIF(INDEX(RawWorking[OrderID],1):RawWorking[[#This Row],[OrderID]],RawWorking[[#This Row],[OrderID]])=1,1,0)</f>
        <v>0</v>
      </c>
      <c r="N3146" s="4">
        <f>IFERROR(RawWorking[[#This Row],[LineAmount]]/RawWorking[[#This Row],[Quantity]],"")</f>
        <v>203.04</v>
      </c>
    </row>
    <row r="3147" spans="1:14">
      <c r="A3147">
        <v>50211</v>
      </c>
      <c r="B3147">
        <v>30121</v>
      </c>
      <c r="C3147" s="2">
        <v>45752</v>
      </c>
      <c r="D3147">
        <v>2476</v>
      </c>
      <c r="E3147">
        <v>1016</v>
      </c>
      <c r="F3147">
        <v>1</v>
      </c>
      <c r="G3147">
        <v>65.260000000000005</v>
      </c>
      <c r="H3147" s="2">
        <v>45753</v>
      </c>
      <c r="I3147" s="2">
        <v>45758</v>
      </c>
      <c r="J3147" t="s">
        <v>11</v>
      </c>
      <c r="K3147" s="2" t="str">
        <f>IFERROR(INDEX(Product_lookup[Category],MATCH(RawWorking[[#This Row],[ProductID]],Product_lookup[ProductID],0)),"")</f>
        <v>Sports</v>
      </c>
      <c r="L3147" s="9">
        <f>IF(OR(RawWorking[[#This Row],[ShipDate]]="",RawWorking[[#This Row],[DeliveryDate]]=""),"",RawWorking[[#This Row],[DeliveryDate]]-RawWorking[[#This Row],[ShipDate]])</f>
        <v>5</v>
      </c>
      <c r="M3147" s="9">
        <f>IF(COUNTIF(INDEX(RawWorking[OrderID],1):RawWorking[[#This Row],[OrderID]],RawWorking[[#This Row],[OrderID]])=1,1,0)</f>
        <v>0</v>
      </c>
      <c r="N3147" s="4">
        <f>IFERROR(RawWorking[[#This Row],[LineAmount]]/RawWorking[[#This Row],[Quantity]],"")</f>
        <v>65.260000000000005</v>
      </c>
    </row>
    <row r="3148" spans="1:14">
      <c r="A3148">
        <v>52056</v>
      </c>
      <c r="B3148">
        <v>31193</v>
      </c>
      <c r="C3148" s="2">
        <v>45712</v>
      </c>
      <c r="D3148">
        <v>2109</v>
      </c>
      <c r="E3148">
        <v>1009</v>
      </c>
      <c r="F3148">
        <v>1</v>
      </c>
      <c r="G3148">
        <v>40.28</v>
      </c>
      <c r="H3148" s="2" t="s">
        <v>1421</v>
      </c>
      <c r="I3148" s="2" t="s">
        <v>1421</v>
      </c>
      <c r="J3148" t="s">
        <v>12</v>
      </c>
      <c r="K3148" s="2" t="str">
        <f>IFERROR(INDEX(Product_lookup[Category],MATCH(RawWorking[[#This Row],[ProductID]],Product_lookup[ProductID],0)),"")</f>
        <v>Home</v>
      </c>
      <c r="L3148" s="9" t="str">
        <f>IF(OR(RawWorking[[#This Row],[ShipDate]]="",RawWorking[[#This Row],[DeliveryDate]]=""),"",RawWorking[[#This Row],[DeliveryDate]]-RawWorking[[#This Row],[ShipDate]])</f>
        <v/>
      </c>
      <c r="M3148" s="9">
        <f>IF(COUNTIF(INDEX(RawWorking[OrderID],1):RawWorking[[#This Row],[OrderID]],RawWorking[[#This Row],[OrderID]])=1,1,0)</f>
        <v>0</v>
      </c>
      <c r="N3148" s="4">
        <f>IFERROR(RawWorking[[#This Row],[LineAmount]]/RawWorking[[#This Row],[Quantity]],"")</f>
        <v>40.28</v>
      </c>
    </row>
    <row r="3149" spans="1:14">
      <c r="A3149">
        <v>51431</v>
      </c>
      <c r="B3149">
        <v>30829</v>
      </c>
      <c r="C3149" s="2">
        <v>45689</v>
      </c>
      <c r="D3149">
        <v>2078</v>
      </c>
      <c r="E3149">
        <v>1011</v>
      </c>
      <c r="F3149">
        <v>1</v>
      </c>
      <c r="G3149">
        <v>101.44</v>
      </c>
      <c r="H3149" s="2">
        <v>45718</v>
      </c>
      <c r="I3149" s="2">
        <v>45993</v>
      </c>
      <c r="J3149" t="s">
        <v>9</v>
      </c>
      <c r="K3149" s="2" t="str">
        <f>IFERROR(INDEX(Product_lookup[Category],MATCH(RawWorking[[#This Row],[ProductID]],Product_lookup[ProductID],0)),"")</f>
        <v>Office</v>
      </c>
      <c r="L3149" s="9">
        <f>IF(OR(RawWorking[[#This Row],[ShipDate]]="",RawWorking[[#This Row],[DeliveryDate]]=""),"",RawWorking[[#This Row],[DeliveryDate]]-RawWorking[[#This Row],[ShipDate]])</f>
        <v>275</v>
      </c>
      <c r="M3149" s="9">
        <f>IF(COUNTIF(INDEX(RawWorking[OrderID],1):RawWorking[[#This Row],[OrderID]],RawWorking[[#This Row],[OrderID]])=1,1,0)</f>
        <v>0</v>
      </c>
      <c r="N3149" s="4">
        <f>IFERROR(RawWorking[[#This Row],[LineAmount]]/RawWorking[[#This Row],[Quantity]],"")</f>
        <v>101.44</v>
      </c>
    </row>
    <row r="3150" spans="1:14">
      <c r="A3150">
        <v>51322</v>
      </c>
      <c r="B3150">
        <v>30766</v>
      </c>
      <c r="C3150" s="2">
        <v>45975</v>
      </c>
      <c r="D3150">
        <v>2106</v>
      </c>
      <c r="E3150">
        <v>1009</v>
      </c>
      <c r="F3150">
        <v>1</v>
      </c>
      <c r="G3150">
        <v>40.28</v>
      </c>
      <c r="H3150" s="2">
        <v>45976</v>
      </c>
      <c r="I3150" s="2">
        <v>45978</v>
      </c>
      <c r="J3150" t="s">
        <v>9</v>
      </c>
      <c r="K3150" s="2" t="str">
        <f>IFERROR(INDEX(Product_lookup[Category],MATCH(RawWorking[[#This Row],[ProductID]],Product_lookup[ProductID],0)),"")</f>
        <v>Home</v>
      </c>
      <c r="L3150" s="9">
        <f>IF(OR(RawWorking[[#This Row],[ShipDate]]="",RawWorking[[#This Row],[DeliveryDate]]=""),"",RawWorking[[#This Row],[DeliveryDate]]-RawWorking[[#This Row],[ShipDate]])</f>
        <v>2</v>
      </c>
      <c r="M3150" s="9">
        <f>IF(COUNTIF(INDEX(RawWorking[OrderID],1):RawWorking[[#This Row],[OrderID]],RawWorking[[#This Row],[OrderID]])=1,1,0)</f>
        <v>0</v>
      </c>
      <c r="N3150" s="4">
        <f>IFERROR(RawWorking[[#This Row],[LineAmount]]/RawWorking[[#This Row],[Quantity]],"")</f>
        <v>40.28</v>
      </c>
    </row>
    <row r="3151" spans="1:14">
      <c r="A3151">
        <v>50119</v>
      </c>
      <c r="B3151">
        <v>30070</v>
      </c>
      <c r="C3151" s="2">
        <v>45806</v>
      </c>
      <c r="D3151">
        <v>2058</v>
      </c>
      <c r="E3151">
        <v>1003</v>
      </c>
      <c r="F3151">
        <v>2</v>
      </c>
      <c r="G3151">
        <v>448.74</v>
      </c>
      <c r="H3151" s="2">
        <v>45808</v>
      </c>
      <c r="I3151" s="2">
        <v>45818</v>
      </c>
      <c r="J3151" t="s">
        <v>9</v>
      </c>
      <c r="K3151" s="2" t="str">
        <f>IFERROR(INDEX(Product_lookup[Category],MATCH(RawWorking[[#This Row],[ProductID]],Product_lookup[ProductID],0)),"")</f>
        <v>Electronics</v>
      </c>
      <c r="L3151" s="9">
        <f>IF(OR(RawWorking[[#This Row],[ShipDate]]="",RawWorking[[#This Row],[DeliveryDate]]=""),"",RawWorking[[#This Row],[DeliveryDate]]-RawWorking[[#This Row],[ShipDate]])</f>
        <v>10</v>
      </c>
      <c r="M3151" s="9">
        <f>IF(COUNTIF(INDEX(RawWorking[OrderID],1):RawWorking[[#This Row],[OrderID]],RawWorking[[#This Row],[OrderID]])=1,1,0)</f>
        <v>0</v>
      </c>
      <c r="N3151" s="4">
        <f>IFERROR(RawWorking[[#This Row],[LineAmount]]/RawWorking[[#This Row],[Quantity]],"")</f>
        <v>224.37</v>
      </c>
    </row>
    <row r="3152" spans="1:14">
      <c r="A3152">
        <v>50266</v>
      </c>
      <c r="B3152">
        <v>30150</v>
      </c>
      <c r="C3152" s="2">
        <v>45912</v>
      </c>
      <c r="D3152">
        <v>2143</v>
      </c>
      <c r="E3152">
        <v>1016</v>
      </c>
      <c r="F3152">
        <v>1</v>
      </c>
      <c r="G3152">
        <v>65.260000000000005</v>
      </c>
      <c r="H3152" s="2">
        <v>45914</v>
      </c>
      <c r="I3152" s="2">
        <v>45918</v>
      </c>
      <c r="J3152" t="s">
        <v>9</v>
      </c>
      <c r="K3152" s="2" t="str">
        <f>IFERROR(INDEX(Product_lookup[Category],MATCH(RawWorking[[#This Row],[ProductID]],Product_lookup[ProductID],0)),"")</f>
        <v>Sports</v>
      </c>
      <c r="L3152" s="9">
        <f>IF(OR(RawWorking[[#This Row],[ShipDate]]="",RawWorking[[#This Row],[DeliveryDate]]=""),"",RawWorking[[#This Row],[DeliveryDate]]-RawWorking[[#This Row],[ShipDate]])</f>
        <v>4</v>
      </c>
      <c r="M3152" s="9">
        <f>IF(COUNTIF(INDEX(RawWorking[OrderID],1):RawWorking[[#This Row],[OrderID]],RawWorking[[#This Row],[OrderID]])=1,1,0)</f>
        <v>0</v>
      </c>
      <c r="N3152" s="4">
        <f>IFERROR(RawWorking[[#This Row],[LineAmount]]/RawWorking[[#This Row],[Quantity]],"")</f>
        <v>65.260000000000005</v>
      </c>
    </row>
    <row r="3153" spans="1:14">
      <c r="A3153">
        <v>51873</v>
      </c>
      <c r="B3153">
        <v>31084</v>
      </c>
      <c r="C3153" s="2">
        <v>45881</v>
      </c>
      <c r="D3153">
        <v>2222</v>
      </c>
      <c r="E3153">
        <v>1006</v>
      </c>
      <c r="F3153">
        <v>1</v>
      </c>
      <c r="G3153">
        <v>253.86</v>
      </c>
      <c r="H3153" s="2">
        <v>45882</v>
      </c>
      <c r="I3153" s="2">
        <v>45884</v>
      </c>
      <c r="J3153" t="s">
        <v>9</v>
      </c>
      <c r="K3153" s="2" t="str">
        <f>IFERROR(INDEX(Product_lookup[Category],MATCH(RawWorking[[#This Row],[ProductID]],Product_lookup[ProductID],0)),"")</f>
        <v>Home</v>
      </c>
      <c r="L3153" s="9">
        <f>IF(OR(RawWorking[[#This Row],[ShipDate]]="",RawWorking[[#This Row],[DeliveryDate]]=""),"",RawWorking[[#This Row],[DeliveryDate]]-RawWorking[[#This Row],[ShipDate]])</f>
        <v>2</v>
      </c>
      <c r="M3153" s="9">
        <f>IF(COUNTIF(INDEX(RawWorking[OrderID],1):RawWorking[[#This Row],[OrderID]],RawWorking[[#This Row],[OrderID]])=1,1,0)</f>
        <v>0</v>
      </c>
      <c r="N3153" s="4">
        <f>IFERROR(RawWorking[[#This Row],[LineAmount]]/RawWorking[[#This Row],[Quantity]],"")</f>
        <v>253.86</v>
      </c>
    </row>
    <row r="3154" spans="1:14">
      <c r="A3154">
        <v>52159</v>
      </c>
      <c r="B3154">
        <v>31252</v>
      </c>
      <c r="C3154" s="2">
        <v>45666</v>
      </c>
      <c r="D3154">
        <v>2352</v>
      </c>
      <c r="E3154">
        <v>1010</v>
      </c>
      <c r="F3154">
        <v>2</v>
      </c>
      <c r="G3154">
        <v>243</v>
      </c>
      <c r="H3154" s="2">
        <v>45668</v>
      </c>
      <c r="I3154" s="2">
        <v>45674</v>
      </c>
      <c r="J3154" t="s">
        <v>9</v>
      </c>
      <c r="K3154" s="2" t="str">
        <f>IFERROR(INDEX(Product_lookup[Category],MATCH(RawWorking[[#This Row],[ProductID]],Product_lookup[ProductID],0)),"")</f>
        <v>Office</v>
      </c>
      <c r="L3154" s="9">
        <f>IF(OR(RawWorking[[#This Row],[ShipDate]]="",RawWorking[[#This Row],[DeliveryDate]]=""),"",RawWorking[[#This Row],[DeliveryDate]]-RawWorking[[#This Row],[ShipDate]])</f>
        <v>6</v>
      </c>
      <c r="M3154" s="9">
        <f>IF(COUNTIF(INDEX(RawWorking[OrderID],1):RawWorking[[#This Row],[OrderID]],RawWorking[[#This Row],[OrderID]])=1,1,0)</f>
        <v>0</v>
      </c>
      <c r="N3154" s="4">
        <f>IFERROR(RawWorking[[#This Row],[LineAmount]]/RawWorking[[#This Row],[Quantity]],"")</f>
        <v>121.5</v>
      </c>
    </row>
    <row r="3155" spans="1:14">
      <c r="A3155">
        <v>50006</v>
      </c>
      <c r="B3155">
        <v>30004</v>
      </c>
      <c r="C3155" s="2">
        <v>45714</v>
      </c>
      <c r="D3155">
        <v>2558</v>
      </c>
      <c r="E3155">
        <v>1012</v>
      </c>
      <c r="F3155">
        <v>2</v>
      </c>
      <c r="G3155">
        <v>496.08</v>
      </c>
      <c r="H3155" s="2" t="s">
        <v>1421</v>
      </c>
      <c r="I3155" s="2" t="s">
        <v>1421</v>
      </c>
      <c r="J3155" t="s">
        <v>12</v>
      </c>
      <c r="K3155" s="2" t="str">
        <f>IFERROR(INDEX(Product_lookup[Category],MATCH(RawWorking[[#This Row],[ProductID]],Product_lookup[ProductID],0)),"")</f>
        <v>Office</v>
      </c>
      <c r="L3155" s="9" t="str">
        <f>IF(OR(RawWorking[[#This Row],[ShipDate]]="",RawWorking[[#This Row],[DeliveryDate]]=""),"",RawWorking[[#This Row],[DeliveryDate]]-RawWorking[[#This Row],[ShipDate]])</f>
        <v/>
      </c>
      <c r="M3155" s="9">
        <f>IF(COUNTIF(INDEX(RawWorking[OrderID],1):RawWorking[[#This Row],[OrderID]],RawWorking[[#This Row],[OrderID]])=1,1,0)</f>
        <v>0</v>
      </c>
      <c r="N3155" s="4">
        <f>IFERROR(RawWorking[[#This Row],[LineAmount]]/RawWorking[[#This Row],[Quantity]],"")</f>
        <v>248.04</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9D16C7-07E6-431C-B3BE-EAC0CF8A04B1}">
  <dimension ref="A1:J3155"/>
  <sheetViews>
    <sheetView topLeftCell="A13" workbookViewId="0">
      <selection activeCell="M20" sqref="M20"/>
    </sheetView>
  </sheetViews>
  <sheetFormatPr defaultRowHeight="14.4"/>
  <cols>
    <col min="1" max="1" width="13.21875" bestFit="1" customWidth="1"/>
    <col min="2" max="2" width="9.77734375" bestFit="1" customWidth="1"/>
    <col min="3" max="3" width="11.88671875" bestFit="1" customWidth="1"/>
    <col min="4" max="4" width="13.109375" bestFit="1" customWidth="1"/>
    <col min="5" max="5" width="11.6640625" bestFit="1" customWidth="1"/>
    <col min="6" max="6" width="10.5546875" bestFit="1" customWidth="1"/>
    <col min="7" max="7" width="13.5546875" bestFit="1" customWidth="1"/>
    <col min="8" max="8" width="13.21875" bestFit="1" customWidth="1"/>
    <col min="9" max="9" width="10.77734375" bestFit="1" customWidth="1"/>
    <col min="10" max="10" width="13.88671875" bestFit="1" customWidth="1"/>
  </cols>
  <sheetData>
    <row r="1" spans="1:10">
      <c r="A1" t="s">
        <v>0</v>
      </c>
      <c r="B1" t="s">
        <v>1</v>
      </c>
      <c r="C1" t="s">
        <v>2</v>
      </c>
      <c r="D1" t="s">
        <v>3</v>
      </c>
      <c r="E1" t="s">
        <v>4</v>
      </c>
      <c r="F1" t="s">
        <v>5</v>
      </c>
      <c r="G1" t="s">
        <v>6</v>
      </c>
      <c r="H1" t="s">
        <v>1445</v>
      </c>
      <c r="I1" t="s">
        <v>7</v>
      </c>
      <c r="J1" t="s">
        <v>8</v>
      </c>
    </row>
    <row r="2" spans="1:10">
      <c r="A2">
        <v>50001</v>
      </c>
      <c r="B2">
        <v>30001</v>
      </c>
      <c r="C2" t="s">
        <v>237</v>
      </c>
      <c r="D2">
        <v>2034</v>
      </c>
      <c r="E2">
        <v>1007</v>
      </c>
      <c r="F2">
        <v>3</v>
      </c>
      <c r="G2" t="s">
        <v>1446</v>
      </c>
      <c r="H2" t="s">
        <v>9</v>
      </c>
      <c r="I2" t="s">
        <v>238</v>
      </c>
      <c r="J2" t="s">
        <v>239</v>
      </c>
    </row>
    <row r="3" spans="1:10">
      <c r="A3">
        <v>50002</v>
      </c>
      <c r="B3">
        <v>30002</v>
      </c>
      <c r="C3" t="s">
        <v>240</v>
      </c>
      <c r="D3">
        <v>2455</v>
      </c>
      <c r="E3">
        <v>1008</v>
      </c>
      <c r="F3">
        <v>1</v>
      </c>
      <c r="G3" t="s">
        <v>1447</v>
      </c>
      <c r="H3" t="s">
        <v>9</v>
      </c>
      <c r="I3" t="s">
        <v>241</v>
      </c>
      <c r="J3" t="s">
        <v>242</v>
      </c>
    </row>
    <row r="4" spans="1:10">
      <c r="A4">
        <v>50003</v>
      </c>
      <c r="B4">
        <v>30002</v>
      </c>
      <c r="C4" t="s">
        <v>10</v>
      </c>
      <c r="D4">
        <v>2455</v>
      </c>
      <c r="E4">
        <v>1012</v>
      </c>
      <c r="F4">
        <v>3</v>
      </c>
      <c r="G4" t="s">
        <v>1448</v>
      </c>
      <c r="H4" t="s">
        <v>9</v>
      </c>
      <c r="I4" t="s">
        <v>243</v>
      </c>
      <c r="J4" t="s">
        <v>244</v>
      </c>
    </row>
    <row r="5" spans="1:10">
      <c r="A5">
        <v>50004</v>
      </c>
      <c r="B5">
        <v>30003</v>
      </c>
      <c r="C5" t="s">
        <v>245</v>
      </c>
      <c r="D5">
        <v>2102</v>
      </c>
      <c r="E5">
        <v>1012</v>
      </c>
      <c r="F5">
        <v>1</v>
      </c>
      <c r="G5" t="s">
        <v>1449</v>
      </c>
      <c r="H5" t="s">
        <v>11</v>
      </c>
      <c r="I5" t="s">
        <v>246</v>
      </c>
      <c r="J5" t="s">
        <v>247</v>
      </c>
    </row>
    <row r="6" spans="1:10">
      <c r="A6">
        <v>50005</v>
      </c>
      <c r="B6">
        <v>30004</v>
      </c>
      <c r="C6" t="s">
        <v>248</v>
      </c>
      <c r="D6">
        <v>2558</v>
      </c>
      <c r="E6">
        <v>1012</v>
      </c>
      <c r="F6">
        <v>2</v>
      </c>
      <c r="G6" t="s">
        <v>1450</v>
      </c>
      <c r="H6" t="s">
        <v>12</v>
      </c>
      <c r="I6" t="s">
        <v>1421</v>
      </c>
      <c r="J6" t="s">
        <v>1421</v>
      </c>
    </row>
    <row r="7" spans="1:10">
      <c r="A7">
        <v>50006</v>
      </c>
      <c r="B7">
        <v>30004</v>
      </c>
      <c r="C7" t="s">
        <v>248</v>
      </c>
      <c r="D7">
        <v>2558</v>
      </c>
      <c r="E7">
        <v>1002</v>
      </c>
      <c r="F7">
        <v>4</v>
      </c>
      <c r="G7" t="s">
        <v>1451</v>
      </c>
      <c r="H7" t="s">
        <v>12</v>
      </c>
      <c r="I7" t="s">
        <v>1421</v>
      </c>
      <c r="J7" t="s">
        <v>1421</v>
      </c>
    </row>
    <row r="8" spans="1:10">
      <c r="A8">
        <v>50007</v>
      </c>
      <c r="B8">
        <v>30005</v>
      </c>
      <c r="C8" t="s">
        <v>249</v>
      </c>
      <c r="D8">
        <v>2408</v>
      </c>
      <c r="E8">
        <v>1004</v>
      </c>
      <c r="F8">
        <v>1</v>
      </c>
      <c r="G8" t="s">
        <v>1452</v>
      </c>
      <c r="H8" t="s">
        <v>9</v>
      </c>
      <c r="I8" t="s">
        <v>250</v>
      </c>
      <c r="J8" t="s">
        <v>251</v>
      </c>
    </row>
    <row r="9" spans="1:10">
      <c r="A9">
        <v>50008</v>
      </c>
      <c r="B9">
        <v>30006</v>
      </c>
      <c r="C9" t="s">
        <v>252</v>
      </c>
      <c r="D9">
        <v>2466</v>
      </c>
      <c r="E9">
        <v>1007</v>
      </c>
      <c r="F9">
        <v>1</v>
      </c>
      <c r="G9" t="s">
        <v>1453</v>
      </c>
      <c r="H9" t="s">
        <v>9</v>
      </c>
      <c r="I9" t="s">
        <v>253</v>
      </c>
      <c r="J9" t="s">
        <v>13</v>
      </c>
    </row>
    <row r="10" spans="1:10">
      <c r="A10">
        <v>50009</v>
      </c>
      <c r="B10">
        <v>30007</v>
      </c>
      <c r="C10" t="s">
        <v>14</v>
      </c>
      <c r="D10">
        <v>2022</v>
      </c>
      <c r="E10">
        <v>1011</v>
      </c>
      <c r="F10">
        <v>3</v>
      </c>
      <c r="G10" t="s">
        <v>1454</v>
      </c>
      <c r="H10" t="s">
        <v>9</v>
      </c>
      <c r="I10" t="s">
        <v>15</v>
      </c>
      <c r="J10" t="s">
        <v>254</v>
      </c>
    </row>
    <row r="11" spans="1:10">
      <c r="A11">
        <v>50010</v>
      </c>
      <c r="B11">
        <v>30008</v>
      </c>
      <c r="C11" t="s">
        <v>255</v>
      </c>
      <c r="D11">
        <v>2250</v>
      </c>
      <c r="E11">
        <v>1007</v>
      </c>
      <c r="F11">
        <v>3</v>
      </c>
      <c r="G11" t="s">
        <v>1446</v>
      </c>
      <c r="H11" t="s">
        <v>11</v>
      </c>
      <c r="I11" t="s">
        <v>256</v>
      </c>
      <c r="J11" t="s">
        <v>257</v>
      </c>
    </row>
    <row r="12" spans="1:10">
      <c r="A12">
        <v>50011</v>
      </c>
      <c r="B12">
        <v>30009</v>
      </c>
      <c r="C12" t="s">
        <v>258</v>
      </c>
      <c r="D12">
        <v>2071</v>
      </c>
      <c r="E12">
        <v>1007</v>
      </c>
      <c r="F12">
        <v>2</v>
      </c>
      <c r="G12" t="s">
        <v>1455</v>
      </c>
      <c r="H12" t="s">
        <v>16</v>
      </c>
      <c r="I12" t="s">
        <v>1421</v>
      </c>
      <c r="J12" t="s">
        <v>1421</v>
      </c>
    </row>
    <row r="13" spans="1:10">
      <c r="A13">
        <v>50012</v>
      </c>
      <c r="B13">
        <v>30010</v>
      </c>
      <c r="C13" t="s">
        <v>259</v>
      </c>
      <c r="D13">
        <v>2239</v>
      </c>
      <c r="E13">
        <v>1005</v>
      </c>
      <c r="F13">
        <v>1</v>
      </c>
      <c r="G13" t="s">
        <v>1456</v>
      </c>
      <c r="H13" t="s">
        <v>1457</v>
      </c>
      <c r="I13" t="s">
        <v>260</v>
      </c>
      <c r="J13" t="s">
        <v>261</v>
      </c>
    </row>
    <row r="14" spans="1:10">
      <c r="A14">
        <v>50013</v>
      </c>
      <c r="B14">
        <v>30011</v>
      </c>
      <c r="C14" t="s">
        <v>17</v>
      </c>
      <c r="D14">
        <v>2003</v>
      </c>
      <c r="E14">
        <v>1005</v>
      </c>
      <c r="F14">
        <v>2</v>
      </c>
      <c r="G14" t="s">
        <v>1458</v>
      </c>
      <c r="H14" t="s">
        <v>9</v>
      </c>
      <c r="I14" t="s">
        <v>262</v>
      </c>
      <c r="J14" t="s">
        <v>263</v>
      </c>
    </row>
    <row r="15" spans="1:10">
      <c r="A15">
        <v>50014</v>
      </c>
      <c r="B15">
        <v>30011</v>
      </c>
      <c r="C15" t="s">
        <v>264</v>
      </c>
      <c r="D15">
        <v>2003</v>
      </c>
      <c r="E15">
        <v>1005</v>
      </c>
      <c r="F15">
        <v>1</v>
      </c>
      <c r="G15" t="s">
        <v>1456</v>
      </c>
      <c r="H15" t="s">
        <v>9</v>
      </c>
      <c r="I15" t="s">
        <v>265</v>
      </c>
      <c r="J15" t="s">
        <v>266</v>
      </c>
    </row>
    <row r="16" spans="1:10">
      <c r="A16">
        <v>50015</v>
      </c>
      <c r="B16">
        <v>30012</v>
      </c>
      <c r="C16" t="s">
        <v>18</v>
      </c>
      <c r="D16">
        <v>2554</v>
      </c>
      <c r="E16">
        <v>1006</v>
      </c>
      <c r="F16">
        <v>1</v>
      </c>
      <c r="G16" t="s">
        <v>1459</v>
      </c>
      <c r="H16" t="s">
        <v>9</v>
      </c>
      <c r="I16" t="s">
        <v>267</v>
      </c>
      <c r="J16" t="s">
        <v>268</v>
      </c>
    </row>
    <row r="17" spans="1:10">
      <c r="A17">
        <v>50016</v>
      </c>
      <c r="B17">
        <v>30013</v>
      </c>
      <c r="C17" t="s">
        <v>269</v>
      </c>
      <c r="D17">
        <v>2113</v>
      </c>
      <c r="E17">
        <v>1001</v>
      </c>
      <c r="F17">
        <v>2</v>
      </c>
      <c r="G17" t="s">
        <v>1460</v>
      </c>
      <c r="H17" t="s">
        <v>9</v>
      </c>
      <c r="I17" t="s">
        <v>270</v>
      </c>
      <c r="J17" t="s">
        <v>271</v>
      </c>
    </row>
    <row r="18" spans="1:10">
      <c r="A18">
        <v>50017</v>
      </c>
      <c r="B18">
        <v>30013</v>
      </c>
      <c r="C18" t="s">
        <v>272</v>
      </c>
      <c r="D18">
        <v>2113</v>
      </c>
      <c r="E18">
        <v>1005</v>
      </c>
      <c r="G18" t="s">
        <v>1456</v>
      </c>
      <c r="H18" t="s">
        <v>9</v>
      </c>
      <c r="I18" t="s">
        <v>19</v>
      </c>
      <c r="J18" t="s">
        <v>273</v>
      </c>
    </row>
    <row r="19" spans="1:10">
      <c r="A19">
        <v>50018</v>
      </c>
      <c r="B19">
        <v>30014</v>
      </c>
      <c r="C19" t="s">
        <v>20</v>
      </c>
      <c r="D19">
        <v>2016</v>
      </c>
      <c r="E19">
        <v>1008</v>
      </c>
      <c r="F19">
        <v>1</v>
      </c>
      <c r="G19" t="s">
        <v>1447</v>
      </c>
      <c r="H19" t="s">
        <v>9</v>
      </c>
      <c r="I19" t="s">
        <v>14</v>
      </c>
      <c r="J19" t="s">
        <v>274</v>
      </c>
    </row>
    <row r="20" spans="1:10">
      <c r="A20">
        <v>50019</v>
      </c>
      <c r="B20">
        <v>30015</v>
      </c>
      <c r="C20" t="s">
        <v>275</v>
      </c>
      <c r="D20">
        <v>2332</v>
      </c>
      <c r="E20">
        <v>1009</v>
      </c>
      <c r="F20">
        <v>3</v>
      </c>
      <c r="G20" t="s">
        <v>1461</v>
      </c>
      <c r="H20" t="s">
        <v>1462</v>
      </c>
      <c r="I20" t="s">
        <v>276</v>
      </c>
      <c r="J20" t="s">
        <v>277</v>
      </c>
    </row>
    <row r="21" spans="1:10">
      <c r="A21">
        <v>50020</v>
      </c>
      <c r="B21">
        <v>30016</v>
      </c>
      <c r="C21" t="s">
        <v>21</v>
      </c>
      <c r="D21">
        <v>2054</v>
      </c>
      <c r="E21">
        <v>1014</v>
      </c>
      <c r="F21">
        <v>1</v>
      </c>
      <c r="G21" t="s">
        <v>1463</v>
      </c>
      <c r="H21" t="s">
        <v>9</v>
      </c>
      <c r="I21" t="s">
        <v>278</v>
      </c>
      <c r="J21" t="s">
        <v>279</v>
      </c>
    </row>
    <row r="22" spans="1:10">
      <c r="A22">
        <v>50021</v>
      </c>
      <c r="B22">
        <v>30017</v>
      </c>
      <c r="C22" t="s">
        <v>280</v>
      </c>
      <c r="D22">
        <v>2539</v>
      </c>
      <c r="E22">
        <v>1003</v>
      </c>
      <c r="F22">
        <v>2</v>
      </c>
      <c r="G22" t="s">
        <v>1464</v>
      </c>
      <c r="H22" t="s">
        <v>9</v>
      </c>
      <c r="I22" t="s">
        <v>281</v>
      </c>
      <c r="J22" t="s">
        <v>22</v>
      </c>
    </row>
    <row r="23" spans="1:10">
      <c r="A23">
        <v>50022</v>
      </c>
      <c r="B23">
        <v>30017</v>
      </c>
      <c r="C23" t="s">
        <v>251</v>
      </c>
      <c r="D23">
        <v>2539</v>
      </c>
      <c r="E23">
        <v>1016</v>
      </c>
      <c r="F23">
        <v>1</v>
      </c>
      <c r="G23" t="s">
        <v>1465</v>
      </c>
      <c r="H23" t="s">
        <v>9</v>
      </c>
      <c r="I23" t="s">
        <v>282</v>
      </c>
      <c r="J23" t="s">
        <v>283</v>
      </c>
    </row>
    <row r="24" spans="1:10">
      <c r="A24">
        <v>50023</v>
      </c>
      <c r="B24">
        <v>30018</v>
      </c>
      <c r="C24" t="s">
        <v>23</v>
      </c>
      <c r="D24">
        <v>2460</v>
      </c>
      <c r="E24">
        <v>1004</v>
      </c>
      <c r="F24">
        <v>1</v>
      </c>
      <c r="G24" t="s">
        <v>1452</v>
      </c>
      <c r="H24" t="s">
        <v>16</v>
      </c>
      <c r="I24" t="s">
        <v>1421</v>
      </c>
      <c r="J24" t="s">
        <v>1421</v>
      </c>
    </row>
    <row r="25" spans="1:10">
      <c r="A25">
        <v>50024</v>
      </c>
      <c r="B25">
        <v>30019</v>
      </c>
      <c r="C25" t="s">
        <v>284</v>
      </c>
      <c r="D25">
        <v>2227</v>
      </c>
      <c r="E25">
        <v>1002</v>
      </c>
      <c r="F25">
        <v>1</v>
      </c>
      <c r="G25" t="s">
        <v>1466</v>
      </c>
      <c r="H25" t="s">
        <v>1467</v>
      </c>
      <c r="I25" t="s">
        <v>285</v>
      </c>
      <c r="J25" t="s">
        <v>286</v>
      </c>
    </row>
    <row r="26" spans="1:10">
      <c r="A26">
        <v>50025</v>
      </c>
      <c r="B26">
        <v>30019</v>
      </c>
      <c r="C26" t="s">
        <v>239</v>
      </c>
      <c r="D26">
        <v>2227</v>
      </c>
      <c r="E26">
        <v>1010</v>
      </c>
      <c r="F26">
        <v>1</v>
      </c>
      <c r="G26" t="s">
        <v>1468</v>
      </c>
      <c r="H26" t="s">
        <v>11</v>
      </c>
      <c r="I26" t="s">
        <v>287</v>
      </c>
      <c r="J26" t="s">
        <v>288</v>
      </c>
    </row>
    <row r="27" spans="1:10">
      <c r="A27">
        <v>50026</v>
      </c>
      <c r="B27">
        <v>30020</v>
      </c>
      <c r="C27" t="s">
        <v>289</v>
      </c>
      <c r="D27">
        <v>2470</v>
      </c>
      <c r="E27">
        <v>1001</v>
      </c>
      <c r="F27">
        <v>1</v>
      </c>
      <c r="G27" t="s">
        <v>1469</v>
      </c>
      <c r="H27" t="s">
        <v>9</v>
      </c>
      <c r="I27" t="s">
        <v>290</v>
      </c>
      <c r="J27" t="s">
        <v>237</v>
      </c>
    </row>
    <row r="28" spans="1:10">
      <c r="A28">
        <v>50027</v>
      </c>
      <c r="B28">
        <v>30020</v>
      </c>
      <c r="C28" t="s">
        <v>291</v>
      </c>
      <c r="D28">
        <v>2470</v>
      </c>
      <c r="E28">
        <v>1002</v>
      </c>
      <c r="F28">
        <v>1</v>
      </c>
      <c r="G28" t="s">
        <v>1466</v>
      </c>
      <c r="H28" t="s">
        <v>9</v>
      </c>
      <c r="I28" t="s">
        <v>292</v>
      </c>
      <c r="J28" t="s">
        <v>293</v>
      </c>
    </row>
    <row r="29" spans="1:10">
      <c r="A29">
        <v>50028</v>
      </c>
      <c r="B29">
        <v>30021</v>
      </c>
      <c r="C29" t="s">
        <v>294</v>
      </c>
      <c r="D29">
        <v>2491</v>
      </c>
      <c r="E29">
        <v>1014</v>
      </c>
      <c r="F29">
        <v>1</v>
      </c>
      <c r="G29" t="s">
        <v>1463</v>
      </c>
      <c r="H29" t="s">
        <v>16</v>
      </c>
      <c r="I29" t="s">
        <v>1421</v>
      </c>
      <c r="J29" t="s">
        <v>1421</v>
      </c>
    </row>
    <row r="30" spans="1:10">
      <c r="A30">
        <v>50029</v>
      </c>
      <c r="B30">
        <v>30022</v>
      </c>
      <c r="C30" t="s">
        <v>295</v>
      </c>
      <c r="D30">
        <v>2503</v>
      </c>
      <c r="E30">
        <v>1015</v>
      </c>
      <c r="F30">
        <v>3</v>
      </c>
      <c r="G30" t="s">
        <v>1470</v>
      </c>
      <c r="H30" t="s">
        <v>9</v>
      </c>
      <c r="I30" t="s">
        <v>296</v>
      </c>
      <c r="J30" t="s">
        <v>297</v>
      </c>
    </row>
    <row r="31" spans="1:10">
      <c r="A31">
        <v>50030</v>
      </c>
      <c r="B31">
        <v>30022</v>
      </c>
      <c r="C31" t="s">
        <v>298</v>
      </c>
      <c r="D31">
        <v>2503</v>
      </c>
      <c r="E31">
        <v>1003</v>
      </c>
      <c r="F31">
        <v>1</v>
      </c>
      <c r="G31" t="s">
        <v>1471</v>
      </c>
      <c r="H31" t="s">
        <v>1462</v>
      </c>
      <c r="I31" t="s">
        <v>24</v>
      </c>
      <c r="J31" t="s">
        <v>299</v>
      </c>
    </row>
    <row r="32" spans="1:10">
      <c r="A32">
        <v>50031</v>
      </c>
      <c r="B32">
        <v>30022</v>
      </c>
      <c r="C32" t="s">
        <v>298</v>
      </c>
      <c r="D32">
        <v>2503</v>
      </c>
      <c r="E32">
        <v>1003</v>
      </c>
      <c r="F32">
        <v>2</v>
      </c>
      <c r="G32" t="s">
        <v>1464</v>
      </c>
      <c r="H32" t="s">
        <v>9</v>
      </c>
      <c r="I32" t="s">
        <v>25</v>
      </c>
      <c r="J32" t="s">
        <v>259</v>
      </c>
    </row>
    <row r="33" spans="1:10">
      <c r="A33">
        <v>50032</v>
      </c>
      <c r="B33">
        <v>30022</v>
      </c>
      <c r="C33" t="s">
        <v>26</v>
      </c>
      <c r="D33">
        <v>2503</v>
      </c>
      <c r="E33">
        <v>1011</v>
      </c>
      <c r="F33">
        <v>1</v>
      </c>
      <c r="G33" t="s">
        <v>1472</v>
      </c>
      <c r="H33" t="s">
        <v>9</v>
      </c>
      <c r="I33" t="s">
        <v>300</v>
      </c>
      <c r="J33" t="s">
        <v>301</v>
      </c>
    </row>
    <row r="34" spans="1:10">
      <c r="A34">
        <v>50033</v>
      </c>
      <c r="B34">
        <v>30023</v>
      </c>
      <c r="C34" t="s">
        <v>302</v>
      </c>
      <c r="D34">
        <v>2152</v>
      </c>
      <c r="E34">
        <v>1009</v>
      </c>
      <c r="F34">
        <v>1</v>
      </c>
      <c r="G34" t="s">
        <v>1473</v>
      </c>
      <c r="H34" t="s">
        <v>9</v>
      </c>
      <c r="I34" t="s">
        <v>303</v>
      </c>
      <c r="J34" t="s">
        <v>304</v>
      </c>
    </row>
    <row r="35" spans="1:10">
      <c r="A35">
        <v>50034</v>
      </c>
      <c r="B35">
        <v>30023</v>
      </c>
      <c r="C35" t="s">
        <v>305</v>
      </c>
      <c r="D35">
        <v>2152</v>
      </c>
      <c r="E35">
        <v>1011</v>
      </c>
      <c r="F35">
        <v>1</v>
      </c>
      <c r="G35" t="s">
        <v>1472</v>
      </c>
      <c r="H35" t="s">
        <v>9</v>
      </c>
      <c r="I35" t="s">
        <v>27</v>
      </c>
      <c r="J35" t="s">
        <v>284</v>
      </c>
    </row>
    <row r="36" spans="1:10">
      <c r="A36">
        <v>50035</v>
      </c>
      <c r="B36">
        <v>30023</v>
      </c>
      <c r="C36" t="s">
        <v>302</v>
      </c>
      <c r="D36">
        <v>2152</v>
      </c>
      <c r="E36">
        <v>1013</v>
      </c>
      <c r="F36">
        <v>1</v>
      </c>
      <c r="G36" t="s">
        <v>1474</v>
      </c>
      <c r="H36" t="s">
        <v>9</v>
      </c>
      <c r="I36" t="s">
        <v>28</v>
      </c>
      <c r="J36" t="s">
        <v>306</v>
      </c>
    </row>
    <row r="37" spans="1:10">
      <c r="A37">
        <v>50036</v>
      </c>
      <c r="B37">
        <v>30024</v>
      </c>
      <c r="C37" t="s">
        <v>307</v>
      </c>
      <c r="D37">
        <v>2544</v>
      </c>
      <c r="E37">
        <v>1014</v>
      </c>
      <c r="F37">
        <v>2</v>
      </c>
      <c r="G37" t="s">
        <v>1475</v>
      </c>
      <c r="H37" t="s">
        <v>9</v>
      </c>
      <c r="I37" t="s">
        <v>308</v>
      </c>
      <c r="J37" t="s">
        <v>309</v>
      </c>
    </row>
    <row r="38" spans="1:10">
      <c r="A38">
        <v>50037</v>
      </c>
      <c r="B38">
        <v>30024</v>
      </c>
      <c r="C38" t="s">
        <v>307</v>
      </c>
      <c r="D38">
        <v>2544</v>
      </c>
      <c r="E38">
        <v>1004</v>
      </c>
      <c r="F38">
        <v>2</v>
      </c>
      <c r="G38" t="s">
        <v>1476</v>
      </c>
      <c r="H38" t="s">
        <v>9</v>
      </c>
      <c r="I38" t="s">
        <v>310</v>
      </c>
      <c r="J38" t="s">
        <v>309</v>
      </c>
    </row>
    <row r="39" spans="1:10">
      <c r="A39">
        <v>50038</v>
      </c>
      <c r="B39">
        <v>30025</v>
      </c>
      <c r="C39" t="s">
        <v>311</v>
      </c>
      <c r="D39">
        <v>2118</v>
      </c>
      <c r="E39">
        <v>1007</v>
      </c>
      <c r="F39">
        <v>1</v>
      </c>
      <c r="G39" t="s">
        <v>1453</v>
      </c>
      <c r="H39" t="s">
        <v>1477</v>
      </c>
      <c r="I39" t="s">
        <v>1421</v>
      </c>
      <c r="J39" t="s">
        <v>1421</v>
      </c>
    </row>
    <row r="40" spans="1:10">
      <c r="A40">
        <v>50039</v>
      </c>
      <c r="B40">
        <v>30026</v>
      </c>
      <c r="C40" t="s">
        <v>29</v>
      </c>
      <c r="D40">
        <v>2234</v>
      </c>
      <c r="E40">
        <v>1015</v>
      </c>
      <c r="F40">
        <v>1</v>
      </c>
      <c r="G40" t="s">
        <v>1478</v>
      </c>
      <c r="H40" t="s">
        <v>9</v>
      </c>
      <c r="I40" t="s">
        <v>272</v>
      </c>
      <c r="J40" t="s">
        <v>312</v>
      </c>
    </row>
    <row r="41" spans="1:10">
      <c r="A41">
        <v>50040</v>
      </c>
      <c r="B41">
        <v>30027</v>
      </c>
      <c r="C41" t="s">
        <v>273</v>
      </c>
      <c r="D41">
        <v>2409</v>
      </c>
      <c r="E41">
        <v>1004</v>
      </c>
      <c r="F41">
        <v>2</v>
      </c>
      <c r="G41" t="s">
        <v>1476</v>
      </c>
      <c r="H41" t="s">
        <v>9</v>
      </c>
      <c r="I41" t="s">
        <v>313</v>
      </c>
      <c r="J41" t="s">
        <v>314</v>
      </c>
    </row>
    <row r="42" spans="1:10">
      <c r="A42">
        <v>50041</v>
      </c>
      <c r="B42">
        <v>30028</v>
      </c>
      <c r="C42" t="s">
        <v>315</v>
      </c>
      <c r="D42">
        <v>2321</v>
      </c>
      <c r="E42">
        <v>1009</v>
      </c>
      <c r="F42">
        <v>2</v>
      </c>
      <c r="G42" t="s">
        <v>1479</v>
      </c>
      <c r="H42" t="s">
        <v>9</v>
      </c>
      <c r="I42" t="s">
        <v>316</v>
      </c>
      <c r="J42" t="s">
        <v>317</v>
      </c>
    </row>
    <row r="43" spans="1:10">
      <c r="A43">
        <v>50042</v>
      </c>
      <c r="B43">
        <v>30028</v>
      </c>
      <c r="C43" t="s">
        <v>318</v>
      </c>
      <c r="D43">
        <v>2321</v>
      </c>
      <c r="E43">
        <v>1012</v>
      </c>
      <c r="F43">
        <v>2</v>
      </c>
      <c r="G43" t="s">
        <v>1450</v>
      </c>
      <c r="H43" t="s">
        <v>9</v>
      </c>
      <c r="I43" t="s">
        <v>319</v>
      </c>
      <c r="J43" t="s">
        <v>320</v>
      </c>
    </row>
    <row r="44" spans="1:10">
      <c r="A44">
        <v>50043</v>
      </c>
      <c r="B44">
        <v>30028</v>
      </c>
      <c r="C44" t="s">
        <v>318</v>
      </c>
      <c r="D44">
        <v>2321</v>
      </c>
      <c r="E44">
        <v>1005</v>
      </c>
      <c r="F44">
        <v>4</v>
      </c>
      <c r="G44" t="s">
        <v>1480</v>
      </c>
      <c r="H44" t="s">
        <v>9</v>
      </c>
      <c r="I44" t="s">
        <v>316</v>
      </c>
      <c r="J44" t="s">
        <v>321</v>
      </c>
    </row>
    <row r="45" spans="1:10">
      <c r="A45">
        <v>50044</v>
      </c>
      <c r="B45">
        <v>30029</v>
      </c>
      <c r="C45" t="s">
        <v>322</v>
      </c>
      <c r="D45">
        <v>2486</v>
      </c>
      <c r="E45">
        <v>1003</v>
      </c>
      <c r="F45">
        <v>1</v>
      </c>
      <c r="G45" t="s">
        <v>1471</v>
      </c>
      <c r="H45" t="s">
        <v>9</v>
      </c>
      <c r="I45" t="s">
        <v>323</v>
      </c>
      <c r="J45" t="s">
        <v>324</v>
      </c>
    </row>
    <row r="46" spans="1:10">
      <c r="A46">
        <v>50045</v>
      </c>
      <c r="B46">
        <v>30030</v>
      </c>
      <c r="C46" t="s">
        <v>325</v>
      </c>
      <c r="D46">
        <v>2096</v>
      </c>
      <c r="E46">
        <v>1012</v>
      </c>
      <c r="F46">
        <v>1</v>
      </c>
      <c r="G46" t="s">
        <v>1449</v>
      </c>
      <c r="H46" t="s">
        <v>9</v>
      </c>
      <c r="I46" t="s">
        <v>326</v>
      </c>
      <c r="J46" t="s">
        <v>327</v>
      </c>
    </row>
    <row r="47" spans="1:10">
      <c r="A47">
        <v>50046</v>
      </c>
      <c r="B47">
        <v>30030</v>
      </c>
      <c r="C47" t="s">
        <v>328</v>
      </c>
      <c r="D47">
        <v>2096</v>
      </c>
      <c r="E47">
        <v>1005</v>
      </c>
      <c r="F47">
        <v>1</v>
      </c>
      <c r="G47" t="s">
        <v>1456</v>
      </c>
      <c r="H47" t="s">
        <v>9</v>
      </c>
      <c r="I47" t="s">
        <v>329</v>
      </c>
      <c r="J47" t="s">
        <v>327</v>
      </c>
    </row>
    <row r="48" spans="1:10">
      <c r="A48">
        <v>50047</v>
      </c>
      <c r="B48">
        <v>30030</v>
      </c>
      <c r="C48" t="s">
        <v>325</v>
      </c>
      <c r="D48">
        <v>2096</v>
      </c>
      <c r="E48">
        <v>1002</v>
      </c>
      <c r="F48">
        <v>1</v>
      </c>
      <c r="G48" t="s">
        <v>1466</v>
      </c>
      <c r="H48" t="s">
        <v>9</v>
      </c>
      <c r="I48" t="s">
        <v>330</v>
      </c>
      <c r="J48" t="s">
        <v>331</v>
      </c>
    </row>
    <row r="49" spans="1:10">
      <c r="A49">
        <v>50048</v>
      </c>
      <c r="B49">
        <v>30031</v>
      </c>
      <c r="C49" t="s">
        <v>332</v>
      </c>
      <c r="D49">
        <v>2576</v>
      </c>
      <c r="E49">
        <v>1004</v>
      </c>
      <c r="F49">
        <v>3</v>
      </c>
      <c r="G49" t="s">
        <v>1481</v>
      </c>
      <c r="H49" t="s">
        <v>9</v>
      </c>
      <c r="I49" t="s">
        <v>30</v>
      </c>
      <c r="J49" t="s">
        <v>31</v>
      </c>
    </row>
    <row r="50" spans="1:10">
      <c r="A50">
        <v>50049</v>
      </c>
      <c r="B50">
        <v>30031</v>
      </c>
      <c r="C50" t="s">
        <v>32</v>
      </c>
      <c r="D50">
        <v>2576</v>
      </c>
      <c r="E50">
        <v>1014</v>
      </c>
      <c r="F50">
        <v>1</v>
      </c>
      <c r="G50" t="s">
        <v>1463</v>
      </c>
      <c r="H50" t="s">
        <v>9</v>
      </c>
      <c r="I50" t="s">
        <v>30</v>
      </c>
      <c r="J50" t="s">
        <v>333</v>
      </c>
    </row>
    <row r="51" spans="1:10">
      <c r="A51">
        <v>50050</v>
      </c>
      <c r="B51">
        <v>30031</v>
      </c>
      <c r="C51" t="s">
        <v>334</v>
      </c>
      <c r="D51">
        <v>2576</v>
      </c>
      <c r="E51">
        <v>1012</v>
      </c>
      <c r="F51">
        <v>2</v>
      </c>
      <c r="G51" t="s">
        <v>1450</v>
      </c>
      <c r="H51" t="s">
        <v>9</v>
      </c>
      <c r="I51" t="s">
        <v>335</v>
      </c>
      <c r="J51" t="s">
        <v>336</v>
      </c>
    </row>
    <row r="52" spans="1:10">
      <c r="A52">
        <v>50051</v>
      </c>
      <c r="B52">
        <v>30032</v>
      </c>
      <c r="C52" t="s">
        <v>33</v>
      </c>
      <c r="D52">
        <v>2434</v>
      </c>
      <c r="E52">
        <v>1002</v>
      </c>
      <c r="F52">
        <v>2</v>
      </c>
      <c r="G52" t="s">
        <v>1482</v>
      </c>
      <c r="H52" t="s">
        <v>12</v>
      </c>
      <c r="I52" t="s">
        <v>1421</v>
      </c>
      <c r="J52" t="s">
        <v>1421</v>
      </c>
    </row>
    <row r="53" spans="1:10">
      <c r="A53">
        <v>50052</v>
      </c>
      <c r="B53">
        <v>30032</v>
      </c>
      <c r="C53" t="s">
        <v>33</v>
      </c>
      <c r="D53">
        <v>2434</v>
      </c>
      <c r="E53">
        <v>1010</v>
      </c>
      <c r="F53">
        <v>2</v>
      </c>
      <c r="G53" t="s">
        <v>1483</v>
      </c>
      <c r="H53" t="s">
        <v>12</v>
      </c>
      <c r="I53" t="s">
        <v>1421</v>
      </c>
      <c r="J53" t="s">
        <v>1421</v>
      </c>
    </row>
    <row r="54" spans="1:10">
      <c r="A54">
        <v>50053</v>
      </c>
      <c r="B54">
        <v>30033</v>
      </c>
      <c r="C54" t="s">
        <v>337</v>
      </c>
      <c r="D54">
        <v>2320</v>
      </c>
      <c r="E54">
        <v>1007</v>
      </c>
      <c r="F54">
        <v>1</v>
      </c>
      <c r="G54" t="s">
        <v>1453</v>
      </c>
      <c r="H54" t="s">
        <v>9</v>
      </c>
      <c r="I54" t="s">
        <v>338</v>
      </c>
      <c r="J54" t="s">
        <v>339</v>
      </c>
    </row>
    <row r="55" spans="1:10">
      <c r="A55">
        <v>50054</v>
      </c>
      <c r="B55">
        <v>30033</v>
      </c>
      <c r="C55" t="s">
        <v>340</v>
      </c>
      <c r="D55">
        <v>2320</v>
      </c>
      <c r="E55">
        <v>1005</v>
      </c>
      <c r="F55">
        <v>1</v>
      </c>
      <c r="G55" t="s">
        <v>1456</v>
      </c>
      <c r="H55" t="s">
        <v>9</v>
      </c>
      <c r="I55" t="s">
        <v>34</v>
      </c>
      <c r="J55" t="s">
        <v>341</v>
      </c>
    </row>
    <row r="56" spans="1:10">
      <c r="A56">
        <v>50055</v>
      </c>
      <c r="B56">
        <v>30033</v>
      </c>
      <c r="C56" t="s">
        <v>35</v>
      </c>
      <c r="D56">
        <v>2320</v>
      </c>
      <c r="E56">
        <v>1016</v>
      </c>
      <c r="F56">
        <v>3</v>
      </c>
      <c r="G56" t="s">
        <v>1484</v>
      </c>
      <c r="H56" t="s">
        <v>9</v>
      </c>
      <c r="I56" t="s">
        <v>342</v>
      </c>
      <c r="J56" t="s">
        <v>343</v>
      </c>
    </row>
    <row r="57" spans="1:10">
      <c r="A57">
        <v>50056</v>
      </c>
      <c r="B57">
        <v>30034</v>
      </c>
      <c r="C57" t="s">
        <v>344</v>
      </c>
      <c r="D57">
        <v>2230</v>
      </c>
      <c r="E57">
        <v>1012</v>
      </c>
      <c r="F57">
        <v>4</v>
      </c>
      <c r="G57" t="s">
        <v>1485</v>
      </c>
      <c r="H57" t="s">
        <v>36</v>
      </c>
      <c r="I57" t="s">
        <v>1421</v>
      </c>
      <c r="J57" t="s">
        <v>1421</v>
      </c>
    </row>
    <row r="58" spans="1:10">
      <c r="A58">
        <v>50057</v>
      </c>
      <c r="B58">
        <v>30035</v>
      </c>
      <c r="C58" t="s">
        <v>345</v>
      </c>
      <c r="D58">
        <v>2377</v>
      </c>
      <c r="E58">
        <v>1009</v>
      </c>
      <c r="F58">
        <v>1</v>
      </c>
      <c r="G58" t="s">
        <v>1473</v>
      </c>
      <c r="H58" t="s">
        <v>9</v>
      </c>
      <c r="I58" t="s">
        <v>346</v>
      </c>
      <c r="J58" t="s">
        <v>37</v>
      </c>
    </row>
    <row r="59" spans="1:10">
      <c r="A59">
        <v>50058</v>
      </c>
      <c r="B59">
        <v>30036</v>
      </c>
      <c r="C59" t="s">
        <v>347</v>
      </c>
      <c r="D59">
        <v>2588</v>
      </c>
      <c r="E59">
        <v>1014</v>
      </c>
      <c r="F59">
        <v>1</v>
      </c>
      <c r="G59" t="s">
        <v>1463</v>
      </c>
      <c r="H59" t="s">
        <v>9</v>
      </c>
      <c r="I59" t="s">
        <v>348</v>
      </c>
      <c r="J59" t="s">
        <v>349</v>
      </c>
    </row>
    <row r="60" spans="1:10">
      <c r="A60">
        <v>50059</v>
      </c>
      <c r="B60">
        <v>30037</v>
      </c>
      <c r="C60" t="s">
        <v>38</v>
      </c>
      <c r="D60">
        <v>2575</v>
      </c>
      <c r="E60">
        <v>1001</v>
      </c>
      <c r="F60">
        <v>2</v>
      </c>
      <c r="G60" t="s">
        <v>1460</v>
      </c>
      <c r="H60" t="s">
        <v>1486</v>
      </c>
      <c r="I60" t="s">
        <v>350</v>
      </c>
      <c r="J60" t="s">
        <v>351</v>
      </c>
    </row>
    <row r="61" spans="1:10">
      <c r="A61">
        <v>50060</v>
      </c>
      <c r="B61">
        <v>30037</v>
      </c>
      <c r="C61" t="s">
        <v>352</v>
      </c>
      <c r="D61">
        <v>2575</v>
      </c>
      <c r="E61">
        <v>1009</v>
      </c>
      <c r="F61">
        <v>3</v>
      </c>
      <c r="G61" t="s">
        <v>1461</v>
      </c>
      <c r="H61" t="s">
        <v>11</v>
      </c>
      <c r="I61" t="s">
        <v>350</v>
      </c>
      <c r="J61" t="s">
        <v>353</v>
      </c>
    </row>
    <row r="62" spans="1:10">
      <c r="A62">
        <v>50061</v>
      </c>
      <c r="B62">
        <v>30037</v>
      </c>
      <c r="C62" t="s">
        <v>352</v>
      </c>
      <c r="D62">
        <v>2575</v>
      </c>
      <c r="E62">
        <v>1001</v>
      </c>
      <c r="F62">
        <v>1</v>
      </c>
      <c r="G62" t="s">
        <v>1469</v>
      </c>
      <c r="H62" t="s">
        <v>11</v>
      </c>
      <c r="I62" t="s">
        <v>39</v>
      </c>
      <c r="J62" t="s">
        <v>354</v>
      </c>
    </row>
    <row r="63" spans="1:10">
      <c r="A63">
        <v>50062</v>
      </c>
      <c r="B63">
        <v>30038</v>
      </c>
      <c r="C63" t="s">
        <v>355</v>
      </c>
      <c r="D63">
        <v>2185</v>
      </c>
      <c r="E63">
        <v>1010</v>
      </c>
      <c r="F63">
        <v>1</v>
      </c>
      <c r="G63" t="s">
        <v>1468</v>
      </c>
      <c r="H63" t="s">
        <v>9</v>
      </c>
      <c r="I63" t="s">
        <v>356</v>
      </c>
      <c r="J63" t="s">
        <v>357</v>
      </c>
    </row>
    <row r="64" spans="1:10">
      <c r="A64">
        <v>50063</v>
      </c>
      <c r="B64">
        <v>30038</v>
      </c>
      <c r="C64" t="s">
        <v>358</v>
      </c>
      <c r="D64">
        <v>2185</v>
      </c>
      <c r="E64">
        <v>1011</v>
      </c>
      <c r="F64">
        <v>2</v>
      </c>
      <c r="G64" t="s">
        <v>1487</v>
      </c>
      <c r="H64" t="s">
        <v>9</v>
      </c>
      <c r="I64" t="s">
        <v>359</v>
      </c>
      <c r="J64" t="s">
        <v>360</v>
      </c>
    </row>
    <row r="65" spans="1:10">
      <c r="A65">
        <v>50064</v>
      </c>
      <c r="B65">
        <v>30039</v>
      </c>
      <c r="C65" t="s">
        <v>361</v>
      </c>
      <c r="D65">
        <v>2360</v>
      </c>
      <c r="E65">
        <v>1005</v>
      </c>
      <c r="F65">
        <v>1</v>
      </c>
      <c r="G65" t="s">
        <v>1456</v>
      </c>
      <c r="H65" t="s">
        <v>9</v>
      </c>
      <c r="I65" t="s">
        <v>362</v>
      </c>
      <c r="J65" t="s">
        <v>363</v>
      </c>
    </row>
    <row r="66" spans="1:10">
      <c r="A66">
        <v>50065</v>
      </c>
      <c r="B66">
        <v>30040</v>
      </c>
      <c r="C66" t="s">
        <v>364</v>
      </c>
      <c r="D66">
        <v>2580</v>
      </c>
      <c r="E66">
        <v>1003</v>
      </c>
      <c r="F66">
        <v>1</v>
      </c>
      <c r="G66" t="s">
        <v>1471</v>
      </c>
      <c r="H66" t="s">
        <v>9</v>
      </c>
      <c r="I66" t="s">
        <v>365</v>
      </c>
      <c r="J66" t="s">
        <v>366</v>
      </c>
    </row>
    <row r="67" spans="1:10">
      <c r="A67">
        <v>50066</v>
      </c>
      <c r="B67">
        <v>30041</v>
      </c>
      <c r="C67" t="s">
        <v>40</v>
      </c>
      <c r="D67">
        <v>2146</v>
      </c>
      <c r="E67">
        <v>1001</v>
      </c>
      <c r="F67">
        <v>1</v>
      </c>
      <c r="G67" t="s">
        <v>1469</v>
      </c>
      <c r="H67" t="s">
        <v>9</v>
      </c>
      <c r="I67" t="s">
        <v>41</v>
      </c>
      <c r="J67" t="s">
        <v>367</v>
      </c>
    </row>
    <row r="68" spans="1:10">
      <c r="A68">
        <v>50067</v>
      </c>
      <c r="B68">
        <v>30042</v>
      </c>
      <c r="C68" t="s">
        <v>368</v>
      </c>
      <c r="D68">
        <v>2094</v>
      </c>
      <c r="E68">
        <v>1007</v>
      </c>
      <c r="F68">
        <v>1</v>
      </c>
      <c r="G68" t="s">
        <v>1453</v>
      </c>
      <c r="H68" t="s">
        <v>9</v>
      </c>
      <c r="I68" t="s">
        <v>369</v>
      </c>
      <c r="J68" t="s">
        <v>370</v>
      </c>
    </row>
    <row r="69" spans="1:10">
      <c r="A69">
        <v>50068</v>
      </c>
      <c r="B69">
        <v>30042</v>
      </c>
      <c r="C69" t="s">
        <v>371</v>
      </c>
      <c r="D69">
        <v>2094</v>
      </c>
      <c r="E69">
        <v>1013</v>
      </c>
      <c r="F69">
        <v>1</v>
      </c>
      <c r="G69" t="s">
        <v>1474</v>
      </c>
      <c r="H69" t="s">
        <v>9</v>
      </c>
      <c r="I69" t="s">
        <v>247</v>
      </c>
      <c r="J69" t="s">
        <v>42</v>
      </c>
    </row>
    <row r="70" spans="1:10">
      <c r="A70">
        <v>50069</v>
      </c>
      <c r="B70">
        <v>30042</v>
      </c>
      <c r="C70" t="s">
        <v>359</v>
      </c>
      <c r="D70">
        <v>2094</v>
      </c>
      <c r="E70">
        <v>1014</v>
      </c>
      <c r="F70">
        <v>1</v>
      </c>
      <c r="G70" t="s">
        <v>1463</v>
      </c>
      <c r="H70" t="s">
        <v>9</v>
      </c>
      <c r="I70" t="s">
        <v>247</v>
      </c>
      <c r="J70" t="s">
        <v>372</v>
      </c>
    </row>
    <row r="71" spans="1:10">
      <c r="A71">
        <v>50070</v>
      </c>
      <c r="B71">
        <v>30042</v>
      </c>
      <c r="C71" t="s">
        <v>359</v>
      </c>
      <c r="D71">
        <v>2094</v>
      </c>
      <c r="E71">
        <v>1015</v>
      </c>
      <c r="F71">
        <v>1</v>
      </c>
      <c r="G71" t="s">
        <v>1478</v>
      </c>
      <c r="H71" t="s">
        <v>9</v>
      </c>
      <c r="I71" t="s">
        <v>373</v>
      </c>
      <c r="J71" t="s">
        <v>17</v>
      </c>
    </row>
    <row r="72" spans="1:10">
      <c r="A72">
        <v>50071</v>
      </c>
      <c r="B72">
        <v>30043</v>
      </c>
      <c r="C72" t="s">
        <v>374</v>
      </c>
      <c r="D72">
        <v>2350</v>
      </c>
      <c r="E72">
        <v>1010</v>
      </c>
      <c r="F72">
        <v>1</v>
      </c>
      <c r="G72" t="s">
        <v>1468</v>
      </c>
      <c r="H72" t="s">
        <v>9</v>
      </c>
      <c r="I72" t="s">
        <v>375</v>
      </c>
      <c r="J72" t="s">
        <v>376</v>
      </c>
    </row>
    <row r="73" spans="1:10">
      <c r="A73">
        <v>50072</v>
      </c>
      <c r="B73">
        <v>30043</v>
      </c>
      <c r="C73" t="s">
        <v>377</v>
      </c>
      <c r="D73">
        <v>2350</v>
      </c>
      <c r="E73">
        <v>1011</v>
      </c>
      <c r="F73">
        <v>2</v>
      </c>
      <c r="G73" t="s">
        <v>1487</v>
      </c>
      <c r="H73" t="s">
        <v>9</v>
      </c>
      <c r="I73" t="s">
        <v>375</v>
      </c>
      <c r="J73" t="s">
        <v>378</v>
      </c>
    </row>
    <row r="74" spans="1:10">
      <c r="A74">
        <v>50073</v>
      </c>
      <c r="B74">
        <v>30044</v>
      </c>
      <c r="C74" t="s">
        <v>379</v>
      </c>
      <c r="D74">
        <v>2582</v>
      </c>
      <c r="E74">
        <v>1002</v>
      </c>
      <c r="F74">
        <v>1</v>
      </c>
      <c r="G74" t="s">
        <v>1466</v>
      </c>
      <c r="H74" t="s">
        <v>9</v>
      </c>
      <c r="I74" t="s">
        <v>43</v>
      </c>
      <c r="J74" t="s">
        <v>380</v>
      </c>
    </row>
    <row r="75" spans="1:10">
      <c r="A75">
        <v>50074</v>
      </c>
      <c r="B75">
        <v>30045</v>
      </c>
      <c r="C75" t="s">
        <v>381</v>
      </c>
      <c r="D75">
        <v>2160</v>
      </c>
      <c r="E75">
        <v>1002</v>
      </c>
      <c r="F75">
        <v>1</v>
      </c>
      <c r="G75" t="s">
        <v>1466</v>
      </c>
      <c r="H75" t="s">
        <v>9</v>
      </c>
      <c r="I75" t="s">
        <v>382</v>
      </c>
      <c r="J75" t="s">
        <v>304</v>
      </c>
    </row>
    <row r="76" spans="1:10">
      <c r="A76">
        <v>50075</v>
      </c>
      <c r="B76">
        <v>30046</v>
      </c>
      <c r="C76" t="s">
        <v>242</v>
      </c>
      <c r="D76">
        <v>2084</v>
      </c>
      <c r="E76">
        <v>1014</v>
      </c>
      <c r="F76">
        <v>1</v>
      </c>
      <c r="G76" t="s">
        <v>1463</v>
      </c>
      <c r="H76" t="s">
        <v>9</v>
      </c>
      <c r="I76" t="s">
        <v>383</v>
      </c>
      <c r="J76" t="s">
        <v>384</v>
      </c>
    </row>
    <row r="77" spans="1:10">
      <c r="A77">
        <v>50076</v>
      </c>
      <c r="B77">
        <v>30046</v>
      </c>
      <c r="C77" t="s">
        <v>242</v>
      </c>
      <c r="D77">
        <v>2084</v>
      </c>
      <c r="E77">
        <v>1016</v>
      </c>
      <c r="F77">
        <v>1</v>
      </c>
      <c r="G77" t="s">
        <v>1465</v>
      </c>
      <c r="H77" t="s">
        <v>9</v>
      </c>
      <c r="I77" t="s">
        <v>385</v>
      </c>
      <c r="J77" t="s">
        <v>386</v>
      </c>
    </row>
    <row r="78" spans="1:10">
      <c r="A78">
        <v>50077</v>
      </c>
      <c r="B78">
        <v>30046</v>
      </c>
      <c r="C78" t="s">
        <v>242</v>
      </c>
      <c r="D78">
        <v>2084</v>
      </c>
      <c r="E78">
        <v>1015</v>
      </c>
      <c r="F78">
        <v>2</v>
      </c>
      <c r="G78" t="s">
        <v>1488</v>
      </c>
      <c r="H78" t="s">
        <v>9</v>
      </c>
      <c r="I78" t="s">
        <v>387</v>
      </c>
      <c r="J78" t="s">
        <v>388</v>
      </c>
    </row>
    <row r="79" spans="1:10">
      <c r="A79">
        <v>50078</v>
      </c>
      <c r="B79">
        <v>30046</v>
      </c>
      <c r="C79" t="s">
        <v>244</v>
      </c>
      <c r="D79">
        <v>2084</v>
      </c>
      <c r="E79">
        <v>1014</v>
      </c>
      <c r="F79">
        <v>1</v>
      </c>
      <c r="G79" t="s">
        <v>1463</v>
      </c>
      <c r="H79" t="s">
        <v>9</v>
      </c>
      <c r="I79" t="s">
        <v>285</v>
      </c>
      <c r="J79" t="s">
        <v>386</v>
      </c>
    </row>
    <row r="80" spans="1:10">
      <c r="A80">
        <v>50079</v>
      </c>
      <c r="B80">
        <v>30047</v>
      </c>
      <c r="C80" t="s">
        <v>389</v>
      </c>
      <c r="D80">
        <v>2280</v>
      </c>
      <c r="E80">
        <v>1004</v>
      </c>
      <c r="F80">
        <v>4</v>
      </c>
      <c r="G80" t="s">
        <v>1489</v>
      </c>
      <c r="H80" t="s">
        <v>9</v>
      </c>
      <c r="I80" t="s">
        <v>390</v>
      </c>
      <c r="J80" t="s">
        <v>391</v>
      </c>
    </row>
    <row r="81" spans="1:10">
      <c r="A81">
        <v>50080</v>
      </c>
      <c r="B81">
        <v>30047</v>
      </c>
      <c r="C81" t="s">
        <v>389</v>
      </c>
      <c r="D81">
        <v>2280</v>
      </c>
      <c r="E81">
        <v>1012</v>
      </c>
      <c r="F81">
        <v>1</v>
      </c>
      <c r="G81" t="s">
        <v>1449</v>
      </c>
      <c r="H81" t="s">
        <v>9</v>
      </c>
      <c r="I81" t="s">
        <v>392</v>
      </c>
      <c r="J81" t="s">
        <v>44</v>
      </c>
    </row>
    <row r="82" spans="1:10">
      <c r="A82">
        <v>50081</v>
      </c>
      <c r="B82">
        <v>30048</v>
      </c>
      <c r="C82" t="s">
        <v>360</v>
      </c>
      <c r="D82">
        <v>2441</v>
      </c>
      <c r="E82">
        <v>1016</v>
      </c>
      <c r="F82">
        <v>1</v>
      </c>
      <c r="G82" t="s">
        <v>1465</v>
      </c>
      <c r="H82" t="s">
        <v>9</v>
      </c>
      <c r="I82" t="s">
        <v>393</v>
      </c>
      <c r="J82" t="s">
        <v>45</v>
      </c>
    </row>
    <row r="83" spans="1:10">
      <c r="A83">
        <v>50082</v>
      </c>
      <c r="B83">
        <v>30049</v>
      </c>
      <c r="C83" t="s">
        <v>394</v>
      </c>
      <c r="D83">
        <v>2540</v>
      </c>
      <c r="E83">
        <v>1002</v>
      </c>
      <c r="F83">
        <v>1</v>
      </c>
      <c r="G83" t="s">
        <v>1466</v>
      </c>
      <c r="H83" t="s">
        <v>9</v>
      </c>
      <c r="I83" t="s">
        <v>395</v>
      </c>
      <c r="J83" t="s">
        <v>396</v>
      </c>
    </row>
    <row r="84" spans="1:10">
      <c r="A84">
        <v>50083</v>
      </c>
      <c r="B84">
        <v>30050</v>
      </c>
      <c r="C84" t="s">
        <v>397</v>
      </c>
      <c r="D84">
        <v>2226</v>
      </c>
      <c r="E84">
        <v>1002</v>
      </c>
      <c r="F84">
        <v>2</v>
      </c>
      <c r="G84" t="s">
        <v>1482</v>
      </c>
      <c r="H84" t="s">
        <v>1457</v>
      </c>
      <c r="I84" t="s">
        <v>366</v>
      </c>
      <c r="J84" t="s">
        <v>398</v>
      </c>
    </row>
    <row r="85" spans="1:10">
      <c r="A85">
        <v>50084</v>
      </c>
      <c r="B85">
        <v>30050</v>
      </c>
      <c r="C85" t="s">
        <v>397</v>
      </c>
      <c r="D85">
        <v>2226</v>
      </c>
      <c r="E85">
        <v>1001</v>
      </c>
      <c r="F85">
        <v>1</v>
      </c>
      <c r="G85" t="s">
        <v>1469</v>
      </c>
      <c r="H85" t="s">
        <v>9</v>
      </c>
      <c r="I85" t="s">
        <v>46</v>
      </c>
      <c r="J85" t="s">
        <v>399</v>
      </c>
    </row>
    <row r="86" spans="1:10">
      <c r="A86">
        <v>50085</v>
      </c>
      <c r="B86">
        <v>30050</v>
      </c>
      <c r="C86" t="s">
        <v>400</v>
      </c>
      <c r="D86">
        <v>2226</v>
      </c>
      <c r="E86">
        <v>1007</v>
      </c>
      <c r="F86">
        <v>2</v>
      </c>
      <c r="G86" t="s">
        <v>1455</v>
      </c>
      <c r="H86" t="s">
        <v>9</v>
      </c>
      <c r="I86" t="s">
        <v>46</v>
      </c>
      <c r="J86" t="s">
        <v>401</v>
      </c>
    </row>
    <row r="87" spans="1:10">
      <c r="A87">
        <v>50086</v>
      </c>
      <c r="B87">
        <v>30051</v>
      </c>
      <c r="C87" t="s">
        <v>402</v>
      </c>
      <c r="D87">
        <v>2309</v>
      </c>
      <c r="E87">
        <v>1005</v>
      </c>
      <c r="F87">
        <v>1</v>
      </c>
      <c r="G87" t="s">
        <v>1456</v>
      </c>
      <c r="H87" t="s">
        <v>11</v>
      </c>
      <c r="I87" t="s">
        <v>403</v>
      </c>
      <c r="J87" t="s">
        <v>404</v>
      </c>
    </row>
    <row r="88" spans="1:10">
      <c r="A88">
        <v>50087</v>
      </c>
      <c r="B88">
        <v>30052</v>
      </c>
      <c r="C88" t="s">
        <v>405</v>
      </c>
      <c r="D88">
        <v>2262</v>
      </c>
      <c r="E88">
        <v>1004</v>
      </c>
      <c r="F88">
        <v>1</v>
      </c>
      <c r="G88" t="s">
        <v>1452</v>
      </c>
      <c r="H88" t="s">
        <v>9</v>
      </c>
      <c r="I88" t="s">
        <v>406</v>
      </c>
      <c r="J88" t="s">
        <v>407</v>
      </c>
    </row>
    <row r="89" spans="1:10">
      <c r="A89">
        <v>50088</v>
      </c>
      <c r="B89">
        <v>30052</v>
      </c>
      <c r="C89" t="s">
        <v>405</v>
      </c>
      <c r="D89">
        <v>2262</v>
      </c>
      <c r="E89">
        <v>1001</v>
      </c>
      <c r="F89">
        <v>2</v>
      </c>
      <c r="G89" t="s">
        <v>1460</v>
      </c>
      <c r="H89" t="s">
        <v>9</v>
      </c>
      <c r="I89" t="s">
        <v>408</v>
      </c>
      <c r="J89" t="s">
        <v>409</v>
      </c>
    </row>
    <row r="90" spans="1:10">
      <c r="A90">
        <v>50089</v>
      </c>
      <c r="B90">
        <v>30052</v>
      </c>
      <c r="C90" t="s">
        <v>410</v>
      </c>
      <c r="D90">
        <v>2262</v>
      </c>
      <c r="E90">
        <v>1016</v>
      </c>
      <c r="F90">
        <v>3</v>
      </c>
      <c r="G90" t="s">
        <v>1484</v>
      </c>
      <c r="H90" t="s">
        <v>9</v>
      </c>
      <c r="I90" t="s">
        <v>411</v>
      </c>
      <c r="J90" t="s">
        <v>412</v>
      </c>
    </row>
    <row r="91" spans="1:10">
      <c r="A91">
        <v>50090</v>
      </c>
      <c r="B91">
        <v>30053</v>
      </c>
      <c r="C91" t="s">
        <v>413</v>
      </c>
      <c r="D91">
        <v>2441</v>
      </c>
      <c r="E91">
        <v>1013</v>
      </c>
      <c r="F91">
        <v>1</v>
      </c>
      <c r="G91" t="s">
        <v>1474</v>
      </c>
      <c r="H91" t="s">
        <v>9</v>
      </c>
      <c r="I91" t="s">
        <v>374</v>
      </c>
      <c r="J91" t="s">
        <v>414</v>
      </c>
    </row>
    <row r="92" spans="1:10">
      <c r="A92">
        <v>50091</v>
      </c>
      <c r="B92">
        <v>30053</v>
      </c>
      <c r="C92" t="s">
        <v>413</v>
      </c>
      <c r="D92">
        <v>2441</v>
      </c>
      <c r="E92">
        <v>1008</v>
      </c>
      <c r="F92">
        <v>1</v>
      </c>
      <c r="G92" t="s">
        <v>1447</v>
      </c>
      <c r="H92" t="s">
        <v>9</v>
      </c>
      <c r="I92" t="s">
        <v>377</v>
      </c>
      <c r="J92" t="s">
        <v>247</v>
      </c>
    </row>
    <row r="93" spans="1:10">
      <c r="A93">
        <v>50092</v>
      </c>
      <c r="B93">
        <v>30053</v>
      </c>
      <c r="C93" t="s">
        <v>415</v>
      </c>
      <c r="D93">
        <v>2441</v>
      </c>
      <c r="E93">
        <v>1012</v>
      </c>
      <c r="F93">
        <v>1</v>
      </c>
      <c r="G93" t="s">
        <v>1449</v>
      </c>
      <c r="H93" t="s">
        <v>9</v>
      </c>
      <c r="I93" t="s">
        <v>416</v>
      </c>
      <c r="J93" t="s">
        <v>417</v>
      </c>
    </row>
    <row r="94" spans="1:10">
      <c r="A94">
        <v>50093</v>
      </c>
      <c r="B94">
        <v>30054</v>
      </c>
      <c r="C94" t="s">
        <v>47</v>
      </c>
      <c r="D94">
        <v>2074</v>
      </c>
      <c r="E94">
        <v>1002</v>
      </c>
      <c r="F94">
        <v>1</v>
      </c>
      <c r="G94" t="s">
        <v>1466</v>
      </c>
      <c r="H94" t="s">
        <v>9</v>
      </c>
      <c r="I94" t="s">
        <v>418</v>
      </c>
      <c r="J94" t="s">
        <v>48</v>
      </c>
    </row>
    <row r="95" spans="1:10">
      <c r="A95">
        <v>50094</v>
      </c>
      <c r="B95">
        <v>30055</v>
      </c>
      <c r="C95" t="s">
        <v>419</v>
      </c>
      <c r="D95">
        <v>2447</v>
      </c>
      <c r="E95">
        <v>1003</v>
      </c>
      <c r="F95">
        <v>1</v>
      </c>
      <c r="G95" t="s">
        <v>1471</v>
      </c>
      <c r="H95" t="s">
        <v>9</v>
      </c>
      <c r="I95" t="s">
        <v>420</v>
      </c>
      <c r="J95" t="s">
        <v>49</v>
      </c>
    </row>
    <row r="96" spans="1:10">
      <c r="A96">
        <v>50095</v>
      </c>
      <c r="B96">
        <v>30056</v>
      </c>
      <c r="C96" t="s">
        <v>421</v>
      </c>
      <c r="D96">
        <v>2321</v>
      </c>
      <c r="E96">
        <v>1013</v>
      </c>
      <c r="F96">
        <v>3</v>
      </c>
      <c r="G96" t="s">
        <v>1490</v>
      </c>
      <c r="H96" t="s">
        <v>9</v>
      </c>
      <c r="I96" t="s">
        <v>422</v>
      </c>
      <c r="J96" t="s">
        <v>331</v>
      </c>
    </row>
    <row r="97" spans="1:10">
      <c r="A97">
        <v>50096</v>
      </c>
      <c r="B97">
        <v>30056</v>
      </c>
      <c r="C97" t="s">
        <v>423</v>
      </c>
      <c r="D97">
        <v>2321</v>
      </c>
      <c r="E97">
        <v>1014</v>
      </c>
      <c r="F97">
        <v>1</v>
      </c>
      <c r="G97" t="s">
        <v>1463</v>
      </c>
      <c r="H97" t="s">
        <v>9</v>
      </c>
      <c r="I97" t="s">
        <v>424</v>
      </c>
      <c r="J97" t="s">
        <v>425</v>
      </c>
    </row>
    <row r="98" spans="1:10">
      <c r="A98">
        <v>50097</v>
      </c>
      <c r="B98">
        <v>30056</v>
      </c>
      <c r="C98" t="s">
        <v>426</v>
      </c>
      <c r="D98">
        <v>2321</v>
      </c>
      <c r="E98">
        <v>1010</v>
      </c>
      <c r="F98">
        <v>1</v>
      </c>
      <c r="G98" t="s">
        <v>1468</v>
      </c>
      <c r="H98" t="s">
        <v>9</v>
      </c>
      <c r="I98" t="s">
        <v>427</v>
      </c>
      <c r="J98" t="s">
        <v>414</v>
      </c>
    </row>
    <row r="99" spans="1:10">
      <c r="A99">
        <v>50098</v>
      </c>
      <c r="B99">
        <v>30057</v>
      </c>
      <c r="C99" t="s">
        <v>428</v>
      </c>
      <c r="D99">
        <v>2118</v>
      </c>
      <c r="E99">
        <v>1011</v>
      </c>
      <c r="F99">
        <v>1</v>
      </c>
      <c r="G99" t="s">
        <v>1472</v>
      </c>
      <c r="H99" t="s">
        <v>9</v>
      </c>
      <c r="I99" t="s">
        <v>50</v>
      </c>
      <c r="J99" t="s">
        <v>275</v>
      </c>
    </row>
    <row r="100" spans="1:10">
      <c r="A100">
        <v>50099</v>
      </c>
      <c r="B100">
        <v>30058</v>
      </c>
      <c r="C100" t="s">
        <v>420</v>
      </c>
      <c r="D100">
        <v>2176</v>
      </c>
      <c r="E100">
        <v>1015</v>
      </c>
      <c r="F100">
        <v>3</v>
      </c>
      <c r="G100" t="s">
        <v>1470</v>
      </c>
      <c r="H100" t="s">
        <v>16</v>
      </c>
      <c r="I100" t="s">
        <v>1421</v>
      </c>
      <c r="J100" t="s">
        <v>1421</v>
      </c>
    </row>
    <row r="101" spans="1:10">
      <c r="A101">
        <v>50100</v>
      </c>
      <c r="B101">
        <v>30059</v>
      </c>
      <c r="C101" t="s">
        <v>239</v>
      </c>
      <c r="D101">
        <v>2371</v>
      </c>
      <c r="E101">
        <v>1004</v>
      </c>
      <c r="F101">
        <v>1</v>
      </c>
      <c r="G101" t="s">
        <v>1452</v>
      </c>
      <c r="H101" t="s">
        <v>9</v>
      </c>
      <c r="I101" t="s">
        <v>287</v>
      </c>
      <c r="J101" t="s">
        <v>429</v>
      </c>
    </row>
    <row r="102" spans="1:10">
      <c r="A102">
        <v>50101</v>
      </c>
      <c r="B102">
        <v>30059</v>
      </c>
      <c r="C102" t="s">
        <v>239</v>
      </c>
      <c r="D102">
        <v>2371</v>
      </c>
      <c r="E102">
        <v>1008</v>
      </c>
      <c r="F102">
        <v>3</v>
      </c>
      <c r="G102" t="s">
        <v>1491</v>
      </c>
      <c r="H102" t="s">
        <v>9</v>
      </c>
      <c r="I102" t="s">
        <v>430</v>
      </c>
      <c r="J102" t="s">
        <v>431</v>
      </c>
    </row>
    <row r="103" spans="1:10">
      <c r="A103">
        <v>50102</v>
      </c>
      <c r="B103">
        <v>30059</v>
      </c>
      <c r="C103" t="s">
        <v>432</v>
      </c>
      <c r="D103">
        <v>2371</v>
      </c>
      <c r="E103">
        <v>1014</v>
      </c>
      <c r="F103">
        <v>2</v>
      </c>
      <c r="G103" t="s">
        <v>1475</v>
      </c>
      <c r="H103" t="s">
        <v>9</v>
      </c>
      <c r="I103" t="s">
        <v>430</v>
      </c>
      <c r="J103" t="s">
        <v>286</v>
      </c>
    </row>
    <row r="104" spans="1:10">
      <c r="A104">
        <v>50103</v>
      </c>
      <c r="B104">
        <v>30060</v>
      </c>
      <c r="C104" t="s">
        <v>356</v>
      </c>
      <c r="D104">
        <v>2411</v>
      </c>
      <c r="E104">
        <v>1013</v>
      </c>
      <c r="F104">
        <v>2</v>
      </c>
      <c r="G104" t="s">
        <v>1492</v>
      </c>
      <c r="H104" t="s">
        <v>9</v>
      </c>
      <c r="I104" t="s">
        <v>393</v>
      </c>
      <c r="J104" t="s">
        <v>433</v>
      </c>
    </row>
    <row r="105" spans="1:10">
      <c r="A105">
        <v>50104</v>
      </c>
      <c r="B105">
        <v>30060</v>
      </c>
      <c r="C105" t="s">
        <v>356</v>
      </c>
      <c r="D105">
        <v>2411</v>
      </c>
      <c r="E105">
        <v>1010</v>
      </c>
      <c r="F105">
        <v>1</v>
      </c>
      <c r="G105" t="s">
        <v>1468</v>
      </c>
      <c r="H105" t="s">
        <v>9</v>
      </c>
      <c r="I105" t="s">
        <v>357</v>
      </c>
      <c r="J105" t="s">
        <v>51</v>
      </c>
    </row>
    <row r="106" spans="1:10">
      <c r="A106">
        <v>50105</v>
      </c>
      <c r="B106">
        <v>30061</v>
      </c>
      <c r="C106" t="s">
        <v>434</v>
      </c>
      <c r="D106">
        <v>2348</v>
      </c>
      <c r="E106">
        <v>1006</v>
      </c>
      <c r="F106">
        <v>1</v>
      </c>
      <c r="G106" t="s">
        <v>1459</v>
      </c>
      <c r="H106" t="s">
        <v>9</v>
      </c>
      <c r="I106" t="s">
        <v>435</v>
      </c>
      <c r="J106" t="s">
        <v>436</v>
      </c>
    </row>
    <row r="107" spans="1:10">
      <c r="A107">
        <v>50106</v>
      </c>
      <c r="B107">
        <v>30062</v>
      </c>
      <c r="C107" t="s">
        <v>401</v>
      </c>
      <c r="D107">
        <v>2079</v>
      </c>
      <c r="E107">
        <v>1004</v>
      </c>
      <c r="F107">
        <v>1</v>
      </c>
      <c r="G107" t="s">
        <v>1452</v>
      </c>
      <c r="H107" t="s">
        <v>9</v>
      </c>
      <c r="I107" t="s">
        <v>437</v>
      </c>
      <c r="J107" t="s">
        <v>438</v>
      </c>
    </row>
    <row r="108" spans="1:10">
      <c r="A108">
        <v>50107</v>
      </c>
      <c r="B108">
        <v>30063</v>
      </c>
      <c r="C108" t="s">
        <v>439</v>
      </c>
      <c r="D108">
        <v>2544</v>
      </c>
      <c r="E108">
        <v>1012</v>
      </c>
      <c r="F108">
        <v>1</v>
      </c>
      <c r="G108" t="s">
        <v>1449</v>
      </c>
      <c r="H108" t="s">
        <v>9</v>
      </c>
      <c r="I108" t="s">
        <v>318</v>
      </c>
      <c r="J108" t="s">
        <v>440</v>
      </c>
    </row>
    <row r="109" spans="1:10">
      <c r="A109">
        <v>50108</v>
      </c>
      <c r="B109">
        <v>30064</v>
      </c>
      <c r="C109" t="s">
        <v>441</v>
      </c>
      <c r="D109">
        <v>2360</v>
      </c>
      <c r="E109">
        <v>1005</v>
      </c>
      <c r="F109">
        <v>1</v>
      </c>
      <c r="G109" t="s">
        <v>1456</v>
      </c>
      <c r="H109" t="s">
        <v>9</v>
      </c>
      <c r="I109" t="s">
        <v>442</v>
      </c>
      <c r="J109" t="s">
        <v>259</v>
      </c>
    </row>
    <row r="110" spans="1:10">
      <c r="A110">
        <v>50109</v>
      </c>
      <c r="B110">
        <v>30065</v>
      </c>
      <c r="C110" t="s">
        <v>443</v>
      </c>
      <c r="D110">
        <v>2242</v>
      </c>
      <c r="E110">
        <v>1009</v>
      </c>
      <c r="F110">
        <v>3</v>
      </c>
      <c r="G110" t="s">
        <v>1461</v>
      </c>
      <c r="H110" t="s">
        <v>9</v>
      </c>
      <c r="I110" t="s">
        <v>444</v>
      </c>
      <c r="J110" t="s">
        <v>445</v>
      </c>
    </row>
    <row r="111" spans="1:10">
      <c r="A111">
        <v>50110</v>
      </c>
      <c r="B111">
        <v>30065</v>
      </c>
      <c r="C111" t="s">
        <v>446</v>
      </c>
      <c r="D111">
        <v>2242</v>
      </c>
      <c r="E111">
        <v>1007</v>
      </c>
      <c r="F111">
        <v>1</v>
      </c>
      <c r="G111" t="s">
        <v>1453</v>
      </c>
      <c r="H111" t="s">
        <v>9</v>
      </c>
      <c r="I111" t="s">
        <v>447</v>
      </c>
      <c r="J111" t="s">
        <v>448</v>
      </c>
    </row>
    <row r="112" spans="1:10">
      <c r="A112">
        <v>50111</v>
      </c>
      <c r="B112">
        <v>30065</v>
      </c>
      <c r="C112" t="s">
        <v>446</v>
      </c>
      <c r="D112">
        <v>2242</v>
      </c>
      <c r="E112">
        <v>1006</v>
      </c>
      <c r="F112">
        <v>3</v>
      </c>
      <c r="G112" t="s">
        <v>1493</v>
      </c>
      <c r="H112" t="s">
        <v>9</v>
      </c>
      <c r="I112" t="s">
        <v>52</v>
      </c>
      <c r="J112" t="s">
        <v>318</v>
      </c>
    </row>
    <row r="113" spans="1:10">
      <c r="A113">
        <v>50112</v>
      </c>
      <c r="B113">
        <v>30066</v>
      </c>
      <c r="C113" t="s">
        <v>449</v>
      </c>
      <c r="D113">
        <v>2157</v>
      </c>
      <c r="E113">
        <v>1003</v>
      </c>
      <c r="F113">
        <v>1</v>
      </c>
      <c r="G113" t="s">
        <v>1471</v>
      </c>
      <c r="H113" t="s">
        <v>16</v>
      </c>
      <c r="I113" t="s">
        <v>312</v>
      </c>
      <c r="J113" t="s">
        <v>1421</v>
      </c>
    </row>
    <row r="114" spans="1:10">
      <c r="A114">
        <v>50113</v>
      </c>
      <c r="B114">
        <v>30066</v>
      </c>
      <c r="C114" t="s">
        <v>53</v>
      </c>
      <c r="D114">
        <v>2157</v>
      </c>
      <c r="E114">
        <v>1016</v>
      </c>
      <c r="F114">
        <v>1</v>
      </c>
      <c r="G114" t="s">
        <v>1465</v>
      </c>
      <c r="H114" t="s">
        <v>16</v>
      </c>
      <c r="I114" t="s">
        <v>1421</v>
      </c>
      <c r="J114" t="s">
        <v>1421</v>
      </c>
    </row>
    <row r="115" spans="1:10">
      <c r="A115">
        <v>50114</v>
      </c>
      <c r="B115">
        <v>30066</v>
      </c>
      <c r="C115" t="s">
        <v>272</v>
      </c>
      <c r="D115">
        <v>2157</v>
      </c>
      <c r="E115">
        <v>1015</v>
      </c>
      <c r="F115">
        <v>2</v>
      </c>
      <c r="G115" t="s">
        <v>1488</v>
      </c>
      <c r="H115" t="s">
        <v>16</v>
      </c>
      <c r="I115" t="s">
        <v>1421</v>
      </c>
      <c r="J115" t="s">
        <v>1421</v>
      </c>
    </row>
    <row r="116" spans="1:10">
      <c r="A116">
        <v>50115</v>
      </c>
      <c r="B116">
        <v>30067</v>
      </c>
      <c r="C116" t="s">
        <v>345</v>
      </c>
      <c r="D116">
        <v>2579</v>
      </c>
      <c r="E116">
        <v>1011</v>
      </c>
      <c r="F116">
        <v>2</v>
      </c>
      <c r="G116" t="s">
        <v>1487</v>
      </c>
      <c r="H116" t="s">
        <v>1462</v>
      </c>
      <c r="I116" t="s">
        <v>401</v>
      </c>
      <c r="J116" t="s">
        <v>313</v>
      </c>
    </row>
    <row r="117" spans="1:10">
      <c r="A117">
        <v>50116</v>
      </c>
      <c r="B117">
        <v>30068</v>
      </c>
      <c r="C117" t="s">
        <v>450</v>
      </c>
      <c r="D117">
        <v>2324</v>
      </c>
      <c r="E117">
        <v>1003</v>
      </c>
      <c r="F117">
        <v>1</v>
      </c>
      <c r="G117" t="s">
        <v>1471</v>
      </c>
      <c r="H117" t="s">
        <v>9</v>
      </c>
      <c r="I117" t="s">
        <v>451</v>
      </c>
      <c r="J117" t="s">
        <v>247</v>
      </c>
    </row>
    <row r="118" spans="1:10">
      <c r="A118">
        <v>50117</v>
      </c>
      <c r="B118">
        <v>30068</v>
      </c>
      <c r="C118" t="s">
        <v>452</v>
      </c>
      <c r="D118">
        <v>2324</v>
      </c>
      <c r="E118">
        <v>1016</v>
      </c>
      <c r="F118">
        <v>1</v>
      </c>
      <c r="G118" t="s">
        <v>1465</v>
      </c>
      <c r="H118" t="s">
        <v>9</v>
      </c>
      <c r="I118" t="s">
        <v>453</v>
      </c>
      <c r="J118" t="s">
        <v>454</v>
      </c>
    </row>
    <row r="119" spans="1:10">
      <c r="A119">
        <v>50118</v>
      </c>
      <c r="B119">
        <v>30069</v>
      </c>
      <c r="C119" t="s">
        <v>455</v>
      </c>
      <c r="D119">
        <v>2453</v>
      </c>
      <c r="E119">
        <v>1009</v>
      </c>
      <c r="F119">
        <v>4</v>
      </c>
      <c r="G119" t="s">
        <v>1494</v>
      </c>
      <c r="H119" t="s">
        <v>1495</v>
      </c>
      <c r="I119" t="s">
        <v>378</v>
      </c>
      <c r="J119" t="s">
        <v>456</v>
      </c>
    </row>
    <row r="120" spans="1:10">
      <c r="A120">
        <v>50119</v>
      </c>
      <c r="B120">
        <v>30070</v>
      </c>
      <c r="C120" t="s">
        <v>54</v>
      </c>
      <c r="D120">
        <v>2058</v>
      </c>
      <c r="E120">
        <v>1003</v>
      </c>
      <c r="F120">
        <v>2</v>
      </c>
      <c r="G120" t="s">
        <v>1464</v>
      </c>
      <c r="H120" t="s">
        <v>9</v>
      </c>
      <c r="I120" t="s">
        <v>457</v>
      </c>
      <c r="J120" t="s">
        <v>281</v>
      </c>
    </row>
    <row r="121" spans="1:10">
      <c r="A121">
        <v>50120</v>
      </c>
      <c r="B121">
        <v>30070</v>
      </c>
      <c r="C121" t="s">
        <v>458</v>
      </c>
      <c r="D121">
        <v>2058</v>
      </c>
      <c r="E121">
        <v>1010</v>
      </c>
      <c r="F121">
        <v>1</v>
      </c>
      <c r="G121" t="s">
        <v>1468</v>
      </c>
      <c r="H121" t="s">
        <v>9</v>
      </c>
      <c r="I121" t="s">
        <v>459</v>
      </c>
      <c r="J121" t="s">
        <v>460</v>
      </c>
    </row>
    <row r="122" spans="1:10">
      <c r="A122">
        <v>50121</v>
      </c>
      <c r="B122">
        <v>30071</v>
      </c>
      <c r="C122" t="s">
        <v>461</v>
      </c>
      <c r="D122">
        <v>2473</v>
      </c>
      <c r="E122">
        <v>1002</v>
      </c>
      <c r="F122">
        <v>2</v>
      </c>
      <c r="G122" t="s">
        <v>1482</v>
      </c>
      <c r="H122" t="s">
        <v>9</v>
      </c>
      <c r="I122" t="s">
        <v>462</v>
      </c>
      <c r="J122" t="s">
        <v>463</v>
      </c>
    </row>
    <row r="123" spans="1:10">
      <c r="A123">
        <v>50122</v>
      </c>
      <c r="B123">
        <v>30072</v>
      </c>
      <c r="C123" t="s">
        <v>464</v>
      </c>
      <c r="D123">
        <v>2378</v>
      </c>
      <c r="E123">
        <v>1003</v>
      </c>
      <c r="F123">
        <v>1</v>
      </c>
      <c r="G123" t="s">
        <v>1471</v>
      </c>
      <c r="H123" t="s">
        <v>16</v>
      </c>
      <c r="I123" t="s">
        <v>1421</v>
      </c>
      <c r="J123" t="s">
        <v>1421</v>
      </c>
    </row>
    <row r="124" spans="1:10">
      <c r="A124">
        <v>50123</v>
      </c>
      <c r="B124">
        <v>30072</v>
      </c>
      <c r="C124" t="s">
        <v>464</v>
      </c>
      <c r="D124">
        <v>2378</v>
      </c>
      <c r="E124">
        <v>1003</v>
      </c>
      <c r="F124">
        <v>1</v>
      </c>
      <c r="G124" t="s">
        <v>1471</v>
      </c>
      <c r="H124" t="s">
        <v>16</v>
      </c>
      <c r="I124" t="s">
        <v>1421</v>
      </c>
      <c r="J124" t="s">
        <v>1421</v>
      </c>
    </row>
    <row r="125" spans="1:10">
      <c r="A125">
        <v>50124</v>
      </c>
      <c r="B125">
        <v>30073</v>
      </c>
      <c r="C125" t="s">
        <v>465</v>
      </c>
      <c r="D125">
        <v>2520</v>
      </c>
      <c r="E125">
        <v>1002</v>
      </c>
      <c r="F125">
        <v>2</v>
      </c>
      <c r="G125" t="s">
        <v>1482</v>
      </c>
      <c r="H125" t="s">
        <v>9</v>
      </c>
      <c r="I125" t="s">
        <v>466</v>
      </c>
      <c r="J125" t="s">
        <v>432</v>
      </c>
    </row>
    <row r="126" spans="1:10">
      <c r="A126">
        <v>50125</v>
      </c>
      <c r="B126">
        <v>30073</v>
      </c>
      <c r="C126" t="s">
        <v>14</v>
      </c>
      <c r="D126">
        <v>2520</v>
      </c>
      <c r="E126">
        <v>1015</v>
      </c>
      <c r="F126">
        <v>2</v>
      </c>
      <c r="G126" t="s">
        <v>1488</v>
      </c>
      <c r="H126" t="s">
        <v>9</v>
      </c>
      <c r="I126" t="s">
        <v>467</v>
      </c>
      <c r="J126" t="s">
        <v>468</v>
      </c>
    </row>
    <row r="127" spans="1:10">
      <c r="A127">
        <v>50126</v>
      </c>
      <c r="B127">
        <v>30074</v>
      </c>
      <c r="C127" t="s">
        <v>469</v>
      </c>
      <c r="D127">
        <v>2586</v>
      </c>
      <c r="E127">
        <v>1011</v>
      </c>
      <c r="F127">
        <v>1</v>
      </c>
      <c r="G127" t="s">
        <v>1472</v>
      </c>
      <c r="H127" t="s">
        <v>9</v>
      </c>
      <c r="I127" t="s">
        <v>470</v>
      </c>
      <c r="J127" t="s">
        <v>308</v>
      </c>
    </row>
    <row r="128" spans="1:10">
      <c r="A128">
        <v>50127</v>
      </c>
      <c r="B128">
        <v>30075</v>
      </c>
      <c r="C128" t="s">
        <v>270</v>
      </c>
      <c r="D128">
        <v>2488</v>
      </c>
      <c r="E128">
        <v>1002</v>
      </c>
      <c r="F128">
        <v>2</v>
      </c>
      <c r="G128" t="s">
        <v>1482</v>
      </c>
      <c r="H128" t="s">
        <v>9</v>
      </c>
      <c r="I128" t="s">
        <v>242</v>
      </c>
      <c r="J128" t="s">
        <v>471</v>
      </c>
    </row>
    <row r="129" spans="1:10">
      <c r="A129">
        <v>50128</v>
      </c>
      <c r="B129">
        <v>30076</v>
      </c>
      <c r="C129" t="s">
        <v>472</v>
      </c>
      <c r="D129">
        <v>2462</v>
      </c>
      <c r="E129">
        <v>1011</v>
      </c>
      <c r="F129">
        <v>2</v>
      </c>
      <c r="G129" t="s">
        <v>1487</v>
      </c>
      <c r="H129" t="s">
        <v>9</v>
      </c>
      <c r="I129" t="s">
        <v>473</v>
      </c>
      <c r="J129" t="s">
        <v>367</v>
      </c>
    </row>
    <row r="130" spans="1:10">
      <c r="A130">
        <v>50129</v>
      </c>
      <c r="B130">
        <v>30076</v>
      </c>
      <c r="C130" t="s">
        <v>472</v>
      </c>
      <c r="D130">
        <v>2462</v>
      </c>
      <c r="E130">
        <v>1003</v>
      </c>
      <c r="F130">
        <v>1</v>
      </c>
      <c r="G130" t="s">
        <v>1471</v>
      </c>
      <c r="H130" t="s">
        <v>9</v>
      </c>
      <c r="I130" t="s">
        <v>55</v>
      </c>
      <c r="J130" t="s">
        <v>411</v>
      </c>
    </row>
    <row r="131" spans="1:10">
      <c r="A131">
        <v>50130</v>
      </c>
      <c r="B131">
        <v>30076</v>
      </c>
      <c r="C131" t="s">
        <v>472</v>
      </c>
      <c r="D131">
        <v>2462</v>
      </c>
      <c r="E131">
        <v>1006</v>
      </c>
      <c r="F131">
        <v>1</v>
      </c>
      <c r="G131" t="s">
        <v>1459</v>
      </c>
      <c r="H131" t="s">
        <v>9</v>
      </c>
      <c r="I131" t="s">
        <v>55</v>
      </c>
      <c r="J131" t="s">
        <v>474</v>
      </c>
    </row>
    <row r="132" spans="1:10">
      <c r="A132">
        <v>50131</v>
      </c>
      <c r="B132">
        <v>30077</v>
      </c>
      <c r="C132" t="s">
        <v>475</v>
      </c>
      <c r="D132">
        <v>2041</v>
      </c>
      <c r="E132">
        <v>1015</v>
      </c>
      <c r="F132">
        <v>1</v>
      </c>
      <c r="G132" t="s">
        <v>1478</v>
      </c>
      <c r="H132" t="s">
        <v>9</v>
      </c>
      <c r="I132" t="s">
        <v>56</v>
      </c>
      <c r="J132" t="s">
        <v>439</v>
      </c>
    </row>
    <row r="133" spans="1:10">
      <c r="A133">
        <v>50132</v>
      </c>
      <c r="B133">
        <v>30077</v>
      </c>
      <c r="C133" t="s">
        <v>475</v>
      </c>
      <c r="D133">
        <v>2041</v>
      </c>
      <c r="E133">
        <v>1015</v>
      </c>
      <c r="F133">
        <v>2</v>
      </c>
      <c r="G133" t="s">
        <v>1488</v>
      </c>
      <c r="H133" t="s">
        <v>9</v>
      </c>
      <c r="I133" t="s">
        <v>476</v>
      </c>
      <c r="J133" t="s">
        <v>477</v>
      </c>
    </row>
    <row r="134" spans="1:10">
      <c r="A134">
        <v>50133</v>
      </c>
      <c r="B134">
        <v>30077</v>
      </c>
      <c r="C134" t="s">
        <v>57</v>
      </c>
      <c r="D134">
        <v>2041</v>
      </c>
      <c r="E134">
        <v>1006</v>
      </c>
      <c r="F134">
        <v>4</v>
      </c>
      <c r="G134" t="s">
        <v>1496</v>
      </c>
      <c r="H134" t="s">
        <v>9</v>
      </c>
      <c r="I134" t="s">
        <v>289</v>
      </c>
      <c r="J134" t="s">
        <v>478</v>
      </c>
    </row>
    <row r="135" spans="1:10">
      <c r="A135">
        <v>50134</v>
      </c>
      <c r="B135">
        <v>30078</v>
      </c>
      <c r="C135" t="s">
        <v>479</v>
      </c>
      <c r="D135">
        <v>2373</v>
      </c>
      <c r="E135">
        <v>1010</v>
      </c>
      <c r="F135">
        <v>5</v>
      </c>
      <c r="G135" t="s">
        <v>1497</v>
      </c>
      <c r="H135" t="s">
        <v>9</v>
      </c>
      <c r="I135" t="s">
        <v>480</v>
      </c>
      <c r="J135" t="s">
        <v>481</v>
      </c>
    </row>
    <row r="136" spans="1:10">
      <c r="A136">
        <v>50135</v>
      </c>
      <c r="B136">
        <v>30079</v>
      </c>
      <c r="C136" t="s">
        <v>482</v>
      </c>
      <c r="D136">
        <v>2397</v>
      </c>
      <c r="E136">
        <v>1011</v>
      </c>
      <c r="F136">
        <v>1</v>
      </c>
      <c r="G136" t="s">
        <v>1472</v>
      </c>
      <c r="H136" t="s">
        <v>9</v>
      </c>
      <c r="I136" t="s">
        <v>483</v>
      </c>
      <c r="J136" t="s">
        <v>43</v>
      </c>
    </row>
    <row r="137" spans="1:10">
      <c r="A137">
        <v>50136</v>
      </c>
      <c r="B137">
        <v>30079</v>
      </c>
      <c r="C137" t="s">
        <v>482</v>
      </c>
      <c r="D137">
        <v>2397</v>
      </c>
      <c r="E137">
        <v>1002</v>
      </c>
      <c r="F137">
        <v>2</v>
      </c>
      <c r="G137" t="s">
        <v>1482</v>
      </c>
      <c r="H137" t="s">
        <v>9</v>
      </c>
      <c r="I137" t="s">
        <v>483</v>
      </c>
      <c r="J137" t="s">
        <v>484</v>
      </c>
    </row>
    <row r="138" spans="1:10">
      <c r="A138">
        <v>50137</v>
      </c>
      <c r="B138">
        <v>30079</v>
      </c>
      <c r="C138" t="s">
        <v>482</v>
      </c>
      <c r="D138">
        <v>2397</v>
      </c>
      <c r="E138">
        <v>1011</v>
      </c>
      <c r="F138">
        <v>2</v>
      </c>
      <c r="G138" t="s">
        <v>1487</v>
      </c>
      <c r="H138" t="s">
        <v>9</v>
      </c>
      <c r="I138" t="s">
        <v>485</v>
      </c>
      <c r="J138" t="s">
        <v>486</v>
      </c>
    </row>
    <row r="139" spans="1:10">
      <c r="A139">
        <v>50138</v>
      </c>
      <c r="B139">
        <v>30079</v>
      </c>
      <c r="C139" t="s">
        <v>58</v>
      </c>
      <c r="D139">
        <v>2397</v>
      </c>
      <c r="E139">
        <v>1003</v>
      </c>
      <c r="F139">
        <v>1</v>
      </c>
      <c r="G139" t="s">
        <v>1471</v>
      </c>
      <c r="H139" t="s">
        <v>9</v>
      </c>
      <c r="I139" t="s">
        <v>483</v>
      </c>
      <c r="J139" t="s">
        <v>487</v>
      </c>
    </row>
    <row r="140" spans="1:10">
      <c r="A140">
        <v>50139</v>
      </c>
      <c r="B140">
        <v>30080</v>
      </c>
      <c r="C140" t="s">
        <v>488</v>
      </c>
      <c r="D140">
        <v>2338</v>
      </c>
      <c r="E140">
        <v>1013</v>
      </c>
      <c r="F140">
        <v>1</v>
      </c>
      <c r="G140" t="s">
        <v>1474</v>
      </c>
      <c r="H140" t="s">
        <v>9</v>
      </c>
      <c r="I140" t="s">
        <v>257</v>
      </c>
      <c r="J140" t="s">
        <v>489</v>
      </c>
    </row>
    <row r="141" spans="1:10">
      <c r="A141">
        <v>50140</v>
      </c>
      <c r="B141">
        <v>30081</v>
      </c>
      <c r="C141" t="s">
        <v>490</v>
      </c>
      <c r="D141">
        <v>2291</v>
      </c>
      <c r="E141">
        <v>1005</v>
      </c>
      <c r="F141">
        <v>3</v>
      </c>
      <c r="G141" t="s">
        <v>1498</v>
      </c>
      <c r="H141" t="s">
        <v>9</v>
      </c>
      <c r="I141" t="s">
        <v>491</v>
      </c>
      <c r="J141" t="s">
        <v>492</v>
      </c>
    </row>
    <row r="142" spans="1:10">
      <c r="A142">
        <v>50141</v>
      </c>
      <c r="B142">
        <v>30082</v>
      </c>
      <c r="C142" t="s">
        <v>59</v>
      </c>
      <c r="D142">
        <v>2342</v>
      </c>
      <c r="E142">
        <v>1005</v>
      </c>
      <c r="F142">
        <v>3</v>
      </c>
      <c r="G142" t="s">
        <v>1498</v>
      </c>
      <c r="H142" t="s">
        <v>9</v>
      </c>
      <c r="I142" t="s">
        <v>60</v>
      </c>
      <c r="J142" t="s">
        <v>493</v>
      </c>
    </row>
    <row r="143" spans="1:10">
      <c r="A143">
        <v>50142</v>
      </c>
      <c r="B143">
        <v>30082</v>
      </c>
      <c r="C143" t="s">
        <v>494</v>
      </c>
      <c r="D143">
        <v>2342</v>
      </c>
      <c r="E143">
        <v>1012</v>
      </c>
      <c r="F143">
        <v>3</v>
      </c>
      <c r="G143" t="s">
        <v>1448</v>
      </c>
      <c r="H143" t="s">
        <v>9</v>
      </c>
      <c r="I143" t="s">
        <v>495</v>
      </c>
      <c r="J143" t="s">
        <v>496</v>
      </c>
    </row>
    <row r="144" spans="1:10">
      <c r="A144">
        <v>50143</v>
      </c>
      <c r="B144">
        <v>30082</v>
      </c>
      <c r="C144" t="s">
        <v>497</v>
      </c>
      <c r="D144">
        <v>2342</v>
      </c>
      <c r="E144">
        <v>1010</v>
      </c>
      <c r="F144">
        <v>5</v>
      </c>
      <c r="G144" t="s">
        <v>1497</v>
      </c>
      <c r="H144" t="s">
        <v>9</v>
      </c>
      <c r="I144" t="s">
        <v>498</v>
      </c>
      <c r="J144" t="s">
        <v>496</v>
      </c>
    </row>
    <row r="145" spans="1:10">
      <c r="A145">
        <v>50144</v>
      </c>
      <c r="B145">
        <v>30082</v>
      </c>
      <c r="C145" t="s">
        <v>494</v>
      </c>
      <c r="D145">
        <v>2342</v>
      </c>
      <c r="E145">
        <v>1013</v>
      </c>
      <c r="F145">
        <v>2</v>
      </c>
      <c r="G145" t="s">
        <v>1492</v>
      </c>
      <c r="H145" t="s">
        <v>9</v>
      </c>
      <c r="I145" t="s">
        <v>61</v>
      </c>
      <c r="J145" t="s">
        <v>467</v>
      </c>
    </row>
    <row r="146" spans="1:10">
      <c r="A146">
        <v>50145</v>
      </c>
      <c r="B146">
        <v>30083</v>
      </c>
      <c r="C146" t="s">
        <v>499</v>
      </c>
      <c r="D146">
        <v>2133</v>
      </c>
      <c r="E146">
        <v>1003</v>
      </c>
      <c r="F146">
        <v>1</v>
      </c>
      <c r="G146" t="s">
        <v>1471</v>
      </c>
      <c r="H146" t="s">
        <v>9</v>
      </c>
      <c r="I146" t="s">
        <v>500</v>
      </c>
      <c r="J146" t="s">
        <v>329</v>
      </c>
    </row>
    <row r="147" spans="1:10">
      <c r="A147">
        <v>50146</v>
      </c>
      <c r="B147">
        <v>30083</v>
      </c>
      <c r="C147" t="s">
        <v>501</v>
      </c>
      <c r="D147">
        <v>2133</v>
      </c>
      <c r="E147">
        <v>1010</v>
      </c>
      <c r="F147">
        <v>1</v>
      </c>
      <c r="G147" t="s">
        <v>1468</v>
      </c>
      <c r="H147" t="s">
        <v>9</v>
      </c>
      <c r="I147" t="s">
        <v>502</v>
      </c>
      <c r="J147" t="s">
        <v>431</v>
      </c>
    </row>
    <row r="148" spans="1:10">
      <c r="A148">
        <v>50147</v>
      </c>
      <c r="B148">
        <v>30083</v>
      </c>
      <c r="C148" t="s">
        <v>237</v>
      </c>
      <c r="D148">
        <v>2133</v>
      </c>
      <c r="E148">
        <v>1013</v>
      </c>
      <c r="F148">
        <v>1</v>
      </c>
      <c r="G148" t="s">
        <v>1474</v>
      </c>
      <c r="H148" t="s">
        <v>9</v>
      </c>
      <c r="I148" t="s">
        <v>500</v>
      </c>
      <c r="J148" t="s">
        <v>503</v>
      </c>
    </row>
    <row r="149" spans="1:10">
      <c r="A149">
        <v>50148</v>
      </c>
      <c r="B149">
        <v>30084</v>
      </c>
      <c r="C149" t="s">
        <v>504</v>
      </c>
      <c r="D149">
        <v>2337</v>
      </c>
      <c r="E149">
        <v>1003</v>
      </c>
      <c r="F149">
        <v>1</v>
      </c>
      <c r="G149" t="s">
        <v>1471</v>
      </c>
      <c r="H149" t="s">
        <v>16</v>
      </c>
      <c r="I149" t="s">
        <v>1421</v>
      </c>
      <c r="J149" t="s">
        <v>1421</v>
      </c>
    </row>
    <row r="150" spans="1:10">
      <c r="A150">
        <v>50149</v>
      </c>
      <c r="B150">
        <v>30085</v>
      </c>
      <c r="C150" t="s">
        <v>505</v>
      </c>
      <c r="D150">
        <v>2434</v>
      </c>
      <c r="E150">
        <v>1001</v>
      </c>
      <c r="F150">
        <v>2</v>
      </c>
      <c r="G150" t="s">
        <v>1460</v>
      </c>
      <c r="H150" t="s">
        <v>9</v>
      </c>
      <c r="I150" t="s">
        <v>312</v>
      </c>
      <c r="J150" t="s">
        <v>506</v>
      </c>
    </row>
    <row r="151" spans="1:10">
      <c r="A151">
        <v>50150</v>
      </c>
      <c r="B151">
        <v>30086</v>
      </c>
      <c r="C151" t="s">
        <v>62</v>
      </c>
      <c r="D151">
        <v>2372</v>
      </c>
      <c r="E151">
        <v>1007</v>
      </c>
      <c r="F151">
        <v>1</v>
      </c>
      <c r="G151" t="s">
        <v>1453</v>
      </c>
      <c r="H151" t="s">
        <v>9</v>
      </c>
      <c r="I151" t="s">
        <v>63</v>
      </c>
      <c r="J151" t="s">
        <v>64</v>
      </c>
    </row>
    <row r="152" spans="1:10">
      <c r="A152">
        <v>50151</v>
      </c>
      <c r="B152">
        <v>30086</v>
      </c>
      <c r="C152" t="s">
        <v>62</v>
      </c>
      <c r="D152">
        <v>2372</v>
      </c>
      <c r="E152">
        <v>1011</v>
      </c>
      <c r="F152">
        <v>4</v>
      </c>
      <c r="G152" t="s">
        <v>1499</v>
      </c>
      <c r="H152" t="s">
        <v>1462</v>
      </c>
      <c r="I152" t="s">
        <v>65</v>
      </c>
      <c r="J152" t="s">
        <v>354</v>
      </c>
    </row>
    <row r="153" spans="1:10">
      <c r="A153">
        <v>50152</v>
      </c>
      <c r="B153">
        <v>30086</v>
      </c>
      <c r="C153" t="s">
        <v>507</v>
      </c>
      <c r="D153">
        <v>2372</v>
      </c>
      <c r="E153">
        <v>1016</v>
      </c>
      <c r="F153">
        <v>2</v>
      </c>
      <c r="G153" t="s">
        <v>1500</v>
      </c>
      <c r="H153" t="s">
        <v>9</v>
      </c>
      <c r="I153" t="s">
        <v>508</v>
      </c>
      <c r="J153" t="s">
        <v>509</v>
      </c>
    </row>
    <row r="154" spans="1:10">
      <c r="A154">
        <v>50153</v>
      </c>
      <c r="B154">
        <v>30087</v>
      </c>
      <c r="C154" t="s">
        <v>510</v>
      </c>
      <c r="D154">
        <v>2197</v>
      </c>
      <c r="E154">
        <v>1005</v>
      </c>
      <c r="F154">
        <v>1</v>
      </c>
      <c r="G154" t="s">
        <v>1456</v>
      </c>
      <c r="H154" t="s">
        <v>9</v>
      </c>
      <c r="I154" t="s">
        <v>511</v>
      </c>
      <c r="J154" t="s">
        <v>469</v>
      </c>
    </row>
    <row r="155" spans="1:10">
      <c r="A155">
        <v>50154</v>
      </c>
      <c r="B155">
        <v>30088</v>
      </c>
      <c r="C155" t="s">
        <v>512</v>
      </c>
      <c r="D155">
        <v>2159</v>
      </c>
      <c r="E155">
        <v>1004</v>
      </c>
      <c r="F155">
        <v>2</v>
      </c>
      <c r="G155" t="s">
        <v>1476</v>
      </c>
      <c r="H155" t="s">
        <v>9</v>
      </c>
      <c r="I155" t="s">
        <v>513</v>
      </c>
      <c r="J155" t="s">
        <v>514</v>
      </c>
    </row>
    <row r="156" spans="1:10">
      <c r="A156">
        <v>50155</v>
      </c>
      <c r="B156">
        <v>30088</v>
      </c>
      <c r="C156" t="s">
        <v>515</v>
      </c>
      <c r="D156">
        <v>2159</v>
      </c>
      <c r="E156">
        <v>1002</v>
      </c>
      <c r="F156">
        <v>1</v>
      </c>
      <c r="G156" t="s">
        <v>1466</v>
      </c>
      <c r="H156" t="s">
        <v>9</v>
      </c>
      <c r="I156" t="s">
        <v>66</v>
      </c>
      <c r="J156" t="s">
        <v>257</v>
      </c>
    </row>
    <row r="157" spans="1:10">
      <c r="A157">
        <v>50156</v>
      </c>
      <c r="B157">
        <v>30089</v>
      </c>
      <c r="C157" t="s">
        <v>516</v>
      </c>
      <c r="D157">
        <v>2345</v>
      </c>
      <c r="E157">
        <v>1005</v>
      </c>
      <c r="F157">
        <v>1</v>
      </c>
      <c r="G157" t="s">
        <v>1456</v>
      </c>
      <c r="H157" t="s">
        <v>12</v>
      </c>
      <c r="I157" t="s">
        <v>1421</v>
      </c>
      <c r="J157" t="s">
        <v>1421</v>
      </c>
    </row>
    <row r="158" spans="1:10">
      <c r="A158">
        <v>50157</v>
      </c>
      <c r="B158">
        <v>30090</v>
      </c>
      <c r="C158" t="s">
        <v>502</v>
      </c>
      <c r="D158">
        <v>2386</v>
      </c>
      <c r="E158">
        <v>1006</v>
      </c>
      <c r="F158">
        <v>2</v>
      </c>
      <c r="G158" t="s">
        <v>1501</v>
      </c>
      <c r="H158" t="s">
        <v>9</v>
      </c>
      <c r="I158" t="s">
        <v>517</v>
      </c>
      <c r="J158" t="s">
        <v>67</v>
      </c>
    </row>
    <row r="159" spans="1:10">
      <c r="A159">
        <v>50158</v>
      </c>
      <c r="B159">
        <v>30090</v>
      </c>
      <c r="C159" t="s">
        <v>502</v>
      </c>
      <c r="D159">
        <v>2386</v>
      </c>
      <c r="E159">
        <v>1006</v>
      </c>
      <c r="F159">
        <v>2</v>
      </c>
      <c r="G159" t="s">
        <v>1501</v>
      </c>
      <c r="H159" t="s">
        <v>9</v>
      </c>
      <c r="I159" t="s">
        <v>330</v>
      </c>
      <c r="J159" t="s">
        <v>432</v>
      </c>
    </row>
    <row r="160" spans="1:10">
      <c r="A160">
        <v>50159</v>
      </c>
      <c r="B160">
        <v>30090</v>
      </c>
      <c r="C160" t="s">
        <v>518</v>
      </c>
      <c r="D160">
        <v>2386</v>
      </c>
      <c r="E160">
        <v>1015</v>
      </c>
      <c r="F160">
        <v>3</v>
      </c>
      <c r="G160" t="s">
        <v>1470</v>
      </c>
      <c r="H160" t="s">
        <v>9</v>
      </c>
      <c r="I160" t="s">
        <v>330</v>
      </c>
      <c r="J160" t="s">
        <v>519</v>
      </c>
    </row>
    <row r="161" spans="1:10">
      <c r="A161">
        <v>50160</v>
      </c>
      <c r="B161">
        <v>30090</v>
      </c>
      <c r="C161" t="s">
        <v>520</v>
      </c>
      <c r="D161">
        <v>2386</v>
      </c>
      <c r="E161">
        <v>1002</v>
      </c>
      <c r="F161">
        <v>1</v>
      </c>
      <c r="G161" t="s">
        <v>1466</v>
      </c>
      <c r="H161" t="s">
        <v>9</v>
      </c>
      <c r="I161" t="s">
        <v>517</v>
      </c>
      <c r="J161" t="s">
        <v>521</v>
      </c>
    </row>
    <row r="162" spans="1:10">
      <c r="A162">
        <v>50161</v>
      </c>
      <c r="B162">
        <v>30091</v>
      </c>
      <c r="C162" t="s">
        <v>439</v>
      </c>
      <c r="D162">
        <v>2421</v>
      </c>
      <c r="E162">
        <v>1008</v>
      </c>
      <c r="F162">
        <v>5</v>
      </c>
      <c r="G162" t="s">
        <v>1502</v>
      </c>
      <c r="H162" t="s">
        <v>9</v>
      </c>
      <c r="I162" t="s">
        <v>522</v>
      </c>
      <c r="J162" t="s">
        <v>523</v>
      </c>
    </row>
    <row r="163" spans="1:10">
      <c r="A163">
        <v>50162</v>
      </c>
      <c r="B163">
        <v>30092</v>
      </c>
      <c r="C163" t="s">
        <v>494</v>
      </c>
      <c r="D163">
        <v>2455</v>
      </c>
      <c r="E163">
        <v>1015</v>
      </c>
      <c r="F163">
        <v>1</v>
      </c>
      <c r="G163" t="s">
        <v>1478</v>
      </c>
      <c r="H163" t="s">
        <v>9</v>
      </c>
      <c r="I163" t="s">
        <v>524</v>
      </c>
      <c r="J163" t="s">
        <v>525</v>
      </c>
    </row>
    <row r="164" spans="1:10">
      <c r="A164">
        <v>50163</v>
      </c>
      <c r="B164">
        <v>30092</v>
      </c>
      <c r="C164" t="s">
        <v>526</v>
      </c>
      <c r="D164">
        <v>2455</v>
      </c>
      <c r="E164">
        <v>1008</v>
      </c>
      <c r="F164">
        <v>4</v>
      </c>
      <c r="G164" t="s">
        <v>1503</v>
      </c>
      <c r="H164" t="s">
        <v>68</v>
      </c>
      <c r="I164" t="s">
        <v>498</v>
      </c>
      <c r="J164" t="s">
        <v>527</v>
      </c>
    </row>
    <row r="165" spans="1:10">
      <c r="A165">
        <v>50164</v>
      </c>
      <c r="B165">
        <v>30093</v>
      </c>
      <c r="C165" t="s">
        <v>69</v>
      </c>
      <c r="D165">
        <v>2547</v>
      </c>
      <c r="E165">
        <v>1016</v>
      </c>
      <c r="F165">
        <v>2</v>
      </c>
      <c r="G165" t="s">
        <v>1500</v>
      </c>
      <c r="H165" t="s">
        <v>9</v>
      </c>
      <c r="I165" t="s">
        <v>31</v>
      </c>
      <c r="J165" t="s">
        <v>528</v>
      </c>
    </row>
    <row r="166" spans="1:10">
      <c r="A166">
        <v>50165</v>
      </c>
      <c r="B166">
        <v>30093</v>
      </c>
      <c r="C166" t="s">
        <v>529</v>
      </c>
      <c r="D166">
        <v>2547</v>
      </c>
      <c r="E166">
        <v>1007</v>
      </c>
      <c r="F166">
        <v>4</v>
      </c>
      <c r="G166" t="s">
        <v>1504</v>
      </c>
      <c r="H166" t="s">
        <v>9</v>
      </c>
      <c r="I166" t="s">
        <v>530</v>
      </c>
      <c r="J166" t="s">
        <v>531</v>
      </c>
    </row>
    <row r="167" spans="1:10">
      <c r="A167">
        <v>50166</v>
      </c>
      <c r="B167">
        <v>30094</v>
      </c>
      <c r="C167" t="s">
        <v>532</v>
      </c>
      <c r="D167">
        <v>2377</v>
      </c>
      <c r="E167">
        <v>1015</v>
      </c>
      <c r="F167">
        <v>1</v>
      </c>
      <c r="G167" t="s">
        <v>1478</v>
      </c>
      <c r="H167" t="s">
        <v>9</v>
      </c>
      <c r="I167" t="s">
        <v>322</v>
      </c>
      <c r="J167" t="s">
        <v>533</v>
      </c>
    </row>
    <row r="168" spans="1:10">
      <c r="A168">
        <v>50167</v>
      </c>
      <c r="B168">
        <v>30095</v>
      </c>
      <c r="C168" t="s">
        <v>70</v>
      </c>
      <c r="D168">
        <v>2473</v>
      </c>
      <c r="E168">
        <v>1013</v>
      </c>
      <c r="F168">
        <v>1</v>
      </c>
      <c r="G168" t="s">
        <v>1474</v>
      </c>
      <c r="H168" t="s">
        <v>16</v>
      </c>
      <c r="I168" t="s">
        <v>1421</v>
      </c>
      <c r="J168" t="s">
        <v>1421</v>
      </c>
    </row>
    <row r="169" spans="1:10">
      <c r="A169">
        <v>50168</v>
      </c>
      <c r="B169">
        <v>30096</v>
      </c>
      <c r="C169" t="s">
        <v>311</v>
      </c>
      <c r="D169">
        <v>2429</v>
      </c>
      <c r="E169">
        <v>1007</v>
      </c>
      <c r="F169">
        <v>2</v>
      </c>
      <c r="G169" t="s">
        <v>1455</v>
      </c>
      <c r="H169" t="s">
        <v>11</v>
      </c>
      <c r="I169" t="s">
        <v>522</v>
      </c>
      <c r="J169" t="s">
        <v>534</v>
      </c>
    </row>
    <row r="170" spans="1:10">
      <c r="A170">
        <v>50169</v>
      </c>
      <c r="B170">
        <v>30097</v>
      </c>
      <c r="C170" t="s">
        <v>345</v>
      </c>
      <c r="D170">
        <v>2142</v>
      </c>
      <c r="E170">
        <v>1002</v>
      </c>
      <c r="F170">
        <v>1</v>
      </c>
      <c r="G170" t="s">
        <v>1466</v>
      </c>
      <c r="H170" t="s">
        <v>12</v>
      </c>
      <c r="I170" t="s">
        <v>1421</v>
      </c>
      <c r="J170" t="s">
        <v>1421</v>
      </c>
    </row>
    <row r="171" spans="1:10">
      <c r="A171">
        <v>50170</v>
      </c>
      <c r="B171">
        <v>30098</v>
      </c>
      <c r="C171" t="s">
        <v>535</v>
      </c>
      <c r="D171">
        <v>2493</v>
      </c>
      <c r="E171">
        <v>1004</v>
      </c>
      <c r="F171">
        <v>1</v>
      </c>
      <c r="G171" t="s">
        <v>1452</v>
      </c>
      <c r="H171" t="s">
        <v>12</v>
      </c>
      <c r="I171" t="s">
        <v>1421</v>
      </c>
      <c r="J171" t="s">
        <v>1421</v>
      </c>
    </row>
    <row r="172" spans="1:10">
      <c r="A172">
        <v>50171</v>
      </c>
      <c r="B172">
        <v>30098</v>
      </c>
      <c r="C172" t="s">
        <v>535</v>
      </c>
      <c r="D172">
        <v>2493</v>
      </c>
      <c r="E172">
        <v>1004</v>
      </c>
      <c r="F172">
        <v>1</v>
      </c>
      <c r="G172" t="s">
        <v>1452</v>
      </c>
      <c r="H172" t="s">
        <v>12</v>
      </c>
      <c r="I172" t="s">
        <v>1421</v>
      </c>
      <c r="J172" t="s">
        <v>1421</v>
      </c>
    </row>
    <row r="173" spans="1:10">
      <c r="A173">
        <v>50172</v>
      </c>
      <c r="B173">
        <v>30099</v>
      </c>
      <c r="C173" t="s">
        <v>536</v>
      </c>
      <c r="D173">
        <v>2292</v>
      </c>
      <c r="E173">
        <v>1006</v>
      </c>
      <c r="F173">
        <v>1</v>
      </c>
      <c r="G173" t="s">
        <v>1459</v>
      </c>
      <c r="H173" t="s">
        <v>9</v>
      </c>
      <c r="I173" t="s">
        <v>537</v>
      </c>
      <c r="J173" t="s">
        <v>538</v>
      </c>
    </row>
    <row r="174" spans="1:10">
      <c r="A174">
        <v>50173</v>
      </c>
      <c r="B174">
        <v>30100</v>
      </c>
      <c r="C174" t="s">
        <v>500</v>
      </c>
      <c r="D174">
        <v>2280</v>
      </c>
      <c r="E174">
        <v>1005</v>
      </c>
      <c r="F174">
        <v>2</v>
      </c>
      <c r="G174" t="s">
        <v>1458</v>
      </c>
      <c r="H174" t="s">
        <v>9</v>
      </c>
      <c r="I174" t="s">
        <v>539</v>
      </c>
      <c r="J174" t="s">
        <v>450</v>
      </c>
    </row>
    <row r="175" spans="1:10">
      <c r="A175">
        <v>50174</v>
      </c>
      <c r="B175">
        <v>30100</v>
      </c>
      <c r="C175" t="s">
        <v>500</v>
      </c>
      <c r="D175">
        <v>2280</v>
      </c>
      <c r="E175">
        <v>1014</v>
      </c>
      <c r="F175">
        <v>2</v>
      </c>
      <c r="G175" t="s">
        <v>1475</v>
      </c>
      <c r="H175" t="s">
        <v>9</v>
      </c>
      <c r="I175" t="s">
        <v>502</v>
      </c>
      <c r="J175" t="s">
        <v>70</v>
      </c>
    </row>
    <row r="176" spans="1:10">
      <c r="A176">
        <v>50175</v>
      </c>
      <c r="B176">
        <v>30101</v>
      </c>
      <c r="C176" t="s">
        <v>540</v>
      </c>
      <c r="D176">
        <v>2094</v>
      </c>
      <c r="E176">
        <v>1008</v>
      </c>
      <c r="F176">
        <v>1</v>
      </c>
      <c r="G176" t="s">
        <v>1447</v>
      </c>
      <c r="H176" t="s">
        <v>11</v>
      </c>
      <c r="I176" t="s">
        <v>541</v>
      </c>
      <c r="J176" t="s">
        <v>542</v>
      </c>
    </row>
    <row r="177" spans="1:10">
      <c r="A177">
        <v>50176</v>
      </c>
      <c r="B177">
        <v>30101</v>
      </c>
      <c r="C177" t="s">
        <v>543</v>
      </c>
      <c r="D177">
        <v>2094</v>
      </c>
      <c r="E177">
        <v>1015</v>
      </c>
      <c r="F177">
        <v>2</v>
      </c>
      <c r="G177" t="s">
        <v>1488</v>
      </c>
      <c r="H177" t="s">
        <v>11</v>
      </c>
      <c r="I177" t="s">
        <v>340</v>
      </c>
      <c r="J177" t="s">
        <v>339</v>
      </c>
    </row>
    <row r="178" spans="1:10">
      <c r="A178">
        <v>50177</v>
      </c>
      <c r="B178">
        <v>30102</v>
      </c>
      <c r="C178" t="s">
        <v>507</v>
      </c>
      <c r="D178">
        <v>2358</v>
      </c>
      <c r="E178">
        <v>1014</v>
      </c>
      <c r="F178">
        <v>3</v>
      </c>
      <c r="G178" t="s">
        <v>1505</v>
      </c>
      <c r="H178" t="s">
        <v>12</v>
      </c>
      <c r="I178" t="s">
        <v>1421</v>
      </c>
      <c r="J178" t="s">
        <v>1421</v>
      </c>
    </row>
    <row r="179" spans="1:10">
      <c r="A179">
        <v>50178</v>
      </c>
      <c r="B179">
        <v>30102</v>
      </c>
      <c r="C179" t="s">
        <v>456</v>
      </c>
      <c r="D179">
        <v>2358</v>
      </c>
      <c r="E179">
        <v>1002</v>
      </c>
      <c r="F179">
        <v>4</v>
      </c>
      <c r="G179" t="s">
        <v>1451</v>
      </c>
      <c r="H179" t="s">
        <v>12</v>
      </c>
      <c r="I179" t="s">
        <v>1421</v>
      </c>
      <c r="J179" t="s">
        <v>1421</v>
      </c>
    </row>
    <row r="180" spans="1:10">
      <c r="A180">
        <v>50179</v>
      </c>
      <c r="B180">
        <v>30103</v>
      </c>
      <c r="C180" t="s">
        <v>424</v>
      </c>
      <c r="D180">
        <v>2406</v>
      </c>
      <c r="E180">
        <v>1008</v>
      </c>
      <c r="F180">
        <v>1</v>
      </c>
      <c r="G180" t="s">
        <v>1447</v>
      </c>
      <c r="H180" t="s">
        <v>9</v>
      </c>
      <c r="I180" t="s">
        <v>544</v>
      </c>
      <c r="J180" t="s">
        <v>545</v>
      </c>
    </row>
    <row r="181" spans="1:10">
      <c r="A181">
        <v>50180</v>
      </c>
      <c r="B181">
        <v>30104</v>
      </c>
      <c r="C181" t="s">
        <v>71</v>
      </c>
      <c r="D181">
        <v>2396</v>
      </c>
      <c r="E181">
        <v>1012</v>
      </c>
      <c r="F181">
        <v>1</v>
      </c>
      <c r="G181" t="s">
        <v>1421</v>
      </c>
      <c r="H181" t="s">
        <v>11</v>
      </c>
      <c r="I181" t="s">
        <v>546</v>
      </c>
      <c r="J181" t="s">
        <v>547</v>
      </c>
    </row>
    <row r="182" spans="1:10">
      <c r="A182">
        <v>50181</v>
      </c>
      <c r="B182">
        <v>30104</v>
      </c>
      <c r="C182" t="s">
        <v>71</v>
      </c>
      <c r="D182">
        <v>2396</v>
      </c>
      <c r="E182">
        <v>1008</v>
      </c>
      <c r="F182">
        <v>1</v>
      </c>
      <c r="G182" t="s">
        <v>1447</v>
      </c>
      <c r="H182" t="s">
        <v>11</v>
      </c>
      <c r="I182" t="s">
        <v>546</v>
      </c>
      <c r="J182" t="s">
        <v>548</v>
      </c>
    </row>
    <row r="183" spans="1:10">
      <c r="A183">
        <v>50182</v>
      </c>
      <c r="B183">
        <v>30104</v>
      </c>
      <c r="C183" t="s">
        <v>549</v>
      </c>
      <c r="D183">
        <v>2396</v>
      </c>
      <c r="E183">
        <v>1001</v>
      </c>
      <c r="F183">
        <v>1</v>
      </c>
      <c r="G183" t="s">
        <v>1469</v>
      </c>
      <c r="H183" t="s">
        <v>11</v>
      </c>
      <c r="I183" t="s">
        <v>550</v>
      </c>
      <c r="J183" t="s">
        <v>551</v>
      </c>
    </row>
    <row r="184" spans="1:10">
      <c r="A184">
        <v>50183</v>
      </c>
      <c r="B184">
        <v>30105</v>
      </c>
      <c r="C184" t="s">
        <v>33</v>
      </c>
      <c r="D184">
        <v>2327</v>
      </c>
      <c r="E184">
        <v>1011</v>
      </c>
      <c r="F184">
        <v>1</v>
      </c>
      <c r="G184" t="s">
        <v>1472</v>
      </c>
      <c r="H184" t="s">
        <v>12</v>
      </c>
      <c r="I184" t="s">
        <v>1421</v>
      </c>
      <c r="J184" t="s">
        <v>1421</v>
      </c>
    </row>
    <row r="185" spans="1:10">
      <c r="A185">
        <v>50184</v>
      </c>
      <c r="B185">
        <v>30106</v>
      </c>
      <c r="C185" t="s">
        <v>552</v>
      </c>
      <c r="D185">
        <v>2150</v>
      </c>
      <c r="E185">
        <v>1010</v>
      </c>
      <c r="F185">
        <v>1</v>
      </c>
      <c r="G185" t="s">
        <v>1468</v>
      </c>
      <c r="H185" t="s">
        <v>9</v>
      </c>
      <c r="I185" t="s">
        <v>553</v>
      </c>
      <c r="J185" t="s">
        <v>405</v>
      </c>
    </row>
    <row r="186" spans="1:10">
      <c r="A186">
        <v>50185</v>
      </c>
      <c r="B186">
        <v>30106</v>
      </c>
      <c r="C186" t="s">
        <v>257</v>
      </c>
      <c r="D186">
        <v>2150</v>
      </c>
      <c r="E186">
        <v>1016</v>
      </c>
      <c r="F186">
        <v>3</v>
      </c>
      <c r="G186" t="s">
        <v>1484</v>
      </c>
      <c r="H186" t="s">
        <v>9</v>
      </c>
      <c r="I186" t="s">
        <v>72</v>
      </c>
      <c r="J186" t="s">
        <v>408</v>
      </c>
    </row>
    <row r="187" spans="1:10">
      <c r="A187">
        <v>50186</v>
      </c>
      <c r="B187">
        <v>30107</v>
      </c>
      <c r="C187" t="s">
        <v>300</v>
      </c>
      <c r="D187">
        <v>2143</v>
      </c>
      <c r="E187">
        <v>1016</v>
      </c>
      <c r="F187">
        <v>2</v>
      </c>
      <c r="G187" t="s">
        <v>1500</v>
      </c>
      <c r="H187" t="s">
        <v>9</v>
      </c>
      <c r="I187" t="s">
        <v>554</v>
      </c>
      <c r="J187" t="s">
        <v>555</v>
      </c>
    </row>
    <row r="188" spans="1:10">
      <c r="A188">
        <v>50187</v>
      </c>
      <c r="B188">
        <v>30108</v>
      </c>
      <c r="C188" t="s">
        <v>556</v>
      </c>
      <c r="D188">
        <v>2460</v>
      </c>
      <c r="E188">
        <v>1003</v>
      </c>
      <c r="F188">
        <v>5</v>
      </c>
      <c r="G188" t="s">
        <v>1506</v>
      </c>
      <c r="H188" t="s">
        <v>9</v>
      </c>
      <c r="I188" t="s">
        <v>331</v>
      </c>
      <c r="J188" t="s">
        <v>557</v>
      </c>
    </row>
    <row r="189" spans="1:10">
      <c r="A189">
        <v>50188</v>
      </c>
      <c r="B189">
        <v>30108</v>
      </c>
      <c r="C189" t="s">
        <v>558</v>
      </c>
      <c r="D189">
        <v>2460</v>
      </c>
      <c r="E189">
        <v>1001</v>
      </c>
      <c r="F189">
        <v>1</v>
      </c>
      <c r="G189" t="s">
        <v>1469</v>
      </c>
      <c r="H189" t="s">
        <v>9</v>
      </c>
      <c r="I189" t="s">
        <v>544</v>
      </c>
      <c r="J189" t="s">
        <v>559</v>
      </c>
    </row>
    <row r="190" spans="1:10">
      <c r="A190">
        <v>50189</v>
      </c>
      <c r="B190">
        <v>30108</v>
      </c>
      <c r="C190" t="s">
        <v>556</v>
      </c>
      <c r="D190">
        <v>2460</v>
      </c>
      <c r="E190">
        <v>1009</v>
      </c>
      <c r="F190">
        <v>2</v>
      </c>
      <c r="G190" t="s">
        <v>1479</v>
      </c>
      <c r="H190" t="s">
        <v>9</v>
      </c>
      <c r="I190" t="s">
        <v>419</v>
      </c>
      <c r="J190" t="s">
        <v>545</v>
      </c>
    </row>
    <row r="191" spans="1:10">
      <c r="A191">
        <v>50190</v>
      </c>
      <c r="B191">
        <v>30108</v>
      </c>
      <c r="C191" t="s">
        <v>558</v>
      </c>
      <c r="D191">
        <v>2460</v>
      </c>
      <c r="E191">
        <v>1007</v>
      </c>
      <c r="F191">
        <v>2</v>
      </c>
      <c r="G191" t="s">
        <v>1455</v>
      </c>
      <c r="H191" t="s">
        <v>9</v>
      </c>
      <c r="I191" t="s">
        <v>331</v>
      </c>
      <c r="J191" t="s">
        <v>560</v>
      </c>
    </row>
    <row r="192" spans="1:10">
      <c r="A192">
        <v>50191</v>
      </c>
      <c r="B192">
        <v>30109</v>
      </c>
      <c r="C192" t="s">
        <v>561</v>
      </c>
      <c r="D192">
        <v>2154</v>
      </c>
      <c r="E192">
        <v>1014</v>
      </c>
      <c r="F192">
        <v>1</v>
      </c>
      <c r="G192" t="s">
        <v>1463</v>
      </c>
      <c r="H192" t="s">
        <v>1462</v>
      </c>
      <c r="I192" t="s">
        <v>390</v>
      </c>
      <c r="J192" t="s">
        <v>562</v>
      </c>
    </row>
    <row r="193" spans="1:10">
      <c r="A193">
        <v>50192</v>
      </c>
      <c r="B193">
        <v>30110</v>
      </c>
      <c r="C193" t="s">
        <v>73</v>
      </c>
      <c r="D193">
        <v>2114</v>
      </c>
      <c r="E193">
        <v>1008</v>
      </c>
      <c r="F193">
        <v>5</v>
      </c>
      <c r="G193" t="s">
        <v>1502</v>
      </c>
      <c r="H193" t="s">
        <v>16</v>
      </c>
      <c r="I193" t="s">
        <v>1421</v>
      </c>
      <c r="J193" t="s">
        <v>1421</v>
      </c>
    </row>
    <row r="194" spans="1:10">
      <c r="A194">
        <v>50193</v>
      </c>
      <c r="B194">
        <v>30110</v>
      </c>
      <c r="C194" t="s">
        <v>563</v>
      </c>
      <c r="D194">
        <v>2114</v>
      </c>
      <c r="E194">
        <v>1002</v>
      </c>
      <c r="F194">
        <v>1</v>
      </c>
      <c r="G194" t="s">
        <v>1466</v>
      </c>
      <c r="H194" t="s">
        <v>16</v>
      </c>
      <c r="I194" t="s">
        <v>74</v>
      </c>
      <c r="J194" t="s">
        <v>1421</v>
      </c>
    </row>
    <row r="195" spans="1:10">
      <c r="A195">
        <v>50194</v>
      </c>
      <c r="B195">
        <v>30110</v>
      </c>
      <c r="C195" t="s">
        <v>564</v>
      </c>
      <c r="D195">
        <v>2114</v>
      </c>
      <c r="E195">
        <v>1015</v>
      </c>
      <c r="F195">
        <v>3</v>
      </c>
      <c r="G195" t="s">
        <v>1470</v>
      </c>
      <c r="H195" t="s">
        <v>16</v>
      </c>
      <c r="I195" t="s">
        <v>75</v>
      </c>
      <c r="J195" t="s">
        <v>1421</v>
      </c>
    </row>
    <row r="196" spans="1:10">
      <c r="A196">
        <v>50195</v>
      </c>
      <c r="B196">
        <v>30111</v>
      </c>
      <c r="C196" t="s">
        <v>565</v>
      </c>
      <c r="D196">
        <v>2512</v>
      </c>
      <c r="E196">
        <v>1001</v>
      </c>
      <c r="F196">
        <v>1</v>
      </c>
      <c r="G196" t="s">
        <v>1469</v>
      </c>
      <c r="H196" t="s">
        <v>9</v>
      </c>
      <c r="I196" t="s">
        <v>566</v>
      </c>
      <c r="J196" t="s">
        <v>567</v>
      </c>
    </row>
    <row r="197" spans="1:10">
      <c r="A197">
        <v>50196</v>
      </c>
      <c r="B197">
        <v>30112</v>
      </c>
      <c r="C197" t="s">
        <v>342</v>
      </c>
      <c r="D197">
        <v>2528</v>
      </c>
      <c r="E197">
        <v>1005</v>
      </c>
      <c r="F197">
        <v>1</v>
      </c>
      <c r="G197" t="s">
        <v>1456</v>
      </c>
      <c r="H197" t="s">
        <v>9</v>
      </c>
      <c r="I197" t="s">
        <v>568</v>
      </c>
      <c r="J197" t="s">
        <v>569</v>
      </c>
    </row>
    <row r="198" spans="1:10">
      <c r="A198">
        <v>50197</v>
      </c>
      <c r="B198">
        <v>30112</v>
      </c>
      <c r="C198" t="s">
        <v>342</v>
      </c>
      <c r="D198">
        <v>2528</v>
      </c>
      <c r="E198">
        <v>1010</v>
      </c>
      <c r="F198">
        <v>1</v>
      </c>
      <c r="G198" t="s">
        <v>1468</v>
      </c>
      <c r="H198" t="s">
        <v>9</v>
      </c>
      <c r="I198" t="s">
        <v>339</v>
      </c>
      <c r="J198" t="s">
        <v>569</v>
      </c>
    </row>
    <row r="199" spans="1:10">
      <c r="A199">
        <v>50198</v>
      </c>
      <c r="B199">
        <v>30113</v>
      </c>
      <c r="C199" t="s">
        <v>570</v>
      </c>
      <c r="D199">
        <v>2440</v>
      </c>
      <c r="E199">
        <v>1012</v>
      </c>
      <c r="F199">
        <v>1</v>
      </c>
      <c r="G199" t="s">
        <v>1449</v>
      </c>
      <c r="H199" t="s">
        <v>9</v>
      </c>
      <c r="I199" t="s">
        <v>317</v>
      </c>
      <c r="J199" t="s">
        <v>571</v>
      </c>
    </row>
    <row r="200" spans="1:10">
      <c r="A200">
        <v>50199</v>
      </c>
      <c r="B200">
        <v>30113</v>
      </c>
      <c r="C200" t="s">
        <v>572</v>
      </c>
      <c r="D200">
        <v>2440</v>
      </c>
      <c r="E200">
        <v>1008</v>
      </c>
      <c r="F200">
        <v>1</v>
      </c>
      <c r="G200" t="s">
        <v>1447</v>
      </c>
      <c r="H200" t="s">
        <v>9</v>
      </c>
      <c r="I200" t="s">
        <v>573</v>
      </c>
      <c r="J200" t="s">
        <v>574</v>
      </c>
    </row>
    <row r="201" spans="1:10">
      <c r="A201">
        <v>50200</v>
      </c>
      <c r="B201">
        <v>30113</v>
      </c>
      <c r="C201" t="s">
        <v>572</v>
      </c>
      <c r="D201">
        <v>2440</v>
      </c>
      <c r="E201">
        <v>1014</v>
      </c>
      <c r="F201">
        <v>2</v>
      </c>
      <c r="G201" t="s">
        <v>1475</v>
      </c>
      <c r="H201" t="s">
        <v>9</v>
      </c>
      <c r="I201" t="s">
        <v>575</v>
      </c>
      <c r="J201" t="s">
        <v>76</v>
      </c>
    </row>
    <row r="202" spans="1:10">
      <c r="A202">
        <v>50201</v>
      </c>
      <c r="B202">
        <v>30114</v>
      </c>
      <c r="C202" t="s">
        <v>576</v>
      </c>
      <c r="D202">
        <v>2192</v>
      </c>
      <c r="E202">
        <v>1003</v>
      </c>
      <c r="F202">
        <v>3</v>
      </c>
      <c r="G202" t="s">
        <v>1507</v>
      </c>
      <c r="H202" t="s">
        <v>9</v>
      </c>
      <c r="I202" t="s">
        <v>577</v>
      </c>
      <c r="J202" t="s">
        <v>578</v>
      </c>
    </row>
    <row r="203" spans="1:10">
      <c r="A203">
        <v>50202</v>
      </c>
      <c r="B203">
        <v>30115</v>
      </c>
      <c r="C203" t="s">
        <v>579</v>
      </c>
      <c r="D203">
        <v>2537</v>
      </c>
      <c r="E203">
        <v>1003</v>
      </c>
      <c r="F203">
        <v>2</v>
      </c>
      <c r="G203" t="s">
        <v>1464</v>
      </c>
      <c r="H203" t="s">
        <v>11</v>
      </c>
      <c r="I203" t="s">
        <v>77</v>
      </c>
      <c r="J203" t="s">
        <v>580</v>
      </c>
    </row>
    <row r="204" spans="1:10">
      <c r="A204">
        <v>50203</v>
      </c>
      <c r="B204">
        <v>30115</v>
      </c>
      <c r="C204" t="s">
        <v>346</v>
      </c>
      <c r="D204">
        <v>2537</v>
      </c>
      <c r="E204">
        <v>1001</v>
      </c>
      <c r="F204">
        <v>1</v>
      </c>
      <c r="G204" t="s">
        <v>1469</v>
      </c>
      <c r="H204" t="s">
        <v>11</v>
      </c>
      <c r="I204" t="s">
        <v>77</v>
      </c>
      <c r="J204" t="s">
        <v>505</v>
      </c>
    </row>
    <row r="205" spans="1:10">
      <c r="A205">
        <v>50204</v>
      </c>
      <c r="B205">
        <v>30116</v>
      </c>
      <c r="C205" t="s">
        <v>581</v>
      </c>
      <c r="D205">
        <v>2400</v>
      </c>
      <c r="E205">
        <v>1002</v>
      </c>
      <c r="F205">
        <v>3</v>
      </c>
      <c r="G205" t="s">
        <v>1508</v>
      </c>
      <c r="H205" t="s">
        <v>12</v>
      </c>
      <c r="I205" t="s">
        <v>1421</v>
      </c>
      <c r="J205" t="s">
        <v>1421</v>
      </c>
    </row>
    <row r="206" spans="1:10">
      <c r="A206">
        <v>50205</v>
      </c>
      <c r="B206">
        <v>30117</v>
      </c>
      <c r="C206" t="s">
        <v>78</v>
      </c>
      <c r="D206">
        <v>2397</v>
      </c>
      <c r="E206">
        <v>1009</v>
      </c>
      <c r="F206">
        <v>2</v>
      </c>
      <c r="G206" t="s">
        <v>1479</v>
      </c>
      <c r="H206" t="s">
        <v>11</v>
      </c>
      <c r="I206" t="s">
        <v>582</v>
      </c>
      <c r="J206" t="s">
        <v>583</v>
      </c>
    </row>
    <row r="207" spans="1:10">
      <c r="A207">
        <v>50206</v>
      </c>
      <c r="B207">
        <v>30118</v>
      </c>
      <c r="C207" t="s">
        <v>584</v>
      </c>
      <c r="D207">
        <v>2017</v>
      </c>
      <c r="E207">
        <v>1003</v>
      </c>
      <c r="F207">
        <v>2</v>
      </c>
      <c r="G207" t="s">
        <v>1464</v>
      </c>
      <c r="H207" t="s">
        <v>9</v>
      </c>
      <c r="I207" t="s">
        <v>585</v>
      </c>
      <c r="J207" t="s">
        <v>586</v>
      </c>
    </row>
    <row r="208" spans="1:10">
      <c r="A208">
        <v>50207</v>
      </c>
      <c r="B208">
        <v>30118</v>
      </c>
      <c r="C208" t="s">
        <v>584</v>
      </c>
      <c r="D208">
        <v>2017</v>
      </c>
      <c r="E208">
        <v>1012</v>
      </c>
      <c r="F208">
        <v>1</v>
      </c>
      <c r="G208" t="s">
        <v>1449</v>
      </c>
      <c r="H208" t="s">
        <v>9</v>
      </c>
      <c r="I208" t="s">
        <v>554</v>
      </c>
      <c r="J208" t="s">
        <v>587</v>
      </c>
    </row>
    <row r="209" spans="1:10">
      <c r="A209">
        <v>50208</v>
      </c>
      <c r="B209">
        <v>30118</v>
      </c>
      <c r="C209" t="s">
        <v>584</v>
      </c>
      <c r="D209">
        <v>2017</v>
      </c>
      <c r="E209">
        <v>1008</v>
      </c>
      <c r="F209">
        <v>1</v>
      </c>
      <c r="G209" t="s">
        <v>1447</v>
      </c>
      <c r="H209" t="s">
        <v>9</v>
      </c>
      <c r="I209" t="s">
        <v>588</v>
      </c>
      <c r="J209" t="s">
        <v>589</v>
      </c>
    </row>
    <row r="210" spans="1:10">
      <c r="A210">
        <v>50209</v>
      </c>
      <c r="B210">
        <v>30119</v>
      </c>
      <c r="C210" t="s">
        <v>239</v>
      </c>
      <c r="D210">
        <v>2107</v>
      </c>
      <c r="E210">
        <v>1011</v>
      </c>
      <c r="F210">
        <v>3</v>
      </c>
      <c r="G210" t="s">
        <v>1454</v>
      </c>
      <c r="H210" t="s">
        <v>16</v>
      </c>
      <c r="I210" t="s">
        <v>430</v>
      </c>
      <c r="J210" t="s">
        <v>1421</v>
      </c>
    </row>
    <row r="211" spans="1:10">
      <c r="A211">
        <v>50210</v>
      </c>
      <c r="B211">
        <v>30120</v>
      </c>
      <c r="C211" t="s">
        <v>590</v>
      </c>
      <c r="D211">
        <v>2361</v>
      </c>
      <c r="E211">
        <v>1006</v>
      </c>
      <c r="F211">
        <v>1</v>
      </c>
      <c r="G211" t="s">
        <v>1459</v>
      </c>
      <c r="H211" t="s">
        <v>9</v>
      </c>
      <c r="I211" t="s">
        <v>79</v>
      </c>
      <c r="J211" t="s">
        <v>243</v>
      </c>
    </row>
    <row r="212" spans="1:10">
      <c r="A212">
        <v>50211</v>
      </c>
      <c r="B212">
        <v>30121</v>
      </c>
      <c r="C212" t="s">
        <v>591</v>
      </c>
      <c r="D212">
        <v>2476</v>
      </c>
      <c r="E212">
        <v>1016</v>
      </c>
      <c r="F212">
        <v>1</v>
      </c>
      <c r="G212" t="s">
        <v>1465</v>
      </c>
      <c r="H212" t="s">
        <v>11</v>
      </c>
      <c r="I212" t="s">
        <v>445</v>
      </c>
      <c r="J212" t="s">
        <v>592</v>
      </c>
    </row>
    <row r="213" spans="1:10">
      <c r="A213">
        <v>50212</v>
      </c>
      <c r="B213">
        <v>30121</v>
      </c>
      <c r="C213" t="s">
        <v>593</v>
      </c>
      <c r="D213">
        <v>2476</v>
      </c>
      <c r="E213">
        <v>1006</v>
      </c>
      <c r="F213">
        <v>2</v>
      </c>
      <c r="G213" t="s">
        <v>1501</v>
      </c>
      <c r="H213" t="s">
        <v>11</v>
      </c>
      <c r="I213" t="s">
        <v>445</v>
      </c>
      <c r="J213" t="s">
        <v>413</v>
      </c>
    </row>
    <row r="214" spans="1:10">
      <c r="A214">
        <v>50213</v>
      </c>
      <c r="B214">
        <v>30121</v>
      </c>
      <c r="C214" t="s">
        <v>395</v>
      </c>
      <c r="D214">
        <v>2476</v>
      </c>
      <c r="E214">
        <v>1005</v>
      </c>
      <c r="F214">
        <v>1</v>
      </c>
      <c r="G214" t="s">
        <v>1456</v>
      </c>
      <c r="H214" t="s">
        <v>11</v>
      </c>
      <c r="I214" t="s">
        <v>594</v>
      </c>
      <c r="J214" t="s">
        <v>595</v>
      </c>
    </row>
    <row r="215" spans="1:10">
      <c r="A215">
        <v>50214</v>
      </c>
      <c r="B215">
        <v>30122</v>
      </c>
      <c r="C215" t="s">
        <v>596</v>
      </c>
      <c r="D215">
        <v>2065</v>
      </c>
      <c r="E215">
        <v>1015</v>
      </c>
      <c r="F215">
        <v>5</v>
      </c>
      <c r="G215" t="s">
        <v>1509</v>
      </c>
      <c r="H215" t="s">
        <v>9</v>
      </c>
      <c r="I215" t="s">
        <v>597</v>
      </c>
      <c r="J215" t="s">
        <v>257</v>
      </c>
    </row>
    <row r="216" spans="1:10">
      <c r="A216">
        <v>50215</v>
      </c>
      <c r="B216">
        <v>30122</v>
      </c>
      <c r="C216" t="s">
        <v>596</v>
      </c>
      <c r="D216">
        <v>2065</v>
      </c>
      <c r="E216">
        <v>1002</v>
      </c>
      <c r="F216">
        <v>1</v>
      </c>
      <c r="G216" t="s">
        <v>1466</v>
      </c>
      <c r="H216" t="s">
        <v>9</v>
      </c>
      <c r="I216" t="s">
        <v>73</v>
      </c>
      <c r="J216" t="s">
        <v>598</v>
      </c>
    </row>
    <row r="217" spans="1:10">
      <c r="A217">
        <v>50216</v>
      </c>
      <c r="B217">
        <v>30123</v>
      </c>
      <c r="C217" t="s">
        <v>599</v>
      </c>
      <c r="D217">
        <v>2301</v>
      </c>
      <c r="E217">
        <v>1007</v>
      </c>
      <c r="F217">
        <v>4</v>
      </c>
      <c r="G217" t="s">
        <v>1504</v>
      </c>
      <c r="H217" t="s">
        <v>9</v>
      </c>
      <c r="I217" t="s">
        <v>600</v>
      </c>
      <c r="J217" t="s">
        <v>601</v>
      </c>
    </row>
    <row r="218" spans="1:10">
      <c r="A218">
        <v>50217</v>
      </c>
      <c r="B218">
        <v>30123</v>
      </c>
      <c r="C218" t="s">
        <v>602</v>
      </c>
      <c r="D218">
        <v>2301</v>
      </c>
      <c r="E218">
        <v>1002</v>
      </c>
      <c r="F218">
        <v>3</v>
      </c>
      <c r="G218" t="s">
        <v>1508</v>
      </c>
      <c r="H218" t="s">
        <v>9</v>
      </c>
      <c r="I218" t="s">
        <v>19</v>
      </c>
      <c r="J218" t="s">
        <v>273</v>
      </c>
    </row>
    <row r="219" spans="1:10">
      <c r="A219">
        <v>50218</v>
      </c>
      <c r="B219">
        <v>30124</v>
      </c>
      <c r="C219" t="s">
        <v>510</v>
      </c>
      <c r="D219">
        <v>2324</v>
      </c>
      <c r="E219">
        <v>1013</v>
      </c>
      <c r="F219">
        <v>1</v>
      </c>
      <c r="G219" t="s">
        <v>1474</v>
      </c>
      <c r="H219" t="s">
        <v>12</v>
      </c>
      <c r="I219" t="s">
        <v>1421</v>
      </c>
      <c r="J219" t="s">
        <v>1421</v>
      </c>
    </row>
    <row r="220" spans="1:10">
      <c r="A220">
        <v>50219</v>
      </c>
      <c r="B220">
        <v>30124</v>
      </c>
      <c r="C220" t="s">
        <v>365</v>
      </c>
      <c r="D220">
        <v>2324</v>
      </c>
      <c r="E220">
        <v>1016</v>
      </c>
      <c r="F220">
        <v>1</v>
      </c>
      <c r="G220" t="s">
        <v>1465</v>
      </c>
      <c r="H220" t="s">
        <v>12</v>
      </c>
      <c r="I220" t="s">
        <v>1421</v>
      </c>
      <c r="J220" t="s">
        <v>1421</v>
      </c>
    </row>
    <row r="221" spans="1:10">
      <c r="A221">
        <v>50220</v>
      </c>
      <c r="B221">
        <v>30125</v>
      </c>
      <c r="C221" t="s">
        <v>603</v>
      </c>
      <c r="D221">
        <v>2260</v>
      </c>
      <c r="E221">
        <v>1007</v>
      </c>
      <c r="F221">
        <v>5</v>
      </c>
      <c r="G221" t="s">
        <v>1510</v>
      </c>
      <c r="H221" t="s">
        <v>1495</v>
      </c>
      <c r="I221" t="s">
        <v>63</v>
      </c>
      <c r="J221" t="s">
        <v>65</v>
      </c>
    </row>
    <row r="222" spans="1:10">
      <c r="A222">
        <v>50221</v>
      </c>
      <c r="B222">
        <v>30125</v>
      </c>
      <c r="C222" t="s">
        <v>603</v>
      </c>
      <c r="D222">
        <v>2260</v>
      </c>
      <c r="E222">
        <v>1010</v>
      </c>
      <c r="F222">
        <v>2</v>
      </c>
      <c r="G222" t="s">
        <v>1483</v>
      </c>
      <c r="H222" t="s">
        <v>9</v>
      </c>
      <c r="I222" t="s">
        <v>507</v>
      </c>
      <c r="J222" t="s">
        <v>80</v>
      </c>
    </row>
    <row r="223" spans="1:10">
      <c r="A223">
        <v>50222</v>
      </c>
      <c r="B223">
        <v>30125</v>
      </c>
      <c r="C223" t="s">
        <v>604</v>
      </c>
      <c r="D223">
        <v>2260</v>
      </c>
      <c r="E223">
        <v>1012</v>
      </c>
      <c r="F223">
        <v>1</v>
      </c>
      <c r="G223" t="s">
        <v>1449</v>
      </c>
      <c r="H223" t="s">
        <v>9</v>
      </c>
      <c r="I223" t="s">
        <v>38</v>
      </c>
      <c r="J223" t="s">
        <v>605</v>
      </c>
    </row>
    <row r="224" spans="1:10">
      <c r="A224">
        <v>50223</v>
      </c>
      <c r="B224">
        <v>30125</v>
      </c>
      <c r="C224" t="s">
        <v>376</v>
      </c>
      <c r="D224">
        <v>2260</v>
      </c>
      <c r="E224">
        <v>1002</v>
      </c>
      <c r="F224">
        <v>1</v>
      </c>
      <c r="G224" t="s">
        <v>1466</v>
      </c>
      <c r="H224" t="s">
        <v>9</v>
      </c>
      <c r="I224" t="s">
        <v>62</v>
      </c>
      <c r="J224" t="s">
        <v>81</v>
      </c>
    </row>
    <row r="225" spans="1:10">
      <c r="A225">
        <v>50224</v>
      </c>
      <c r="B225">
        <v>30126</v>
      </c>
      <c r="C225" t="s">
        <v>359</v>
      </c>
      <c r="D225">
        <v>2340</v>
      </c>
      <c r="E225">
        <v>1012</v>
      </c>
      <c r="G225" t="s">
        <v>1511</v>
      </c>
      <c r="H225" t="s">
        <v>9</v>
      </c>
      <c r="I225" t="s">
        <v>606</v>
      </c>
      <c r="J225" t="s">
        <v>607</v>
      </c>
    </row>
    <row r="226" spans="1:10">
      <c r="A226">
        <v>50225</v>
      </c>
      <c r="B226">
        <v>30127</v>
      </c>
      <c r="C226" t="s">
        <v>34</v>
      </c>
      <c r="D226">
        <v>2448</v>
      </c>
      <c r="E226">
        <v>1015</v>
      </c>
      <c r="F226">
        <v>2</v>
      </c>
      <c r="G226" t="s">
        <v>1488</v>
      </c>
      <c r="H226" t="s">
        <v>12</v>
      </c>
      <c r="I226" t="s">
        <v>1421</v>
      </c>
      <c r="J226" t="s">
        <v>1421</v>
      </c>
    </row>
    <row r="227" spans="1:10">
      <c r="A227">
        <v>50226</v>
      </c>
      <c r="B227">
        <v>30128</v>
      </c>
      <c r="C227" t="s">
        <v>608</v>
      </c>
      <c r="D227">
        <v>2396</v>
      </c>
      <c r="E227">
        <v>1006</v>
      </c>
      <c r="F227">
        <v>1</v>
      </c>
      <c r="G227" t="s">
        <v>1459</v>
      </c>
      <c r="H227" t="s">
        <v>9</v>
      </c>
      <c r="I227" t="s">
        <v>82</v>
      </c>
      <c r="J227" t="s">
        <v>609</v>
      </c>
    </row>
    <row r="228" spans="1:10">
      <c r="A228">
        <v>50227</v>
      </c>
      <c r="B228">
        <v>30129</v>
      </c>
      <c r="C228" t="s">
        <v>610</v>
      </c>
      <c r="D228">
        <v>2509</v>
      </c>
      <c r="E228">
        <v>1012</v>
      </c>
      <c r="F228">
        <v>1</v>
      </c>
      <c r="G228" t="s">
        <v>1449</v>
      </c>
      <c r="H228" t="s">
        <v>9</v>
      </c>
      <c r="I228" t="s">
        <v>402</v>
      </c>
      <c r="J228" t="s">
        <v>611</v>
      </c>
    </row>
    <row r="229" spans="1:10">
      <c r="A229">
        <v>50228</v>
      </c>
      <c r="B229">
        <v>30129</v>
      </c>
      <c r="C229" t="s">
        <v>612</v>
      </c>
      <c r="D229">
        <v>2509</v>
      </c>
      <c r="E229">
        <v>1009</v>
      </c>
      <c r="F229">
        <v>1</v>
      </c>
      <c r="G229" t="s">
        <v>1473</v>
      </c>
      <c r="H229" t="s">
        <v>9</v>
      </c>
      <c r="I229" t="s">
        <v>613</v>
      </c>
      <c r="J229" t="s">
        <v>334</v>
      </c>
    </row>
    <row r="230" spans="1:10">
      <c r="A230">
        <v>50229</v>
      </c>
      <c r="B230">
        <v>30129</v>
      </c>
      <c r="C230" t="s">
        <v>595</v>
      </c>
      <c r="D230">
        <v>2509</v>
      </c>
      <c r="E230">
        <v>1003</v>
      </c>
      <c r="F230">
        <v>2</v>
      </c>
      <c r="G230" t="s">
        <v>1464</v>
      </c>
      <c r="H230" t="s">
        <v>9</v>
      </c>
      <c r="I230" t="s">
        <v>271</v>
      </c>
      <c r="J230" t="s">
        <v>336</v>
      </c>
    </row>
    <row r="231" spans="1:10">
      <c r="A231">
        <v>50230</v>
      </c>
      <c r="B231">
        <v>30130</v>
      </c>
      <c r="C231" t="s">
        <v>614</v>
      </c>
      <c r="D231">
        <v>2435</v>
      </c>
      <c r="E231">
        <v>1006</v>
      </c>
      <c r="F231">
        <v>3</v>
      </c>
      <c r="G231" t="s">
        <v>1493</v>
      </c>
      <c r="H231" t="s">
        <v>9</v>
      </c>
      <c r="I231" t="s">
        <v>488</v>
      </c>
      <c r="J231" t="s">
        <v>581</v>
      </c>
    </row>
    <row r="232" spans="1:10">
      <c r="A232">
        <v>50231</v>
      </c>
      <c r="B232">
        <v>30130</v>
      </c>
      <c r="C232" t="s">
        <v>74</v>
      </c>
      <c r="D232">
        <v>2435</v>
      </c>
      <c r="E232">
        <v>1010</v>
      </c>
      <c r="F232">
        <v>2</v>
      </c>
      <c r="G232" t="s">
        <v>1483</v>
      </c>
      <c r="H232" t="s">
        <v>9</v>
      </c>
      <c r="I232" t="s">
        <v>615</v>
      </c>
      <c r="J232" t="s">
        <v>488</v>
      </c>
    </row>
    <row r="233" spans="1:10">
      <c r="A233">
        <v>50232</v>
      </c>
      <c r="B233">
        <v>30131</v>
      </c>
      <c r="C233" t="s">
        <v>616</v>
      </c>
      <c r="D233">
        <v>2329</v>
      </c>
      <c r="E233">
        <v>1011</v>
      </c>
      <c r="F233">
        <v>3</v>
      </c>
      <c r="G233" t="s">
        <v>1454</v>
      </c>
      <c r="H233" t="s">
        <v>9</v>
      </c>
      <c r="I233" t="s">
        <v>617</v>
      </c>
      <c r="J233" t="s">
        <v>413</v>
      </c>
    </row>
    <row r="234" spans="1:10">
      <c r="A234">
        <v>50233</v>
      </c>
      <c r="B234">
        <v>30131</v>
      </c>
      <c r="C234" t="s">
        <v>618</v>
      </c>
      <c r="D234">
        <v>2329</v>
      </c>
      <c r="E234">
        <v>1010</v>
      </c>
      <c r="F234">
        <v>1</v>
      </c>
      <c r="G234" t="s">
        <v>1468</v>
      </c>
      <c r="H234" t="s">
        <v>9</v>
      </c>
      <c r="I234" t="s">
        <v>83</v>
      </c>
      <c r="J234" t="s">
        <v>450</v>
      </c>
    </row>
    <row r="235" spans="1:10">
      <c r="A235">
        <v>50234</v>
      </c>
      <c r="B235">
        <v>30132</v>
      </c>
      <c r="C235" t="s">
        <v>601</v>
      </c>
      <c r="D235">
        <v>2314</v>
      </c>
      <c r="E235">
        <v>1014</v>
      </c>
      <c r="F235">
        <v>1</v>
      </c>
      <c r="G235" t="s">
        <v>1463</v>
      </c>
      <c r="H235" t="s">
        <v>9</v>
      </c>
      <c r="I235" t="s">
        <v>619</v>
      </c>
      <c r="J235" t="s">
        <v>597</v>
      </c>
    </row>
    <row r="236" spans="1:10">
      <c r="A236">
        <v>50235</v>
      </c>
      <c r="B236">
        <v>30133</v>
      </c>
      <c r="C236" t="s">
        <v>620</v>
      </c>
      <c r="D236">
        <v>2171</v>
      </c>
      <c r="E236">
        <v>1012</v>
      </c>
      <c r="F236">
        <v>3</v>
      </c>
      <c r="G236" t="s">
        <v>1448</v>
      </c>
      <c r="H236" t="s">
        <v>9</v>
      </c>
      <c r="I236" t="s">
        <v>480</v>
      </c>
      <c r="J236" t="s">
        <v>345</v>
      </c>
    </row>
    <row r="237" spans="1:10">
      <c r="A237">
        <v>50236</v>
      </c>
      <c r="B237">
        <v>30134</v>
      </c>
      <c r="C237" t="s">
        <v>621</v>
      </c>
      <c r="D237">
        <v>2458</v>
      </c>
      <c r="E237">
        <v>1012</v>
      </c>
      <c r="F237">
        <v>1</v>
      </c>
      <c r="G237" t="s">
        <v>1449</v>
      </c>
      <c r="H237" t="s">
        <v>9</v>
      </c>
      <c r="I237" t="s">
        <v>622</v>
      </c>
      <c r="J237" t="s">
        <v>623</v>
      </c>
    </row>
    <row r="238" spans="1:10">
      <c r="A238">
        <v>50237</v>
      </c>
      <c r="B238">
        <v>30134</v>
      </c>
      <c r="C238" t="s">
        <v>621</v>
      </c>
      <c r="D238">
        <v>2458</v>
      </c>
      <c r="E238">
        <v>1014</v>
      </c>
      <c r="F238">
        <v>1</v>
      </c>
      <c r="G238" t="s">
        <v>1463</v>
      </c>
      <c r="H238" t="s">
        <v>9</v>
      </c>
      <c r="I238" t="s">
        <v>624</v>
      </c>
      <c r="J238" t="s">
        <v>625</v>
      </c>
    </row>
    <row r="239" spans="1:10">
      <c r="A239">
        <v>50238</v>
      </c>
      <c r="B239">
        <v>30134</v>
      </c>
      <c r="C239" t="s">
        <v>621</v>
      </c>
      <c r="D239">
        <v>2458</v>
      </c>
      <c r="E239">
        <v>1009</v>
      </c>
      <c r="F239">
        <v>3</v>
      </c>
      <c r="G239" t="s">
        <v>1461</v>
      </c>
      <c r="H239" t="s">
        <v>9</v>
      </c>
      <c r="I239" t="s">
        <v>622</v>
      </c>
      <c r="J239" t="s">
        <v>295</v>
      </c>
    </row>
    <row r="240" spans="1:10">
      <c r="A240">
        <v>50239</v>
      </c>
      <c r="B240">
        <v>30135</v>
      </c>
      <c r="C240" t="s">
        <v>626</v>
      </c>
      <c r="D240">
        <v>2059</v>
      </c>
      <c r="E240">
        <v>1013</v>
      </c>
      <c r="F240">
        <v>2</v>
      </c>
      <c r="G240" t="s">
        <v>1492</v>
      </c>
      <c r="H240" t="s">
        <v>9</v>
      </c>
      <c r="I240" t="s">
        <v>471</v>
      </c>
      <c r="J240" t="s">
        <v>627</v>
      </c>
    </row>
    <row r="241" spans="1:10">
      <c r="A241">
        <v>50240</v>
      </c>
      <c r="B241">
        <v>30136</v>
      </c>
      <c r="C241" t="s">
        <v>628</v>
      </c>
      <c r="D241">
        <v>2373</v>
      </c>
      <c r="E241">
        <v>1006</v>
      </c>
      <c r="F241">
        <v>1</v>
      </c>
      <c r="G241" t="s">
        <v>1459</v>
      </c>
      <c r="H241" t="s">
        <v>9</v>
      </c>
      <c r="I241" t="s">
        <v>629</v>
      </c>
      <c r="J241" t="s">
        <v>84</v>
      </c>
    </row>
    <row r="242" spans="1:10">
      <c r="A242">
        <v>50241</v>
      </c>
      <c r="B242">
        <v>30136</v>
      </c>
      <c r="C242" t="s">
        <v>628</v>
      </c>
      <c r="D242">
        <v>2373</v>
      </c>
      <c r="E242">
        <v>1001</v>
      </c>
      <c r="F242">
        <v>1</v>
      </c>
      <c r="G242" t="s">
        <v>1469</v>
      </c>
      <c r="H242" t="s">
        <v>9</v>
      </c>
      <c r="I242" t="s">
        <v>630</v>
      </c>
      <c r="J242" t="s">
        <v>631</v>
      </c>
    </row>
    <row r="243" spans="1:10">
      <c r="A243">
        <v>50242</v>
      </c>
      <c r="B243">
        <v>30136</v>
      </c>
      <c r="C243" t="s">
        <v>628</v>
      </c>
      <c r="D243">
        <v>2373</v>
      </c>
      <c r="E243">
        <v>1005</v>
      </c>
      <c r="F243">
        <v>5</v>
      </c>
      <c r="G243" t="s">
        <v>1512</v>
      </c>
      <c r="H243" t="s">
        <v>9</v>
      </c>
      <c r="I243" t="s">
        <v>632</v>
      </c>
      <c r="J243" t="s">
        <v>633</v>
      </c>
    </row>
    <row r="244" spans="1:10">
      <c r="A244">
        <v>50243</v>
      </c>
      <c r="B244">
        <v>30136</v>
      </c>
      <c r="C244" t="s">
        <v>634</v>
      </c>
      <c r="D244">
        <v>2373</v>
      </c>
      <c r="E244">
        <v>1015</v>
      </c>
      <c r="F244">
        <v>2</v>
      </c>
      <c r="G244" t="s">
        <v>1488</v>
      </c>
      <c r="H244" t="s">
        <v>9</v>
      </c>
      <c r="I244" t="s">
        <v>344</v>
      </c>
      <c r="J244" t="s">
        <v>266</v>
      </c>
    </row>
    <row r="245" spans="1:10">
      <c r="A245">
        <v>50244</v>
      </c>
      <c r="B245">
        <v>30137</v>
      </c>
      <c r="C245" t="s">
        <v>635</v>
      </c>
      <c r="D245">
        <v>2036</v>
      </c>
      <c r="E245">
        <v>1008</v>
      </c>
      <c r="F245">
        <v>1</v>
      </c>
      <c r="G245" t="s">
        <v>1447</v>
      </c>
      <c r="H245" t="s">
        <v>9</v>
      </c>
      <c r="I245" t="s">
        <v>636</v>
      </c>
      <c r="J245" t="s">
        <v>637</v>
      </c>
    </row>
    <row r="246" spans="1:10">
      <c r="A246">
        <v>50245</v>
      </c>
      <c r="B246">
        <v>30138</v>
      </c>
      <c r="C246" t="s">
        <v>441</v>
      </c>
      <c r="D246">
        <v>2376</v>
      </c>
      <c r="E246">
        <v>1002</v>
      </c>
      <c r="F246">
        <v>1</v>
      </c>
      <c r="G246" t="s">
        <v>1466</v>
      </c>
      <c r="H246" t="s">
        <v>9</v>
      </c>
      <c r="I246" t="s">
        <v>584</v>
      </c>
      <c r="J246" t="s">
        <v>85</v>
      </c>
    </row>
    <row r="247" spans="1:10">
      <c r="A247">
        <v>50246</v>
      </c>
      <c r="B247">
        <v>30139</v>
      </c>
      <c r="C247" t="s">
        <v>31</v>
      </c>
      <c r="D247">
        <v>2158</v>
      </c>
      <c r="E247">
        <v>1012</v>
      </c>
      <c r="F247">
        <v>1</v>
      </c>
      <c r="G247" t="s">
        <v>1449</v>
      </c>
      <c r="H247" t="s">
        <v>9</v>
      </c>
      <c r="I247" t="s">
        <v>404</v>
      </c>
      <c r="J247" t="s">
        <v>528</v>
      </c>
    </row>
    <row r="248" spans="1:10">
      <c r="A248">
        <v>50247</v>
      </c>
      <c r="B248">
        <v>30139</v>
      </c>
      <c r="C248" t="s">
        <v>638</v>
      </c>
      <c r="D248">
        <v>2158</v>
      </c>
      <c r="E248">
        <v>1012</v>
      </c>
      <c r="F248">
        <v>4</v>
      </c>
      <c r="G248" t="s">
        <v>1485</v>
      </c>
      <c r="H248" t="s">
        <v>9</v>
      </c>
      <c r="I248" t="s">
        <v>404</v>
      </c>
      <c r="J248" t="s">
        <v>639</v>
      </c>
    </row>
    <row r="249" spans="1:10">
      <c r="A249">
        <v>50248</v>
      </c>
      <c r="B249">
        <v>30140</v>
      </c>
      <c r="C249" t="s">
        <v>640</v>
      </c>
      <c r="D249">
        <v>2455</v>
      </c>
      <c r="E249">
        <v>1005</v>
      </c>
      <c r="F249">
        <v>1</v>
      </c>
      <c r="G249" t="s">
        <v>1456</v>
      </c>
      <c r="H249" t="s">
        <v>16</v>
      </c>
      <c r="I249" t="s">
        <v>1421</v>
      </c>
      <c r="J249" t="s">
        <v>1421</v>
      </c>
    </row>
    <row r="250" spans="1:10">
      <c r="A250">
        <v>50249</v>
      </c>
      <c r="B250">
        <v>30140</v>
      </c>
      <c r="C250" t="s">
        <v>534</v>
      </c>
      <c r="D250">
        <v>2455</v>
      </c>
      <c r="E250">
        <v>1013</v>
      </c>
      <c r="F250">
        <v>3</v>
      </c>
      <c r="G250" t="s">
        <v>1490</v>
      </c>
      <c r="H250" t="s">
        <v>16</v>
      </c>
      <c r="I250" t="s">
        <v>1421</v>
      </c>
      <c r="J250" t="s">
        <v>1421</v>
      </c>
    </row>
    <row r="251" spans="1:10">
      <c r="A251">
        <v>50250</v>
      </c>
      <c r="B251">
        <v>30141</v>
      </c>
      <c r="C251" t="s">
        <v>297</v>
      </c>
      <c r="D251">
        <v>2286</v>
      </c>
      <c r="E251">
        <v>1004</v>
      </c>
      <c r="F251">
        <v>3</v>
      </c>
      <c r="G251" t="s">
        <v>1481</v>
      </c>
      <c r="H251" t="s">
        <v>9</v>
      </c>
      <c r="I251" t="s">
        <v>86</v>
      </c>
      <c r="J251" t="s">
        <v>641</v>
      </c>
    </row>
    <row r="252" spans="1:10">
      <c r="A252">
        <v>50251</v>
      </c>
      <c r="B252">
        <v>30142</v>
      </c>
      <c r="C252" t="s">
        <v>87</v>
      </c>
      <c r="D252">
        <v>2027</v>
      </c>
      <c r="E252">
        <v>1016</v>
      </c>
      <c r="F252">
        <v>2</v>
      </c>
      <c r="G252" t="s">
        <v>1500</v>
      </c>
      <c r="H252" t="s">
        <v>9</v>
      </c>
      <c r="I252" t="s">
        <v>88</v>
      </c>
      <c r="J252" t="s">
        <v>642</v>
      </c>
    </row>
    <row r="253" spans="1:10">
      <c r="A253">
        <v>50252</v>
      </c>
      <c r="B253">
        <v>30142</v>
      </c>
      <c r="C253" t="s">
        <v>87</v>
      </c>
      <c r="D253">
        <v>2027</v>
      </c>
      <c r="E253">
        <v>1013</v>
      </c>
      <c r="F253">
        <v>1</v>
      </c>
      <c r="G253" t="s">
        <v>1474</v>
      </c>
      <c r="H253" t="s">
        <v>9</v>
      </c>
      <c r="I253" t="s">
        <v>559</v>
      </c>
      <c r="J253" t="s">
        <v>498</v>
      </c>
    </row>
    <row r="254" spans="1:10">
      <c r="A254">
        <v>50253</v>
      </c>
      <c r="B254">
        <v>30143</v>
      </c>
      <c r="C254" t="s">
        <v>69</v>
      </c>
      <c r="D254">
        <v>2576</v>
      </c>
      <c r="E254">
        <v>1009</v>
      </c>
      <c r="F254">
        <v>3</v>
      </c>
      <c r="G254" t="s">
        <v>1461</v>
      </c>
      <c r="H254" t="s">
        <v>9</v>
      </c>
      <c r="I254" t="s">
        <v>643</v>
      </c>
      <c r="J254" t="s">
        <v>644</v>
      </c>
    </row>
    <row r="255" spans="1:10">
      <c r="A255">
        <v>50254</v>
      </c>
      <c r="B255">
        <v>30144</v>
      </c>
      <c r="C255" t="s">
        <v>32</v>
      </c>
      <c r="D255">
        <v>2457</v>
      </c>
      <c r="E255">
        <v>1010</v>
      </c>
      <c r="F255">
        <v>2</v>
      </c>
      <c r="G255" t="s">
        <v>1483</v>
      </c>
      <c r="H255" t="s">
        <v>9</v>
      </c>
      <c r="I255" t="s">
        <v>645</v>
      </c>
      <c r="J255" t="s">
        <v>646</v>
      </c>
    </row>
    <row r="256" spans="1:10">
      <c r="A256">
        <v>50255</v>
      </c>
      <c r="B256">
        <v>30144</v>
      </c>
      <c r="C256" t="s">
        <v>334</v>
      </c>
      <c r="D256">
        <v>2457</v>
      </c>
      <c r="E256">
        <v>1016</v>
      </c>
      <c r="F256">
        <v>1</v>
      </c>
      <c r="G256" t="s">
        <v>1465</v>
      </c>
      <c r="H256" t="s">
        <v>9</v>
      </c>
      <c r="I256" t="s">
        <v>647</v>
      </c>
      <c r="J256" t="s">
        <v>648</v>
      </c>
    </row>
    <row r="257" spans="1:10">
      <c r="A257">
        <v>50256</v>
      </c>
      <c r="B257">
        <v>30145</v>
      </c>
      <c r="C257" t="s">
        <v>89</v>
      </c>
      <c r="D257">
        <v>2205</v>
      </c>
      <c r="E257">
        <v>1003</v>
      </c>
      <c r="F257">
        <v>3</v>
      </c>
      <c r="G257" t="s">
        <v>1507</v>
      </c>
      <c r="H257" t="s">
        <v>9</v>
      </c>
      <c r="I257" t="s">
        <v>649</v>
      </c>
      <c r="J257" t="s">
        <v>90</v>
      </c>
    </row>
    <row r="258" spans="1:10">
      <c r="A258">
        <v>50257</v>
      </c>
      <c r="B258">
        <v>30145</v>
      </c>
      <c r="C258" t="s">
        <v>650</v>
      </c>
      <c r="D258">
        <v>2205</v>
      </c>
      <c r="E258">
        <v>1015</v>
      </c>
      <c r="F258">
        <v>2</v>
      </c>
      <c r="G258" t="s">
        <v>1488</v>
      </c>
      <c r="H258" t="s">
        <v>9</v>
      </c>
      <c r="I258" t="s">
        <v>91</v>
      </c>
      <c r="J258" t="s">
        <v>65</v>
      </c>
    </row>
    <row r="259" spans="1:10">
      <c r="A259">
        <v>50258</v>
      </c>
      <c r="B259">
        <v>30146</v>
      </c>
      <c r="C259" t="s">
        <v>651</v>
      </c>
      <c r="D259">
        <v>2177</v>
      </c>
      <c r="E259">
        <v>1015</v>
      </c>
      <c r="F259">
        <v>1</v>
      </c>
      <c r="G259" t="s">
        <v>1478</v>
      </c>
      <c r="H259" t="s">
        <v>12</v>
      </c>
      <c r="I259" t="s">
        <v>1421</v>
      </c>
      <c r="J259" t="s">
        <v>1421</v>
      </c>
    </row>
    <row r="260" spans="1:10">
      <c r="A260">
        <v>50259</v>
      </c>
      <c r="B260">
        <v>30146</v>
      </c>
      <c r="C260" t="s">
        <v>573</v>
      </c>
      <c r="D260">
        <v>2177</v>
      </c>
      <c r="E260">
        <v>1003</v>
      </c>
      <c r="F260">
        <v>2</v>
      </c>
      <c r="G260" t="s">
        <v>1464</v>
      </c>
      <c r="H260" t="s">
        <v>12</v>
      </c>
      <c r="I260" t="s">
        <v>1421</v>
      </c>
      <c r="J260" t="s">
        <v>1421</v>
      </c>
    </row>
    <row r="261" spans="1:10">
      <c r="A261">
        <v>50260</v>
      </c>
      <c r="B261">
        <v>30147</v>
      </c>
      <c r="C261" t="s">
        <v>92</v>
      </c>
      <c r="D261">
        <v>2328</v>
      </c>
      <c r="E261">
        <v>1003</v>
      </c>
      <c r="F261">
        <v>1</v>
      </c>
      <c r="G261" t="s">
        <v>1471</v>
      </c>
      <c r="H261" t="s">
        <v>9</v>
      </c>
      <c r="I261" t="s">
        <v>93</v>
      </c>
      <c r="J261" t="s">
        <v>652</v>
      </c>
    </row>
    <row r="262" spans="1:10">
      <c r="A262">
        <v>50261</v>
      </c>
      <c r="B262">
        <v>30148</v>
      </c>
      <c r="C262" t="s">
        <v>94</v>
      </c>
      <c r="D262">
        <v>2564</v>
      </c>
      <c r="E262">
        <v>1010</v>
      </c>
      <c r="F262">
        <v>1</v>
      </c>
      <c r="G262" t="s">
        <v>1468</v>
      </c>
      <c r="H262" t="s">
        <v>9</v>
      </c>
      <c r="I262" t="s">
        <v>653</v>
      </c>
      <c r="J262" t="s">
        <v>95</v>
      </c>
    </row>
    <row r="263" spans="1:10">
      <c r="A263">
        <v>50262</v>
      </c>
      <c r="B263">
        <v>30148</v>
      </c>
      <c r="C263" t="s">
        <v>654</v>
      </c>
      <c r="D263">
        <v>2564</v>
      </c>
      <c r="E263">
        <v>1006</v>
      </c>
      <c r="F263">
        <v>1</v>
      </c>
      <c r="G263" t="s">
        <v>1459</v>
      </c>
      <c r="H263" t="s">
        <v>9</v>
      </c>
      <c r="I263" t="s">
        <v>655</v>
      </c>
      <c r="J263" t="s">
        <v>656</v>
      </c>
    </row>
    <row r="264" spans="1:10">
      <c r="A264">
        <v>50263</v>
      </c>
      <c r="B264">
        <v>30148</v>
      </c>
      <c r="C264" t="s">
        <v>654</v>
      </c>
      <c r="D264">
        <v>2564</v>
      </c>
      <c r="E264">
        <v>1006</v>
      </c>
      <c r="F264">
        <v>1</v>
      </c>
      <c r="G264" t="s">
        <v>1459</v>
      </c>
      <c r="H264" t="s">
        <v>9</v>
      </c>
      <c r="I264" t="s">
        <v>653</v>
      </c>
      <c r="J264" t="s">
        <v>657</v>
      </c>
    </row>
    <row r="265" spans="1:10">
      <c r="A265">
        <v>50264</v>
      </c>
      <c r="B265">
        <v>30148</v>
      </c>
      <c r="C265" t="s">
        <v>391</v>
      </c>
      <c r="D265">
        <v>2564</v>
      </c>
      <c r="E265">
        <v>1012</v>
      </c>
      <c r="F265">
        <v>1</v>
      </c>
      <c r="G265" t="s">
        <v>1449</v>
      </c>
      <c r="H265" t="s">
        <v>9</v>
      </c>
      <c r="I265" t="s">
        <v>658</v>
      </c>
      <c r="J265" t="s">
        <v>578</v>
      </c>
    </row>
    <row r="266" spans="1:10">
      <c r="A266">
        <v>50265</v>
      </c>
      <c r="B266">
        <v>30149</v>
      </c>
      <c r="C266" t="s">
        <v>659</v>
      </c>
      <c r="D266">
        <v>2521</v>
      </c>
      <c r="E266">
        <v>1007</v>
      </c>
      <c r="F266">
        <v>1</v>
      </c>
      <c r="G266" t="s">
        <v>1453</v>
      </c>
      <c r="H266" t="s">
        <v>9</v>
      </c>
      <c r="I266" t="s">
        <v>660</v>
      </c>
      <c r="J266" t="s">
        <v>661</v>
      </c>
    </row>
    <row r="267" spans="1:10">
      <c r="A267">
        <v>50266</v>
      </c>
      <c r="B267">
        <v>30150</v>
      </c>
      <c r="C267" t="s">
        <v>384</v>
      </c>
      <c r="D267">
        <v>2143</v>
      </c>
      <c r="E267">
        <v>1016</v>
      </c>
      <c r="F267">
        <v>1</v>
      </c>
      <c r="G267" t="s">
        <v>1465</v>
      </c>
      <c r="H267" t="s">
        <v>9</v>
      </c>
      <c r="I267" t="s">
        <v>96</v>
      </c>
      <c r="J267" t="s">
        <v>74</v>
      </c>
    </row>
    <row r="268" spans="1:10">
      <c r="A268">
        <v>50267</v>
      </c>
      <c r="B268">
        <v>30151</v>
      </c>
      <c r="C268" t="s">
        <v>662</v>
      </c>
      <c r="D268">
        <v>2027</v>
      </c>
      <c r="E268">
        <v>1012</v>
      </c>
      <c r="F268">
        <v>1</v>
      </c>
      <c r="G268" t="s">
        <v>1449</v>
      </c>
      <c r="H268" t="s">
        <v>9</v>
      </c>
      <c r="I268" t="s">
        <v>97</v>
      </c>
      <c r="J268" t="s">
        <v>311</v>
      </c>
    </row>
    <row r="269" spans="1:10">
      <c r="A269">
        <v>50268</v>
      </c>
      <c r="B269">
        <v>30152</v>
      </c>
      <c r="C269" t="s">
        <v>663</v>
      </c>
      <c r="D269">
        <v>2479</v>
      </c>
      <c r="E269">
        <v>1005</v>
      </c>
      <c r="F269">
        <v>1</v>
      </c>
      <c r="G269" t="s">
        <v>1456</v>
      </c>
      <c r="H269" t="s">
        <v>16</v>
      </c>
      <c r="I269" t="s">
        <v>1421</v>
      </c>
      <c r="J269" t="s">
        <v>1421</v>
      </c>
    </row>
    <row r="270" spans="1:10">
      <c r="A270">
        <v>50269</v>
      </c>
      <c r="B270">
        <v>30153</v>
      </c>
      <c r="C270" t="s">
        <v>664</v>
      </c>
      <c r="D270">
        <v>2089</v>
      </c>
      <c r="E270">
        <v>1013</v>
      </c>
      <c r="F270">
        <v>1</v>
      </c>
      <c r="G270" t="s">
        <v>1474</v>
      </c>
      <c r="H270" t="s">
        <v>9</v>
      </c>
      <c r="I270" t="s">
        <v>396</v>
      </c>
      <c r="J270" t="s">
        <v>665</v>
      </c>
    </row>
    <row r="271" spans="1:10">
      <c r="A271">
        <v>50270</v>
      </c>
      <c r="B271">
        <v>30154</v>
      </c>
      <c r="C271" t="s">
        <v>247</v>
      </c>
      <c r="D271">
        <v>2491</v>
      </c>
      <c r="E271">
        <v>1014</v>
      </c>
      <c r="F271">
        <v>1</v>
      </c>
      <c r="G271" t="s">
        <v>1463</v>
      </c>
      <c r="H271" t="s">
        <v>9</v>
      </c>
      <c r="I271" t="s">
        <v>357</v>
      </c>
      <c r="J271" t="s">
        <v>666</v>
      </c>
    </row>
    <row r="272" spans="1:10">
      <c r="A272">
        <v>50271</v>
      </c>
      <c r="B272">
        <v>30154</v>
      </c>
      <c r="C272" t="s">
        <v>373</v>
      </c>
      <c r="D272">
        <v>2491</v>
      </c>
      <c r="E272">
        <v>1003</v>
      </c>
      <c r="F272">
        <v>1</v>
      </c>
      <c r="G272" t="s">
        <v>1471</v>
      </c>
      <c r="H272" t="s">
        <v>9</v>
      </c>
      <c r="I272" t="s">
        <v>667</v>
      </c>
      <c r="J272" t="s">
        <v>668</v>
      </c>
    </row>
    <row r="273" spans="1:10">
      <c r="A273">
        <v>50272</v>
      </c>
      <c r="B273">
        <v>30154</v>
      </c>
      <c r="C273" t="s">
        <v>356</v>
      </c>
      <c r="D273">
        <v>2491</v>
      </c>
      <c r="E273">
        <v>1005</v>
      </c>
      <c r="F273">
        <v>2</v>
      </c>
      <c r="G273" t="s">
        <v>1458</v>
      </c>
      <c r="H273" t="s">
        <v>9</v>
      </c>
      <c r="I273" t="s">
        <v>360</v>
      </c>
      <c r="J273" t="s">
        <v>666</v>
      </c>
    </row>
    <row r="274" spans="1:10">
      <c r="A274">
        <v>50273</v>
      </c>
      <c r="B274">
        <v>30155</v>
      </c>
      <c r="C274" t="s">
        <v>669</v>
      </c>
      <c r="D274">
        <v>2325</v>
      </c>
      <c r="E274">
        <v>1015</v>
      </c>
      <c r="F274">
        <v>1</v>
      </c>
      <c r="G274" t="s">
        <v>1478</v>
      </c>
      <c r="H274" t="s">
        <v>9</v>
      </c>
      <c r="I274" t="s">
        <v>98</v>
      </c>
      <c r="J274" t="s">
        <v>245</v>
      </c>
    </row>
    <row r="275" spans="1:10">
      <c r="A275">
        <v>50274</v>
      </c>
      <c r="B275">
        <v>30155</v>
      </c>
      <c r="C275" t="s">
        <v>669</v>
      </c>
      <c r="D275">
        <v>2325</v>
      </c>
      <c r="E275">
        <v>1015</v>
      </c>
      <c r="F275">
        <v>2</v>
      </c>
      <c r="G275" t="s">
        <v>1488</v>
      </c>
      <c r="H275" t="s">
        <v>9</v>
      </c>
      <c r="I275" t="s">
        <v>670</v>
      </c>
      <c r="J275" t="s">
        <v>367</v>
      </c>
    </row>
    <row r="276" spans="1:10">
      <c r="A276">
        <v>50275</v>
      </c>
      <c r="B276">
        <v>30155</v>
      </c>
      <c r="C276" t="s">
        <v>581</v>
      </c>
      <c r="D276">
        <v>2325</v>
      </c>
      <c r="E276">
        <v>1012</v>
      </c>
      <c r="F276">
        <v>1</v>
      </c>
      <c r="G276" t="s">
        <v>1449</v>
      </c>
      <c r="H276" t="s">
        <v>9</v>
      </c>
      <c r="I276" t="s">
        <v>410</v>
      </c>
      <c r="J276" t="s">
        <v>613</v>
      </c>
    </row>
    <row r="277" spans="1:10">
      <c r="A277">
        <v>50276</v>
      </c>
      <c r="B277">
        <v>30156</v>
      </c>
      <c r="C277" t="s">
        <v>671</v>
      </c>
      <c r="D277">
        <v>2132</v>
      </c>
      <c r="E277">
        <v>1006</v>
      </c>
      <c r="F277">
        <v>1</v>
      </c>
      <c r="G277" t="s">
        <v>1459</v>
      </c>
      <c r="H277" t="s">
        <v>12</v>
      </c>
      <c r="I277" t="s">
        <v>1421</v>
      </c>
      <c r="J277" t="s">
        <v>1421</v>
      </c>
    </row>
    <row r="278" spans="1:10">
      <c r="A278">
        <v>50277</v>
      </c>
      <c r="B278">
        <v>30156</v>
      </c>
      <c r="C278" t="s">
        <v>99</v>
      </c>
      <c r="D278">
        <v>2132</v>
      </c>
      <c r="E278">
        <v>1005</v>
      </c>
      <c r="F278">
        <v>1</v>
      </c>
      <c r="G278" t="s">
        <v>1456</v>
      </c>
      <c r="H278" t="s">
        <v>12</v>
      </c>
      <c r="I278" t="s">
        <v>1421</v>
      </c>
      <c r="J278" t="s">
        <v>1421</v>
      </c>
    </row>
    <row r="279" spans="1:10">
      <c r="A279">
        <v>50278</v>
      </c>
      <c r="B279">
        <v>30156</v>
      </c>
      <c r="C279" t="s">
        <v>671</v>
      </c>
      <c r="D279">
        <v>2132</v>
      </c>
      <c r="E279">
        <v>1014</v>
      </c>
      <c r="F279">
        <v>1</v>
      </c>
      <c r="G279" t="s">
        <v>1463</v>
      </c>
      <c r="H279" t="s">
        <v>12</v>
      </c>
      <c r="I279" t="s">
        <v>1421</v>
      </c>
      <c r="J279" t="s">
        <v>1421</v>
      </c>
    </row>
    <row r="280" spans="1:10">
      <c r="A280">
        <v>50279</v>
      </c>
      <c r="B280">
        <v>30157</v>
      </c>
      <c r="C280" t="s">
        <v>56</v>
      </c>
      <c r="D280">
        <v>2515</v>
      </c>
      <c r="E280">
        <v>1002</v>
      </c>
      <c r="F280">
        <v>1</v>
      </c>
      <c r="G280" t="s">
        <v>1466</v>
      </c>
      <c r="H280" t="s">
        <v>12</v>
      </c>
      <c r="I280" t="s">
        <v>1421</v>
      </c>
      <c r="J280" t="s">
        <v>1421</v>
      </c>
    </row>
    <row r="281" spans="1:10">
      <c r="A281">
        <v>50280</v>
      </c>
      <c r="B281">
        <v>30157</v>
      </c>
      <c r="C281" t="s">
        <v>248</v>
      </c>
      <c r="D281">
        <v>2515</v>
      </c>
      <c r="E281">
        <v>1004</v>
      </c>
      <c r="F281">
        <v>1</v>
      </c>
      <c r="G281" t="s">
        <v>1452</v>
      </c>
      <c r="H281" t="s">
        <v>12</v>
      </c>
      <c r="I281" t="s">
        <v>1421</v>
      </c>
      <c r="J281" t="s">
        <v>1421</v>
      </c>
    </row>
    <row r="282" spans="1:10">
      <c r="A282">
        <v>50281</v>
      </c>
      <c r="B282">
        <v>30158</v>
      </c>
      <c r="C282" t="s">
        <v>408</v>
      </c>
      <c r="D282">
        <v>2531</v>
      </c>
      <c r="E282">
        <v>1006</v>
      </c>
      <c r="F282">
        <v>3</v>
      </c>
      <c r="G282" t="s">
        <v>1493</v>
      </c>
      <c r="H282" t="s">
        <v>9</v>
      </c>
      <c r="I282" t="s">
        <v>672</v>
      </c>
      <c r="J282" t="s">
        <v>70</v>
      </c>
    </row>
    <row r="283" spans="1:10">
      <c r="A283">
        <v>50282</v>
      </c>
      <c r="B283">
        <v>30158</v>
      </c>
      <c r="C283" t="s">
        <v>673</v>
      </c>
      <c r="D283">
        <v>2531</v>
      </c>
      <c r="E283">
        <v>1006</v>
      </c>
      <c r="F283">
        <v>3</v>
      </c>
      <c r="G283" t="s">
        <v>1493</v>
      </c>
      <c r="H283" t="s">
        <v>9</v>
      </c>
      <c r="I283" t="s">
        <v>450</v>
      </c>
      <c r="J283" t="s">
        <v>288</v>
      </c>
    </row>
    <row r="284" spans="1:10">
      <c r="A284">
        <v>50283</v>
      </c>
      <c r="B284">
        <v>30159</v>
      </c>
      <c r="C284" t="s">
        <v>674</v>
      </c>
      <c r="D284">
        <v>2331</v>
      </c>
      <c r="E284">
        <v>1008</v>
      </c>
      <c r="F284">
        <v>3</v>
      </c>
      <c r="G284" t="s">
        <v>1491</v>
      </c>
      <c r="H284" t="s">
        <v>12</v>
      </c>
      <c r="I284" t="s">
        <v>1421</v>
      </c>
      <c r="J284" t="s">
        <v>1421</v>
      </c>
    </row>
    <row r="285" spans="1:10">
      <c r="A285">
        <v>50284</v>
      </c>
      <c r="B285">
        <v>30159</v>
      </c>
      <c r="C285" t="s">
        <v>675</v>
      </c>
      <c r="D285">
        <v>2331</v>
      </c>
      <c r="E285">
        <v>1012</v>
      </c>
      <c r="F285">
        <v>1</v>
      </c>
      <c r="G285" t="s">
        <v>1449</v>
      </c>
      <c r="H285" t="s">
        <v>12</v>
      </c>
      <c r="I285" t="s">
        <v>1421</v>
      </c>
      <c r="J285" t="s">
        <v>1421</v>
      </c>
    </row>
    <row r="286" spans="1:10">
      <c r="A286">
        <v>50285</v>
      </c>
      <c r="B286">
        <v>30160</v>
      </c>
      <c r="C286" t="s">
        <v>676</v>
      </c>
      <c r="D286">
        <v>2532</v>
      </c>
      <c r="E286">
        <v>1003</v>
      </c>
      <c r="F286">
        <v>1</v>
      </c>
      <c r="G286" t="s">
        <v>1471</v>
      </c>
      <c r="H286" t="s">
        <v>12</v>
      </c>
      <c r="I286" t="s">
        <v>1421</v>
      </c>
      <c r="J286" t="s">
        <v>1421</v>
      </c>
    </row>
    <row r="287" spans="1:10">
      <c r="A287">
        <v>50286</v>
      </c>
      <c r="B287">
        <v>30160</v>
      </c>
      <c r="C287" t="s">
        <v>677</v>
      </c>
      <c r="D287">
        <v>2532</v>
      </c>
      <c r="E287">
        <v>1009</v>
      </c>
      <c r="F287">
        <v>2</v>
      </c>
      <c r="G287" t="s">
        <v>1479</v>
      </c>
      <c r="H287" t="s">
        <v>12</v>
      </c>
      <c r="I287" t="s">
        <v>1421</v>
      </c>
      <c r="J287" t="s">
        <v>1421</v>
      </c>
    </row>
    <row r="288" spans="1:10">
      <c r="A288">
        <v>50287</v>
      </c>
      <c r="B288">
        <v>30160</v>
      </c>
      <c r="C288" t="s">
        <v>389</v>
      </c>
      <c r="D288">
        <v>2532</v>
      </c>
      <c r="E288">
        <v>1007</v>
      </c>
      <c r="F288">
        <v>5</v>
      </c>
      <c r="G288" t="s">
        <v>1510</v>
      </c>
      <c r="H288" t="s">
        <v>12</v>
      </c>
      <c r="I288" t="s">
        <v>1421</v>
      </c>
      <c r="J288" t="s">
        <v>1421</v>
      </c>
    </row>
    <row r="289" spans="1:10">
      <c r="A289">
        <v>50288</v>
      </c>
      <c r="B289">
        <v>30161</v>
      </c>
      <c r="C289" t="s">
        <v>305</v>
      </c>
      <c r="D289">
        <v>2565</v>
      </c>
      <c r="E289">
        <v>1010</v>
      </c>
      <c r="F289">
        <v>1</v>
      </c>
      <c r="G289" t="s">
        <v>1468</v>
      </c>
      <c r="H289" t="s">
        <v>9</v>
      </c>
      <c r="I289" t="s">
        <v>28</v>
      </c>
      <c r="J289" t="s">
        <v>520</v>
      </c>
    </row>
    <row r="290" spans="1:10">
      <c r="A290">
        <v>50289</v>
      </c>
      <c r="B290">
        <v>30161</v>
      </c>
      <c r="C290" t="s">
        <v>305</v>
      </c>
      <c r="D290">
        <v>2565</v>
      </c>
      <c r="E290">
        <v>1003</v>
      </c>
      <c r="F290">
        <v>2</v>
      </c>
      <c r="G290" t="s">
        <v>1464</v>
      </c>
      <c r="H290" t="s">
        <v>9</v>
      </c>
      <c r="I290" t="s">
        <v>361</v>
      </c>
      <c r="J290" t="s">
        <v>678</v>
      </c>
    </row>
    <row r="291" spans="1:10">
      <c r="A291">
        <v>50290</v>
      </c>
      <c r="B291">
        <v>30161</v>
      </c>
      <c r="C291" t="s">
        <v>679</v>
      </c>
      <c r="D291">
        <v>2565</v>
      </c>
      <c r="E291">
        <v>1006</v>
      </c>
      <c r="F291">
        <v>1</v>
      </c>
      <c r="G291" t="s">
        <v>1459</v>
      </c>
      <c r="H291" t="s">
        <v>9</v>
      </c>
      <c r="I291" t="s">
        <v>303</v>
      </c>
      <c r="J291" t="s">
        <v>502</v>
      </c>
    </row>
    <row r="292" spans="1:10">
      <c r="A292">
        <v>50291</v>
      </c>
      <c r="B292">
        <v>30162</v>
      </c>
      <c r="C292" t="s">
        <v>680</v>
      </c>
      <c r="D292">
        <v>2595</v>
      </c>
      <c r="E292">
        <v>1011</v>
      </c>
      <c r="F292">
        <v>1</v>
      </c>
      <c r="G292" t="s">
        <v>1472</v>
      </c>
      <c r="H292" t="s">
        <v>9</v>
      </c>
      <c r="I292" t="s">
        <v>681</v>
      </c>
      <c r="J292" t="s">
        <v>682</v>
      </c>
    </row>
    <row r="293" spans="1:10">
      <c r="A293">
        <v>50292</v>
      </c>
      <c r="B293">
        <v>30163</v>
      </c>
      <c r="C293" t="s">
        <v>100</v>
      </c>
      <c r="D293">
        <v>2578</v>
      </c>
      <c r="E293">
        <v>1001</v>
      </c>
      <c r="F293">
        <v>2</v>
      </c>
      <c r="G293" t="s">
        <v>1460</v>
      </c>
      <c r="H293" t="s">
        <v>9</v>
      </c>
      <c r="I293" t="s">
        <v>101</v>
      </c>
      <c r="J293" t="s">
        <v>683</v>
      </c>
    </row>
    <row r="294" spans="1:10">
      <c r="A294">
        <v>50293</v>
      </c>
      <c r="B294">
        <v>30164</v>
      </c>
      <c r="C294" t="s">
        <v>684</v>
      </c>
      <c r="D294">
        <v>2084</v>
      </c>
      <c r="E294">
        <v>1009</v>
      </c>
      <c r="F294">
        <v>1</v>
      </c>
      <c r="G294" t="s">
        <v>1473</v>
      </c>
      <c r="H294" t="s">
        <v>9</v>
      </c>
      <c r="I294" t="s">
        <v>597</v>
      </c>
      <c r="J294" t="s">
        <v>685</v>
      </c>
    </row>
    <row r="295" spans="1:10">
      <c r="A295">
        <v>50294</v>
      </c>
      <c r="B295">
        <v>30164</v>
      </c>
      <c r="C295" t="s">
        <v>684</v>
      </c>
      <c r="D295">
        <v>2084</v>
      </c>
      <c r="E295">
        <v>1007</v>
      </c>
      <c r="F295">
        <v>2</v>
      </c>
      <c r="G295" t="s">
        <v>1455</v>
      </c>
      <c r="H295" t="s">
        <v>9</v>
      </c>
      <c r="I295" t="s">
        <v>564</v>
      </c>
      <c r="J295" t="s">
        <v>686</v>
      </c>
    </row>
    <row r="296" spans="1:10">
      <c r="A296">
        <v>50295</v>
      </c>
      <c r="B296">
        <v>30165</v>
      </c>
      <c r="C296" t="s">
        <v>359</v>
      </c>
      <c r="D296">
        <v>2586</v>
      </c>
      <c r="E296">
        <v>1001</v>
      </c>
      <c r="F296">
        <v>1</v>
      </c>
      <c r="G296" t="s">
        <v>1469</v>
      </c>
      <c r="H296" t="s">
        <v>9</v>
      </c>
      <c r="I296" t="s">
        <v>356</v>
      </c>
      <c r="J296" t="s">
        <v>102</v>
      </c>
    </row>
    <row r="297" spans="1:10">
      <c r="A297">
        <v>50296</v>
      </c>
      <c r="B297">
        <v>30165</v>
      </c>
      <c r="C297" t="s">
        <v>368</v>
      </c>
      <c r="D297">
        <v>2586</v>
      </c>
      <c r="E297">
        <v>1016</v>
      </c>
      <c r="F297">
        <v>5</v>
      </c>
      <c r="G297" t="s">
        <v>1513</v>
      </c>
      <c r="H297" t="s">
        <v>9</v>
      </c>
      <c r="I297" t="s">
        <v>103</v>
      </c>
      <c r="J297" t="s">
        <v>687</v>
      </c>
    </row>
    <row r="298" spans="1:10">
      <c r="A298">
        <v>50297</v>
      </c>
      <c r="B298">
        <v>30166</v>
      </c>
      <c r="C298" t="s">
        <v>688</v>
      </c>
      <c r="D298">
        <v>2559</v>
      </c>
      <c r="E298">
        <v>1010</v>
      </c>
      <c r="F298">
        <v>5</v>
      </c>
      <c r="G298" t="s">
        <v>1497</v>
      </c>
      <c r="H298" t="s">
        <v>9</v>
      </c>
      <c r="I298" t="s">
        <v>689</v>
      </c>
      <c r="J298" t="s">
        <v>690</v>
      </c>
    </row>
    <row r="299" spans="1:10">
      <c r="A299">
        <v>50298</v>
      </c>
      <c r="B299">
        <v>30167</v>
      </c>
      <c r="C299" t="s">
        <v>691</v>
      </c>
      <c r="D299">
        <v>2495</v>
      </c>
      <c r="E299">
        <v>1013</v>
      </c>
      <c r="F299">
        <v>3</v>
      </c>
      <c r="G299" t="s">
        <v>1490</v>
      </c>
      <c r="H299" t="s">
        <v>9</v>
      </c>
      <c r="I299" t="s">
        <v>86</v>
      </c>
      <c r="J299" t="s">
        <v>692</v>
      </c>
    </row>
    <row r="300" spans="1:10">
      <c r="A300">
        <v>50299</v>
      </c>
      <c r="B300">
        <v>30167</v>
      </c>
      <c r="C300" t="s">
        <v>104</v>
      </c>
      <c r="D300">
        <v>2495</v>
      </c>
      <c r="E300">
        <v>1010</v>
      </c>
      <c r="F300">
        <v>2</v>
      </c>
      <c r="G300" t="s">
        <v>1483</v>
      </c>
      <c r="H300" t="s">
        <v>9</v>
      </c>
      <c r="I300" t="s">
        <v>589</v>
      </c>
      <c r="J300" t="s">
        <v>105</v>
      </c>
    </row>
    <row r="301" spans="1:10">
      <c r="A301">
        <v>50300</v>
      </c>
      <c r="B301">
        <v>30167</v>
      </c>
      <c r="C301" t="s">
        <v>297</v>
      </c>
      <c r="D301">
        <v>2495</v>
      </c>
      <c r="E301">
        <v>1015</v>
      </c>
      <c r="F301">
        <v>1</v>
      </c>
      <c r="G301" t="s">
        <v>1478</v>
      </c>
      <c r="H301" t="s">
        <v>9</v>
      </c>
      <c r="I301" t="s">
        <v>693</v>
      </c>
      <c r="J301" t="s">
        <v>692</v>
      </c>
    </row>
    <row r="302" spans="1:10">
      <c r="A302">
        <v>50301</v>
      </c>
      <c r="B302">
        <v>30168</v>
      </c>
      <c r="C302" t="s">
        <v>468</v>
      </c>
      <c r="D302">
        <v>2075</v>
      </c>
      <c r="E302">
        <v>1006</v>
      </c>
      <c r="F302">
        <v>2</v>
      </c>
      <c r="G302" t="s">
        <v>1501</v>
      </c>
      <c r="H302" t="s">
        <v>9</v>
      </c>
      <c r="I302" t="s">
        <v>619</v>
      </c>
      <c r="J302" t="s">
        <v>106</v>
      </c>
    </row>
    <row r="303" spans="1:10">
      <c r="A303">
        <v>50302</v>
      </c>
      <c r="B303">
        <v>30169</v>
      </c>
      <c r="C303" t="s">
        <v>252</v>
      </c>
      <c r="D303">
        <v>2451</v>
      </c>
      <c r="E303">
        <v>1015</v>
      </c>
      <c r="F303">
        <v>1</v>
      </c>
      <c r="G303" t="s">
        <v>1478</v>
      </c>
      <c r="H303" t="s">
        <v>9</v>
      </c>
      <c r="I303" t="s">
        <v>694</v>
      </c>
      <c r="J303" t="s">
        <v>107</v>
      </c>
    </row>
    <row r="304" spans="1:10">
      <c r="A304">
        <v>50303</v>
      </c>
      <c r="B304">
        <v>30169</v>
      </c>
      <c r="C304" t="s">
        <v>695</v>
      </c>
      <c r="D304">
        <v>2451</v>
      </c>
      <c r="E304">
        <v>1007</v>
      </c>
      <c r="F304">
        <v>1</v>
      </c>
      <c r="G304" t="s">
        <v>1453</v>
      </c>
      <c r="H304" t="s">
        <v>9</v>
      </c>
      <c r="I304" t="s">
        <v>108</v>
      </c>
      <c r="J304" t="s">
        <v>107</v>
      </c>
    </row>
    <row r="305" spans="1:10">
      <c r="A305">
        <v>50304</v>
      </c>
      <c r="B305">
        <v>30170</v>
      </c>
      <c r="C305" t="s">
        <v>620</v>
      </c>
      <c r="D305">
        <v>2349</v>
      </c>
      <c r="E305">
        <v>1011</v>
      </c>
      <c r="F305">
        <v>1</v>
      </c>
      <c r="G305" t="s">
        <v>1472</v>
      </c>
      <c r="H305" t="s">
        <v>9</v>
      </c>
      <c r="I305" t="s">
        <v>480</v>
      </c>
      <c r="J305" t="s">
        <v>109</v>
      </c>
    </row>
    <row r="306" spans="1:10">
      <c r="A306">
        <v>50305</v>
      </c>
      <c r="B306">
        <v>30170</v>
      </c>
      <c r="C306" t="s">
        <v>366</v>
      </c>
      <c r="D306">
        <v>2349</v>
      </c>
      <c r="E306">
        <v>1011</v>
      </c>
      <c r="F306">
        <v>2</v>
      </c>
      <c r="G306" t="s">
        <v>1487</v>
      </c>
      <c r="H306" t="s">
        <v>9</v>
      </c>
      <c r="I306" t="s">
        <v>696</v>
      </c>
      <c r="J306" t="s">
        <v>241</v>
      </c>
    </row>
    <row r="307" spans="1:10">
      <c r="A307">
        <v>50306</v>
      </c>
      <c r="B307">
        <v>30171</v>
      </c>
      <c r="C307" t="s">
        <v>461</v>
      </c>
      <c r="D307">
        <v>2354</v>
      </c>
      <c r="E307">
        <v>1005</v>
      </c>
      <c r="F307">
        <v>1</v>
      </c>
      <c r="G307" t="s">
        <v>1456</v>
      </c>
      <c r="H307" t="s">
        <v>11</v>
      </c>
      <c r="I307" t="s">
        <v>402</v>
      </c>
      <c r="J307" t="s">
        <v>530</v>
      </c>
    </row>
    <row r="308" spans="1:10">
      <c r="A308">
        <v>50307</v>
      </c>
      <c r="B308">
        <v>30171</v>
      </c>
      <c r="C308" t="s">
        <v>461</v>
      </c>
      <c r="D308">
        <v>2354</v>
      </c>
      <c r="E308">
        <v>1012</v>
      </c>
      <c r="F308">
        <v>1</v>
      </c>
      <c r="G308" t="s">
        <v>1449</v>
      </c>
      <c r="H308" t="s">
        <v>11</v>
      </c>
      <c r="I308" t="s">
        <v>697</v>
      </c>
      <c r="J308" t="s">
        <v>698</v>
      </c>
    </row>
    <row r="309" spans="1:10">
      <c r="A309">
        <v>50308</v>
      </c>
      <c r="B309">
        <v>30171</v>
      </c>
      <c r="C309" t="s">
        <v>461</v>
      </c>
      <c r="D309">
        <v>2354</v>
      </c>
      <c r="E309">
        <v>1004</v>
      </c>
      <c r="F309">
        <v>1</v>
      </c>
      <c r="G309" t="s">
        <v>1452</v>
      </c>
      <c r="H309" t="s">
        <v>11</v>
      </c>
      <c r="I309" t="s">
        <v>698</v>
      </c>
      <c r="J309" t="s">
        <v>645</v>
      </c>
    </row>
    <row r="310" spans="1:10">
      <c r="A310">
        <v>50309</v>
      </c>
      <c r="B310">
        <v>30171</v>
      </c>
      <c r="C310" t="s">
        <v>612</v>
      </c>
      <c r="D310">
        <v>2354</v>
      </c>
      <c r="E310">
        <v>1011</v>
      </c>
      <c r="F310">
        <v>1</v>
      </c>
      <c r="G310" t="s">
        <v>1472</v>
      </c>
      <c r="H310" t="s">
        <v>11</v>
      </c>
      <c r="I310" t="s">
        <v>548</v>
      </c>
      <c r="J310" t="s">
        <v>699</v>
      </c>
    </row>
    <row r="311" spans="1:10">
      <c r="A311">
        <v>50310</v>
      </c>
      <c r="B311">
        <v>30172</v>
      </c>
      <c r="C311" t="s">
        <v>700</v>
      </c>
      <c r="D311">
        <v>2248</v>
      </c>
      <c r="E311">
        <v>1009</v>
      </c>
      <c r="F311">
        <v>2</v>
      </c>
      <c r="G311" t="s">
        <v>1479</v>
      </c>
      <c r="H311" t="s">
        <v>9</v>
      </c>
      <c r="I311" t="s">
        <v>110</v>
      </c>
      <c r="J311" t="s">
        <v>701</v>
      </c>
    </row>
    <row r="312" spans="1:10">
      <c r="A312">
        <v>50311</v>
      </c>
      <c r="B312">
        <v>30173</v>
      </c>
      <c r="C312" t="s">
        <v>702</v>
      </c>
      <c r="D312">
        <v>2461</v>
      </c>
      <c r="E312">
        <v>1004</v>
      </c>
      <c r="F312">
        <v>1</v>
      </c>
      <c r="G312" t="s">
        <v>1452</v>
      </c>
      <c r="H312" t="s">
        <v>9</v>
      </c>
      <c r="I312" t="s">
        <v>111</v>
      </c>
      <c r="J312" t="s">
        <v>260</v>
      </c>
    </row>
    <row r="313" spans="1:10">
      <c r="A313">
        <v>50312</v>
      </c>
      <c r="B313">
        <v>30174</v>
      </c>
      <c r="C313" t="s">
        <v>703</v>
      </c>
      <c r="D313">
        <v>2052</v>
      </c>
      <c r="E313">
        <v>1013</v>
      </c>
      <c r="F313">
        <v>1</v>
      </c>
      <c r="G313" t="s">
        <v>1474</v>
      </c>
      <c r="H313" t="s">
        <v>9</v>
      </c>
      <c r="I313" t="s">
        <v>704</v>
      </c>
      <c r="J313" t="s">
        <v>705</v>
      </c>
    </row>
    <row r="314" spans="1:10">
      <c r="A314">
        <v>50313</v>
      </c>
      <c r="B314">
        <v>30174</v>
      </c>
      <c r="C314" t="s">
        <v>706</v>
      </c>
      <c r="D314">
        <v>2052</v>
      </c>
      <c r="E314">
        <v>1014</v>
      </c>
      <c r="F314">
        <v>2</v>
      </c>
      <c r="G314" t="s">
        <v>1475</v>
      </c>
      <c r="H314" t="s">
        <v>9</v>
      </c>
      <c r="I314" t="s">
        <v>707</v>
      </c>
      <c r="J314" t="s">
        <v>708</v>
      </c>
    </row>
    <row r="315" spans="1:10">
      <c r="A315">
        <v>50314</v>
      </c>
      <c r="B315">
        <v>30174</v>
      </c>
      <c r="C315" t="s">
        <v>368</v>
      </c>
      <c r="D315">
        <v>2052</v>
      </c>
      <c r="E315">
        <v>1008</v>
      </c>
      <c r="F315">
        <v>1</v>
      </c>
      <c r="G315" t="s">
        <v>1447</v>
      </c>
      <c r="H315" t="s">
        <v>9</v>
      </c>
      <c r="I315" t="s">
        <v>709</v>
      </c>
      <c r="J315" t="s">
        <v>112</v>
      </c>
    </row>
    <row r="316" spans="1:10">
      <c r="A316">
        <v>50315</v>
      </c>
      <c r="B316">
        <v>30175</v>
      </c>
      <c r="C316" t="s">
        <v>710</v>
      </c>
      <c r="D316">
        <v>2164</v>
      </c>
      <c r="E316">
        <v>1011</v>
      </c>
      <c r="F316">
        <v>2</v>
      </c>
      <c r="G316" t="s">
        <v>1487</v>
      </c>
      <c r="H316" t="s">
        <v>16</v>
      </c>
      <c r="I316" t="s">
        <v>542</v>
      </c>
      <c r="J316" t="s">
        <v>1421</v>
      </c>
    </row>
    <row r="317" spans="1:10">
      <c r="A317">
        <v>50316</v>
      </c>
      <c r="B317">
        <v>30175</v>
      </c>
      <c r="C317" t="s">
        <v>711</v>
      </c>
      <c r="D317">
        <v>2164</v>
      </c>
      <c r="E317">
        <v>1006</v>
      </c>
      <c r="F317">
        <v>1</v>
      </c>
      <c r="G317" t="s">
        <v>1459</v>
      </c>
      <c r="H317" t="s">
        <v>16</v>
      </c>
      <c r="I317" t="s">
        <v>1421</v>
      </c>
      <c r="J317" t="s">
        <v>1421</v>
      </c>
    </row>
    <row r="318" spans="1:10">
      <c r="A318">
        <v>50317</v>
      </c>
      <c r="B318">
        <v>30176</v>
      </c>
      <c r="C318" t="s">
        <v>712</v>
      </c>
      <c r="D318">
        <v>2528</v>
      </c>
      <c r="E318">
        <v>1010</v>
      </c>
      <c r="F318">
        <v>3</v>
      </c>
      <c r="G318" t="s">
        <v>1514</v>
      </c>
      <c r="H318" t="s">
        <v>9</v>
      </c>
      <c r="I318" t="s">
        <v>713</v>
      </c>
      <c r="J318" t="s">
        <v>533</v>
      </c>
    </row>
    <row r="319" spans="1:10">
      <c r="A319">
        <v>50318</v>
      </c>
      <c r="B319">
        <v>30176</v>
      </c>
      <c r="C319" t="s">
        <v>714</v>
      </c>
      <c r="D319">
        <v>2528</v>
      </c>
      <c r="E319">
        <v>1016</v>
      </c>
      <c r="F319">
        <v>1</v>
      </c>
      <c r="G319" t="s">
        <v>1465</v>
      </c>
      <c r="H319" t="s">
        <v>9</v>
      </c>
      <c r="I319" t="s">
        <v>283</v>
      </c>
      <c r="J319" t="s">
        <v>113</v>
      </c>
    </row>
    <row r="320" spans="1:10">
      <c r="A320">
        <v>50319</v>
      </c>
      <c r="B320">
        <v>30176</v>
      </c>
      <c r="C320" t="s">
        <v>715</v>
      </c>
      <c r="D320">
        <v>2528</v>
      </c>
      <c r="E320">
        <v>1001</v>
      </c>
      <c r="F320">
        <v>2</v>
      </c>
      <c r="G320" t="s">
        <v>1460</v>
      </c>
      <c r="H320" t="s">
        <v>9</v>
      </c>
      <c r="I320" t="s">
        <v>114</v>
      </c>
      <c r="J320" t="s">
        <v>532</v>
      </c>
    </row>
    <row r="321" spans="1:10">
      <c r="A321">
        <v>50320</v>
      </c>
      <c r="B321">
        <v>30177</v>
      </c>
      <c r="C321" t="s">
        <v>716</v>
      </c>
      <c r="D321">
        <v>2093</v>
      </c>
      <c r="E321">
        <v>1015</v>
      </c>
      <c r="F321">
        <v>1</v>
      </c>
      <c r="G321" t="s">
        <v>1478</v>
      </c>
      <c r="H321" t="s">
        <v>11</v>
      </c>
      <c r="I321" t="s">
        <v>717</v>
      </c>
      <c r="J321" t="s">
        <v>718</v>
      </c>
    </row>
    <row r="322" spans="1:10">
      <c r="A322">
        <v>50321</v>
      </c>
      <c r="B322">
        <v>30177</v>
      </c>
      <c r="C322" t="s">
        <v>580</v>
      </c>
      <c r="D322">
        <v>2093</v>
      </c>
      <c r="E322">
        <v>1008</v>
      </c>
      <c r="F322">
        <v>3</v>
      </c>
      <c r="G322" t="s">
        <v>1491</v>
      </c>
      <c r="H322" t="s">
        <v>11</v>
      </c>
      <c r="I322" t="s">
        <v>719</v>
      </c>
      <c r="J322" t="s">
        <v>720</v>
      </c>
    </row>
    <row r="323" spans="1:10">
      <c r="A323">
        <v>50322</v>
      </c>
      <c r="B323">
        <v>30177</v>
      </c>
      <c r="C323" t="s">
        <v>721</v>
      </c>
      <c r="D323">
        <v>2093</v>
      </c>
      <c r="E323">
        <v>1007</v>
      </c>
      <c r="F323">
        <v>1</v>
      </c>
      <c r="G323" t="s">
        <v>1453</v>
      </c>
      <c r="H323" t="s">
        <v>11</v>
      </c>
      <c r="I323" t="s">
        <v>722</v>
      </c>
      <c r="J323" t="s">
        <v>723</v>
      </c>
    </row>
    <row r="324" spans="1:10">
      <c r="A324">
        <v>50323</v>
      </c>
      <c r="B324">
        <v>30177</v>
      </c>
      <c r="C324" t="s">
        <v>716</v>
      </c>
      <c r="D324">
        <v>2093</v>
      </c>
      <c r="E324">
        <v>1012</v>
      </c>
      <c r="F324">
        <v>2</v>
      </c>
      <c r="G324" t="s">
        <v>1450</v>
      </c>
      <c r="H324" t="s">
        <v>11</v>
      </c>
      <c r="I324" t="s">
        <v>724</v>
      </c>
      <c r="J324" t="s">
        <v>578</v>
      </c>
    </row>
    <row r="325" spans="1:10">
      <c r="A325">
        <v>50324</v>
      </c>
      <c r="B325">
        <v>30178</v>
      </c>
      <c r="C325" t="s">
        <v>725</v>
      </c>
      <c r="D325">
        <v>2050</v>
      </c>
      <c r="E325">
        <v>1016</v>
      </c>
      <c r="F325">
        <v>1</v>
      </c>
      <c r="G325" t="s">
        <v>1465</v>
      </c>
      <c r="H325" t="s">
        <v>9</v>
      </c>
      <c r="I325" t="s">
        <v>390</v>
      </c>
      <c r="J325" t="s">
        <v>726</v>
      </c>
    </row>
    <row r="326" spans="1:10">
      <c r="A326">
        <v>50325</v>
      </c>
      <c r="B326">
        <v>30178</v>
      </c>
      <c r="C326" t="s">
        <v>689</v>
      </c>
      <c r="D326">
        <v>2050</v>
      </c>
      <c r="E326">
        <v>1016</v>
      </c>
      <c r="F326">
        <v>1</v>
      </c>
      <c r="G326" t="s">
        <v>1465</v>
      </c>
      <c r="H326" t="s">
        <v>68</v>
      </c>
      <c r="I326" t="s">
        <v>568</v>
      </c>
      <c r="J326" t="s">
        <v>721</v>
      </c>
    </row>
    <row r="327" spans="1:10">
      <c r="A327">
        <v>50326</v>
      </c>
      <c r="B327">
        <v>30178</v>
      </c>
      <c r="C327" t="s">
        <v>727</v>
      </c>
      <c r="D327">
        <v>2050</v>
      </c>
      <c r="E327">
        <v>1010</v>
      </c>
      <c r="F327">
        <v>1</v>
      </c>
      <c r="G327" t="s">
        <v>1468</v>
      </c>
      <c r="H327" t="s">
        <v>9</v>
      </c>
      <c r="I327" t="s">
        <v>390</v>
      </c>
      <c r="J327" t="s">
        <v>728</v>
      </c>
    </row>
    <row r="328" spans="1:10">
      <c r="A328">
        <v>50327</v>
      </c>
      <c r="B328">
        <v>30179</v>
      </c>
      <c r="C328" t="s">
        <v>389</v>
      </c>
      <c r="D328">
        <v>2550</v>
      </c>
      <c r="E328">
        <v>1004</v>
      </c>
      <c r="F328">
        <v>1</v>
      </c>
      <c r="G328" t="s">
        <v>1452</v>
      </c>
      <c r="H328" t="s">
        <v>9</v>
      </c>
      <c r="I328" t="s">
        <v>729</v>
      </c>
      <c r="J328" t="s">
        <v>730</v>
      </c>
    </row>
    <row r="329" spans="1:10">
      <c r="A329">
        <v>50328</v>
      </c>
      <c r="B329">
        <v>30179</v>
      </c>
      <c r="C329" t="s">
        <v>676</v>
      </c>
      <c r="D329">
        <v>2550</v>
      </c>
      <c r="E329">
        <v>1014</v>
      </c>
      <c r="F329">
        <v>1</v>
      </c>
      <c r="G329" t="s">
        <v>1463</v>
      </c>
      <c r="H329" t="s">
        <v>9</v>
      </c>
      <c r="I329" t="s">
        <v>477</v>
      </c>
      <c r="J329" t="s">
        <v>731</v>
      </c>
    </row>
    <row r="330" spans="1:10">
      <c r="A330">
        <v>50329</v>
      </c>
      <c r="B330">
        <v>30180</v>
      </c>
      <c r="C330" t="s">
        <v>533</v>
      </c>
      <c r="D330">
        <v>2138</v>
      </c>
      <c r="E330">
        <v>1012</v>
      </c>
      <c r="F330">
        <v>1</v>
      </c>
      <c r="G330" t="s">
        <v>1449</v>
      </c>
      <c r="H330" t="s">
        <v>12</v>
      </c>
      <c r="I330" t="s">
        <v>1421</v>
      </c>
      <c r="J330" t="s">
        <v>1421</v>
      </c>
    </row>
    <row r="331" spans="1:10">
      <c r="A331">
        <v>50330</v>
      </c>
      <c r="B331">
        <v>30180</v>
      </c>
      <c r="C331" t="s">
        <v>533</v>
      </c>
      <c r="D331">
        <v>2138</v>
      </c>
      <c r="E331">
        <v>1013</v>
      </c>
      <c r="F331">
        <v>1</v>
      </c>
      <c r="G331" t="s">
        <v>1474</v>
      </c>
      <c r="H331" t="s">
        <v>12</v>
      </c>
      <c r="I331" t="s">
        <v>1421</v>
      </c>
      <c r="J331" t="s">
        <v>1421</v>
      </c>
    </row>
    <row r="332" spans="1:10">
      <c r="A332">
        <v>50331</v>
      </c>
      <c r="B332">
        <v>30180</v>
      </c>
      <c r="C332" t="s">
        <v>732</v>
      </c>
      <c r="D332">
        <v>2138</v>
      </c>
      <c r="E332">
        <v>1012</v>
      </c>
      <c r="F332">
        <v>1</v>
      </c>
      <c r="G332" t="s">
        <v>1449</v>
      </c>
      <c r="H332" t="s">
        <v>12</v>
      </c>
      <c r="I332" t="s">
        <v>1421</v>
      </c>
      <c r="J332" t="s">
        <v>1421</v>
      </c>
    </row>
    <row r="333" spans="1:10">
      <c r="A333">
        <v>50332</v>
      </c>
      <c r="B333">
        <v>30181</v>
      </c>
      <c r="C333" t="s">
        <v>406</v>
      </c>
      <c r="D333">
        <v>2047</v>
      </c>
      <c r="E333">
        <v>1007</v>
      </c>
      <c r="F333">
        <v>1</v>
      </c>
      <c r="G333" t="s">
        <v>1453</v>
      </c>
      <c r="H333" t="s">
        <v>9</v>
      </c>
      <c r="I333" t="s">
        <v>245</v>
      </c>
      <c r="J333" t="s">
        <v>733</v>
      </c>
    </row>
    <row r="334" spans="1:10">
      <c r="A334">
        <v>50333</v>
      </c>
      <c r="B334">
        <v>30181</v>
      </c>
      <c r="C334" t="s">
        <v>367</v>
      </c>
      <c r="D334">
        <v>2047</v>
      </c>
      <c r="E334">
        <v>1012</v>
      </c>
      <c r="F334">
        <v>1</v>
      </c>
      <c r="G334" t="s">
        <v>1449</v>
      </c>
      <c r="H334" t="s">
        <v>9</v>
      </c>
      <c r="I334" t="s">
        <v>548</v>
      </c>
      <c r="J334" t="s">
        <v>355</v>
      </c>
    </row>
    <row r="335" spans="1:10">
      <c r="A335">
        <v>50334</v>
      </c>
      <c r="B335">
        <v>30182</v>
      </c>
      <c r="C335" t="s">
        <v>734</v>
      </c>
      <c r="D335">
        <v>2567</v>
      </c>
      <c r="E335">
        <v>1013</v>
      </c>
      <c r="F335">
        <v>1</v>
      </c>
      <c r="G335" t="s">
        <v>1474</v>
      </c>
      <c r="H335" t="s">
        <v>9</v>
      </c>
      <c r="I335" t="s">
        <v>238</v>
      </c>
      <c r="J335" t="s">
        <v>431</v>
      </c>
    </row>
    <row r="336" spans="1:10">
      <c r="A336">
        <v>50335</v>
      </c>
      <c r="B336">
        <v>30182</v>
      </c>
      <c r="C336" t="s">
        <v>711</v>
      </c>
      <c r="D336">
        <v>2567</v>
      </c>
      <c r="E336">
        <v>1015</v>
      </c>
      <c r="F336">
        <v>1</v>
      </c>
      <c r="G336" t="s">
        <v>1478</v>
      </c>
      <c r="H336" t="s">
        <v>9</v>
      </c>
      <c r="I336" t="s">
        <v>439</v>
      </c>
      <c r="J336" t="s">
        <v>542</v>
      </c>
    </row>
    <row r="337" spans="1:10">
      <c r="A337">
        <v>50336</v>
      </c>
      <c r="B337">
        <v>30183</v>
      </c>
      <c r="C337" t="s">
        <v>735</v>
      </c>
      <c r="D337">
        <v>2564</v>
      </c>
      <c r="E337">
        <v>1004</v>
      </c>
      <c r="F337">
        <v>3</v>
      </c>
      <c r="G337" t="s">
        <v>1481</v>
      </c>
      <c r="H337" t="s">
        <v>9</v>
      </c>
      <c r="I337" t="s">
        <v>638</v>
      </c>
      <c r="J337" t="s">
        <v>736</v>
      </c>
    </row>
    <row r="338" spans="1:10">
      <c r="A338">
        <v>50337</v>
      </c>
      <c r="B338">
        <v>30183</v>
      </c>
      <c r="C338" t="s">
        <v>735</v>
      </c>
      <c r="D338">
        <v>2564</v>
      </c>
      <c r="E338">
        <v>1005</v>
      </c>
      <c r="F338">
        <v>5</v>
      </c>
      <c r="G338" t="s">
        <v>1512</v>
      </c>
      <c r="H338" t="s">
        <v>9</v>
      </c>
      <c r="I338" t="s">
        <v>737</v>
      </c>
      <c r="J338" t="s">
        <v>738</v>
      </c>
    </row>
    <row r="339" spans="1:10">
      <c r="A339">
        <v>50338</v>
      </c>
      <c r="B339">
        <v>30184</v>
      </c>
      <c r="C339" t="s">
        <v>739</v>
      </c>
      <c r="D339">
        <v>2100</v>
      </c>
      <c r="E339">
        <v>1011</v>
      </c>
      <c r="F339">
        <v>1</v>
      </c>
      <c r="G339" t="s">
        <v>1472</v>
      </c>
      <c r="H339" t="s">
        <v>9</v>
      </c>
      <c r="I339" t="s">
        <v>740</v>
      </c>
      <c r="J339" t="s">
        <v>693</v>
      </c>
    </row>
    <row r="340" spans="1:10">
      <c r="A340">
        <v>50339</v>
      </c>
      <c r="B340">
        <v>30185</v>
      </c>
      <c r="C340" t="s">
        <v>115</v>
      </c>
      <c r="D340">
        <v>2572</v>
      </c>
      <c r="E340">
        <v>1005</v>
      </c>
      <c r="G340" t="s">
        <v>1456</v>
      </c>
      <c r="H340" t="s">
        <v>12</v>
      </c>
      <c r="I340" t="s">
        <v>1421</v>
      </c>
      <c r="J340" t="s">
        <v>1421</v>
      </c>
    </row>
    <row r="341" spans="1:10">
      <c r="A341">
        <v>50340</v>
      </c>
      <c r="B341">
        <v>30185</v>
      </c>
      <c r="C341" t="s">
        <v>644</v>
      </c>
      <c r="D341">
        <v>2572</v>
      </c>
      <c r="E341">
        <v>1007</v>
      </c>
      <c r="F341">
        <v>3</v>
      </c>
      <c r="G341" t="s">
        <v>1446</v>
      </c>
      <c r="H341" t="s">
        <v>12</v>
      </c>
      <c r="I341" t="s">
        <v>1421</v>
      </c>
      <c r="J341" t="s">
        <v>1421</v>
      </c>
    </row>
    <row r="342" spans="1:10">
      <c r="A342">
        <v>50341</v>
      </c>
      <c r="B342">
        <v>30186</v>
      </c>
      <c r="C342" t="s">
        <v>741</v>
      </c>
      <c r="D342">
        <v>2522</v>
      </c>
      <c r="E342">
        <v>1002</v>
      </c>
      <c r="F342">
        <v>1</v>
      </c>
      <c r="G342" t="s">
        <v>1466</v>
      </c>
      <c r="H342" t="s">
        <v>9</v>
      </c>
      <c r="I342" t="s">
        <v>742</v>
      </c>
      <c r="J342" t="s">
        <v>408</v>
      </c>
    </row>
    <row r="343" spans="1:10">
      <c r="A343">
        <v>50342</v>
      </c>
      <c r="B343">
        <v>30186</v>
      </c>
      <c r="C343" t="s">
        <v>43</v>
      </c>
      <c r="D343">
        <v>2522</v>
      </c>
      <c r="E343">
        <v>1002</v>
      </c>
      <c r="F343">
        <v>1</v>
      </c>
      <c r="G343" t="s">
        <v>1466</v>
      </c>
      <c r="H343" t="s">
        <v>9</v>
      </c>
      <c r="I343" t="s">
        <v>405</v>
      </c>
      <c r="J343" t="s">
        <v>640</v>
      </c>
    </row>
    <row r="344" spans="1:10">
      <c r="A344">
        <v>50343</v>
      </c>
      <c r="B344">
        <v>30187</v>
      </c>
      <c r="C344" t="s">
        <v>420</v>
      </c>
      <c r="D344">
        <v>2040</v>
      </c>
      <c r="E344">
        <v>1011</v>
      </c>
      <c r="F344">
        <v>2</v>
      </c>
      <c r="G344" t="s">
        <v>1487</v>
      </c>
      <c r="H344" t="s">
        <v>9</v>
      </c>
      <c r="I344" t="s">
        <v>706</v>
      </c>
      <c r="J344" t="s">
        <v>116</v>
      </c>
    </row>
    <row r="345" spans="1:10">
      <c r="A345">
        <v>50344</v>
      </c>
      <c r="B345">
        <v>30187</v>
      </c>
      <c r="C345" t="s">
        <v>743</v>
      </c>
      <c r="D345">
        <v>2040</v>
      </c>
      <c r="E345">
        <v>1016</v>
      </c>
      <c r="F345">
        <v>1</v>
      </c>
      <c r="G345" t="s">
        <v>1465</v>
      </c>
      <c r="H345" t="s">
        <v>9</v>
      </c>
      <c r="I345" t="s">
        <v>310</v>
      </c>
      <c r="J345" t="s">
        <v>744</v>
      </c>
    </row>
    <row r="346" spans="1:10">
      <c r="A346">
        <v>50345</v>
      </c>
      <c r="B346">
        <v>30188</v>
      </c>
      <c r="C346" t="s">
        <v>673</v>
      </c>
      <c r="D346">
        <v>2532</v>
      </c>
      <c r="E346">
        <v>1005</v>
      </c>
      <c r="F346">
        <v>1</v>
      </c>
      <c r="G346" t="s">
        <v>1456</v>
      </c>
      <c r="H346" t="s">
        <v>9</v>
      </c>
      <c r="I346" t="s">
        <v>70</v>
      </c>
      <c r="J346" t="s">
        <v>671</v>
      </c>
    </row>
    <row r="347" spans="1:10">
      <c r="A347">
        <v>50346</v>
      </c>
      <c r="B347">
        <v>30188</v>
      </c>
      <c r="C347" t="s">
        <v>523</v>
      </c>
      <c r="D347">
        <v>2532</v>
      </c>
      <c r="E347">
        <v>1011</v>
      </c>
      <c r="F347">
        <v>1</v>
      </c>
      <c r="G347" t="s">
        <v>1472</v>
      </c>
      <c r="H347" t="s">
        <v>1495</v>
      </c>
      <c r="I347" t="s">
        <v>745</v>
      </c>
      <c r="J347" t="s">
        <v>746</v>
      </c>
    </row>
    <row r="348" spans="1:10">
      <c r="A348">
        <v>50347</v>
      </c>
      <c r="B348">
        <v>30189</v>
      </c>
      <c r="C348" t="s">
        <v>117</v>
      </c>
      <c r="D348">
        <v>2327</v>
      </c>
      <c r="E348">
        <v>1010</v>
      </c>
      <c r="F348">
        <v>1</v>
      </c>
      <c r="G348" t="s">
        <v>1468</v>
      </c>
      <c r="H348" t="s">
        <v>9</v>
      </c>
      <c r="I348" t="s">
        <v>701</v>
      </c>
      <c r="J348" t="s">
        <v>413</v>
      </c>
    </row>
    <row r="349" spans="1:10">
      <c r="A349">
        <v>50348</v>
      </c>
      <c r="B349">
        <v>30190</v>
      </c>
      <c r="C349" t="s">
        <v>480</v>
      </c>
      <c r="D349">
        <v>2345</v>
      </c>
      <c r="E349">
        <v>1016</v>
      </c>
      <c r="F349">
        <v>1</v>
      </c>
      <c r="G349" t="s">
        <v>1465</v>
      </c>
      <c r="H349" t="s">
        <v>9</v>
      </c>
      <c r="I349" t="s">
        <v>747</v>
      </c>
      <c r="J349" t="s">
        <v>748</v>
      </c>
    </row>
    <row r="350" spans="1:10">
      <c r="A350">
        <v>50349</v>
      </c>
      <c r="B350">
        <v>30191</v>
      </c>
      <c r="C350" t="s">
        <v>749</v>
      </c>
      <c r="D350">
        <v>2577</v>
      </c>
      <c r="E350">
        <v>1001</v>
      </c>
      <c r="F350">
        <v>3</v>
      </c>
      <c r="G350" t="s">
        <v>1515</v>
      </c>
      <c r="H350" t="s">
        <v>68</v>
      </c>
      <c r="I350" t="s">
        <v>547</v>
      </c>
      <c r="J350" t="s">
        <v>664</v>
      </c>
    </row>
    <row r="351" spans="1:10">
      <c r="A351">
        <v>50350</v>
      </c>
      <c r="B351">
        <v>30191</v>
      </c>
      <c r="C351" t="s">
        <v>549</v>
      </c>
      <c r="D351">
        <v>2577</v>
      </c>
      <c r="E351">
        <v>1012</v>
      </c>
      <c r="F351">
        <v>1</v>
      </c>
      <c r="G351" t="s">
        <v>1449</v>
      </c>
      <c r="H351" t="s">
        <v>1495</v>
      </c>
      <c r="I351" t="s">
        <v>311</v>
      </c>
      <c r="J351" t="s">
        <v>610</v>
      </c>
    </row>
    <row r="352" spans="1:10">
      <c r="A352">
        <v>50351</v>
      </c>
      <c r="B352">
        <v>30192</v>
      </c>
      <c r="C352" t="s">
        <v>485</v>
      </c>
      <c r="D352">
        <v>2340</v>
      </c>
      <c r="E352">
        <v>1014</v>
      </c>
      <c r="F352">
        <v>1</v>
      </c>
      <c r="G352" t="s">
        <v>1463</v>
      </c>
      <c r="H352" t="s">
        <v>9</v>
      </c>
      <c r="I352" t="s">
        <v>750</v>
      </c>
      <c r="J352" t="s">
        <v>751</v>
      </c>
    </row>
    <row r="353" spans="1:10">
      <c r="A353">
        <v>50352</v>
      </c>
      <c r="B353">
        <v>30193</v>
      </c>
      <c r="C353" t="s">
        <v>247</v>
      </c>
      <c r="D353">
        <v>2598</v>
      </c>
      <c r="E353">
        <v>1001</v>
      </c>
      <c r="F353">
        <v>2</v>
      </c>
      <c r="G353" t="s">
        <v>1460</v>
      </c>
      <c r="H353" t="s">
        <v>9</v>
      </c>
      <c r="I353" t="s">
        <v>707</v>
      </c>
      <c r="J353" t="s">
        <v>376</v>
      </c>
    </row>
    <row r="354" spans="1:10">
      <c r="A354">
        <v>50353</v>
      </c>
      <c r="B354">
        <v>30193</v>
      </c>
      <c r="C354" t="s">
        <v>247</v>
      </c>
      <c r="D354">
        <v>2598</v>
      </c>
      <c r="E354">
        <v>1016</v>
      </c>
      <c r="F354">
        <v>1</v>
      </c>
      <c r="G354" t="s">
        <v>1465</v>
      </c>
      <c r="H354" t="s">
        <v>9</v>
      </c>
      <c r="I354" t="s">
        <v>752</v>
      </c>
      <c r="J354" t="s">
        <v>507</v>
      </c>
    </row>
    <row r="355" spans="1:10">
      <c r="A355">
        <v>50354</v>
      </c>
      <c r="B355">
        <v>30193</v>
      </c>
      <c r="C355" t="s">
        <v>373</v>
      </c>
      <c r="D355">
        <v>2598</v>
      </c>
      <c r="E355">
        <v>1009</v>
      </c>
      <c r="F355">
        <v>1</v>
      </c>
      <c r="G355" t="s">
        <v>1473</v>
      </c>
      <c r="H355" t="s">
        <v>9</v>
      </c>
      <c r="I355" t="s">
        <v>89</v>
      </c>
      <c r="J355" t="s">
        <v>456</v>
      </c>
    </row>
    <row r="356" spans="1:10">
      <c r="A356">
        <v>50355</v>
      </c>
      <c r="B356">
        <v>30194</v>
      </c>
      <c r="C356" t="s">
        <v>453</v>
      </c>
      <c r="D356">
        <v>2593</v>
      </c>
      <c r="E356">
        <v>1002</v>
      </c>
      <c r="F356">
        <v>4</v>
      </c>
      <c r="G356" t="s">
        <v>1451</v>
      </c>
      <c r="H356" t="s">
        <v>9</v>
      </c>
      <c r="I356" t="s">
        <v>26</v>
      </c>
      <c r="J356" t="s">
        <v>441</v>
      </c>
    </row>
    <row r="357" spans="1:10">
      <c r="A357">
        <v>50356</v>
      </c>
      <c r="B357">
        <v>30195</v>
      </c>
      <c r="C357" t="s">
        <v>753</v>
      </c>
      <c r="D357">
        <v>2598</v>
      </c>
      <c r="E357">
        <v>1013</v>
      </c>
      <c r="F357">
        <v>1</v>
      </c>
      <c r="G357" t="s">
        <v>1474</v>
      </c>
      <c r="H357" t="s">
        <v>9</v>
      </c>
      <c r="I357" t="s">
        <v>118</v>
      </c>
      <c r="J357" t="s">
        <v>754</v>
      </c>
    </row>
    <row r="358" spans="1:10">
      <c r="A358">
        <v>50357</v>
      </c>
      <c r="B358">
        <v>30195</v>
      </c>
      <c r="C358" t="s">
        <v>755</v>
      </c>
      <c r="D358">
        <v>2598</v>
      </c>
      <c r="E358">
        <v>1005</v>
      </c>
      <c r="F358">
        <v>1</v>
      </c>
      <c r="G358" t="s">
        <v>1456</v>
      </c>
      <c r="H358" t="s">
        <v>9</v>
      </c>
      <c r="I358" t="s">
        <v>756</v>
      </c>
      <c r="J358" t="s">
        <v>328</v>
      </c>
    </row>
    <row r="359" spans="1:10">
      <c r="A359">
        <v>50358</v>
      </c>
      <c r="B359">
        <v>30195</v>
      </c>
      <c r="C359" t="s">
        <v>753</v>
      </c>
      <c r="D359">
        <v>2598</v>
      </c>
      <c r="E359">
        <v>1008</v>
      </c>
      <c r="F359">
        <v>1</v>
      </c>
      <c r="G359" t="s">
        <v>1447</v>
      </c>
      <c r="H359" t="s">
        <v>9</v>
      </c>
      <c r="I359" t="s">
        <v>757</v>
      </c>
      <c r="J359" t="s">
        <v>758</v>
      </c>
    </row>
    <row r="360" spans="1:10">
      <c r="A360">
        <v>50359</v>
      </c>
      <c r="B360">
        <v>30195</v>
      </c>
      <c r="C360" t="s">
        <v>755</v>
      </c>
      <c r="D360">
        <v>2598</v>
      </c>
      <c r="E360">
        <v>1002</v>
      </c>
      <c r="F360">
        <v>3</v>
      </c>
      <c r="G360" t="s">
        <v>1508</v>
      </c>
      <c r="H360" t="s">
        <v>9</v>
      </c>
      <c r="I360" t="s">
        <v>759</v>
      </c>
      <c r="J360" t="s">
        <v>119</v>
      </c>
    </row>
    <row r="361" spans="1:10">
      <c r="A361">
        <v>50360</v>
      </c>
      <c r="B361">
        <v>30196</v>
      </c>
      <c r="C361" t="s">
        <v>717</v>
      </c>
      <c r="D361">
        <v>2587</v>
      </c>
      <c r="E361">
        <v>1004</v>
      </c>
      <c r="F361">
        <v>1</v>
      </c>
      <c r="G361" t="s">
        <v>1452</v>
      </c>
      <c r="H361" t="s">
        <v>11</v>
      </c>
      <c r="I361" t="s">
        <v>694</v>
      </c>
      <c r="J361" t="s">
        <v>384</v>
      </c>
    </row>
    <row r="362" spans="1:10">
      <c r="A362">
        <v>50361</v>
      </c>
      <c r="B362">
        <v>30197</v>
      </c>
      <c r="C362" t="s">
        <v>760</v>
      </c>
      <c r="D362">
        <v>2196</v>
      </c>
      <c r="E362">
        <v>1011</v>
      </c>
      <c r="F362">
        <v>5</v>
      </c>
      <c r="G362" t="s">
        <v>1516</v>
      </c>
      <c r="H362" t="s">
        <v>9</v>
      </c>
      <c r="I362" t="s">
        <v>761</v>
      </c>
      <c r="J362" t="s">
        <v>762</v>
      </c>
    </row>
    <row r="363" spans="1:10">
      <c r="A363">
        <v>50362</v>
      </c>
      <c r="B363">
        <v>30198</v>
      </c>
      <c r="C363" t="s">
        <v>120</v>
      </c>
      <c r="D363">
        <v>2429</v>
      </c>
      <c r="E363">
        <v>1007</v>
      </c>
      <c r="F363">
        <v>1</v>
      </c>
      <c r="G363" t="s">
        <v>1453</v>
      </c>
      <c r="H363" t="s">
        <v>9</v>
      </c>
      <c r="I363" t="s">
        <v>121</v>
      </c>
      <c r="J363" t="s">
        <v>743</v>
      </c>
    </row>
    <row r="364" spans="1:10">
      <c r="A364">
        <v>50363</v>
      </c>
      <c r="B364">
        <v>30199</v>
      </c>
      <c r="C364" t="s">
        <v>694</v>
      </c>
      <c r="D364">
        <v>2421</v>
      </c>
      <c r="E364">
        <v>1016</v>
      </c>
      <c r="F364">
        <v>1</v>
      </c>
      <c r="G364" t="s">
        <v>1465</v>
      </c>
      <c r="H364" t="s">
        <v>9</v>
      </c>
      <c r="I364" t="s">
        <v>763</v>
      </c>
      <c r="J364" t="s">
        <v>247</v>
      </c>
    </row>
    <row r="365" spans="1:10">
      <c r="A365">
        <v>50364</v>
      </c>
      <c r="B365">
        <v>30200</v>
      </c>
      <c r="C365" t="s">
        <v>657</v>
      </c>
      <c r="D365">
        <v>2064</v>
      </c>
      <c r="E365">
        <v>1007</v>
      </c>
      <c r="F365">
        <v>2</v>
      </c>
      <c r="G365" t="s">
        <v>1455</v>
      </c>
      <c r="H365" t="s">
        <v>9</v>
      </c>
      <c r="I365" t="s">
        <v>764</v>
      </c>
      <c r="J365" t="s">
        <v>28</v>
      </c>
    </row>
    <row r="366" spans="1:10">
      <c r="A366">
        <v>50365</v>
      </c>
      <c r="B366">
        <v>30200</v>
      </c>
      <c r="C366" t="s">
        <v>657</v>
      </c>
      <c r="D366">
        <v>2064</v>
      </c>
      <c r="E366">
        <v>1011</v>
      </c>
      <c r="F366">
        <v>1</v>
      </c>
      <c r="G366" t="s">
        <v>1472</v>
      </c>
      <c r="H366" t="s">
        <v>9</v>
      </c>
      <c r="I366" t="s">
        <v>765</v>
      </c>
      <c r="J366" t="s">
        <v>766</v>
      </c>
    </row>
    <row r="367" spans="1:10">
      <c r="A367">
        <v>50366</v>
      </c>
      <c r="B367">
        <v>30201</v>
      </c>
      <c r="C367" t="s">
        <v>413</v>
      </c>
      <c r="D367">
        <v>2490</v>
      </c>
      <c r="E367">
        <v>1011</v>
      </c>
      <c r="F367">
        <v>2</v>
      </c>
      <c r="G367" t="s">
        <v>1487</v>
      </c>
      <c r="H367" t="s">
        <v>9</v>
      </c>
      <c r="I367" t="s">
        <v>414</v>
      </c>
      <c r="J367" t="s">
        <v>347</v>
      </c>
    </row>
    <row r="368" spans="1:10">
      <c r="A368">
        <v>50367</v>
      </c>
      <c r="B368">
        <v>30202</v>
      </c>
      <c r="C368" t="s">
        <v>49</v>
      </c>
      <c r="D368">
        <v>2178</v>
      </c>
      <c r="E368">
        <v>1011</v>
      </c>
      <c r="F368">
        <v>1</v>
      </c>
      <c r="G368" t="s">
        <v>1472</v>
      </c>
      <c r="H368" t="s">
        <v>9</v>
      </c>
      <c r="I368" t="s">
        <v>762</v>
      </c>
      <c r="J368" t="s">
        <v>583</v>
      </c>
    </row>
    <row r="369" spans="1:10">
      <c r="A369">
        <v>50368</v>
      </c>
      <c r="B369">
        <v>30203</v>
      </c>
      <c r="C369" t="s">
        <v>674</v>
      </c>
      <c r="D369">
        <v>2560</v>
      </c>
      <c r="E369">
        <v>1009</v>
      </c>
      <c r="F369">
        <v>1</v>
      </c>
      <c r="G369" t="s">
        <v>1473</v>
      </c>
      <c r="H369" t="s">
        <v>9</v>
      </c>
      <c r="I369" t="s">
        <v>767</v>
      </c>
      <c r="J369" t="s">
        <v>768</v>
      </c>
    </row>
    <row r="370" spans="1:10">
      <c r="A370">
        <v>50369</v>
      </c>
      <c r="B370">
        <v>30204</v>
      </c>
      <c r="C370" t="s">
        <v>769</v>
      </c>
      <c r="D370">
        <v>2496</v>
      </c>
      <c r="E370">
        <v>1008</v>
      </c>
      <c r="F370">
        <v>1</v>
      </c>
      <c r="G370" t="s">
        <v>1447</v>
      </c>
      <c r="H370" t="s">
        <v>9</v>
      </c>
      <c r="I370" t="s">
        <v>770</v>
      </c>
      <c r="J370" t="s">
        <v>544</v>
      </c>
    </row>
    <row r="371" spans="1:10">
      <c r="A371">
        <v>50370</v>
      </c>
      <c r="B371">
        <v>30204</v>
      </c>
      <c r="C371" t="s">
        <v>771</v>
      </c>
      <c r="D371">
        <v>2496</v>
      </c>
      <c r="E371">
        <v>1009</v>
      </c>
      <c r="F371">
        <v>1</v>
      </c>
      <c r="G371" t="s">
        <v>1473</v>
      </c>
      <c r="H371" t="s">
        <v>9</v>
      </c>
      <c r="I371" t="s">
        <v>421</v>
      </c>
      <c r="J371" t="s">
        <v>419</v>
      </c>
    </row>
    <row r="372" spans="1:10">
      <c r="A372">
        <v>50371</v>
      </c>
      <c r="B372">
        <v>30204</v>
      </c>
      <c r="C372" t="s">
        <v>771</v>
      </c>
      <c r="D372">
        <v>2496</v>
      </c>
      <c r="E372">
        <v>1010</v>
      </c>
      <c r="F372">
        <v>2</v>
      </c>
      <c r="G372" t="s">
        <v>1483</v>
      </c>
      <c r="H372" t="s">
        <v>9</v>
      </c>
      <c r="I372" t="s">
        <v>770</v>
      </c>
      <c r="J372" t="s">
        <v>426</v>
      </c>
    </row>
    <row r="373" spans="1:10">
      <c r="A373">
        <v>50372</v>
      </c>
      <c r="B373">
        <v>30205</v>
      </c>
      <c r="C373" t="s">
        <v>492</v>
      </c>
      <c r="D373">
        <v>2231</v>
      </c>
      <c r="E373">
        <v>1010</v>
      </c>
      <c r="F373">
        <v>1</v>
      </c>
      <c r="G373" t="s">
        <v>1468</v>
      </c>
      <c r="H373" t="s">
        <v>11</v>
      </c>
      <c r="I373" t="s">
        <v>772</v>
      </c>
      <c r="J373" t="s">
        <v>122</v>
      </c>
    </row>
    <row r="374" spans="1:10">
      <c r="A374">
        <v>50373</v>
      </c>
      <c r="B374">
        <v>30205</v>
      </c>
      <c r="C374" t="s">
        <v>123</v>
      </c>
      <c r="D374">
        <v>2231</v>
      </c>
      <c r="E374">
        <v>1010</v>
      </c>
      <c r="F374">
        <v>2</v>
      </c>
      <c r="G374" t="s">
        <v>1483</v>
      </c>
      <c r="H374" t="s">
        <v>11</v>
      </c>
      <c r="I374" t="s">
        <v>753</v>
      </c>
      <c r="J374" t="s">
        <v>423</v>
      </c>
    </row>
    <row r="375" spans="1:10">
      <c r="A375">
        <v>50374</v>
      </c>
      <c r="B375">
        <v>30205</v>
      </c>
      <c r="C375" t="s">
        <v>533</v>
      </c>
      <c r="D375">
        <v>2231</v>
      </c>
      <c r="E375">
        <v>1007</v>
      </c>
      <c r="F375">
        <v>1</v>
      </c>
      <c r="G375" t="s">
        <v>1453</v>
      </c>
      <c r="H375" t="s">
        <v>11</v>
      </c>
      <c r="I375" t="s">
        <v>755</v>
      </c>
      <c r="J375" t="s">
        <v>119</v>
      </c>
    </row>
    <row r="376" spans="1:10">
      <c r="A376">
        <v>50375</v>
      </c>
      <c r="B376">
        <v>30205</v>
      </c>
      <c r="C376" t="s">
        <v>732</v>
      </c>
      <c r="D376">
        <v>2231</v>
      </c>
      <c r="E376">
        <v>1016</v>
      </c>
      <c r="F376">
        <v>3</v>
      </c>
      <c r="G376" t="s">
        <v>1484</v>
      </c>
      <c r="H376" t="s">
        <v>11</v>
      </c>
      <c r="I376" t="s">
        <v>773</v>
      </c>
      <c r="J376" t="s">
        <v>770</v>
      </c>
    </row>
    <row r="377" spans="1:10">
      <c r="A377">
        <v>50376</v>
      </c>
      <c r="B377">
        <v>30206</v>
      </c>
      <c r="C377" t="s">
        <v>774</v>
      </c>
      <c r="D377">
        <v>2325</v>
      </c>
      <c r="E377">
        <v>1009</v>
      </c>
      <c r="F377">
        <v>2</v>
      </c>
      <c r="G377" t="s">
        <v>1479</v>
      </c>
      <c r="H377" t="s">
        <v>9</v>
      </c>
      <c r="I377" t="s">
        <v>775</v>
      </c>
      <c r="J377" t="s">
        <v>336</v>
      </c>
    </row>
    <row r="378" spans="1:10">
      <c r="A378">
        <v>50377</v>
      </c>
      <c r="B378">
        <v>30206</v>
      </c>
      <c r="C378" t="s">
        <v>413</v>
      </c>
      <c r="D378">
        <v>2325</v>
      </c>
      <c r="E378">
        <v>1010</v>
      </c>
      <c r="F378">
        <v>4</v>
      </c>
      <c r="G378" t="s">
        <v>1517</v>
      </c>
      <c r="H378" t="s">
        <v>9</v>
      </c>
      <c r="I378" t="s">
        <v>403</v>
      </c>
      <c r="J378" t="s">
        <v>530</v>
      </c>
    </row>
    <row r="379" spans="1:10">
      <c r="A379">
        <v>50378</v>
      </c>
      <c r="B379">
        <v>30207</v>
      </c>
      <c r="C379" t="s">
        <v>441</v>
      </c>
      <c r="D379">
        <v>2125</v>
      </c>
      <c r="E379">
        <v>1013</v>
      </c>
      <c r="F379">
        <v>1</v>
      </c>
      <c r="G379" t="s">
        <v>1474</v>
      </c>
      <c r="H379" t="s">
        <v>9</v>
      </c>
      <c r="I379" t="s">
        <v>85</v>
      </c>
      <c r="J379" t="s">
        <v>86</v>
      </c>
    </row>
    <row r="380" spans="1:10">
      <c r="A380">
        <v>50379</v>
      </c>
      <c r="B380">
        <v>30207</v>
      </c>
      <c r="C380" t="s">
        <v>776</v>
      </c>
      <c r="D380">
        <v>2125</v>
      </c>
      <c r="E380">
        <v>1013</v>
      </c>
      <c r="F380">
        <v>2</v>
      </c>
      <c r="G380" t="s">
        <v>1492</v>
      </c>
      <c r="H380" t="s">
        <v>9</v>
      </c>
      <c r="I380" t="s">
        <v>584</v>
      </c>
      <c r="J380" t="s">
        <v>104</v>
      </c>
    </row>
    <row r="381" spans="1:10">
      <c r="A381">
        <v>50380</v>
      </c>
      <c r="B381">
        <v>30208</v>
      </c>
      <c r="C381" t="s">
        <v>124</v>
      </c>
      <c r="D381">
        <v>2354</v>
      </c>
      <c r="E381">
        <v>1005</v>
      </c>
      <c r="F381">
        <v>2</v>
      </c>
      <c r="G381" t="s">
        <v>1458</v>
      </c>
      <c r="H381" t="s">
        <v>11</v>
      </c>
      <c r="I381" t="s">
        <v>487</v>
      </c>
      <c r="J381" t="s">
        <v>777</v>
      </c>
    </row>
    <row r="382" spans="1:10">
      <c r="A382">
        <v>50381</v>
      </c>
      <c r="B382">
        <v>30209</v>
      </c>
      <c r="C382" t="s">
        <v>343</v>
      </c>
      <c r="D382">
        <v>2298</v>
      </c>
      <c r="E382">
        <v>1003</v>
      </c>
      <c r="F382">
        <v>1</v>
      </c>
      <c r="G382" t="s">
        <v>1471</v>
      </c>
      <c r="H382" t="s">
        <v>9</v>
      </c>
      <c r="I382" t="s">
        <v>569</v>
      </c>
      <c r="J382" t="s">
        <v>462</v>
      </c>
    </row>
    <row r="383" spans="1:10">
      <c r="A383">
        <v>50382</v>
      </c>
      <c r="B383">
        <v>30210</v>
      </c>
      <c r="C383" t="s">
        <v>778</v>
      </c>
      <c r="D383">
        <v>2355</v>
      </c>
      <c r="E383">
        <v>1009</v>
      </c>
      <c r="F383">
        <v>2</v>
      </c>
      <c r="G383" t="s">
        <v>1479</v>
      </c>
      <c r="H383" t="s">
        <v>12</v>
      </c>
      <c r="I383" t="s">
        <v>1421</v>
      </c>
      <c r="J383" t="s">
        <v>1421</v>
      </c>
    </row>
    <row r="384" spans="1:10">
      <c r="A384">
        <v>50383</v>
      </c>
      <c r="B384">
        <v>30210</v>
      </c>
      <c r="C384" t="s">
        <v>778</v>
      </c>
      <c r="D384">
        <v>2355</v>
      </c>
      <c r="E384">
        <v>1016</v>
      </c>
      <c r="F384">
        <v>2</v>
      </c>
      <c r="G384" t="s">
        <v>1500</v>
      </c>
      <c r="H384" t="s">
        <v>12</v>
      </c>
      <c r="I384" t="s">
        <v>1421</v>
      </c>
      <c r="J384" t="s">
        <v>1421</v>
      </c>
    </row>
    <row r="385" spans="1:10">
      <c r="A385">
        <v>50384</v>
      </c>
      <c r="B385">
        <v>30211</v>
      </c>
      <c r="C385" t="s">
        <v>499</v>
      </c>
      <c r="D385">
        <v>2220</v>
      </c>
      <c r="E385">
        <v>1009</v>
      </c>
      <c r="F385">
        <v>1</v>
      </c>
      <c r="G385" t="s">
        <v>1473</v>
      </c>
      <c r="H385" t="s">
        <v>9</v>
      </c>
      <c r="I385" t="s">
        <v>518</v>
      </c>
      <c r="J385" t="s">
        <v>432</v>
      </c>
    </row>
    <row r="386" spans="1:10">
      <c r="A386">
        <v>50385</v>
      </c>
      <c r="B386">
        <v>30212</v>
      </c>
      <c r="C386" t="s">
        <v>779</v>
      </c>
      <c r="D386">
        <v>2576</v>
      </c>
      <c r="E386">
        <v>1005</v>
      </c>
      <c r="F386">
        <v>1</v>
      </c>
      <c r="G386" t="s">
        <v>1456</v>
      </c>
      <c r="H386" t="s">
        <v>9</v>
      </c>
      <c r="I386" t="s">
        <v>315</v>
      </c>
      <c r="J386" t="s">
        <v>780</v>
      </c>
    </row>
    <row r="387" spans="1:10">
      <c r="A387">
        <v>50386</v>
      </c>
      <c r="B387">
        <v>30212</v>
      </c>
      <c r="C387" t="s">
        <v>676</v>
      </c>
      <c r="D387">
        <v>2576</v>
      </c>
      <c r="E387">
        <v>1004</v>
      </c>
      <c r="F387">
        <v>1</v>
      </c>
      <c r="G387" t="s">
        <v>1452</v>
      </c>
      <c r="H387" t="s">
        <v>9</v>
      </c>
      <c r="I387" t="s">
        <v>318</v>
      </c>
      <c r="J387" t="s">
        <v>781</v>
      </c>
    </row>
    <row r="388" spans="1:10">
      <c r="A388">
        <v>50387</v>
      </c>
      <c r="B388">
        <v>30212</v>
      </c>
      <c r="C388" t="s">
        <v>676</v>
      </c>
      <c r="D388">
        <v>2576</v>
      </c>
      <c r="E388">
        <v>1008</v>
      </c>
      <c r="F388">
        <v>1</v>
      </c>
      <c r="G388" t="s">
        <v>1447</v>
      </c>
      <c r="H388" t="s">
        <v>9</v>
      </c>
      <c r="I388" t="s">
        <v>729</v>
      </c>
      <c r="J388" t="s">
        <v>319</v>
      </c>
    </row>
    <row r="389" spans="1:10">
      <c r="A389">
        <v>50388</v>
      </c>
      <c r="B389">
        <v>30213</v>
      </c>
      <c r="C389" t="s">
        <v>32</v>
      </c>
      <c r="D389">
        <v>2249</v>
      </c>
      <c r="E389">
        <v>1008</v>
      </c>
      <c r="F389">
        <v>3</v>
      </c>
      <c r="G389" t="s">
        <v>1491</v>
      </c>
      <c r="H389" t="s">
        <v>9</v>
      </c>
      <c r="I389" t="s">
        <v>125</v>
      </c>
      <c r="J389" t="s">
        <v>737</v>
      </c>
    </row>
    <row r="390" spans="1:10">
      <c r="A390">
        <v>50389</v>
      </c>
      <c r="B390">
        <v>30213</v>
      </c>
      <c r="C390" t="s">
        <v>334</v>
      </c>
      <c r="D390">
        <v>2249</v>
      </c>
      <c r="E390">
        <v>1008</v>
      </c>
      <c r="F390">
        <v>1</v>
      </c>
      <c r="G390" t="s">
        <v>1447</v>
      </c>
      <c r="H390" t="s">
        <v>9</v>
      </c>
      <c r="I390" t="s">
        <v>126</v>
      </c>
      <c r="J390" t="s">
        <v>782</v>
      </c>
    </row>
    <row r="391" spans="1:10">
      <c r="A391">
        <v>50390</v>
      </c>
      <c r="B391">
        <v>30214</v>
      </c>
      <c r="C391" t="s">
        <v>783</v>
      </c>
      <c r="D391">
        <v>2054</v>
      </c>
      <c r="E391">
        <v>1011</v>
      </c>
      <c r="F391">
        <v>1</v>
      </c>
      <c r="G391" t="s">
        <v>1472</v>
      </c>
      <c r="H391" t="s">
        <v>9</v>
      </c>
      <c r="I391" t="s">
        <v>706</v>
      </c>
      <c r="J391" t="s">
        <v>42</v>
      </c>
    </row>
    <row r="392" spans="1:10">
      <c r="A392">
        <v>50391</v>
      </c>
      <c r="B392">
        <v>30214</v>
      </c>
      <c r="C392" t="s">
        <v>784</v>
      </c>
      <c r="D392">
        <v>2054</v>
      </c>
      <c r="E392">
        <v>1016</v>
      </c>
      <c r="F392">
        <v>1</v>
      </c>
      <c r="G392" t="s">
        <v>1465</v>
      </c>
      <c r="H392" t="s">
        <v>9</v>
      </c>
      <c r="I392" t="s">
        <v>785</v>
      </c>
      <c r="J392" t="s">
        <v>786</v>
      </c>
    </row>
    <row r="393" spans="1:10">
      <c r="A393">
        <v>50392</v>
      </c>
      <c r="B393">
        <v>30215</v>
      </c>
      <c r="C393" t="s">
        <v>90</v>
      </c>
      <c r="D393">
        <v>2103</v>
      </c>
      <c r="E393">
        <v>1005</v>
      </c>
      <c r="F393">
        <v>2</v>
      </c>
      <c r="G393" t="s">
        <v>1458</v>
      </c>
      <c r="H393" t="s">
        <v>9</v>
      </c>
      <c r="I393" t="s">
        <v>82</v>
      </c>
      <c r="J393" t="s">
        <v>276</v>
      </c>
    </row>
    <row r="394" spans="1:10">
      <c r="A394">
        <v>50393</v>
      </c>
      <c r="B394">
        <v>30216</v>
      </c>
      <c r="C394" t="s">
        <v>559</v>
      </c>
      <c r="D394">
        <v>2006</v>
      </c>
      <c r="E394">
        <v>1006</v>
      </c>
      <c r="F394">
        <v>2</v>
      </c>
      <c r="G394" t="s">
        <v>1501</v>
      </c>
      <c r="H394" t="s">
        <v>11</v>
      </c>
      <c r="I394" t="s">
        <v>497</v>
      </c>
      <c r="J394" t="s">
        <v>642</v>
      </c>
    </row>
    <row r="395" spans="1:10">
      <c r="A395">
        <v>50394</v>
      </c>
      <c r="B395">
        <v>30216</v>
      </c>
      <c r="C395" t="s">
        <v>559</v>
      </c>
      <c r="D395">
        <v>2006</v>
      </c>
      <c r="E395">
        <v>1014</v>
      </c>
      <c r="F395">
        <v>4</v>
      </c>
      <c r="G395" t="s">
        <v>1518</v>
      </c>
      <c r="H395" t="s">
        <v>11</v>
      </c>
      <c r="I395" t="s">
        <v>526</v>
      </c>
      <c r="J395" t="s">
        <v>18</v>
      </c>
    </row>
    <row r="396" spans="1:10">
      <c r="A396">
        <v>50395</v>
      </c>
      <c r="B396">
        <v>30216</v>
      </c>
      <c r="C396" t="s">
        <v>78</v>
      </c>
      <c r="D396">
        <v>2006</v>
      </c>
      <c r="E396">
        <v>1016</v>
      </c>
      <c r="F396">
        <v>1</v>
      </c>
      <c r="G396" t="s">
        <v>1465</v>
      </c>
      <c r="H396" t="s">
        <v>11</v>
      </c>
      <c r="I396" t="s">
        <v>495</v>
      </c>
      <c r="J396" t="s">
        <v>127</v>
      </c>
    </row>
    <row r="397" spans="1:10">
      <c r="A397">
        <v>50396</v>
      </c>
      <c r="B397">
        <v>30217</v>
      </c>
      <c r="C397" t="s">
        <v>497</v>
      </c>
      <c r="D397">
        <v>2489</v>
      </c>
      <c r="E397">
        <v>1010</v>
      </c>
      <c r="F397">
        <v>2</v>
      </c>
      <c r="G397" t="s">
        <v>1483</v>
      </c>
      <c r="H397" t="s">
        <v>9</v>
      </c>
      <c r="I397" t="s">
        <v>524</v>
      </c>
      <c r="J397" t="s">
        <v>787</v>
      </c>
    </row>
    <row r="398" spans="1:10">
      <c r="A398">
        <v>50397</v>
      </c>
      <c r="B398">
        <v>30218</v>
      </c>
      <c r="C398" t="s">
        <v>788</v>
      </c>
      <c r="D398">
        <v>2329</v>
      </c>
      <c r="E398">
        <v>1002</v>
      </c>
      <c r="F398">
        <v>4</v>
      </c>
      <c r="G398" t="s">
        <v>1451</v>
      </c>
      <c r="H398" t="s">
        <v>9</v>
      </c>
      <c r="I398" t="s">
        <v>789</v>
      </c>
      <c r="J398" t="s">
        <v>790</v>
      </c>
    </row>
    <row r="399" spans="1:10">
      <c r="A399">
        <v>50398</v>
      </c>
      <c r="B399">
        <v>30218</v>
      </c>
      <c r="C399" t="s">
        <v>344</v>
      </c>
      <c r="D399">
        <v>2329</v>
      </c>
      <c r="E399">
        <v>1003</v>
      </c>
      <c r="F399">
        <v>4</v>
      </c>
      <c r="G399" t="s">
        <v>1519</v>
      </c>
      <c r="H399" t="s">
        <v>9</v>
      </c>
      <c r="I399" t="s">
        <v>120</v>
      </c>
      <c r="J399" t="s">
        <v>791</v>
      </c>
    </row>
    <row r="400" spans="1:10">
      <c r="A400">
        <v>50399</v>
      </c>
      <c r="B400">
        <v>30218</v>
      </c>
      <c r="C400" t="s">
        <v>128</v>
      </c>
      <c r="D400">
        <v>2329</v>
      </c>
      <c r="E400">
        <v>1008</v>
      </c>
      <c r="F400">
        <v>2</v>
      </c>
      <c r="G400" t="s">
        <v>1520</v>
      </c>
      <c r="H400" t="s">
        <v>9</v>
      </c>
      <c r="I400" t="s">
        <v>792</v>
      </c>
      <c r="J400" t="s">
        <v>631</v>
      </c>
    </row>
    <row r="401" spans="1:10">
      <c r="A401">
        <v>50400</v>
      </c>
      <c r="B401">
        <v>30219</v>
      </c>
      <c r="C401" t="s">
        <v>246</v>
      </c>
      <c r="D401">
        <v>2548</v>
      </c>
      <c r="E401">
        <v>1002</v>
      </c>
      <c r="F401">
        <v>1</v>
      </c>
      <c r="G401" t="s">
        <v>1466</v>
      </c>
      <c r="H401" t="s">
        <v>9</v>
      </c>
      <c r="I401" t="s">
        <v>358</v>
      </c>
      <c r="J401" t="s">
        <v>793</v>
      </c>
    </row>
    <row r="402" spans="1:10">
      <c r="A402">
        <v>50401</v>
      </c>
      <c r="B402">
        <v>30220</v>
      </c>
      <c r="C402" t="s">
        <v>733</v>
      </c>
      <c r="D402">
        <v>2180</v>
      </c>
      <c r="E402">
        <v>1006</v>
      </c>
      <c r="F402">
        <v>1</v>
      </c>
      <c r="G402" t="s">
        <v>1459</v>
      </c>
      <c r="H402" t="s">
        <v>9</v>
      </c>
      <c r="I402" t="s">
        <v>347</v>
      </c>
      <c r="J402" t="s">
        <v>129</v>
      </c>
    </row>
    <row r="403" spans="1:10">
      <c r="A403">
        <v>50402</v>
      </c>
      <c r="B403">
        <v>30221</v>
      </c>
      <c r="C403" t="s">
        <v>794</v>
      </c>
      <c r="D403">
        <v>2038</v>
      </c>
      <c r="E403">
        <v>1013</v>
      </c>
      <c r="F403">
        <v>1</v>
      </c>
      <c r="G403" t="s">
        <v>1474</v>
      </c>
      <c r="H403" t="s">
        <v>11</v>
      </c>
      <c r="I403" t="s">
        <v>795</v>
      </c>
      <c r="J403" t="s">
        <v>796</v>
      </c>
    </row>
    <row r="404" spans="1:10">
      <c r="A404">
        <v>50403</v>
      </c>
      <c r="B404">
        <v>30222</v>
      </c>
      <c r="C404" t="s">
        <v>647</v>
      </c>
      <c r="D404">
        <v>2508</v>
      </c>
      <c r="E404">
        <v>1010</v>
      </c>
      <c r="F404">
        <v>1</v>
      </c>
      <c r="G404" t="s">
        <v>1468</v>
      </c>
      <c r="H404" t="s">
        <v>9</v>
      </c>
      <c r="I404" t="s">
        <v>69</v>
      </c>
      <c r="J404" t="s">
        <v>638</v>
      </c>
    </row>
    <row r="405" spans="1:10">
      <c r="A405">
        <v>50404</v>
      </c>
      <c r="B405">
        <v>30223</v>
      </c>
      <c r="C405" t="s">
        <v>797</v>
      </c>
      <c r="D405">
        <v>2039</v>
      </c>
      <c r="E405">
        <v>1004</v>
      </c>
      <c r="F405">
        <v>3</v>
      </c>
      <c r="G405" t="s">
        <v>1481</v>
      </c>
      <c r="H405" t="s">
        <v>9</v>
      </c>
      <c r="I405" t="s">
        <v>798</v>
      </c>
      <c r="J405" t="s">
        <v>569</v>
      </c>
    </row>
    <row r="406" spans="1:10">
      <c r="A406">
        <v>50405</v>
      </c>
      <c r="B406">
        <v>30223</v>
      </c>
      <c r="C406" t="s">
        <v>682</v>
      </c>
      <c r="D406">
        <v>2039</v>
      </c>
      <c r="E406">
        <v>1011</v>
      </c>
      <c r="F406">
        <v>2</v>
      </c>
      <c r="G406" t="s">
        <v>1487</v>
      </c>
      <c r="H406" t="s">
        <v>9</v>
      </c>
      <c r="I406" t="s">
        <v>343</v>
      </c>
      <c r="J406" t="s">
        <v>799</v>
      </c>
    </row>
    <row r="407" spans="1:10">
      <c r="A407">
        <v>50406</v>
      </c>
      <c r="B407">
        <v>30224</v>
      </c>
      <c r="C407" t="s">
        <v>672</v>
      </c>
      <c r="D407">
        <v>2292</v>
      </c>
      <c r="E407">
        <v>1016</v>
      </c>
      <c r="F407">
        <v>1</v>
      </c>
      <c r="G407" t="s">
        <v>1465</v>
      </c>
      <c r="H407" t="s">
        <v>9</v>
      </c>
      <c r="I407" t="s">
        <v>800</v>
      </c>
      <c r="J407" t="s">
        <v>801</v>
      </c>
    </row>
    <row r="408" spans="1:10">
      <c r="A408">
        <v>50407</v>
      </c>
      <c r="B408">
        <v>30224</v>
      </c>
      <c r="C408" t="s">
        <v>519</v>
      </c>
      <c r="D408">
        <v>2292</v>
      </c>
      <c r="E408">
        <v>1005</v>
      </c>
      <c r="F408">
        <v>1</v>
      </c>
      <c r="G408" t="s">
        <v>1421</v>
      </c>
      <c r="H408" t="s">
        <v>9</v>
      </c>
      <c r="I408" t="s">
        <v>802</v>
      </c>
      <c r="J408" t="s">
        <v>803</v>
      </c>
    </row>
    <row r="409" spans="1:10">
      <c r="A409">
        <v>50408</v>
      </c>
      <c r="B409">
        <v>30224</v>
      </c>
      <c r="C409" t="s">
        <v>804</v>
      </c>
      <c r="D409">
        <v>2292</v>
      </c>
      <c r="E409">
        <v>1015</v>
      </c>
      <c r="F409">
        <v>4</v>
      </c>
      <c r="G409" t="s">
        <v>1521</v>
      </c>
      <c r="H409" t="s">
        <v>9</v>
      </c>
      <c r="I409" t="s">
        <v>503</v>
      </c>
      <c r="J409" t="s">
        <v>464</v>
      </c>
    </row>
    <row r="410" spans="1:10">
      <c r="A410">
        <v>50409</v>
      </c>
      <c r="B410">
        <v>30224</v>
      </c>
      <c r="C410" t="s">
        <v>450</v>
      </c>
      <c r="D410">
        <v>2292</v>
      </c>
      <c r="E410">
        <v>1009</v>
      </c>
      <c r="F410">
        <v>1</v>
      </c>
      <c r="G410" t="s">
        <v>1421</v>
      </c>
      <c r="H410" t="s">
        <v>9</v>
      </c>
      <c r="I410" t="s">
        <v>805</v>
      </c>
      <c r="J410" t="s">
        <v>806</v>
      </c>
    </row>
    <row r="411" spans="1:10">
      <c r="A411">
        <v>50410</v>
      </c>
      <c r="B411">
        <v>30225</v>
      </c>
      <c r="C411" t="s">
        <v>807</v>
      </c>
      <c r="D411">
        <v>2198</v>
      </c>
      <c r="E411">
        <v>1011</v>
      </c>
      <c r="F411">
        <v>1</v>
      </c>
      <c r="G411" t="s">
        <v>1472</v>
      </c>
      <c r="H411" t="s">
        <v>16</v>
      </c>
      <c r="I411" t="s">
        <v>808</v>
      </c>
      <c r="J411" t="s">
        <v>1421</v>
      </c>
    </row>
    <row r="412" spans="1:10">
      <c r="A412">
        <v>50411</v>
      </c>
      <c r="B412">
        <v>30225</v>
      </c>
      <c r="C412" t="s">
        <v>809</v>
      </c>
      <c r="D412">
        <v>2198</v>
      </c>
      <c r="E412">
        <v>1015</v>
      </c>
      <c r="F412">
        <v>2</v>
      </c>
      <c r="G412" t="s">
        <v>1488</v>
      </c>
      <c r="H412" t="s">
        <v>16</v>
      </c>
      <c r="I412" t="s">
        <v>1421</v>
      </c>
      <c r="J412" t="s">
        <v>1421</v>
      </c>
    </row>
    <row r="413" spans="1:10">
      <c r="A413">
        <v>50412</v>
      </c>
      <c r="B413">
        <v>30226</v>
      </c>
      <c r="C413" t="s">
        <v>810</v>
      </c>
      <c r="D413">
        <v>2191</v>
      </c>
      <c r="E413">
        <v>1011</v>
      </c>
      <c r="F413">
        <v>3</v>
      </c>
      <c r="G413" t="s">
        <v>1454</v>
      </c>
      <c r="H413" t="s">
        <v>9</v>
      </c>
      <c r="I413" t="s">
        <v>708</v>
      </c>
      <c r="J413" t="s">
        <v>110</v>
      </c>
    </row>
    <row r="414" spans="1:10">
      <c r="A414">
        <v>50413</v>
      </c>
      <c r="B414">
        <v>30227</v>
      </c>
      <c r="C414" t="s">
        <v>56</v>
      </c>
      <c r="D414">
        <v>2303</v>
      </c>
      <c r="E414">
        <v>1007</v>
      </c>
      <c r="F414">
        <v>1</v>
      </c>
      <c r="G414" t="s">
        <v>1453</v>
      </c>
      <c r="H414" t="s">
        <v>9</v>
      </c>
      <c r="I414" t="s">
        <v>292</v>
      </c>
      <c r="J414" t="s">
        <v>811</v>
      </c>
    </row>
    <row r="415" spans="1:10">
      <c r="A415">
        <v>50414</v>
      </c>
      <c r="B415">
        <v>30227</v>
      </c>
      <c r="C415" t="s">
        <v>290</v>
      </c>
      <c r="D415">
        <v>2303</v>
      </c>
      <c r="E415">
        <v>1006</v>
      </c>
      <c r="F415">
        <v>2</v>
      </c>
      <c r="G415" t="s">
        <v>1501</v>
      </c>
      <c r="H415" t="s">
        <v>9</v>
      </c>
      <c r="I415" t="s">
        <v>779</v>
      </c>
      <c r="J415" t="s">
        <v>477</v>
      </c>
    </row>
    <row r="416" spans="1:10">
      <c r="A416">
        <v>50415</v>
      </c>
      <c r="B416">
        <v>30228</v>
      </c>
      <c r="C416" t="s">
        <v>812</v>
      </c>
      <c r="D416">
        <v>2416</v>
      </c>
      <c r="E416">
        <v>1011</v>
      </c>
      <c r="F416">
        <v>1</v>
      </c>
      <c r="G416" t="s">
        <v>1472</v>
      </c>
      <c r="H416" t="s">
        <v>16</v>
      </c>
      <c r="I416" t="s">
        <v>813</v>
      </c>
      <c r="J416" t="s">
        <v>1421</v>
      </c>
    </row>
    <row r="417" spans="1:10">
      <c r="A417">
        <v>50416</v>
      </c>
      <c r="B417">
        <v>30228</v>
      </c>
      <c r="C417" t="s">
        <v>812</v>
      </c>
      <c r="D417">
        <v>2416</v>
      </c>
      <c r="E417">
        <v>1004</v>
      </c>
      <c r="F417">
        <v>2</v>
      </c>
      <c r="G417" t="s">
        <v>1476</v>
      </c>
      <c r="H417" t="s">
        <v>16</v>
      </c>
      <c r="I417" t="s">
        <v>509</v>
      </c>
      <c r="J417" t="s">
        <v>1421</v>
      </c>
    </row>
    <row r="418" spans="1:10">
      <c r="A418">
        <v>50417</v>
      </c>
      <c r="B418">
        <v>30228</v>
      </c>
      <c r="C418" t="s">
        <v>812</v>
      </c>
      <c r="D418">
        <v>2416</v>
      </c>
      <c r="E418">
        <v>1005</v>
      </c>
      <c r="F418">
        <v>4</v>
      </c>
      <c r="G418" t="s">
        <v>1480</v>
      </c>
      <c r="H418" t="s">
        <v>16</v>
      </c>
      <c r="I418" t="s">
        <v>1421</v>
      </c>
      <c r="J418" t="s">
        <v>1421</v>
      </c>
    </row>
    <row r="419" spans="1:10">
      <c r="A419">
        <v>50418</v>
      </c>
      <c r="B419">
        <v>30228</v>
      </c>
      <c r="C419" t="s">
        <v>436</v>
      </c>
      <c r="D419">
        <v>2416</v>
      </c>
      <c r="E419">
        <v>1008</v>
      </c>
      <c r="F419">
        <v>1</v>
      </c>
      <c r="G419" t="s">
        <v>1447</v>
      </c>
      <c r="H419" t="s">
        <v>16</v>
      </c>
      <c r="I419" t="s">
        <v>814</v>
      </c>
      <c r="J419" t="s">
        <v>1421</v>
      </c>
    </row>
    <row r="420" spans="1:10">
      <c r="A420">
        <v>50419</v>
      </c>
      <c r="B420">
        <v>30229</v>
      </c>
      <c r="C420" t="s">
        <v>130</v>
      </c>
      <c r="D420">
        <v>2393</v>
      </c>
      <c r="E420">
        <v>1009</v>
      </c>
      <c r="F420">
        <v>1</v>
      </c>
      <c r="G420" t="s">
        <v>1473</v>
      </c>
      <c r="H420" t="s">
        <v>9</v>
      </c>
      <c r="I420" t="s">
        <v>815</v>
      </c>
      <c r="J420" t="s">
        <v>118</v>
      </c>
    </row>
    <row r="421" spans="1:10">
      <c r="A421">
        <v>50420</v>
      </c>
      <c r="B421">
        <v>30230</v>
      </c>
      <c r="C421" t="s">
        <v>816</v>
      </c>
      <c r="D421">
        <v>2338</v>
      </c>
      <c r="E421">
        <v>1001</v>
      </c>
      <c r="F421">
        <v>3</v>
      </c>
      <c r="G421" t="s">
        <v>1515</v>
      </c>
      <c r="H421" t="s">
        <v>1462</v>
      </c>
      <c r="I421" t="s">
        <v>784</v>
      </c>
      <c r="J421" t="s">
        <v>817</v>
      </c>
    </row>
    <row r="422" spans="1:10">
      <c r="A422">
        <v>50421</v>
      </c>
      <c r="B422">
        <v>30230</v>
      </c>
      <c r="C422" t="s">
        <v>281</v>
      </c>
      <c r="D422">
        <v>2338</v>
      </c>
      <c r="E422">
        <v>1009</v>
      </c>
      <c r="F422">
        <v>1</v>
      </c>
      <c r="G422" t="s">
        <v>1473</v>
      </c>
      <c r="H422" t="s">
        <v>9</v>
      </c>
      <c r="I422" t="s">
        <v>355</v>
      </c>
      <c r="J422" t="s">
        <v>357</v>
      </c>
    </row>
    <row r="423" spans="1:10">
      <c r="A423">
        <v>50422</v>
      </c>
      <c r="B423">
        <v>30231</v>
      </c>
      <c r="C423" t="s">
        <v>340</v>
      </c>
      <c r="D423">
        <v>2369</v>
      </c>
      <c r="E423">
        <v>1002</v>
      </c>
      <c r="F423">
        <v>2</v>
      </c>
      <c r="G423" t="s">
        <v>1482</v>
      </c>
      <c r="H423" t="s">
        <v>9</v>
      </c>
      <c r="I423" t="s">
        <v>34</v>
      </c>
      <c r="J423" t="s">
        <v>818</v>
      </c>
    </row>
    <row r="424" spans="1:10">
      <c r="A424">
        <v>50423</v>
      </c>
      <c r="B424">
        <v>30231</v>
      </c>
      <c r="C424" t="s">
        <v>340</v>
      </c>
      <c r="D424">
        <v>2369</v>
      </c>
      <c r="E424">
        <v>1004</v>
      </c>
      <c r="F424">
        <v>3</v>
      </c>
      <c r="G424" t="s">
        <v>1481</v>
      </c>
      <c r="H424" t="s">
        <v>9</v>
      </c>
      <c r="I424" t="s">
        <v>819</v>
      </c>
      <c r="J424" t="s">
        <v>736</v>
      </c>
    </row>
    <row r="425" spans="1:10">
      <c r="A425">
        <v>50424</v>
      </c>
      <c r="B425">
        <v>30232</v>
      </c>
      <c r="C425" t="s">
        <v>583</v>
      </c>
      <c r="D425">
        <v>2477</v>
      </c>
      <c r="E425">
        <v>1013</v>
      </c>
      <c r="F425">
        <v>1</v>
      </c>
      <c r="G425" t="s">
        <v>1474</v>
      </c>
      <c r="H425" t="s">
        <v>9</v>
      </c>
      <c r="I425" t="s">
        <v>274</v>
      </c>
      <c r="J425" t="s">
        <v>595</v>
      </c>
    </row>
    <row r="426" spans="1:10">
      <c r="A426">
        <v>50425</v>
      </c>
      <c r="B426">
        <v>30233</v>
      </c>
      <c r="C426" t="s">
        <v>820</v>
      </c>
      <c r="D426">
        <v>2515</v>
      </c>
      <c r="E426">
        <v>1010</v>
      </c>
      <c r="F426">
        <v>1</v>
      </c>
      <c r="G426" t="s">
        <v>1468</v>
      </c>
      <c r="H426" t="s">
        <v>12</v>
      </c>
      <c r="I426" t="s">
        <v>1421</v>
      </c>
      <c r="J426" t="s">
        <v>1421</v>
      </c>
    </row>
    <row r="427" spans="1:10">
      <c r="A427">
        <v>50426</v>
      </c>
      <c r="B427">
        <v>30234</v>
      </c>
      <c r="C427" t="s">
        <v>821</v>
      </c>
      <c r="D427">
        <v>2121</v>
      </c>
      <c r="E427">
        <v>1010</v>
      </c>
      <c r="F427">
        <v>2</v>
      </c>
      <c r="G427" t="s">
        <v>1483</v>
      </c>
      <c r="H427" t="s">
        <v>9</v>
      </c>
      <c r="I427" t="s">
        <v>822</v>
      </c>
      <c r="J427" t="s">
        <v>823</v>
      </c>
    </row>
    <row r="428" spans="1:10">
      <c r="A428">
        <v>50427</v>
      </c>
      <c r="B428">
        <v>30235</v>
      </c>
      <c r="C428" t="s">
        <v>44</v>
      </c>
      <c r="D428">
        <v>2377</v>
      </c>
      <c r="E428">
        <v>1008</v>
      </c>
      <c r="F428">
        <v>3</v>
      </c>
      <c r="G428" t="s">
        <v>1491</v>
      </c>
      <c r="H428" t="s">
        <v>9</v>
      </c>
      <c r="I428" t="s">
        <v>653</v>
      </c>
      <c r="J428" t="s">
        <v>656</v>
      </c>
    </row>
    <row r="429" spans="1:10">
      <c r="A429">
        <v>50428</v>
      </c>
      <c r="B429">
        <v>30235</v>
      </c>
      <c r="C429" t="s">
        <v>824</v>
      </c>
      <c r="D429">
        <v>2377</v>
      </c>
      <c r="E429">
        <v>1005</v>
      </c>
      <c r="F429">
        <v>1</v>
      </c>
      <c r="G429" t="s">
        <v>1456</v>
      </c>
      <c r="H429" t="s">
        <v>9</v>
      </c>
      <c r="I429" t="s">
        <v>94</v>
      </c>
      <c r="J429" t="s">
        <v>418</v>
      </c>
    </row>
    <row r="430" spans="1:10">
      <c r="A430">
        <v>50429</v>
      </c>
      <c r="B430">
        <v>30236</v>
      </c>
      <c r="C430" t="s">
        <v>461</v>
      </c>
      <c r="D430">
        <v>2490</v>
      </c>
      <c r="E430">
        <v>1012</v>
      </c>
      <c r="F430">
        <v>3</v>
      </c>
      <c r="G430" t="s">
        <v>1448</v>
      </c>
      <c r="H430" t="s">
        <v>9</v>
      </c>
      <c r="I430" t="s">
        <v>592</v>
      </c>
      <c r="J430" t="s">
        <v>413</v>
      </c>
    </row>
    <row r="431" spans="1:10">
      <c r="A431">
        <v>50430</v>
      </c>
      <c r="B431">
        <v>30236</v>
      </c>
      <c r="C431" t="s">
        <v>612</v>
      </c>
      <c r="D431">
        <v>2490</v>
      </c>
      <c r="E431">
        <v>1014</v>
      </c>
      <c r="F431">
        <v>1</v>
      </c>
      <c r="G431" t="s">
        <v>1463</v>
      </c>
      <c r="H431" t="s">
        <v>9</v>
      </c>
      <c r="I431" t="s">
        <v>825</v>
      </c>
      <c r="J431" t="s">
        <v>775</v>
      </c>
    </row>
    <row r="432" spans="1:10">
      <c r="A432">
        <v>50431</v>
      </c>
      <c r="B432">
        <v>30237</v>
      </c>
      <c r="C432" t="s">
        <v>826</v>
      </c>
      <c r="D432">
        <v>2563</v>
      </c>
      <c r="E432">
        <v>1007</v>
      </c>
      <c r="F432">
        <v>2</v>
      </c>
      <c r="G432" t="s">
        <v>1455</v>
      </c>
      <c r="H432" t="s">
        <v>12</v>
      </c>
      <c r="I432" t="s">
        <v>1421</v>
      </c>
      <c r="J432" t="s">
        <v>1421</v>
      </c>
    </row>
    <row r="433" spans="1:10">
      <c r="A433">
        <v>50432</v>
      </c>
      <c r="B433">
        <v>30238</v>
      </c>
      <c r="C433" t="s">
        <v>13</v>
      </c>
      <c r="D433">
        <v>2254</v>
      </c>
      <c r="E433">
        <v>1003</v>
      </c>
      <c r="F433">
        <v>1</v>
      </c>
      <c r="G433" t="s">
        <v>1471</v>
      </c>
      <c r="H433" t="s">
        <v>9</v>
      </c>
      <c r="I433" t="s">
        <v>827</v>
      </c>
      <c r="J433" t="s">
        <v>828</v>
      </c>
    </row>
    <row r="434" spans="1:10">
      <c r="A434">
        <v>50433</v>
      </c>
      <c r="B434">
        <v>30238</v>
      </c>
      <c r="C434" t="s">
        <v>829</v>
      </c>
      <c r="D434">
        <v>2254</v>
      </c>
      <c r="E434">
        <v>1015</v>
      </c>
      <c r="F434">
        <v>1</v>
      </c>
      <c r="G434" t="s">
        <v>1478</v>
      </c>
      <c r="H434" t="s">
        <v>9</v>
      </c>
      <c r="I434" t="s">
        <v>827</v>
      </c>
      <c r="J434" t="s">
        <v>131</v>
      </c>
    </row>
    <row r="435" spans="1:10">
      <c r="A435">
        <v>50434</v>
      </c>
      <c r="B435">
        <v>30239</v>
      </c>
      <c r="C435" t="s">
        <v>830</v>
      </c>
      <c r="D435">
        <v>2541</v>
      </c>
      <c r="E435">
        <v>1003</v>
      </c>
      <c r="F435">
        <v>1</v>
      </c>
      <c r="G435" t="s">
        <v>1471</v>
      </c>
      <c r="H435" t="s">
        <v>1495</v>
      </c>
      <c r="I435" t="s">
        <v>831</v>
      </c>
      <c r="J435" t="s">
        <v>537</v>
      </c>
    </row>
    <row r="436" spans="1:10">
      <c r="A436">
        <v>50435</v>
      </c>
      <c r="B436">
        <v>30239</v>
      </c>
      <c r="C436" t="s">
        <v>832</v>
      </c>
      <c r="D436">
        <v>2541</v>
      </c>
      <c r="E436">
        <v>1004</v>
      </c>
      <c r="F436">
        <v>1</v>
      </c>
      <c r="G436" t="s">
        <v>1452</v>
      </c>
      <c r="H436" t="s">
        <v>9</v>
      </c>
      <c r="I436" t="s">
        <v>132</v>
      </c>
      <c r="J436" t="s">
        <v>107</v>
      </c>
    </row>
    <row r="437" spans="1:10">
      <c r="A437">
        <v>50436</v>
      </c>
      <c r="B437">
        <v>30240</v>
      </c>
      <c r="C437" t="s">
        <v>833</v>
      </c>
      <c r="D437">
        <v>2064</v>
      </c>
      <c r="E437">
        <v>1007</v>
      </c>
      <c r="F437">
        <v>5</v>
      </c>
      <c r="G437" t="s">
        <v>1510</v>
      </c>
      <c r="H437" t="s">
        <v>16</v>
      </c>
      <c r="I437" t="s">
        <v>1421</v>
      </c>
      <c r="J437" t="s">
        <v>1421</v>
      </c>
    </row>
    <row r="438" spans="1:10">
      <c r="A438">
        <v>50437</v>
      </c>
      <c r="B438">
        <v>30241</v>
      </c>
      <c r="C438" t="s">
        <v>834</v>
      </c>
      <c r="D438">
        <v>2154</v>
      </c>
      <c r="E438">
        <v>1015</v>
      </c>
      <c r="F438">
        <v>2</v>
      </c>
      <c r="G438" t="s">
        <v>1488</v>
      </c>
      <c r="H438" t="s">
        <v>9</v>
      </c>
      <c r="I438" t="s">
        <v>778</v>
      </c>
      <c r="J438" t="s">
        <v>511</v>
      </c>
    </row>
    <row r="439" spans="1:10">
      <c r="A439">
        <v>50438</v>
      </c>
      <c r="B439">
        <v>30242</v>
      </c>
      <c r="C439" t="s">
        <v>835</v>
      </c>
      <c r="D439">
        <v>2120</v>
      </c>
      <c r="E439">
        <v>1016</v>
      </c>
      <c r="F439">
        <v>4</v>
      </c>
      <c r="G439" t="s">
        <v>1522</v>
      </c>
      <c r="H439" t="s">
        <v>9</v>
      </c>
      <c r="I439" t="s">
        <v>413</v>
      </c>
      <c r="J439" t="s">
        <v>836</v>
      </c>
    </row>
    <row r="440" spans="1:10">
      <c r="A440">
        <v>50439</v>
      </c>
      <c r="B440">
        <v>30242</v>
      </c>
      <c r="C440" t="s">
        <v>519</v>
      </c>
      <c r="D440">
        <v>2120</v>
      </c>
      <c r="E440">
        <v>1003</v>
      </c>
      <c r="F440">
        <v>1</v>
      </c>
      <c r="G440" t="s">
        <v>1471</v>
      </c>
      <c r="H440" t="s">
        <v>9</v>
      </c>
      <c r="I440" t="s">
        <v>374</v>
      </c>
      <c r="J440" t="s">
        <v>837</v>
      </c>
    </row>
    <row r="441" spans="1:10">
      <c r="A441">
        <v>50440</v>
      </c>
      <c r="B441">
        <v>30242</v>
      </c>
      <c r="C441" t="s">
        <v>452</v>
      </c>
      <c r="D441">
        <v>2120</v>
      </c>
      <c r="E441">
        <v>1015</v>
      </c>
      <c r="F441">
        <v>2</v>
      </c>
      <c r="G441" t="s">
        <v>1488</v>
      </c>
      <c r="H441" t="s">
        <v>9</v>
      </c>
      <c r="I441" t="s">
        <v>694</v>
      </c>
      <c r="J441" t="s">
        <v>428</v>
      </c>
    </row>
    <row r="442" spans="1:10">
      <c r="A442">
        <v>50441</v>
      </c>
      <c r="B442">
        <v>30243</v>
      </c>
      <c r="C442" t="s">
        <v>645</v>
      </c>
      <c r="D442">
        <v>2057</v>
      </c>
      <c r="E442">
        <v>1014</v>
      </c>
      <c r="F442">
        <v>1</v>
      </c>
      <c r="G442" t="s">
        <v>1463</v>
      </c>
      <c r="H442" t="s">
        <v>9</v>
      </c>
      <c r="I442" t="s">
        <v>133</v>
      </c>
      <c r="J442" t="s">
        <v>838</v>
      </c>
    </row>
    <row r="443" spans="1:10">
      <c r="A443">
        <v>50442</v>
      </c>
      <c r="B443">
        <v>30243</v>
      </c>
      <c r="C443" t="s">
        <v>126</v>
      </c>
      <c r="D443">
        <v>2057</v>
      </c>
      <c r="E443">
        <v>1015</v>
      </c>
      <c r="F443">
        <v>3</v>
      </c>
      <c r="G443" t="s">
        <v>1470</v>
      </c>
      <c r="H443" t="s">
        <v>9</v>
      </c>
      <c r="I443" t="s">
        <v>839</v>
      </c>
      <c r="J443" t="s">
        <v>540</v>
      </c>
    </row>
    <row r="444" spans="1:10">
      <c r="A444">
        <v>50443</v>
      </c>
      <c r="B444">
        <v>30244</v>
      </c>
      <c r="C444" t="s">
        <v>840</v>
      </c>
      <c r="D444">
        <v>2578</v>
      </c>
      <c r="E444">
        <v>1015</v>
      </c>
      <c r="F444">
        <v>2</v>
      </c>
      <c r="G444" t="s">
        <v>1488</v>
      </c>
      <c r="H444" t="s">
        <v>9</v>
      </c>
      <c r="I444" t="s">
        <v>22</v>
      </c>
      <c r="J444" t="s">
        <v>841</v>
      </c>
    </row>
    <row r="445" spans="1:10">
      <c r="A445">
        <v>50444</v>
      </c>
      <c r="B445">
        <v>30245</v>
      </c>
      <c r="C445" t="s">
        <v>757</v>
      </c>
      <c r="D445">
        <v>2316</v>
      </c>
      <c r="E445">
        <v>1013</v>
      </c>
      <c r="F445">
        <v>1</v>
      </c>
      <c r="G445" t="s">
        <v>1474</v>
      </c>
      <c r="H445" t="s">
        <v>9</v>
      </c>
      <c r="I445" t="s">
        <v>842</v>
      </c>
      <c r="J445" t="s">
        <v>327</v>
      </c>
    </row>
    <row r="446" spans="1:10">
      <c r="A446">
        <v>50445</v>
      </c>
      <c r="B446">
        <v>30246</v>
      </c>
      <c r="C446" t="s">
        <v>304</v>
      </c>
      <c r="D446">
        <v>2261</v>
      </c>
      <c r="E446">
        <v>1007</v>
      </c>
      <c r="F446">
        <v>1</v>
      </c>
      <c r="G446" t="s">
        <v>1453</v>
      </c>
      <c r="H446" t="s">
        <v>16</v>
      </c>
      <c r="I446" t="s">
        <v>1421</v>
      </c>
      <c r="J446" t="s">
        <v>1421</v>
      </c>
    </row>
    <row r="447" spans="1:10">
      <c r="A447">
        <v>50446</v>
      </c>
      <c r="B447">
        <v>30246</v>
      </c>
      <c r="C447" t="s">
        <v>843</v>
      </c>
      <c r="D447">
        <v>2261</v>
      </c>
      <c r="E447">
        <v>1002</v>
      </c>
      <c r="F447">
        <v>1</v>
      </c>
      <c r="G447" t="s">
        <v>1466</v>
      </c>
      <c r="H447" t="s">
        <v>16</v>
      </c>
      <c r="I447" t="s">
        <v>1421</v>
      </c>
      <c r="J447" t="s">
        <v>1421</v>
      </c>
    </row>
    <row r="448" spans="1:10">
      <c r="A448">
        <v>50447</v>
      </c>
      <c r="B448">
        <v>30247</v>
      </c>
      <c r="C448" t="s">
        <v>631</v>
      </c>
      <c r="D448">
        <v>2066</v>
      </c>
      <c r="E448">
        <v>1002</v>
      </c>
      <c r="F448">
        <v>1</v>
      </c>
      <c r="G448" t="s">
        <v>1466</v>
      </c>
      <c r="H448" t="s">
        <v>9</v>
      </c>
      <c r="I448" t="s">
        <v>844</v>
      </c>
      <c r="J448" t="s">
        <v>845</v>
      </c>
    </row>
    <row r="449" spans="1:10">
      <c r="A449">
        <v>50448</v>
      </c>
      <c r="B449">
        <v>30247</v>
      </c>
      <c r="C449" t="s">
        <v>121</v>
      </c>
      <c r="D449">
        <v>2066</v>
      </c>
      <c r="E449">
        <v>1003</v>
      </c>
      <c r="F449">
        <v>2</v>
      </c>
      <c r="G449" t="s">
        <v>1464</v>
      </c>
      <c r="H449" t="s">
        <v>1495</v>
      </c>
      <c r="I449" t="s">
        <v>722</v>
      </c>
      <c r="J449" t="s">
        <v>846</v>
      </c>
    </row>
    <row r="450" spans="1:10">
      <c r="A450">
        <v>50449</v>
      </c>
      <c r="B450">
        <v>30248</v>
      </c>
      <c r="C450" t="s">
        <v>740</v>
      </c>
      <c r="D450">
        <v>2484</v>
      </c>
      <c r="E450">
        <v>1014</v>
      </c>
      <c r="F450">
        <v>3</v>
      </c>
      <c r="G450" t="s">
        <v>1505</v>
      </c>
      <c r="H450" t="s">
        <v>9</v>
      </c>
      <c r="I450" t="s">
        <v>441</v>
      </c>
      <c r="J450" t="s">
        <v>259</v>
      </c>
    </row>
    <row r="451" spans="1:10">
      <c r="A451">
        <v>50450</v>
      </c>
      <c r="B451">
        <v>30249</v>
      </c>
      <c r="C451" t="s">
        <v>77</v>
      </c>
      <c r="D451">
        <v>2185</v>
      </c>
      <c r="E451">
        <v>1014</v>
      </c>
      <c r="F451">
        <v>3</v>
      </c>
      <c r="G451" t="s">
        <v>1505</v>
      </c>
      <c r="H451" t="s">
        <v>16</v>
      </c>
      <c r="I451" t="s">
        <v>1421</v>
      </c>
      <c r="J451" t="s">
        <v>1421</v>
      </c>
    </row>
    <row r="452" spans="1:10">
      <c r="A452">
        <v>50451</v>
      </c>
      <c r="B452">
        <v>30250</v>
      </c>
      <c r="C452" t="s">
        <v>678</v>
      </c>
      <c r="D452">
        <v>2392</v>
      </c>
      <c r="E452">
        <v>1013</v>
      </c>
      <c r="F452">
        <v>4</v>
      </c>
      <c r="G452" t="s">
        <v>1523</v>
      </c>
      <c r="H452" t="s">
        <v>9</v>
      </c>
      <c r="I452" t="s">
        <v>518</v>
      </c>
      <c r="J452" t="s">
        <v>847</v>
      </c>
    </row>
    <row r="453" spans="1:10">
      <c r="A453">
        <v>50452</v>
      </c>
      <c r="B453">
        <v>30251</v>
      </c>
      <c r="C453" t="s">
        <v>848</v>
      </c>
      <c r="D453">
        <v>2385</v>
      </c>
      <c r="E453">
        <v>1005</v>
      </c>
      <c r="F453">
        <v>2</v>
      </c>
      <c r="G453" t="s">
        <v>1458</v>
      </c>
      <c r="H453" t="s">
        <v>9</v>
      </c>
      <c r="I453" t="s">
        <v>849</v>
      </c>
      <c r="J453" t="s">
        <v>850</v>
      </c>
    </row>
    <row r="454" spans="1:10">
      <c r="A454">
        <v>50453</v>
      </c>
      <c r="B454">
        <v>30252</v>
      </c>
      <c r="C454" t="s">
        <v>851</v>
      </c>
      <c r="D454">
        <v>2357</v>
      </c>
      <c r="E454">
        <v>1013</v>
      </c>
      <c r="F454">
        <v>1</v>
      </c>
      <c r="G454" t="s">
        <v>1474</v>
      </c>
      <c r="H454" t="s">
        <v>9</v>
      </c>
      <c r="I454" t="s">
        <v>404</v>
      </c>
      <c r="J454" t="s">
        <v>340</v>
      </c>
    </row>
    <row r="455" spans="1:10">
      <c r="A455">
        <v>50454</v>
      </c>
      <c r="B455">
        <v>30253</v>
      </c>
      <c r="C455" t="s">
        <v>852</v>
      </c>
      <c r="D455">
        <v>2542</v>
      </c>
      <c r="E455">
        <v>1008</v>
      </c>
      <c r="F455">
        <v>1</v>
      </c>
      <c r="G455" t="s">
        <v>1447</v>
      </c>
      <c r="H455" t="s">
        <v>9</v>
      </c>
      <c r="I455" t="s">
        <v>830</v>
      </c>
      <c r="J455" t="s">
        <v>853</v>
      </c>
    </row>
    <row r="456" spans="1:10">
      <c r="A456">
        <v>50455</v>
      </c>
      <c r="B456">
        <v>30254</v>
      </c>
      <c r="C456" t="s">
        <v>599</v>
      </c>
      <c r="D456">
        <v>2004</v>
      </c>
      <c r="E456">
        <v>1010</v>
      </c>
      <c r="F456">
        <v>1</v>
      </c>
      <c r="G456" t="s">
        <v>1468</v>
      </c>
      <c r="H456" t="s">
        <v>9</v>
      </c>
      <c r="I456" t="s">
        <v>438</v>
      </c>
      <c r="J456" t="s">
        <v>854</v>
      </c>
    </row>
    <row r="457" spans="1:10">
      <c r="A457">
        <v>50456</v>
      </c>
      <c r="B457">
        <v>30255</v>
      </c>
      <c r="C457" t="s">
        <v>657</v>
      </c>
      <c r="D457">
        <v>2475</v>
      </c>
      <c r="E457">
        <v>1014</v>
      </c>
      <c r="F457">
        <v>1</v>
      </c>
      <c r="G457" t="s">
        <v>1463</v>
      </c>
      <c r="H457" t="s">
        <v>9</v>
      </c>
      <c r="I457" t="s">
        <v>764</v>
      </c>
      <c r="J457" t="s">
        <v>855</v>
      </c>
    </row>
    <row r="458" spans="1:10">
      <c r="A458">
        <v>50457</v>
      </c>
      <c r="B458">
        <v>30256</v>
      </c>
      <c r="C458" t="s">
        <v>539</v>
      </c>
      <c r="D458">
        <v>2545</v>
      </c>
      <c r="E458">
        <v>1008</v>
      </c>
      <c r="F458">
        <v>4</v>
      </c>
      <c r="G458" t="s">
        <v>1503</v>
      </c>
      <c r="H458" t="s">
        <v>9</v>
      </c>
      <c r="I458" t="s">
        <v>856</v>
      </c>
      <c r="J458" t="s">
        <v>281</v>
      </c>
    </row>
    <row r="459" spans="1:10">
      <c r="A459">
        <v>50458</v>
      </c>
      <c r="B459">
        <v>30256</v>
      </c>
      <c r="C459" t="s">
        <v>857</v>
      </c>
      <c r="D459">
        <v>2545</v>
      </c>
      <c r="E459">
        <v>1008</v>
      </c>
      <c r="F459">
        <v>1</v>
      </c>
      <c r="G459" t="s">
        <v>1447</v>
      </c>
      <c r="H459" t="s">
        <v>1495</v>
      </c>
      <c r="I459" t="s">
        <v>858</v>
      </c>
      <c r="J459" t="s">
        <v>859</v>
      </c>
    </row>
    <row r="460" spans="1:10">
      <c r="A460">
        <v>50459</v>
      </c>
      <c r="B460">
        <v>30256</v>
      </c>
      <c r="C460" t="s">
        <v>860</v>
      </c>
      <c r="D460">
        <v>2545</v>
      </c>
      <c r="E460">
        <v>1015</v>
      </c>
      <c r="F460">
        <v>2</v>
      </c>
      <c r="G460" t="s">
        <v>1488</v>
      </c>
      <c r="H460" t="s">
        <v>9</v>
      </c>
      <c r="I460" t="s">
        <v>861</v>
      </c>
      <c r="J460" t="s">
        <v>468</v>
      </c>
    </row>
    <row r="461" spans="1:10">
      <c r="A461">
        <v>50460</v>
      </c>
      <c r="B461">
        <v>30257</v>
      </c>
      <c r="C461" t="s">
        <v>134</v>
      </c>
      <c r="D461">
        <v>2355</v>
      </c>
      <c r="E461">
        <v>1007</v>
      </c>
      <c r="F461">
        <v>2</v>
      </c>
      <c r="G461" t="s">
        <v>1455</v>
      </c>
      <c r="H461" t="s">
        <v>9</v>
      </c>
      <c r="I461" t="s">
        <v>862</v>
      </c>
      <c r="J461" t="s">
        <v>476</v>
      </c>
    </row>
    <row r="462" spans="1:10">
      <c r="A462">
        <v>50461</v>
      </c>
      <c r="B462">
        <v>30257</v>
      </c>
      <c r="C462" t="s">
        <v>503</v>
      </c>
      <c r="D462">
        <v>2355</v>
      </c>
      <c r="E462">
        <v>1004</v>
      </c>
      <c r="F462">
        <v>1</v>
      </c>
      <c r="G462" t="s">
        <v>1452</v>
      </c>
      <c r="H462" t="s">
        <v>9</v>
      </c>
      <c r="I462" t="s">
        <v>805</v>
      </c>
      <c r="J462" t="s">
        <v>806</v>
      </c>
    </row>
    <row r="463" spans="1:10">
      <c r="A463">
        <v>50462</v>
      </c>
      <c r="B463">
        <v>30257</v>
      </c>
      <c r="C463" t="s">
        <v>431</v>
      </c>
      <c r="D463">
        <v>2355</v>
      </c>
      <c r="E463">
        <v>1002</v>
      </c>
      <c r="F463">
        <v>1</v>
      </c>
      <c r="G463" t="s">
        <v>1466</v>
      </c>
      <c r="H463" t="s">
        <v>9</v>
      </c>
      <c r="I463" t="s">
        <v>863</v>
      </c>
      <c r="J463" t="s">
        <v>807</v>
      </c>
    </row>
    <row r="464" spans="1:10">
      <c r="A464">
        <v>50463</v>
      </c>
      <c r="B464">
        <v>30258</v>
      </c>
      <c r="C464" t="s">
        <v>864</v>
      </c>
      <c r="D464">
        <v>2430</v>
      </c>
      <c r="E464">
        <v>1001</v>
      </c>
      <c r="F464">
        <v>1</v>
      </c>
      <c r="G464" t="s">
        <v>1469</v>
      </c>
      <c r="H464" t="s">
        <v>9</v>
      </c>
      <c r="I464" t="s">
        <v>765</v>
      </c>
      <c r="J464" t="s">
        <v>439</v>
      </c>
    </row>
    <row r="465" spans="1:10">
      <c r="A465">
        <v>50464</v>
      </c>
      <c r="B465">
        <v>30258</v>
      </c>
      <c r="C465" t="s">
        <v>864</v>
      </c>
      <c r="D465">
        <v>2430</v>
      </c>
      <c r="E465">
        <v>1008</v>
      </c>
      <c r="F465">
        <v>1</v>
      </c>
      <c r="G465" t="s">
        <v>1447</v>
      </c>
      <c r="H465" t="s">
        <v>9</v>
      </c>
      <c r="I465" t="s">
        <v>850</v>
      </c>
      <c r="J465" t="s">
        <v>279</v>
      </c>
    </row>
    <row r="466" spans="1:10">
      <c r="A466">
        <v>50465</v>
      </c>
      <c r="B466">
        <v>30258</v>
      </c>
      <c r="C466" t="s">
        <v>864</v>
      </c>
      <c r="D466">
        <v>2430</v>
      </c>
      <c r="E466">
        <v>1007</v>
      </c>
      <c r="F466">
        <v>1</v>
      </c>
      <c r="G466" t="s">
        <v>1453</v>
      </c>
      <c r="H466" t="s">
        <v>9</v>
      </c>
      <c r="I466" t="s">
        <v>865</v>
      </c>
      <c r="J466" t="s">
        <v>866</v>
      </c>
    </row>
    <row r="467" spans="1:10">
      <c r="A467">
        <v>50466</v>
      </c>
      <c r="B467">
        <v>30259</v>
      </c>
      <c r="C467" t="s">
        <v>119</v>
      </c>
      <c r="D467">
        <v>2069</v>
      </c>
      <c r="E467">
        <v>1002</v>
      </c>
      <c r="F467">
        <v>1</v>
      </c>
      <c r="G467" t="s">
        <v>1466</v>
      </c>
      <c r="H467" t="s">
        <v>9</v>
      </c>
      <c r="I467" t="s">
        <v>770</v>
      </c>
      <c r="J467" t="s">
        <v>867</v>
      </c>
    </row>
    <row r="468" spans="1:10">
      <c r="A468">
        <v>50467</v>
      </c>
      <c r="B468">
        <v>30259</v>
      </c>
      <c r="C468" t="s">
        <v>324</v>
      </c>
      <c r="D468">
        <v>2069</v>
      </c>
      <c r="E468">
        <v>1015</v>
      </c>
      <c r="F468">
        <v>2</v>
      </c>
      <c r="G468" t="s">
        <v>1488</v>
      </c>
      <c r="H468" t="s">
        <v>9</v>
      </c>
      <c r="I468" t="s">
        <v>868</v>
      </c>
      <c r="J468" t="s">
        <v>869</v>
      </c>
    </row>
    <row r="469" spans="1:10">
      <c r="A469">
        <v>50468</v>
      </c>
      <c r="B469">
        <v>30259</v>
      </c>
      <c r="C469" t="s">
        <v>635</v>
      </c>
      <c r="D469">
        <v>2069</v>
      </c>
      <c r="E469">
        <v>1002</v>
      </c>
      <c r="F469">
        <v>1</v>
      </c>
      <c r="G469" t="s">
        <v>1466</v>
      </c>
      <c r="H469" t="s">
        <v>9</v>
      </c>
      <c r="I469" t="s">
        <v>769</v>
      </c>
      <c r="J469" t="s">
        <v>754</v>
      </c>
    </row>
    <row r="470" spans="1:10">
      <c r="A470">
        <v>50469</v>
      </c>
      <c r="B470">
        <v>30259</v>
      </c>
      <c r="C470" t="s">
        <v>119</v>
      </c>
      <c r="D470">
        <v>2069</v>
      </c>
      <c r="E470">
        <v>1008</v>
      </c>
      <c r="F470">
        <v>1</v>
      </c>
      <c r="G470" t="s">
        <v>1447</v>
      </c>
      <c r="H470" t="s">
        <v>9</v>
      </c>
      <c r="I470" t="s">
        <v>770</v>
      </c>
      <c r="J470" t="s">
        <v>557</v>
      </c>
    </row>
    <row r="471" spans="1:10">
      <c r="A471">
        <v>50470</v>
      </c>
      <c r="B471">
        <v>30260</v>
      </c>
      <c r="C471" t="s">
        <v>870</v>
      </c>
      <c r="D471">
        <v>2046</v>
      </c>
      <c r="E471">
        <v>1008</v>
      </c>
      <c r="F471">
        <v>1</v>
      </c>
      <c r="G471" t="s">
        <v>1447</v>
      </c>
      <c r="H471" t="s">
        <v>9</v>
      </c>
      <c r="I471" t="s">
        <v>94</v>
      </c>
      <c r="J471" t="s">
        <v>871</v>
      </c>
    </row>
    <row r="472" spans="1:10">
      <c r="A472">
        <v>50471</v>
      </c>
      <c r="B472">
        <v>30261</v>
      </c>
      <c r="C472" t="s">
        <v>872</v>
      </c>
      <c r="D472">
        <v>2553</v>
      </c>
      <c r="E472">
        <v>1002</v>
      </c>
      <c r="F472">
        <v>4</v>
      </c>
      <c r="G472" t="s">
        <v>1451</v>
      </c>
      <c r="H472" t="s">
        <v>9</v>
      </c>
      <c r="I472" t="s">
        <v>282</v>
      </c>
      <c r="J472" t="s">
        <v>767</v>
      </c>
    </row>
    <row r="473" spans="1:10">
      <c r="A473">
        <v>50472</v>
      </c>
      <c r="B473">
        <v>30261</v>
      </c>
      <c r="C473" t="s">
        <v>873</v>
      </c>
      <c r="D473">
        <v>2553</v>
      </c>
      <c r="E473">
        <v>1005</v>
      </c>
      <c r="F473">
        <v>1</v>
      </c>
      <c r="G473" t="s">
        <v>1456</v>
      </c>
      <c r="H473" t="s">
        <v>9</v>
      </c>
      <c r="I473" t="s">
        <v>282</v>
      </c>
      <c r="J473" t="s">
        <v>874</v>
      </c>
    </row>
    <row r="474" spans="1:10">
      <c r="A474">
        <v>50473</v>
      </c>
      <c r="B474">
        <v>30262</v>
      </c>
      <c r="C474" t="s">
        <v>875</v>
      </c>
      <c r="D474">
        <v>2516</v>
      </c>
      <c r="E474">
        <v>1008</v>
      </c>
      <c r="F474">
        <v>1</v>
      </c>
      <c r="G474" t="s">
        <v>1447</v>
      </c>
      <c r="H474" t="s">
        <v>11</v>
      </c>
      <c r="I474" t="s">
        <v>698</v>
      </c>
      <c r="J474" t="s">
        <v>332</v>
      </c>
    </row>
    <row r="475" spans="1:10">
      <c r="A475">
        <v>50474</v>
      </c>
      <c r="B475">
        <v>30262</v>
      </c>
      <c r="C475" t="s">
        <v>825</v>
      </c>
      <c r="E475">
        <v>1011</v>
      </c>
      <c r="F475">
        <v>1</v>
      </c>
      <c r="G475" t="s">
        <v>1472</v>
      </c>
      <c r="H475" t="s">
        <v>11</v>
      </c>
      <c r="I475" t="s">
        <v>698</v>
      </c>
      <c r="J475" t="s">
        <v>876</v>
      </c>
    </row>
    <row r="476" spans="1:10">
      <c r="A476">
        <v>50475</v>
      </c>
      <c r="B476">
        <v>30263</v>
      </c>
      <c r="C476" t="s">
        <v>340</v>
      </c>
      <c r="D476">
        <v>2592</v>
      </c>
      <c r="E476">
        <v>1011</v>
      </c>
      <c r="F476">
        <v>1</v>
      </c>
      <c r="G476" t="s">
        <v>1472</v>
      </c>
      <c r="H476" t="s">
        <v>9</v>
      </c>
      <c r="I476" t="s">
        <v>342</v>
      </c>
      <c r="J476" t="s">
        <v>362</v>
      </c>
    </row>
    <row r="477" spans="1:10">
      <c r="A477">
        <v>50476</v>
      </c>
      <c r="B477">
        <v>30264</v>
      </c>
      <c r="C477" t="s">
        <v>648</v>
      </c>
      <c r="D477">
        <v>2243</v>
      </c>
      <c r="E477">
        <v>1005</v>
      </c>
      <c r="F477">
        <v>1</v>
      </c>
      <c r="G477" t="s">
        <v>1456</v>
      </c>
      <c r="H477" t="s">
        <v>9</v>
      </c>
      <c r="I477" t="s">
        <v>135</v>
      </c>
      <c r="J477" t="s">
        <v>542</v>
      </c>
    </row>
    <row r="478" spans="1:10">
      <c r="A478">
        <v>50477</v>
      </c>
      <c r="B478">
        <v>30264</v>
      </c>
      <c r="C478" t="s">
        <v>648</v>
      </c>
      <c r="D478">
        <v>2243</v>
      </c>
      <c r="E478">
        <v>1008</v>
      </c>
      <c r="F478">
        <v>1</v>
      </c>
      <c r="G478" t="s">
        <v>1447</v>
      </c>
      <c r="H478" t="s">
        <v>9</v>
      </c>
      <c r="I478" t="s">
        <v>404</v>
      </c>
      <c r="J478" t="s">
        <v>877</v>
      </c>
    </row>
    <row r="479" spans="1:10">
      <c r="A479">
        <v>50478</v>
      </c>
      <c r="B479">
        <v>30265</v>
      </c>
      <c r="C479" t="s">
        <v>406</v>
      </c>
      <c r="D479">
        <v>2424</v>
      </c>
      <c r="E479">
        <v>1002</v>
      </c>
      <c r="F479">
        <v>3</v>
      </c>
      <c r="G479" t="s">
        <v>1508</v>
      </c>
      <c r="H479" t="s">
        <v>9</v>
      </c>
      <c r="I479" t="s">
        <v>816</v>
      </c>
      <c r="J479" t="s">
        <v>136</v>
      </c>
    </row>
    <row r="480" spans="1:10">
      <c r="A480">
        <v>50479</v>
      </c>
      <c r="B480">
        <v>30266</v>
      </c>
      <c r="C480" t="s">
        <v>570</v>
      </c>
      <c r="D480">
        <v>2571</v>
      </c>
      <c r="E480">
        <v>1006</v>
      </c>
      <c r="F480">
        <v>1</v>
      </c>
      <c r="G480" t="s">
        <v>1459</v>
      </c>
      <c r="H480" t="s">
        <v>11</v>
      </c>
      <c r="I480" t="s">
        <v>406</v>
      </c>
      <c r="J480" t="s">
        <v>827</v>
      </c>
    </row>
    <row r="481" spans="1:10">
      <c r="A481">
        <v>50480</v>
      </c>
      <c r="B481">
        <v>30266</v>
      </c>
      <c r="C481" t="s">
        <v>878</v>
      </c>
      <c r="D481">
        <v>2571</v>
      </c>
      <c r="E481">
        <v>1014</v>
      </c>
      <c r="F481">
        <v>1</v>
      </c>
      <c r="G481" t="s">
        <v>1463</v>
      </c>
      <c r="H481" t="s">
        <v>11</v>
      </c>
      <c r="I481" t="s">
        <v>252</v>
      </c>
      <c r="J481" t="s">
        <v>879</v>
      </c>
    </row>
    <row r="482" spans="1:10">
      <c r="A482">
        <v>50481</v>
      </c>
      <c r="B482">
        <v>30267</v>
      </c>
      <c r="C482" t="s">
        <v>413</v>
      </c>
      <c r="D482">
        <v>2570</v>
      </c>
      <c r="E482">
        <v>1012</v>
      </c>
      <c r="F482">
        <v>1</v>
      </c>
      <c r="G482" t="s">
        <v>1449</v>
      </c>
      <c r="H482" t="s">
        <v>9</v>
      </c>
      <c r="I482" t="s">
        <v>763</v>
      </c>
      <c r="J482" t="s">
        <v>880</v>
      </c>
    </row>
    <row r="483" spans="1:10">
      <c r="A483">
        <v>50482</v>
      </c>
      <c r="B483">
        <v>30267</v>
      </c>
      <c r="C483" t="s">
        <v>881</v>
      </c>
      <c r="D483">
        <v>2570</v>
      </c>
      <c r="E483">
        <v>1013</v>
      </c>
      <c r="F483">
        <v>2</v>
      </c>
      <c r="G483" t="s">
        <v>1492</v>
      </c>
      <c r="H483" t="s">
        <v>9</v>
      </c>
      <c r="I483" t="s">
        <v>880</v>
      </c>
      <c r="J483" t="s">
        <v>89</v>
      </c>
    </row>
    <row r="484" spans="1:10">
      <c r="A484">
        <v>50483</v>
      </c>
      <c r="B484">
        <v>30268</v>
      </c>
      <c r="C484" t="s">
        <v>882</v>
      </c>
      <c r="D484">
        <v>2538</v>
      </c>
      <c r="E484">
        <v>1014</v>
      </c>
      <c r="F484">
        <v>3</v>
      </c>
      <c r="G484" t="s">
        <v>1505</v>
      </c>
      <c r="H484" t="s">
        <v>68</v>
      </c>
      <c r="I484" t="s">
        <v>866</v>
      </c>
      <c r="J484" t="s">
        <v>311</v>
      </c>
    </row>
    <row r="485" spans="1:10">
      <c r="A485">
        <v>50484</v>
      </c>
      <c r="B485">
        <v>30268</v>
      </c>
      <c r="C485" t="s">
        <v>28</v>
      </c>
      <c r="D485">
        <v>2538</v>
      </c>
      <c r="E485">
        <v>1014</v>
      </c>
      <c r="F485">
        <v>1</v>
      </c>
      <c r="G485" t="s">
        <v>1463</v>
      </c>
      <c r="H485" t="s">
        <v>9</v>
      </c>
      <c r="I485" t="s">
        <v>734</v>
      </c>
      <c r="J485" t="s">
        <v>304</v>
      </c>
    </row>
    <row r="486" spans="1:10">
      <c r="A486">
        <v>50485</v>
      </c>
      <c r="B486">
        <v>30269</v>
      </c>
      <c r="C486" t="s">
        <v>883</v>
      </c>
      <c r="D486">
        <v>2153</v>
      </c>
      <c r="E486">
        <v>1006</v>
      </c>
      <c r="F486">
        <v>1</v>
      </c>
      <c r="G486" t="s">
        <v>1459</v>
      </c>
      <c r="H486" t="s">
        <v>9</v>
      </c>
      <c r="I486" t="s">
        <v>362</v>
      </c>
      <c r="J486" t="s">
        <v>391</v>
      </c>
    </row>
    <row r="487" spans="1:10">
      <c r="A487">
        <v>50486</v>
      </c>
      <c r="B487">
        <v>30269</v>
      </c>
      <c r="C487" t="s">
        <v>883</v>
      </c>
      <c r="D487">
        <v>2153</v>
      </c>
      <c r="E487">
        <v>1016</v>
      </c>
      <c r="F487">
        <v>1</v>
      </c>
      <c r="G487" t="s">
        <v>1465</v>
      </c>
      <c r="H487" t="s">
        <v>9</v>
      </c>
      <c r="I487" t="s">
        <v>568</v>
      </c>
      <c r="J487" t="s">
        <v>884</v>
      </c>
    </row>
    <row r="488" spans="1:10">
      <c r="A488">
        <v>50487</v>
      </c>
      <c r="B488">
        <v>30270</v>
      </c>
      <c r="C488" t="s">
        <v>885</v>
      </c>
      <c r="D488">
        <v>2247</v>
      </c>
      <c r="E488">
        <v>1010</v>
      </c>
      <c r="F488">
        <v>2</v>
      </c>
      <c r="G488" t="s">
        <v>1483</v>
      </c>
      <c r="H488" t="s">
        <v>16</v>
      </c>
      <c r="I488" t="s">
        <v>1421</v>
      </c>
      <c r="J488" t="s">
        <v>1421</v>
      </c>
    </row>
    <row r="489" spans="1:10">
      <c r="A489">
        <v>50488</v>
      </c>
      <c r="B489">
        <v>30271</v>
      </c>
      <c r="C489" t="s">
        <v>886</v>
      </c>
      <c r="D489">
        <v>2148</v>
      </c>
      <c r="E489">
        <v>1002</v>
      </c>
      <c r="F489">
        <v>1</v>
      </c>
      <c r="G489" t="s">
        <v>1466</v>
      </c>
      <c r="H489" t="s">
        <v>16</v>
      </c>
      <c r="I489" t="s">
        <v>1421</v>
      </c>
      <c r="J489" t="s">
        <v>1421</v>
      </c>
    </row>
    <row r="490" spans="1:10">
      <c r="A490">
        <v>50489</v>
      </c>
      <c r="B490">
        <v>30272</v>
      </c>
      <c r="C490" t="s">
        <v>447</v>
      </c>
      <c r="D490">
        <v>2427</v>
      </c>
      <c r="E490">
        <v>1005</v>
      </c>
      <c r="F490">
        <v>3</v>
      </c>
      <c r="G490" t="s">
        <v>1498</v>
      </c>
      <c r="H490" t="s">
        <v>9</v>
      </c>
      <c r="I490" t="s">
        <v>887</v>
      </c>
      <c r="J490" t="s">
        <v>613</v>
      </c>
    </row>
    <row r="491" spans="1:10">
      <c r="A491">
        <v>50490</v>
      </c>
      <c r="B491">
        <v>30272</v>
      </c>
      <c r="C491" t="s">
        <v>888</v>
      </c>
      <c r="D491">
        <v>2427</v>
      </c>
      <c r="E491">
        <v>1013</v>
      </c>
      <c r="F491">
        <v>2</v>
      </c>
      <c r="G491" t="s">
        <v>1492</v>
      </c>
      <c r="H491" t="s">
        <v>9</v>
      </c>
      <c r="I491" t="s">
        <v>889</v>
      </c>
      <c r="J491" t="s">
        <v>875</v>
      </c>
    </row>
    <row r="492" spans="1:10">
      <c r="A492">
        <v>50491</v>
      </c>
      <c r="B492">
        <v>30272</v>
      </c>
      <c r="C492" t="s">
        <v>52</v>
      </c>
      <c r="D492">
        <v>2427</v>
      </c>
      <c r="E492">
        <v>1008</v>
      </c>
      <c r="F492">
        <v>1</v>
      </c>
      <c r="G492" t="s">
        <v>1447</v>
      </c>
      <c r="H492" t="s">
        <v>9</v>
      </c>
      <c r="I492" t="s">
        <v>689</v>
      </c>
      <c r="J492" t="s">
        <v>550</v>
      </c>
    </row>
    <row r="493" spans="1:10">
      <c r="A493">
        <v>50492</v>
      </c>
      <c r="B493">
        <v>30272</v>
      </c>
      <c r="C493" t="s">
        <v>888</v>
      </c>
      <c r="D493">
        <v>2427</v>
      </c>
      <c r="E493">
        <v>1009</v>
      </c>
      <c r="F493">
        <v>3</v>
      </c>
      <c r="G493" t="s">
        <v>1461</v>
      </c>
      <c r="H493" t="s">
        <v>1462</v>
      </c>
      <c r="I493" t="s">
        <v>890</v>
      </c>
      <c r="J493" t="s">
        <v>891</v>
      </c>
    </row>
    <row r="494" spans="1:10">
      <c r="A494">
        <v>50493</v>
      </c>
      <c r="B494">
        <v>30273</v>
      </c>
      <c r="C494" t="s">
        <v>753</v>
      </c>
      <c r="D494">
        <v>2209</v>
      </c>
      <c r="E494">
        <v>1003</v>
      </c>
      <c r="F494">
        <v>5</v>
      </c>
      <c r="G494" t="s">
        <v>1506</v>
      </c>
      <c r="H494" t="s">
        <v>9</v>
      </c>
      <c r="I494" t="s">
        <v>137</v>
      </c>
      <c r="J494" t="s">
        <v>558</v>
      </c>
    </row>
    <row r="495" spans="1:10">
      <c r="A495">
        <v>50494</v>
      </c>
      <c r="B495">
        <v>30273</v>
      </c>
      <c r="C495" t="s">
        <v>753</v>
      </c>
      <c r="D495">
        <v>2209</v>
      </c>
      <c r="E495">
        <v>1015</v>
      </c>
      <c r="F495">
        <v>1</v>
      </c>
      <c r="G495" t="s">
        <v>1478</v>
      </c>
      <c r="H495" t="s">
        <v>9</v>
      </c>
      <c r="I495" t="s">
        <v>892</v>
      </c>
      <c r="J495" t="s">
        <v>868</v>
      </c>
    </row>
    <row r="496" spans="1:10">
      <c r="A496">
        <v>50495</v>
      </c>
      <c r="B496">
        <v>30274</v>
      </c>
      <c r="C496" t="s">
        <v>138</v>
      </c>
      <c r="D496">
        <v>2380</v>
      </c>
      <c r="E496">
        <v>1007</v>
      </c>
      <c r="F496">
        <v>2</v>
      </c>
      <c r="G496" t="s">
        <v>1455</v>
      </c>
      <c r="H496" t="s">
        <v>9</v>
      </c>
      <c r="I496" t="s">
        <v>429</v>
      </c>
      <c r="J496" t="s">
        <v>893</v>
      </c>
    </row>
    <row r="497" spans="1:10">
      <c r="A497">
        <v>50496</v>
      </c>
      <c r="B497">
        <v>30275</v>
      </c>
      <c r="C497" t="s">
        <v>510</v>
      </c>
      <c r="D497">
        <v>2053</v>
      </c>
      <c r="E497">
        <v>1002</v>
      </c>
      <c r="F497">
        <v>1</v>
      </c>
      <c r="G497" t="s">
        <v>1466</v>
      </c>
      <c r="H497" t="s">
        <v>9</v>
      </c>
      <c r="I497" t="s">
        <v>894</v>
      </c>
      <c r="J497" t="s">
        <v>139</v>
      </c>
    </row>
    <row r="498" spans="1:10">
      <c r="A498">
        <v>50497</v>
      </c>
      <c r="B498">
        <v>30276</v>
      </c>
      <c r="C498" t="s">
        <v>895</v>
      </c>
      <c r="D498">
        <v>2075</v>
      </c>
      <c r="E498">
        <v>1007</v>
      </c>
      <c r="F498">
        <v>1</v>
      </c>
      <c r="G498" t="s">
        <v>1453</v>
      </c>
      <c r="H498" t="s">
        <v>9</v>
      </c>
      <c r="I498" t="s">
        <v>896</v>
      </c>
      <c r="J498" t="s">
        <v>28</v>
      </c>
    </row>
    <row r="499" spans="1:10">
      <c r="A499">
        <v>50498</v>
      </c>
      <c r="B499">
        <v>30276</v>
      </c>
      <c r="C499" t="s">
        <v>897</v>
      </c>
      <c r="D499">
        <v>2075</v>
      </c>
      <c r="E499">
        <v>1016</v>
      </c>
      <c r="F499">
        <v>1</v>
      </c>
      <c r="G499" t="s">
        <v>1465</v>
      </c>
      <c r="H499" t="s">
        <v>9</v>
      </c>
      <c r="I499" t="s">
        <v>140</v>
      </c>
      <c r="J499" t="s">
        <v>279</v>
      </c>
    </row>
    <row r="500" spans="1:10">
      <c r="A500">
        <v>50499</v>
      </c>
      <c r="B500">
        <v>30277</v>
      </c>
      <c r="C500" t="s">
        <v>854</v>
      </c>
      <c r="D500">
        <v>2214</v>
      </c>
      <c r="E500">
        <v>1011</v>
      </c>
      <c r="F500">
        <v>2</v>
      </c>
      <c r="G500" t="s">
        <v>1487</v>
      </c>
      <c r="H500" t="s">
        <v>12</v>
      </c>
      <c r="I500" t="s">
        <v>1421</v>
      </c>
      <c r="J500" t="s">
        <v>1421</v>
      </c>
    </row>
    <row r="501" spans="1:10">
      <c r="A501">
        <v>50500</v>
      </c>
      <c r="B501">
        <v>30278</v>
      </c>
      <c r="C501" t="s">
        <v>288</v>
      </c>
      <c r="D501">
        <v>2311</v>
      </c>
      <c r="E501">
        <v>1001</v>
      </c>
      <c r="F501">
        <v>1</v>
      </c>
      <c r="G501" t="s">
        <v>1469</v>
      </c>
      <c r="H501" t="s">
        <v>1524</v>
      </c>
      <c r="I501" t="s">
        <v>671</v>
      </c>
      <c r="J501" t="s">
        <v>729</v>
      </c>
    </row>
    <row r="502" spans="1:10">
      <c r="A502">
        <v>50501</v>
      </c>
      <c r="B502">
        <v>30279</v>
      </c>
      <c r="C502" t="s">
        <v>141</v>
      </c>
      <c r="D502">
        <v>2217</v>
      </c>
      <c r="E502">
        <v>1004</v>
      </c>
      <c r="F502">
        <v>1</v>
      </c>
      <c r="G502" t="s">
        <v>1452</v>
      </c>
      <c r="H502" t="s">
        <v>12</v>
      </c>
      <c r="I502" t="s">
        <v>1421</v>
      </c>
      <c r="J502" t="s">
        <v>1421</v>
      </c>
    </row>
    <row r="503" spans="1:10">
      <c r="A503">
        <v>50502</v>
      </c>
      <c r="B503">
        <v>30280</v>
      </c>
      <c r="C503" t="s">
        <v>328</v>
      </c>
      <c r="D503">
        <v>2491</v>
      </c>
      <c r="E503">
        <v>1007</v>
      </c>
      <c r="F503">
        <v>4</v>
      </c>
      <c r="G503" t="s">
        <v>1504</v>
      </c>
      <c r="H503" t="s">
        <v>12</v>
      </c>
      <c r="I503" t="s">
        <v>1421</v>
      </c>
      <c r="J503" t="s">
        <v>1421</v>
      </c>
    </row>
    <row r="504" spans="1:10">
      <c r="A504">
        <v>50503</v>
      </c>
      <c r="B504">
        <v>30281</v>
      </c>
      <c r="C504" t="s">
        <v>898</v>
      </c>
      <c r="D504">
        <v>2407</v>
      </c>
      <c r="E504">
        <v>1011</v>
      </c>
      <c r="F504">
        <v>2</v>
      </c>
      <c r="G504" t="s">
        <v>1487</v>
      </c>
      <c r="H504" t="s">
        <v>12</v>
      </c>
      <c r="I504" t="s">
        <v>1421</v>
      </c>
      <c r="J504" t="s">
        <v>1421</v>
      </c>
    </row>
    <row r="505" spans="1:10">
      <c r="A505">
        <v>50504</v>
      </c>
      <c r="B505">
        <v>30282</v>
      </c>
      <c r="C505" t="s">
        <v>899</v>
      </c>
      <c r="D505">
        <v>2290</v>
      </c>
      <c r="E505">
        <v>1012</v>
      </c>
      <c r="F505">
        <v>2</v>
      </c>
      <c r="G505" t="s">
        <v>1450</v>
      </c>
      <c r="H505" t="s">
        <v>9</v>
      </c>
      <c r="I505" t="s">
        <v>859</v>
      </c>
      <c r="J505" t="s">
        <v>874</v>
      </c>
    </row>
    <row r="506" spans="1:10">
      <c r="A506">
        <v>50505</v>
      </c>
      <c r="B506">
        <v>30283</v>
      </c>
      <c r="C506" t="s">
        <v>744</v>
      </c>
      <c r="D506">
        <v>2316</v>
      </c>
      <c r="E506">
        <v>1016</v>
      </c>
      <c r="F506">
        <v>1</v>
      </c>
      <c r="G506" t="s">
        <v>1465</v>
      </c>
      <c r="H506" t="s">
        <v>9</v>
      </c>
      <c r="I506" t="s">
        <v>900</v>
      </c>
      <c r="J506" t="s">
        <v>901</v>
      </c>
    </row>
    <row r="507" spans="1:10">
      <c r="A507">
        <v>50506</v>
      </c>
      <c r="B507">
        <v>30283</v>
      </c>
      <c r="C507" t="s">
        <v>902</v>
      </c>
      <c r="D507">
        <v>2316</v>
      </c>
      <c r="E507">
        <v>1015</v>
      </c>
      <c r="F507">
        <v>1</v>
      </c>
      <c r="G507" t="s">
        <v>1478</v>
      </c>
      <c r="H507" t="s">
        <v>9</v>
      </c>
      <c r="I507" t="s">
        <v>309</v>
      </c>
      <c r="J507" t="s">
        <v>142</v>
      </c>
    </row>
    <row r="508" spans="1:10">
      <c r="A508">
        <v>50507</v>
      </c>
      <c r="B508">
        <v>30284</v>
      </c>
      <c r="C508" t="s">
        <v>111</v>
      </c>
      <c r="D508">
        <v>2101</v>
      </c>
      <c r="E508">
        <v>1016</v>
      </c>
      <c r="F508">
        <v>1</v>
      </c>
      <c r="G508" t="s">
        <v>1465</v>
      </c>
      <c r="H508" t="s">
        <v>16</v>
      </c>
      <c r="I508" t="s">
        <v>1421</v>
      </c>
      <c r="J508" t="s">
        <v>1421</v>
      </c>
    </row>
    <row r="509" spans="1:10">
      <c r="A509">
        <v>50508</v>
      </c>
      <c r="B509">
        <v>30284</v>
      </c>
      <c r="C509" t="s">
        <v>111</v>
      </c>
      <c r="D509">
        <v>2101</v>
      </c>
      <c r="E509">
        <v>1011</v>
      </c>
      <c r="F509">
        <v>2</v>
      </c>
      <c r="G509" t="s">
        <v>1487</v>
      </c>
      <c r="H509" t="s">
        <v>16</v>
      </c>
      <c r="I509" t="s">
        <v>1421</v>
      </c>
      <c r="J509" t="s">
        <v>1421</v>
      </c>
    </row>
    <row r="510" spans="1:10">
      <c r="A510">
        <v>50509</v>
      </c>
      <c r="B510">
        <v>30284</v>
      </c>
      <c r="C510" t="s">
        <v>903</v>
      </c>
      <c r="D510">
        <v>2101</v>
      </c>
      <c r="E510">
        <v>1012</v>
      </c>
      <c r="F510">
        <v>1</v>
      </c>
      <c r="G510" t="s">
        <v>1449</v>
      </c>
      <c r="H510" t="s">
        <v>16</v>
      </c>
      <c r="I510" t="s">
        <v>1421</v>
      </c>
      <c r="J510" t="s">
        <v>1421</v>
      </c>
    </row>
    <row r="511" spans="1:10">
      <c r="A511">
        <v>50510</v>
      </c>
      <c r="B511">
        <v>30284</v>
      </c>
      <c r="C511" t="s">
        <v>442</v>
      </c>
      <c r="D511">
        <v>2101</v>
      </c>
      <c r="E511">
        <v>1002</v>
      </c>
      <c r="F511">
        <v>3</v>
      </c>
      <c r="G511" t="s">
        <v>1508</v>
      </c>
      <c r="H511" t="s">
        <v>16</v>
      </c>
      <c r="I511" t="s">
        <v>1421</v>
      </c>
      <c r="J511" t="s">
        <v>1421</v>
      </c>
    </row>
    <row r="512" spans="1:10">
      <c r="A512">
        <v>50511</v>
      </c>
      <c r="B512">
        <v>30285</v>
      </c>
      <c r="C512" t="s">
        <v>436</v>
      </c>
      <c r="D512">
        <v>2227</v>
      </c>
      <c r="E512">
        <v>1001</v>
      </c>
      <c r="F512">
        <v>4</v>
      </c>
      <c r="G512" t="s">
        <v>1525</v>
      </c>
      <c r="H512" t="s">
        <v>9</v>
      </c>
      <c r="I512" t="s">
        <v>904</v>
      </c>
      <c r="J512" t="s">
        <v>905</v>
      </c>
    </row>
    <row r="513" spans="1:10">
      <c r="A513">
        <v>50512</v>
      </c>
      <c r="B513">
        <v>30286</v>
      </c>
      <c r="C513" t="s">
        <v>906</v>
      </c>
      <c r="D513">
        <v>2268</v>
      </c>
      <c r="E513">
        <v>1014</v>
      </c>
      <c r="F513">
        <v>3</v>
      </c>
      <c r="G513" t="s">
        <v>1505</v>
      </c>
      <c r="H513" t="s">
        <v>9</v>
      </c>
      <c r="I513" t="s">
        <v>907</v>
      </c>
      <c r="J513" t="s">
        <v>373</v>
      </c>
    </row>
    <row r="514" spans="1:10">
      <c r="A514">
        <v>50513</v>
      </c>
      <c r="B514">
        <v>30287</v>
      </c>
      <c r="C514" t="s">
        <v>248</v>
      </c>
      <c r="D514">
        <v>2303</v>
      </c>
      <c r="E514">
        <v>1011</v>
      </c>
      <c r="F514">
        <v>3</v>
      </c>
      <c r="G514" t="s">
        <v>1454</v>
      </c>
      <c r="H514" t="s">
        <v>9</v>
      </c>
      <c r="I514" t="s">
        <v>389</v>
      </c>
      <c r="J514" t="s">
        <v>908</v>
      </c>
    </row>
    <row r="515" spans="1:10">
      <c r="A515">
        <v>50514</v>
      </c>
      <c r="B515">
        <v>30287</v>
      </c>
      <c r="C515" t="s">
        <v>290</v>
      </c>
      <c r="D515">
        <v>2303</v>
      </c>
      <c r="E515">
        <v>1008</v>
      </c>
      <c r="F515">
        <v>1</v>
      </c>
      <c r="G515" t="s">
        <v>1447</v>
      </c>
      <c r="H515" t="s">
        <v>9</v>
      </c>
      <c r="I515" t="s">
        <v>389</v>
      </c>
      <c r="J515" t="s">
        <v>316</v>
      </c>
    </row>
    <row r="516" spans="1:10">
      <c r="A516">
        <v>50515</v>
      </c>
      <c r="B516">
        <v>30288</v>
      </c>
      <c r="C516" t="s">
        <v>909</v>
      </c>
      <c r="D516">
        <v>2389</v>
      </c>
      <c r="E516">
        <v>1008</v>
      </c>
      <c r="F516">
        <v>1</v>
      </c>
      <c r="G516" t="s">
        <v>1447</v>
      </c>
      <c r="H516" t="s">
        <v>9</v>
      </c>
      <c r="I516" t="s">
        <v>143</v>
      </c>
      <c r="J516" t="s">
        <v>910</v>
      </c>
    </row>
    <row r="517" spans="1:10">
      <c r="A517">
        <v>50516</v>
      </c>
      <c r="B517">
        <v>30288</v>
      </c>
      <c r="C517" t="s">
        <v>80</v>
      </c>
      <c r="D517">
        <v>2389</v>
      </c>
      <c r="E517">
        <v>1016</v>
      </c>
      <c r="F517">
        <v>1</v>
      </c>
      <c r="G517" t="s">
        <v>1465</v>
      </c>
      <c r="H517" t="s">
        <v>9</v>
      </c>
      <c r="I517" t="s">
        <v>911</v>
      </c>
      <c r="J517" t="s">
        <v>814</v>
      </c>
    </row>
    <row r="518" spans="1:10">
      <c r="A518">
        <v>50517</v>
      </c>
      <c r="B518">
        <v>30288</v>
      </c>
      <c r="C518" t="s">
        <v>909</v>
      </c>
      <c r="D518">
        <v>2389</v>
      </c>
      <c r="E518">
        <v>1011</v>
      </c>
      <c r="F518">
        <v>1</v>
      </c>
      <c r="G518" t="s">
        <v>1472</v>
      </c>
      <c r="H518" t="s">
        <v>9</v>
      </c>
      <c r="I518" t="s">
        <v>144</v>
      </c>
      <c r="J518" t="s">
        <v>912</v>
      </c>
    </row>
    <row r="519" spans="1:10">
      <c r="A519">
        <v>50518</v>
      </c>
      <c r="B519">
        <v>30288</v>
      </c>
      <c r="C519" t="s">
        <v>909</v>
      </c>
      <c r="D519">
        <v>2389</v>
      </c>
      <c r="E519">
        <v>1009</v>
      </c>
      <c r="F519">
        <v>2</v>
      </c>
      <c r="G519" t="s">
        <v>1479</v>
      </c>
      <c r="H519" t="s">
        <v>9</v>
      </c>
      <c r="I519" t="s">
        <v>913</v>
      </c>
      <c r="J519" t="s">
        <v>914</v>
      </c>
    </row>
    <row r="520" spans="1:10">
      <c r="A520">
        <v>50519</v>
      </c>
      <c r="B520">
        <v>30289</v>
      </c>
      <c r="C520" t="s">
        <v>915</v>
      </c>
      <c r="D520">
        <v>2501</v>
      </c>
      <c r="E520">
        <v>1016</v>
      </c>
      <c r="F520">
        <v>3</v>
      </c>
      <c r="G520" t="s">
        <v>1484</v>
      </c>
      <c r="H520" t="s">
        <v>11</v>
      </c>
      <c r="I520" t="s">
        <v>884</v>
      </c>
      <c r="J520" t="s">
        <v>663</v>
      </c>
    </row>
    <row r="521" spans="1:10">
      <c r="A521">
        <v>50520</v>
      </c>
      <c r="B521">
        <v>30289</v>
      </c>
      <c r="C521" t="s">
        <v>84</v>
      </c>
      <c r="D521">
        <v>2501</v>
      </c>
      <c r="E521">
        <v>1015</v>
      </c>
      <c r="F521">
        <v>1</v>
      </c>
      <c r="G521" t="s">
        <v>1478</v>
      </c>
      <c r="H521" t="s">
        <v>11</v>
      </c>
      <c r="I521" t="s">
        <v>510</v>
      </c>
      <c r="J521" t="s">
        <v>703</v>
      </c>
    </row>
    <row r="522" spans="1:10">
      <c r="A522">
        <v>50521</v>
      </c>
      <c r="B522">
        <v>30289</v>
      </c>
      <c r="C522" t="s">
        <v>84</v>
      </c>
      <c r="D522">
        <v>2501</v>
      </c>
      <c r="E522">
        <v>1006</v>
      </c>
      <c r="F522">
        <v>1</v>
      </c>
      <c r="G522" t="s">
        <v>1459</v>
      </c>
      <c r="H522" t="s">
        <v>11</v>
      </c>
      <c r="I522" t="s">
        <v>916</v>
      </c>
      <c r="J522" t="s">
        <v>420</v>
      </c>
    </row>
    <row r="523" spans="1:10">
      <c r="A523">
        <v>50522</v>
      </c>
      <c r="B523">
        <v>30289</v>
      </c>
      <c r="C523" t="s">
        <v>915</v>
      </c>
      <c r="D523">
        <v>2501</v>
      </c>
      <c r="E523">
        <v>1012</v>
      </c>
      <c r="F523">
        <v>3</v>
      </c>
      <c r="G523" t="s">
        <v>1448</v>
      </c>
      <c r="H523" t="s">
        <v>1467</v>
      </c>
      <c r="I523" t="s">
        <v>917</v>
      </c>
      <c r="J523" t="s">
        <v>703</v>
      </c>
    </row>
    <row r="524" spans="1:10">
      <c r="A524">
        <v>50523</v>
      </c>
      <c r="B524">
        <v>30290</v>
      </c>
      <c r="C524" t="s">
        <v>918</v>
      </c>
      <c r="D524">
        <v>2174</v>
      </c>
      <c r="E524">
        <v>1016</v>
      </c>
      <c r="F524">
        <v>1</v>
      </c>
      <c r="G524" t="s">
        <v>1465</v>
      </c>
      <c r="H524" t="s">
        <v>9</v>
      </c>
      <c r="I524" t="s">
        <v>712</v>
      </c>
      <c r="J524" t="s">
        <v>919</v>
      </c>
    </row>
    <row r="525" spans="1:10">
      <c r="A525">
        <v>50524</v>
      </c>
      <c r="B525">
        <v>30291</v>
      </c>
      <c r="C525" t="s">
        <v>691</v>
      </c>
      <c r="D525">
        <v>2189</v>
      </c>
      <c r="E525">
        <v>1002</v>
      </c>
      <c r="F525">
        <v>1</v>
      </c>
      <c r="G525" t="s">
        <v>1466</v>
      </c>
      <c r="H525" t="s">
        <v>12</v>
      </c>
      <c r="I525" t="s">
        <v>1421</v>
      </c>
      <c r="J525" t="s">
        <v>1421</v>
      </c>
    </row>
    <row r="526" spans="1:10">
      <c r="A526">
        <v>50525</v>
      </c>
      <c r="B526">
        <v>30292</v>
      </c>
      <c r="C526" t="s">
        <v>365</v>
      </c>
      <c r="D526">
        <v>2537</v>
      </c>
      <c r="E526">
        <v>1003</v>
      </c>
      <c r="F526">
        <v>2</v>
      </c>
      <c r="G526" t="s">
        <v>1464</v>
      </c>
      <c r="H526" t="s">
        <v>9</v>
      </c>
      <c r="I526" t="s">
        <v>519</v>
      </c>
      <c r="J526" t="s">
        <v>807</v>
      </c>
    </row>
    <row r="527" spans="1:10">
      <c r="A527">
        <v>50526</v>
      </c>
      <c r="B527">
        <v>30293</v>
      </c>
      <c r="C527" t="s">
        <v>714</v>
      </c>
      <c r="D527">
        <v>2050</v>
      </c>
      <c r="E527">
        <v>1014</v>
      </c>
      <c r="F527">
        <v>2</v>
      </c>
      <c r="G527" t="s">
        <v>1475</v>
      </c>
      <c r="H527" t="s">
        <v>16</v>
      </c>
      <c r="I527" t="s">
        <v>920</v>
      </c>
      <c r="J527" t="s">
        <v>1421</v>
      </c>
    </row>
    <row r="528" spans="1:10">
      <c r="A528">
        <v>50527</v>
      </c>
      <c r="B528">
        <v>30293</v>
      </c>
      <c r="C528" t="s">
        <v>715</v>
      </c>
      <c r="D528">
        <v>2050</v>
      </c>
      <c r="E528">
        <v>1008</v>
      </c>
      <c r="F528">
        <v>1</v>
      </c>
      <c r="G528" t="s">
        <v>1447</v>
      </c>
      <c r="H528" t="s">
        <v>16</v>
      </c>
      <c r="I528" t="s">
        <v>713</v>
      </c>
      <c r="J528" t="s">
        <v>1421</v>
      </c>
    </row>
    <row r="529" spans="1:10">
      <c r="A529">
        <v>50528</v>
      </c>
      <c r="B529">
        <v>30293</v>
      </c>
      <c r="C529" t="s">
        <v>712</v>
      </c>
      <c r="D529">
        <v>2050</v>
      </c>
      <c r="E529">
        <v>1005</v>
      </c>
      <c r="F529">
        <v>1</v>
      </c>
      <c r="G529" t="s">
        <v>1456</v>
      </c>
      <c r="H529" t="s">
        <v>16</v>
      </c>
      <c r="I529" t="s">
        <v>145</v>
      </c>
      <c r="J529" t="s">
        <v>1421</v>
      </c>
    </row>
    <row r="530" spans="1:10">
      <c r="A530">
        <v>50529</v>
      </c>
      <c r="B530">
        <v>30294</v>
      </c>
      <c r="C530" t="s">
        <v>350</v>
      </c>
      <c r="D530">
        <v>2518</v>
      </c>
      <c r="E530">
        <v>1002</v>
      </c>
      <c r="F530">
        <v>1</v>
      </c>
      <c r="G530" t="s">
        <v>1466</v>
      </c>
      <c r="H530" t="s">
        <v>9</v>
      </c>
      <c r="I530" t="s">
        <v>82</v>
      </c>
      <c r="J530" t="s">
        <v>921</v>
      </c>
    </row>
    <row r="531" spans="1:10">
      <c r="A531">
        <v>50530</v>
      </c>
      <c r="B531">
        <v>30295</v>
      </c>
      <c r="C531" t="s">
        <v>922</v>
      </c>
      <c r="D531">
        <v>2495</v>
      </c>
      <c r="E531">
        <v>1001</v>
      </c>
      <c r="F531">
        <v>1</v>
      </c>
      <c r="G531" t="s">
        <v>1469</v>
      </c>
      <c r="H531" t="s">
        <v>9</v>
      </c>
      <c r="I531" t="s">
        <v>146</v>
      </c>
      <c r="J531" t="s">
        <v>700</v>
      </c>
    </row>
    <row r="532" spans="1:10">
      <c r="A532">
        <v>50531</v>
      </c>
      <c r="B532">
        <v>30296</v>
      </c>
      <c r="C532" t="s">
        <v>248</v>
      </c>
      <c r="D532">
        <v>2007</v>
      </c>
      <c r="E532">
        <v>1014</v>
      </c>
      <c r="F532">
        <v>1</v>
      </c>
      <c r="G532" t="s">
        <v>1463</v>
      </c>
      <c r="H532" t="s">
        <v>9</v>
      </c>
      <c r="I532" t="s">
        <v>147</v>
      </c>
      <c r="J532" t="s">
        <v>797</v>
      </c>
    </row>
    <row r="533" spans="1:10">
      <c r="A533">
        <v>50532</v>
      </c>
      <c r="B533">
        <v>30297</v>
      </c>
      <c r="C533" t="s">
        <v>26</v>
      </c>
      <c r="D533">
        <v>2013</v>
      </c>
      <c r="E533">
        <v>1009</v>
      </c>
      <c r="F533">
        <v>2</v>
      </c>
      <c r="G533" t="s">
        <v>1479</v>
      </c>
      <c r="H533" t="s">
        <v>9</v>
      </c>
      <c r="I533" t="s">
        <v>584</v>
      </c>
      <c r="J533" t="s">
        <v>148</v>
      </c>
    </row>
    <row r="534" spans="1:10">
      <c r="A534">
        <v>50533</v>
      </c>
      <c r="B534">
        <v>30297</v>
      </c>
      <c r="C534" t="s">
        <v>740</v>
      </c>
      <c r="D534">
        <v>2013</v>
      </c>
      <c r="E534">
        <v>1010</v>
      </c>
      <c r="F534">
        <v>2</v>
      </c>
      <c r="G534" t="s">
        <v>1483</v>
      </c>
      <c r="H534" t="s">
        <v>9</v>
      </c>
      <c r="I534" t="s">
        <v>25</v>
      </c>
      <c r="J534" t="s">
        <v>86</v>
      </c>
    </row>
    <row r="535" spans="1:10">
      <c r="A535">
        <v>50534</v>
      </c>
      <c r="B535">
        <v>30298</v>
      </c>
      <c r="C535" t="s">
        <v>923</v>
      </c>
      <c r="D535">
        <v>2018</v>
      </c>
      <c r="E535">
        <v>1014</v>
      </c>
      <c r="F535">
        <v>4</v>
      </c>
      <c r="G535" t="s">
        <v>1518</v>
      </c>
      <c r="H535" t="s">
        <v>9</v>
      </c>
      <c r="I535" t="s">
        <v>924</v>
      </c>
      <c r="J535" t="s">
        <v>590</v>
      </c>
    </row>
    <row r="536" spans="1:10">
      <c r="A536">
        <v>50535</v>
      </c>
      <c r="B536">
        <v>30298</v>
      </c>
      <c r="C536" t="s">
        <v>923</v>
      </c>
      <c r="D536">
        <v>2018</v>
      </c>
      <c r="E536">
        <v>1006</v>
      </c>
      <c r="F536">
        <v>1</v>
      </c>
      <c r="G536" t="s">
        <v>1459</v>
      </c>
      <c r="H536" t="s">
        <v>9</v>
      </c>
      <c r="I536" t="s">
        <v>925</v>
      </c>
      <c r="J536" t="s">
        <v>926</v>
      </c>
    </row>
    <row r="537" spans="1:10">
      <c r="A537">
        <v>50536</v>
      </c>
      <c r="B537">
        <v>30298</v>
      </c>
      <c r="C537" t="s">
        <v>480</v>
      </c>
      <c r="D537">
        <v>2018</v>
      </c>
      <c r="E537">
        <v>1004</v>
      </c>
      <c r="F537">
        <v>1</v>
      </c>
      <c r="G537" t="s">
        <v>1452</v>
      </c>
      <c r="H537" t="s">
        <v>9</v>
      </c>
      <c r="I537" t="s">
        <v>149</v>
      </c>
      <c r="J537" t="s">
        <v>927</v>
      </c>
    </row>
    <row r="538" spans="1:10">
      <c r="A538">
        <v>50537</v>
      </c>
      <c r="B538">
        <v>30299</v>
      </c>
      <c r="C538" t="s">
        <v>743</v>
      </c>
      <c r="D538">
        <v>2099</v>
      </c>
      <c r="E538">
        <v>1008</v>
      </c>
      <c r="F538">
        <v>1</v>
      </c>
      <c r="G538" t="s">
        <v>1447</v>
      </c>
      <c r="H538" t="s">
        <v>9</v>
      </c>
      <c r="I538" t="s">
        <v>928</v>
      </c>
      <c r="J538" t="s">
        <v>922</v>
      </c>
    </row>
    <row r="539" spans="1:10">
      <c r="A539">
        <v>50538</v>
      </c>
      <c r="B539">
        <v>30299</v>
      </c>
      <c r="C539" t="s">
        <v>420</v>
      </c>
      <c r="D539">
        <v>2099</v>
      </c>
      <c r="E539">
        <v>1007</v>
      </c>
      <c r="F539">
        <v>1</v>
      </c>
      <c r="G539" t="s">
        <v>1453</v>
      </c>
      <c r="H539" t="s">
        <v>9</v>
      </c>
      <c r="I539" t="s">
        <v>929</v>
      </c>
      <c r="J539" t="s">
        <v>703</v>
      </c>
    </row>
    <row r="540" spans="1:10">
      <c r="A540">
        <v>50539</v>
      </c>
      <c r="B540">
        <v>30300</v>
      </c>
      <c r="C540" t="s">
        <v>53</v>
      </c>
      <c r="D540">
        <v>2540</v>
      </c>
      <c r="E540">
        <v>1012</v>
      </c>
      <c r="F540">
        <v>1</v>
      </c>
      <c r="G540" t="s">
        <v>1449</v>
      </c>
      <c r="H540" t="s">
        <v>9</v>
      </c>
      <c r="I540" t="s">
        <v>242</v>
      </c>
      <c r="J540" t="s">
        <v>383</v>
      </c>
    </row>
    <row r="541" spans="1:10">
      <c r="A541">
        <v>50540</v>
      </c>
      <c r="B541">
        <v>30300</v>
      </c>
      <c r="C541" t="s">
        <v>272</v>
      </c>
      <c r="D541">
        <v>2540</v>
      </c>
      <c r="E541">
        <v>1009</v>
      </c>
      <c r="F541">
        <v>2</v>
      </c>
      <c r="G541" t="s">
        <v>1479</v>
      </c>
      <c r="H541" t="s">
        <v>9</v>
      </c>
      <c r="I541" t="s">
        <v>150</v>
      </c>
      <c r="J541" t="s">
        <v>930</v>
      </c>
    </row>
    <row r="542" spans="1:10">
      <c r="A542">
        <v>50541</v>
      </c>
      <c r="B542">
        <v>30301</v>
      </c>
      <c r="C542" t="s">
        <v>482</v>
      </c>
      <c r="D542">
        <v>2407</v>
      </c>
      <c r="E542">
        <v>1013</v>
      </c>
      <c r="F542">
        <v>1</v>
      </c>
      <c r="G542" t="s">
        <v>1474</v>
      </c>
      <c r="H542" t="s">
        <v>9</v>
      </c>
      <c r="I542" t="s">
        <v>484</v>
      </c>
      <c r="J542" t="s">
        <v>931</v>
      </c>
    </row>
    <row r="543" spans="1:10">
      <c r="A543">
        <v>50542</v>
      </c>
      <c r="B543">
        <v>30302</v>
      </c>
      <c r="C543" t="s">
        <v>726</v>
      </c>
      <c r="D543">
        <v>2471</v>
      </c>
      <c r="E543">
        <v>1008</v>
      </c>
      <c r="F543">
        <v>1</v>
      </c>
      <c r="G543" t="s">
        <v>1447</v>
      </c>
      <c r="H543" t="s">
        <v>9</v>
      </c>
      <c r="I543" t="s">
        <v>423</v>
      </c>
      <c r="J543" t="s">
        <v>932</v>
      </c>
    </row>
    <row r="544" spans="1:10">
      <c r="A544">
        <v>50543</v>
      </c>
      <c r="B544">
        <v>30303</v>
      </c>
      <c r="C544" t="s">
        <v>413</v>
      </c>
      <c r="D544">
        <v>2308</v>
      </c>
      <c r="E544">
        <v>1003</v>
      </c>
      <c r="F544">
        <v>1</v>
      </c>
      <c r="G544" t="s">
        <v>1471</v>
      </c>
      <c r="H544" t="s">
        <v>9</v>
      </c>
      <c r="I544" t="s">
        <v>775</v>
      </c>
      <c r="J544" t="s">
        <v>151</v>
      </c>
    </row>
    <row r="545" spans="1:10">
      <c r="A545">
        <v>50544</v>
      </c>
      <c r="B545">
        <v>30304</v>
      </c>
      <c r="C545" t="s">
        <v>933</v>
      </c>
      <c r="D545">
        <v>2033</v>
      </c>
      <c r="E545">
        <v>1013</v>
      </c>
      <c r="F545">
        <v>2</v>
      </c>
      <c r="G545" t="s">
        <v>1492</v>
      </c>
      <c r="H545" t="s">
        <v>9</v>
      </c>
      <c r="I545" t="s">
        <v>934</v>
      </c>
      <c r="J545" t="s">
        <v>872</v>
      </c>
    </row>
    <row r="546" spans="1:10">
      <c r="A546">
        <v>50545</v>
      </c>
      <c r="B546">
        <v>30305</v>
      </c>
      <c r="C546" t="s">
        <v>485</v>
      </c>
      <c r="D546">
        <v>2387</v>
      </c>
      <c r="E546">
        <v>1002</v>
      </c>
      <c r="F546">
        <v>5</v>
      </c>
      <c r="G546" t="s">
        <v>1526</v>
      </c>
      <c r="H546" t="s">
        <v>9</v>
      </c>
      <c r="I546" t="s">
        <v>935</v>
      </c>
      <c r="J546" t="s">
        <v>936</v>
      </c>
    </row>
    <row r="547" spans="1:10">
      <c r="A547">
        <v>50546</v>
      </c>
      <c r="B547">
        <v>30306</v>
      </c>
      <c r="C547" t="s">
        <v>937</v>
      </c>
      <c r="D547">
        <v>2010</v>
      </c>
      <c r="E547">
        <v>1003</v>
      </c>
      <c r="F547">
        <v>1</v>
      </c>
      <c r="G547" t="s">
        <v>1471</v>
      </c>
      <c r="H547" t="s">
        <v>9</v>
      </c>
      <c r="I547" t="s">
        <v>152</v>
      </c>
      <c r="J547" t="s">
        <v>773</v>
      </c>
    </row>
    <row r="548" spans="1:10">
      <c r="A548">
        <v>50547</v>
      </c>
      <c r="B548">
        <v>30306</v>
      </c>
      <c r="C548" t="s">
        <v>938</v>
      </c>
      <c r="D548">
        <v>2010</v>
      </c>
      <c r="E548">
        <v>1016</v>
      </c>
      <c r="F548">
        <v>3</v>
      </c>
      <c r="G548" t="s">
        <v>1484</v>
      </c>
      <c r="H548" t="s">
        <v>9</v>
      </c>
      <c r="I548" t="s">
        <v>841</v>
      </c>
      <c r="J548" t="s">
        <v>771</v>
      </c>
    </row>
    <row r="549" spans="1:10">
      <c r="A549">
        <v>50548</v>
      </c>
      <c r="B549">
        <v>30306</v>
      </c>
      <c r="C549" t="s">
        <v>937</v>
      </c>
      <c r="D549">
        <v>2010</v>
      </c>
      <c r="E549">
        <v>1014</v>
      </c>
      <c r="F549">
        <v>2</v>
      </c>
      <c r="G549" t="s">
        <v>1475</v>
      </c>
      <c r="H549" t="s">
        <v>9</v>
      </c>
      <c r="I549" t="s">
        <v>772</v>
      </c>
      <c r="J549" t="s">
        <v>328</v>
      </c>
    </row>
    <row r="550" spans="1:10">
      <c r="A550">
        <v>50549</v>
      </c>
      <c r="B550">
        <v>30307</v>
      </c>
      <c r="C550" t="s">
        <v>113</v>
      </c>
      <c r="D550">
        <v>2340</v>
      </c>
      <c r="E550">
        <v>1004</v>
      </c>
      <c r="F550">
        <v>2</v>
      </c>
      <c r="G550" t="s">
        <v>1476</v>
      </c>
      <c r="H550" t="s">
        <v>9</v>
      </c>
      <c r="I550" t="s">
        <v>130</v>
      </c>
      <c r="J550" t="s">
        <v>492</v>
      </c>
    </row>
    <row r="551" spans="1:10">
      <c r="A551">
        <v>50550</v>
      </c>
      <c r="B551">
        <v>30307</v>
      </c>
      <c r="C551" t="s">
        <v>939</v>
      </c>
      <c r="D551">
        <v>2340</v>
      </c>
      <c r="E551">
        <v>1002</v>
      </c>
      <c r="F551">
        <v>2</v>
      </c>
      <c r="G551" t="s">
        <v>1482</v>
      </c>
      <c r="H551" t="s">
        <v>9</v>
      </c>
      <c r="I551" t="s">
        <v>130</v>
      </c>
      <c r="J551" t="s">
        <v>759</v>
      </c>
    </row>
    <row r="552" spans="1:10">
      <c r="A552">
        <v>50551</v>
      </c>
      <c r="B552">
        <v>30307</v>
      </c>
      <c r="C552" t="s">
        <v>939</v>
      </c>
      <c r="D552">
        <v>2340</v>
      </c>
      <c r="E552">
        <v>1008</v>
      </c>
      <c r="F552">
        <v>4</v>
      </c>
      <c r="G552" t="s">
        <v>1503</v>
      </c>
      <c r="H552" t="s">
        <v>9</v>
      </c>
      <c r="I552" t="s">
        <v>940</v>
      </c>
      <c r="J552" t="s">
        <v>118</v>
      </c>
    </row>
    <row r="553" spans="1:10">
      <c r="A553">
        <v>50552</v>
      </c>
      <c r="B553">
        <v>30308</v>
      </c>
      <c r="C553" t="s">
        <v>941</v>
      </c>
      <c r="D553">
        <v>2217</v>
      </c>
      <c r="E553">
        <v>1016</v>
      </c>
      <c r="F553">
        <v>3</v>
      </c>
      <c r="G553" t="s">
        <v>1484</v>
      </c>
      <c r="H553" t="s">
        <v>12</v>
      </c>
      <c r="I553" t="s">
        <v>1421</v>
      </c>
      <c r="J553" t="s">
        <v>1421</v>
      </c>
    </row>
    <row r="554" spans="1:10">
      <c r="A554">
        <v>50553</v>
      </c>
      <c r="B554">
        <v>30309</v>
      </c>
      <c r="C554" t="s">
        <v>442</v>
      </c>
      <c r="D554">
        <v>2278</v>
      </c>
      <c r="E554">
        <v>1003</v>
      </c>
      <c r="F554">
        <v>1</v>
      </c>
      <c r="G554" t="s">
        <v>1471</v>
      </c>
      <c r="H554" t="s">
        <v>9</v>
      </c>
      <c r="I554" t="s">
        <v>942</v>
      </c>
      <c r="J554" t="s">
        <v>693</v>
      </c>
    </row>
    <row r="555" spans="1:10">
      <c r="A555">
        <v>50554</v>
      </c>
      <c r="B555">
        <v>30309</v>
      </c>
      <c r="C555" t="s">
        <v>111</v>
      </c>
      <c r="D555">
        <v>2278</v>
      </c>
      <c r="E555">
        <v>1009</v>
      </c>
      <c r="F555">
        <v>2</v>
      </c>
      <c r="G555" t="s">
        <v>1479</v>
      </c>
      <c r="H555" t="s">
        <v>9</v>
      </c>
      <c r="I555" t="s">
        <v>584</v>
      </c>
      <c r="J555" t="s">
        <v>943</v>
      </c>
    </row>
    <row r="556" spans="1:10">
      <c r="A556">
        <v>50555</v>
      </c>
      <c r="B556">
        <v>30310</v>
      </c>
      <c r="C556" t="s">
        <v>286</v>
      </c>
      <c r="D556">
        <v>2557</v>
      </c>
      <c r="E556">
        <v>1002</v>
      </c>
      <c r="F556">
        <v>2</v>
      </c>
      <c r="G556" t="s">
        <v>1482</v>
      </c>
      <c r="H556" t="s">
        <v>9</v>
      </c>
      <c r="I556" t="s">
        <v>153</v>
      </c>
      <c r="J556" t="s">
        <v>944</v>
      </c>
    </row>
    <row r="557" spans="1:10">
      <c r="A557">
        <v>50556</v>
      </c>
      <c r="B557">
        <v>30311</v>
      </c>
      <c r="C557" t="s">
        <v>154</v>
      </c>
      <c r="D557">
        <v>2184</v>
      </c>
      <c r="E557">
        <v>1011</v>
      </c>
      <c r="F557">
        <v>1</v>
      </c>
      <c r="G557" t="s">
        <v>1472</v>
      </c>
      <c r="H557" t="s">
        <v>12</v>
      </c>
      <c r="I557" t="s">
        <v>1421</v>
      </c>
      <c r="J557" t="s">
        <v>1421</v>
      </c>
    </row>
    <row r="558" spans="1:10">
      <c r="A558">
        <v>50557</v>
      </c>
      <c r="B558">
        <v>30312</v>
      </c>
      <c r="C558" t="s">
        <v>110</v>
      </c>
      <c r="D558">
        <v>2017</v>
      </c>
      <c r="E558">
        <v>1005</v>
      </c>
      <c r="F558">
        <v>1</v>
      </c>
      <c r="G558" t="s">
        <v>1456</v>
      </c>
      <c r="H558" t="s">
        <v>11</v>
      </c>
      <c r="I558" t="s">
        <v>945</v>
      </c>
      <c r="J558" t="s">
        <v>946</v>
      </c>
    </row>
    <row r="559" spans="1:10">
      <c r="A559">
        <v>50558</v>
      </c>
      <c r="B559">
        <v>30312</v>
      </c>
      <c r="C559" t="s">
        <v>110</v>
      </c>
      <c r="D559">
        <v>2017</v>
      </c>
      <c r="E559">
        <v>1013</v>
      </c>
      <c r="F559">
        <v>1</v>
      </c>
      <c r="G559" t="s">
        <v>1474</v>
      </c>
      <c r="H559" t="s">
        <v>11</v>
      </c>
      <c r="I559" t="s">
        <v>117</v>
      </c>
      <c r="J559" t="s">
        <v>947</v>
      </c>
    </row>
    <row r="560" spans="1:10">
      <c r="A560">
        <v>50559</v>
      </c>
      <c r="B560">
        <v>30312</v>
      </c>
      <c r="C560" t="s">
        <v>948</v>
      </c>
      <c r="D560">
        <v>2017</v>
      </c>
      <c r="E560">
        <v>1003</v>
      </c>
      <c r="F560">
        <v>3</v>
      </c>
      <c r="G560" t="s">
        <v>1507</v>
      </c>
      <c r="H560" t="s">
        <v>11</v>
      </c>
      <c r="I560" t="s">
        <v>155</v>
      </c>
      <c r="J560" t="s">
        <v>415</v>
      </c>
    </row>
    <row r="561" spans="1:10">
      <c r="A561">
        <v>50560</v>
      </c>
      <c r="B561">
        <v>30312</v>
      </c>
      <c r="C561" t="s">
        <v>948</v>
      </c>
      <c r="D561">
        <v>2017</v>
      </c>
      <c r="E561">
        <v>1010</v>
      </c>
      <c r="F561">
        <v>2</v>
      </c>
      <c r="G561" t="s">
        <v>1483</v>
      </c>
      <c r="H561" t="s">
        <v>11</v>
      </c>
      <c r="I561" t="s">
        <v>946</v>
      </c>
      <c r="J561" t="s">
        <v>949</v>
      </c>
    </row>
    <row r="562" spans="1:10">
      <c r="A562">
        <v>50561</v>
      </c>
      <c r="B562">
        <v>30313</v>
      </c>
      <c r="C562" t="s">
        <v>534</v>
      </c>
      <c r="D562">
        <v>2167</v>
      </c>
      <c r="E562">
        <v>1013</v>
      </c>
      <c r="F562">
        <v>1</v>
      </c>
      <c r="G562" t="s">
        <v>1474</v>
      </c>
      <c r="H562" t="s">
        <v>9</v>
      </c>
      <c r="I562" t="s">
        <v>407</v>
      </c>
      <c r="J562" t="s">
        <v>400</v>
      </c>
    </row>
    <row r="563" spans="1:10">
      <c r="A563">
        <v>50562</v>
      </c>
      <c r="B563">
        <v>30314</v>
      </c>
      <c r="C563" t="s">
        <v>697</v>
      </c>
      <c r="D563">
        <v>2554</v>
      </c>
      <c r="E563">
        <v>1005</v>
      </c>
      <c r="F563">
        <v>1</v>
      </c>
      <c r="G563" t="s">
        <v>1456</v>
      </c>
      <c r="H563" t="s">
        <v>9</v>
      </c>
      <c r="I563" t="s">
        <v>950</v>
      </c>
      <c r="J563" t="s">
        <v>133</v>
      </c>
    </row>
    <row r="564" spans="1:10">
      <c r="A564">
        <v>50563</v>
      </c>
      <c r="B564">
        <v>30315</v>
      </c>
      <c r="C564" t="s">
        <v>951</v>
      </c>
      <c r="D564">
        <v>2081</v>
      </c>
      <c r="E564">
        <v>1012</v>
      </c>
      <c r="F564">
        <v>1</v>
      </c>
      <c r="G564" t="s">
        <v>1449</v>
      </c>
      <c r="H564" t="s">
        <v>9</v>
      </c>
      <c r="I564" t="s">
        <v>633</v>
      </c>
      <c r="J564" t="s">
        <v>894</v>
      </c>
    </row>
    <row r="565" spans="1:10">
      <c r="A565">
        <v>50564</v>
      </c>
      <c r="B565">
        <v>30316</v>
      </c>
      <c r="C565" t="s">
        <v>357</v>
      </c>
      <c r="D565">
        <v>2055</v>
      </c>
      <c r="E565">
        <v>1008</v>
      </c>
      <c r="F565">
        <v>3</v>
      </c>
      <c r="G565" t="s">
        <v>1491</v>
      </c>
      <c r="H565" t="s">
        <v>9</v>
      </c>
      <c r="I565" t="s">
        <v>360</v>
      </c>
      <c r="J565" t="s">
        <v>51</v>
      </c>
    </row>
    <row r="566" spans="1:10">
      <c r="A566">
        <v>50565</v>
      </c>
      <c r="B566">
        <v>30316</v>
      </c>
      <c r="C566" t="s">
        <v>369</v>
      </c>
      <c r="D566">
        <v>2055</v>
      </c>
      <c r="E566">
        <v>1003</v>
      </c>
      <c r="F566">
        <v>3</v>
      </c>
      <c r="G566" t="s">
        <v>1507</v>
      </c>
      <c r="H566" t="s">
        <v>9</v>
      </c>
      <c r="I566" t="s">
        <v>952</v>
      </c>
      <c r="J566" t="s">
        <v>953</v>
      </c>
    </row>
    <row r="567" spans="1:10">
      <c r="A567">
        <v>50566</v>
      </c>
      <c r="B567">
        <v>30317</v>
      </c>
      <c r="C567" t="s">
        <v>818</v>
      </c>
      <c r="D567">
        <v>2349</v>
      </c>
      <c r="E567">
        <v>1013</v>
      </c>
      <c r="F567">
        <v>1</v>
      </c>
      <c r="G567" t="s">
        <v>1474</v>
      </c>
      <c r="H567" t="s">
        <v>9</v>
      </c>
      <c r="I567" t="s">
        <v>569</v>
      </c>
      <c r="J567" t="s">
        <v>739</v>
      </c>
    </row>
    <row r="568" spans="1:10">
      <c r="A568">
        <v>50567</v>
      </c>
      <c r="B568">
        <v>30318</v>
      </c>
      <c r="C568" t="s">
        <v>589</v>
      </c>
      <c r="D568">
        <v>2335</v>
      </c>
      <c r="E568">
        <v>1009</v>
      </c>
      <c r="F568">
        <v>2</v>
      </c>
      <c r="G568" t="s">
        <v>1479</v>
      </c>
      <c r="H568" t="s">
        <v>9</v>
      </c>
      <c r="I568" t="s">
        <v>260</v>
      </c>
      <c r="J568" t="s">
        <v>954</v>
      </c>
    </row>
    <row r="569" spans="1:10">
      <c r="A569">
        <v>50568</v>
      </c>
      <c r="B569">
        <v>30319</v>
      </c>
      <c r="C569" t="s">
        <v>570</v>
      </c>
      <c r="D569">
        <v>2462</v>
      </c>
      <c r="E569">
        <v>1012</v>
      </c>
      <c r="F569">
        <v>1</v>
      </c>
      <c r="G569" t="s">
        <v>1449</v>
      </c>
      <c r="H569" t="s">
        <v>9</v>
      </c>
      <c r="I569" t="s">
        <v>573</v>
      </c>
      <c r="J569" t="s">
        <v>156</v>
      </c>
    </row>
    <row r="570" spans="1:10">
      <c r="A570">
        <v>50569</v>
      </c>
      <c r="B570">
        <v>30320</v>
      </c>
      <c r="C570" t="s">
        <v>643</v>
      </c>
      <c r="D570">
        <v>2567</v>
      </c>
      <c r="E570">
        <v>1014</v>
      </c>
      <c r="F570">
        <v>1</v>
      </c>
      <c r="G570" t="s">
        <v>1463</v>
      </c>
      <c r="H570" t="s">
        <v>1486</v>
      </c>
      <c r="I570" t="s">
        <v>135</v>
      </c>
      <c r="J570" t="s">
        <v>736</v>
      </c>
    </row>
    <row r="571" spans="1:10">
      <c r="A571">
        <v>50570</v>
      </c>
      <c r="B571">
        <v>30321</v>
      </c>
      <c r="C571" t="s">
        <v>157</v>
      </c>
      <c r="D571">
        <v>2191</v>
      </c>
      <c r="E571">
        <v>1013</v>
      </c>
      <c r="F571">
        <v>2</v>
      </c>
      <c r="G571" t="s">
        <v>1492</v>
      </c>
      <c r="H571" t="s">
        <v>9</v>
      </c>
      <c r="I571" t="s">
        <v>895</v>
      </c>
      <c r="J571" t="s">
        <v>850</v>
      </c>
    </row>
    <row r="572" spans="1:10">
      <c r="A572">
        <v>50571</v>
      </c>
      <c r="B572">
        <v>30322</v>
      </c>
      <c r="C572" t="s">
        <v>955</v>
      </c>
      <c r="D572">
        <v>2088</v>
      </c>
      <c r="E572">
        <v>1010</v>
      </c>
      <c r="F572">
        <v>2</v>
      </c>
      <c r="G572" t="s">
        <v>1483</v>
      </c>
      <c r="H572" t="s">
        <v>16</v>
      </c>
      <c r="I572" t="s">
        <v>1421</v>
      </c>
      <c r="J572" t="s">
        <v>1421</v>
      </c>
    </row>
    <row r="573" spans="1:10">
      <c r="A573">
        <v>50572</v>
      </c>
      <c r="B573">
        <v>30322</v>
      </c>
      <c r="C573" t="s">
        <v>956</v>
      </c>
      <c r="D573">
        <v>2088</v>
      </c>
      <c r="E573">
        <v>1003</v>
      </c>
      <c r="F573">
        <v>3</v>
      </c>
      <c r="G573" t="s">
        <v>1507</v>
      </c>
      <c r="H573" t="s">
        <v>16</v>
      </c>
      <c r="I573" t="s">
        <v>146</v>
      </c>
      <c r="J573" t="s">
        <v>1421</v>
      </c>
    </row>
    <row r="574" spans="1:10">
      <c r="A574">
        <v>50573</v>
      </c>
      <c r="B574">
        <v>30322</v>
      </c>
      <c r="C574" t="s">
        <v>116</v>
      </c>
      <c r="D574">
        <v>2088</v>
      </c>
      <c r="E574">
        <v>1005</v>
      </c>
      <c r="F574">
        <v>2</v>
      </c>
      <c r="G574" t="s">
        <v>1458</v>
      </c>
      <c r="H574" t="s">
        <v>16</v>
      </c>
      <c r="I574" t="s">
        <v>1421</v>
      </c>
      <c r="J574" t="s">
        <v>1421</v>
      </c>
    </row>
    <row r="575" spans="1:10">
      <c r="A575">
        <v>50574</v>
      </c>
      <c r="B575">
        <v>30322</v>
      </c>
      <c r="C575" t="s">
        <v>116</v>
      </c>
      <c r="D575">
        <v>2088</v>
      </c>
      <c r="E575">
        <v>1005</v>
      </c>
      <c r="F575">
        <v>1</v>
      </c>
      <c r="G575" t="s">
        <v>1456</v>
      </c>
      <c r="H575" t="s">
        <v>16</v>
      </c>
      <c r="I575" t="s">
        <v>1421</v>
      </c>
      <c r="J575" t="s">
        <v>1421</v>
      </c>
    </row>
    <row r="576" spans="1:10">
      <c r="A576">
        <v>50575</v>
      </c>
      <c r="B576">
        <v>30323</v>
      </c>
      <c r="C576" t="s">
        <v>158</v>
      </c>
      <c r="D576">
        <v>2325</v>
      </c>
      <c r="E576">
        <v>1003</v>
      </c>
      <c r="F576">
        <v>1</v>
      </c>
      <c r="G576" t="s">
        <v>1471</v>
      </c>
      <c r="H576" t="s">
        <v>9</v>
      </c>
      <c r="I576" t="s">
        <v>907</v>
      </c>
      <c r="J576" t="s">
        <v>374</v>
      </c>
    </row>
    <row r="577" spans="1:10">
      <c r="A577">
        <v>50576</v>
      </c>
      <c r="B577">
        <v>30324</v>
      </c>
      <c r="C577" t="s">
        <v>937</v>
      </c>
      <c r="D577">
        <v>2006</v>
      </c>
      <c r="E577">
        <v>1015</v>
      </c>
      <c r="F577">
        <v>1</v>
      </c>
      <c r="G577" t="s">
        <v>1478</v>
      </c>
      <c r="H577" t="s">
        <v>11</v>
      </c>
      <c r="I577" t="s">
        <v>957</v>
      </c>
      <c r="J577" t="s">
        <v>771</v>
      </c>
    </row>
    <row r="578" spans="1:10">
      <c r="A578">
        <v>50577</v>
      </c>
      <c r="B578">
        <v>30325</v>
      </c>
      <c r="C578" t="s">
        <v>958</v>
      </c>
      <c r="D578">
        <v>2369</v>
      </c>
      <c r="E578">
        <v>1004</v>
      </c>
      <c r="F578">
        <v>1</v>
      </c>
      <c r="G578" t="s">
        <v>1452</v>
      </c>
      <c r="H578" t="s">
        <v>16</v>
      </c>
      <c r="I578" t="s">
        <v>959</v>
      </c>
      <c r="J578" t="s">
        <v>1421</v>
      </c>
    </row>
    <row r="579" spans="1:10">
      <c r="A579">
        <v>50578</v>
      </c>
      <c r="B579">
        <v>30325</v>
      </c>
      <c r="C579" t="s">
        <v>960</v>
      </c>
      <c r="D579">
        <v>2369</v>
      </c>
      <c r="E579">
        <v>1006</v>
      </c>
      <c r="F579">
        <v>2</v>
      </c>
      <c r="G579" t="s">
        <v>1501</v>
      </c>
      <c r="H579" t="s">
        <v>16</v>
      </c>
      <c r="I579" t="s">
        <v>1421</v>
      </c>
      <c r="J579" t="s">
        <v>1421</v>
      </c>
    </row>
    <row r="580" spans="1:10">
      <c r="A580">
        <v>50579</v>
      </c>
      <c r="B580">
        <v>30325</v>
      </c>
      <c r="C580" t="s">
        <v>49</v>
      </c>
      <c r="D580">
        <v>2369</v>
      </c>
      <c r="E580">
        <v>1014</v>
      </c>
      <c r="F580">
        <v>3</v>
      </c>
      <c r="G580" t="s">
        <v>1505</v>
      </c>
      <c r="H580" t="s">
        <v>16</v>
      </c>
      <c r="I580" t="s">
        <v>159</v>
      </c>
      <c r="J580" t="s">
        <v>1421</v>
      </c>
    </row>
    <row r="581" spans="1:10">
      <c r="A581">
        <v>50580</v>
      </c>
      <c r="B581">
        <v>30326</v>
      </c>
      <c r="C581" t="s">
        <v>380</v>
      </c>
      <c r="D581">
        <v>2092</v>
      </c>
      <c r="E581">
        <v>1003</v>
      </c>
      <c r="F581">
        <v>3</v>
      </c>
      <c r="G581" t="s">
        <v>1507</v>
      </c>
      <c r="H581" t="s">
        <v>9</v>
      </c>
      <c r="I581" t="s">
        <v>793</v>
      </c>
      <c r="J581" t="s">
        <v>360</v>
      </c>
    </row>
    <row r="582" spans="1:10">
      <c r="A582">
        <v>50581</v>
      </c>
      <c r="B582">
        <v>30326</v>
      </c>
      <c r="C582" t="s">
        <v>358</v>
      </c>
      <c r="D582">
        <v>2092</v>
      </c>
      <c r="E582">
        <v>1011</v>
      </c>
      <c r="F582">
        <v>1</v>
      </c>
      <c r="G582" t="s">
        <v>1472</v>
      </c>
      <c r="H582" t="s">
        <v>9</v>
      </c>
      <c r="I582" t="s">
        <v>961</v>
      </c>
      <c r="J582" t="s">
        <v>264</v>
      </c>
    </row>
    <row r="583" spans="1:10">
      <c r="A583">
        <v>50582</v>
      </c>
      <c r="B583">
        <v>30326</v>
      </c>
      <c r="C583" t="s">
        <v>962</v>
      </c>
      <c r="D583">
        <v>2092</v>
      </c>
      <c r="E583">
        <v>1013</v>
      </c>
      <c r="F583">
        <v>2</v>
      </c>
      <c r="G583" t="s">
        <v>1492</v>
      </c>
      <c r="H583" t="s">
        <v>9</v>
      </c>
      <c r="I583" t="s">
        <v>961</v>
      </c>
      <c r="J583" t="s">
        <v>953</v>
      </c>
    </row>
    <row r="584" spans="1:10">
      <c r="A584">
        <v>50583</v>
      </c>
      <c r="B584">
        <v>30327</v>
      </c>
      <c r="C584" t="s">
        <v>378</v>
      </c>
      <c r="D584">
        <v>2013</v>
      </c>
      <c r="E584">
        <v>1013</v>
      </c>
      <c r="F584">
        <v>1</v>
      </c>
      <c r="G584" t="s">
        <v>1474</v>
      </c>
      <c r="H584" t="s">
        <v>9</v>
      </c>
      <c r="I584" t="s">
        <v>454</v>
      </c>
      <c r="J584" t="s">
        <v>349</v>
      </c>
    </row>
    <row r="585" spans="1:10">
      <c r="A585">
        <v>50584</v>
      </c>
      <c r="B585">
        <v>30328</v>
      </c>
      <c r="C585" t="s">
        <v>963</v>
      </c>
      <c r="D585">
        <v>2087</v>
      </c>
      <c r="E585">
        <v>1008</v>
      </c>
      <c r="F585">
        <v>1</v>
      </c>
      <c r="G585" t="s">
        <v>1447</v>
      </c>
      <c r="H585" t="s">
        <v>9</v>
      </c>
      <c r="I585" t="s">
        <v>831</v>
      </c>
      <c r="J585" t="s">
        <v>444</v>
      </c>
    </row>
    <row r="586" spans="1:10">
      <c r="A586">
        <v>50585</v>
      </c>
      <c r="B586">
        <v>30329</v>
      </c>
      <c r="C586" t="s">
        <v>417</v>
      </c>
      <c r="D586">
        <v>2586</v>
      </c>
      <c r="E586">
        <v>1013</v>
      </c>
      <c r="F586">
        <v>3</v>
      </c>
      <c r="G586" t="s">
        <v>1490</v>
      </c>
      <c r="H586" t="s">
        <v>9</v>
      </c>
      <c r="I586" t="s">
        <v>836</v>
      </c>
      <c r="J586" t="s">
        <v>65</v>
      </c>
    </row>
    <row r="587" spans="1:10">
      <c r="A587">
        <v>50586</v>
      </c>
      <c r="B587">
        <v>30330</v>
      </c>
      <c r="C587" t="s">
        <v>383</v>
      </c>
      <c r="D587">
        <v>2174</v>
      </c>
      <c r="E587">
        <v>1010</v>
      </c>
      <c r="F587">
        <v>3</v>
      </c>
      <c r="G587" t="s">
        <v>1514</v>
      </c>
      <c r="H587" t="s">
        <v>9</v>
      </c>
      <c r="I587" t="s">
        <v>964</v>
      </c>
      <c r="J587" t="s">
        <v>965</v>
      </c>
    </row>
    <row r="588" spans="1:10">
      <c r="A588">
        <v>50587</v>
      </c>
      <c r="B588">
        <v>30331</v>
      </c>
      <c r="C588" t="s">
        <v>966</v>
      </c>
      <c r="E588">
        <v>1003</v>
      </c>
      <c r="F588">
        <v>1</v>
      </c>
      <c r="G588" t="s">
        <v>1471</v>
      </c>
      <c r="H588" t="s">
        <v>9</v>
      </c>
      <c r="I588" t="s">
        <v>461</v>
      </c>
      <c r="J588" t="s">
        <v>775</v>
      </c>
    </row>
    <row r="589" spans="1:10">
      <c r="A589">
        <v>50588</v>
      </c>
      <c r="B589">
        <v>30331</v>
      </c>
      <c r="C589" t="s">
        <v>423</v>
      </c>
      <c r="D589">
        <v>2275</v>
      </c>
      <c r="E589">
        <v>1006</v>
      </c>
      <c r="F589">
        <v>3</v>
      </c>
      <c r="G589" t="s">
        <v>1493</v>
      </c>
      <c r="H589" t="s">
        <v>9</v>
      </c>
      <c r="I589" t="s">
        <v>271</v>
      </c>
      <c r="J589" t="s">
        <v>774</v>
      </c>
    </row>
    <row r="590" spans="1:10">
      <c r="A590">
        <v>50589</v>
      </c>
      <c r="B590">
        <v>30331</v>
      </c>
      <c r="C590" t="s">
        <v>423</v>
      </c>
      <c r="D590">
        <v>2275</v>
      </c>
      <c r="E590">
        <v>1014</v>
      </c>
      <c r="F590">
        <v>1</v>
      </c>
      <c r="G590" t="s">
        <v>1463</v>
      </c>
      <c r="H590" t="s">
        <v>9</v>
      </c>
      <c r="I590" t="s">
        <v>875</v>
      </c>
      <c r="J590" t="s">
        <v>333</v>
      </c>
    </row>
    <row r="591" spans="1:10">
      <c r="A591">
        <v>50590</v>
      </c>
      <c r="B591">
        <v>30332</v>
      </c>
      <c r="C591" t="s">
        <v>527</v>
      </c>
      <c r="D591">
        <v>2283</v>
      </c>
      <c r="E591">
        <v>1016</v>
      </c>
      <c r="F591">
        <v>1</v>
      </c>
      <c r="G591" t="s">
        <v>1465</v>
      </c>
      <c r="H591" t="s">
        <v>9</v>
      </c>
      <c r="I591" t="s">
        <v>525</v>
      </c>
      <c r="J591" t="s">
        <v>967</v>
      </c>
    </row>
    <row r="592" spans="1:10">
      <c r="A592">
        <v>50591</v>
      </c>
      <c r="B592">
        <v>30333</v>
      </c>
      <c r="C592" t="s">
        <v>550</v>
      </c>
      <c r="D592">
        <v>2079</v>
      </c>
      <c r="E592">
        <v>1008</v>
      </c>
      <c r="F592">
        <v>2</v>
      </c>
      <c r="G592" t="s">
        <v>1520</v>
      </c>
      <c r="H592" t="s">
        <v>9</v>
      </c>
      <c r="I592" t="s">
        <v>591</v>
      </c>
      <c r="J592" t="s">
        <v>271</v>
      </c>
    </row>
    <row r="593" spans="1:10">
      <c r="A593">
        <v>50592</v>
      </c>
      <c r="B593">
        <v>30333</v>
      </c>
      <c r="C593" t="s">
        <v>318</v>
      </c>
      <c r="D593">
        <v>2079</v>
      </c>
      <c r="E593">
        <v>1016</v>
      </c>
      <c r="F593">
        <v>3</v>
      </c>
      <c r="G593" t="s">
        <v>1484</v>
      </c>
      <c r="H593" t="s">
        <v>9</v>
      </c>
      <c r="I593" t="s">
        <v>968</v>
      </c>
      <c r="J593" t="s">
        <v>271</v>
      </c>
    </row>
    <row r="594" spans="1:10">
      <c r="A594">
        <v>50593</v>
      </c>
      <c r="B594">
        <v>30334</v>
      </c>
      <c r="C594" t="s">
        <v>969</v>
      </c>
      <c r="D594">
        <v>2201</v>
      </c>
      <c r="E594">
        <v>1005</v>
      </c>
      <c r="F594">
        <v>5</v>
      </c>
      <c r="G594" t="s">
        <v>1512</v>
      </c>
      <c r="H594" t="s">
        <v>9</v>
      </c>
      <c r="I594" t="s">
        <v>970</v>
      </c>
      <c r="J594" t="s">
        <v>96</v>
      </c>
    </row>
    <row r="595" spans="1:10">
      <c r="A595">
        <v>50594</v>
      </c>
      <c r="B595">
        <v>30334</v>
      </c>
      <c r="C595" t="s">
        <v>886</v>
      </c>
      <c r="D595">
        <v>2201</v>
      </c>
      <c r="E595">
        <v>1010</v>
      </c>
      <c r="F595">
        <v>1</v>
      </c>
      <c r="G595" t="s">
        <v>1468</v>
      </c>
      <c r="H595" t="s">
        <v>9</v>
      </c>
      <c r="I595" t="s">
        <v>626</v>
      </c>
      <c r="J595" t="s">
        <v>96</v>
      </c>
    </row>
    <row r="596" spans="1:10">
      <c r="A596">
        <v>50595</v>
      </c>
      <c r="B596">
        <v>30335</v>
      </c>
      <c r="C596" t="s">
        <v>971</v>
      </c>
      <c r="D596">
        <v>2007</v>
      </c>
      <c r="E596">
        <v>1011</v>
      </c>
      <c r="F596">
        <v>1</v>
      </c>
      <c r="G596" t="s">
        <v>1472</v>
      </c>
      <c r="H596" t="s">
        <v>11</v>
      </c>
      <c r="I596" t="s">
        <v>972</v>
      </c>
      <c r="J596" t="s">
        <v>820</v>
      </c>
    </row>
    <row r="597" spans="1:10">
      <c r="A597">
        <v>50596</v>
      </c>
      <c r="B597">
        <v>30335</v>
      </c>
      <c r="C597" t="s">
        <v>973</v>
      </c>
      <c r="D597">
        <v>2007</v>
      </c>
      <c r="E597">
        <v>1013</v>
      </c>
      <c r="F597">
        <v>2</v>
      </c>
      <c r="G597" t="s">
        <v>1492</v>
      </c>
      <c r="H597" t="s">
        <v>11</v>
      </c>
      <c r="I597" t="s">
        <v>972</v>
      </c>
      <c r="J597" t="s">
        <v>820</v>
      </c>
    </row>
    <row r="598" spans="1:10">
      <c r="A598">
        <v>50597</v>
      </c>
      <c r="B598">
        <v>30335</v>
      </c>
      <c r="C598" t="s">
        <v>973</v>
      </c>
      <c r="D598">
        <v>2007</v>
      </c>
      <c r="E598">
        <v>1011</v>
      </c>
      <c r="F598">
        <v>1</v>
      </c>
      <c r="G598" t="s">
        <v>1472</v>
      </c>
      <c r="H598" t="s">
        <v>11</v>
      </c>
      <c r="I598" t="s">
        <v>425</v>
      </c>
      <c r="J598" t="s">
        <v>974</v>
      </c>
    </row>
    <row r="599" spans="1:10">
      <c r="A599">
        <v>50598</v>
      </c>
      <c r="B599">
        <v>30336</v>
      </c>
      <c r="C599" t="s">
        <v>527</v>
      </c>
      <c r="D599">
        <v>2451</v>
      </c>
      <c r="E599">
        <v>1005</v>
      </c>
      <c r="F599">
        <v>3</v>
      </c>
      <c r="G599" t="s">
        <v>1498</v>
      </c>
      <c r="H599" t="s">
        <v>9</v>
      </c>
      <c r="I599" t="s">
        <v>975</v>
      </c>
      <c r="J599" t="s">
        <v>976</v>
      </c>
    </row>
    <row r="600" spans="1:10">
      <c r="A600">
        <v>50599</v>
      </c>
      <c r="B600">
        <v>30337</v>
      </c>
      <c r="C600" t="s">
        <v>977</v>
      </c>
      <c r="D600">
        <v>2308</v>
      </c>
      <c r="E600">
        <v>1007</v>
      </c>
      <c r="F600">
        <v>5</v>
      </c>
      <c r="G600" t="s">
        <v>1510</v>
      </c>
      <c r="H600" t="s">
        <v>9</v>
      </c>
      <c r="I600" t="s">
        <v>978</v>
      </c>
      <c r="J600" t="s">
        <v>438</v>
      </c>
    </row>
    <row r="601" spans="1:10">
      <c r="A601">
        <v>50600</v>
      </c>
      <c r="B601">
        <v>30337</v>
      </c>
      <c r="C601" t="s">
        <v>160</v>
      </c>
      <c r="D601">
        <v>2308</v>
      </c>
      <c r="E601">
        <v>1016</v>
      </c>
      <c r="F601">
        <v>1</v>
      </c>
      <c r="G601" t="s">
        <v>1421</v>
      </c>
      <c r="H601" t="s">
        <v>9</v>
      </c>
      <c r="I601" t="s">
        <v>77</v>
      </c>
      <c r="J601" t="s">
        <v>964</v>
      </c>
    </row>
    <row r="602" spans="1:10">
      <c r="A602">
        <v>50601</v>
      </c>
      <c r="B602">
        <v>30338</v>
      </c>
      <c r="C602" t="s">
        <v>979</v>
      </c>
      <c r="D602">
        <v>2322</v>
      </c>
      <c r="E602">
        <v>1013</v>
      </c>
      <c r="F602">
        <v>2</v>
      </c>
      <c r="G602" t="s">
        <v>1492</v>
      </c>
      <c r="H602" t="s">
        <v>9</v>
      </c>
      <c r="I602" t="s">
        <v>980</v>
      </c>
      <c r="J602" t="s">
        <v>329</v>
      </c>
    </row>
    <row r="603" spans="1:10">
      <c r="A603">
        <v>50602</v>
      </c>
      <c r="B603">
        <v>30338</v>
      </c>
      <c r="C603" t="s">
        <v>161</v>
      </c>
      <c r="D603">
        <v>2322</v>
      </c>
      <c r="E603">
        <v>1011</v>
      </c>
      <c r="F603">
        <v>1</v>
      </c>
      <c r="G603" t="s">
        <v>1472</v>
      </c>
      <c r="H603" t="s">
        <v>9</v>
      </c>
      <c r="I603" t="s">
        <v>980</v>
      </c>
      <c r="J603" t="s">
        <v>27</v>
      </c>
    </row>
    <row r="604" spans="1:10">
      <c r="A604">
        <v>50603</v>
      </c>
      <c r="B604">
        <v>30339</v>
      </c>
      <c r="C604" t="s">
        <v>13</v>
      </c>
      <c r="D604">
        <v>2299</v>
      </c>
      <c r="E604">
        <v>1016</v>
      </c>
      <c r="F604">
        <v>1</v>
      </c>
      <c r="G604" t="s">
        <v>1465</v>
      </c>
      <c r="H604" t="s">
        <v>9</v>
      </c>
      <c r="I604" t="s">
        <v>981</v>
      </c>
      <c r="J604" t="s">
        <v>982</v>
      </c>
    </row>
    <row r="605" spans="1:10">
      <c r="A605">
        <v>50604</v>
      </c>
      <c r="B605">
        <v>30340</v>
      </c>
      <c r="C605" t="s">
        <v>253</v>
      </c>
      <c r="D605">
        <v>2590</v>
      </c>
      <c r="E605">
        <v>1011</v>
      </c>
      <c r="F605">
        <v>2</v>
      </c>
      <c r="G605" t="s">
        <v>1487</v>
      </c>
      <c r="H605" t="s">
        <v>16</v>
      </c>
      <c r="I605" t="s">
        <v>1421</v>
      </c>
      <c r="J605" t="s">
        <v>1421</v>
      </c>
    </row>
    <row r="606" spans="1:10">
      <c r="A606">
        <v>50605</v>
      </c>
      <c r="B606">
        <v>30340</v>
      </c>
      <c r="C606" t="s">
        <v>451</v>
      </c>
      <c r="D606">
        <v>2590</v>
      </c>
      <c r="E606">
        <v>1013</v>
      </c>
      <c r="F606">
        <v>1</v>
      </c>
      <c r="G606" t="s">
        <v>1474</v>
      </c>
      <c r="H606" t="s">
        <v>16</v>
      </c>
      <c r="I606" t="s">
        <v>1421</v>
      </c>
      <c r="J606" t="s">
        <v>1421</v>
      </c>
    </row>
    <row r="607" spans="1:10">
      <c r="A607">
        <v>50606</v>
      </c>
      <c r="B607">
        <v>30340</v>
      </c>
      <c r="C607" t="s">
        <v>694</v>
      </c>
      <c r="D607">
        <v>2590</v>
      </c>
      <c r="E607">
        <v>1007</v>
      </c>
      <c r="F607">
        <v>1</v>
      </c>
      <c r="G607" t="s">
        <v>1453</v>
      </c>
      <c r="H607" t="s">
        <v>16</v>
      </c>
      <c r="I607" t="s">
        <v>1421</v>
      </c>
      <c r="J607" t="s">
        <v>1421</v>
      </c>
    </row>
    <row r="608" spans="1:10">
      <c r="A608">
        <v>50607</v>
      </c>
      <c r="B608">
        <v>30341</v>
      </c>
      <c r="C608" t="s">
        <v>264</v>
      </c>
      <c r="D608">
        <v>2559</v>
      </c>
      <c r="E608">
        <v>1001</v>
      </c>
      <c r="F608">
        <v>1</v>
      </c>
      <c r="G608" t="s">
        <v>1469</v>
      </c>
      <c r="H608" t="s">
        <v>9</v>
      </c>
      <c r="I608" t="s">
        <v>607</v>
      </c>
      <c r="J608" t="s">
        <v>778</v>
      </c>
    </row>
    <row r="609" spans="1:10">
      <c r="A609">
        <v>50608</v>
      </c>
      <c r="B609">
        <v>30342</v>
      </c>
      <c r="C609" t="s">
        <v>331</v>
      </c>
      <c r="D609">
        <v>2473</v>
      </c>
      <c r="E609">
        <v>1007</v>
      </c>
      <c r="F609">
        <v>3</v>
      </c>
      <c r="G609" t="s">
        <v>1446</v>
      </c>
      <c r="H609" t="s">
        <v>11</v>
      </c>
      <c r="I609" t="s">
        <v>971</v>
      </c>
      <c r="J609" t="s">
        <v>559</v>
      </c>
    </row>
    <row r="610" spans="1:10">
      <c r="A610">
        <v>50609</v>
      </c>
      <c r="B610">
        <v>30343</v>
      </c>
      <c r="C610" t="s">
        <v>299</v>
      </c>
      <c r="D610">
        <v>2449</v>
      </c>
      <c r="E610">
        <v>1003</v>
      </c>
      <c r="F610">
        <v>1</v>
      </c>
      <c r="G610" t="s">
        <v>1471</v>
      </c>
      <c r="H610" t="s">
        <v>16</v>
      </c>
      <c r="I610" t="s">
        <v>1421</v>
      </c>
      <c r="J610" t="s">
        <v>1421</v>
      </c>
    </row>
    <row r="611" spans="1:10">
      <c r="A611">
        <v>50610</v>
      </c>
      <c r="B611">
        <v>30344</v>
      </c>
      <c r="C611" t="s">
        <v>42</v>
      </c>
      <c r="D611">
        <v>2419</v>
      </c>
      <c r="E611">
        <v>1005</v>
      </c>
      <c r="F611">
        <v>1</v>
      </c>
      <c r="G611" t="s">
        <v>1456</v>
      </c>
      <c r="H611" t="s">
        <v>1495</v>
      </c>
      <c r="I611" t="s">
        <v>666</v>
      </c>
      <c r="J611" t="s">
        <v>983</v>
      </c>
    </row>
    <row r="612" spans="1:10">
      <c r="A612">
        <v>50611</v>
      </c>
      <c r="B612">
        <v>30344</v>
      </c>
      <c r="C612" t="s">
        <v>667</v>
      </c>
      <c r="D612">
        <v>2419</v>
      </c>
      <c r="E612">
        <v>1010</v>
      </c>
      <c r="F612">
        <v>3</v>
      </c>
      <c r="G612" t="s">
        <v>1514</v>
      </c>
      <c r="H612" t="s">
        <v>9</v>
      </c>
      <c r="I612" t="s">
        <v>17</v>
      </c>
      <c r="J612" t="s">
        <v>265</v>
      </c>
    </row>
    <row r="613" spans="1:10">
      <c r="A613">
        <v>50612</v>
      </c>
      <c r="B613">
        <v>30345</v>
      </c>
      <c r="C613" t="s">
        <v>984</v>
      </c>
      <c r="D613">
        <v>2248</v>
      </c>
      <c r="E613">
        <v>1005</v>
      </c>
      <c r="F613">
        <v>1</v>
      </c>
      <c r="G613" t="s">
        <v>1456</v>
      </c>
      <c r="H613" t="s">
        <v>9</v>
      </c>
      <c r="I613" t="s">
        <v>985</v>
      </c>
      <c r="J613" t="s">
        <v>112</v>
      </c>
    </row>
    <row r="614" spans="1:10">
      <c r="A614">
        <v>50613</v>
      </c>
      <c r="B614">
        <v>30346</v>
      </c>
      <c r="C614" t="s">
        <v>986</v>
      </c>
      <c r="D614">
        <v>2434</v>
      </c>
      <c r="E614">
        <v>1003</v>
      </c>
      <c r="F614">
        <v>2</v>
      </c>
      <c r="G614" t="s">
        <v>1464</v>
      </c>
      <c r="H614" t="s">
        <v>16</v>
      </c>
      <c r="I614" t="s">
        <v>1421</v>
      </c>
      <c r="J614" t="s">
        <v>1421</v>
      </c>
    </row>
    <row r="615" spans="1:10">
      <c r="A615">
        <v>50614</v>
      </c>
      <c r="B615">
        <v>30346</v>
      </c>
      <c r="C615" t="s">
        <v>987</v>
      </c>
      <c r="D615">
        <v>2434</v>
      </c>
      <c r="E615">
        <v>1016</v>
      </c>
      <c r="F615">
        <v>1</v>
      </c>
      <c r="G615" t="s">
        <v>1465</v>
      </c>
      <c r="H615" t="s">
        <v>16</v>
      </c>
      <c r="I615" t="s">
        <v>1421</v>
      </c>
      <c r="J615" t="s">
        <v>1421</v>
      </c>
    </row>
    <row r="616" spans="1:10">
      <c r="A616">
        <v>50615</v>
      </c>
      <c r="B616">
        <v>30347</v>
      </c>
      <c r="C616" t="s">
        <v>648</v>
      </c>
      <c r="D616">
        <v>2548</v>
      </c>
      <c r="E616">
        <v>1014</v>
      </c>
      <c r="F616">
        <v>4</v>
      </c>
      <c r="G616" t="s">
        <v>1518</v>
      </c>
      <c r="H616" t="s">
        <v>9</v>
      </c>
      <c r="I616" t="s">
        <v>531</v>
      </c>
      <c r="J616" t="s">
        <v>736</v>
      </c>
    </row>
    <row r="617" spans="1:10">
      <c r="A617">
        <v>50616</v>
      </c>
      <c r="B617">
        <v>30347</v>
      </c>
      <c r="C617" t="s">
        <v>644</v>
      </c>
      <c r="D617">
        <v>2548</v>
      </c>
      <c r="E617">
        <v>1002</v>
      </c>
      <c r="F617">
        <v>1</v>
      </c>
      <c r="G617" t="s">
        <v>1466</v>
      </c>
      <c r="H617" t="s">
        <v>9</v>
      </c>
      <c r="I617" t="s">
        <v>988</v>
      </c>
      <c r="J617" t="s">
        <v>652</v>
      </c>
    </row>
    <row r="618" spans="1:10">
      <c r="A618">
        <v>50617</v>
      </c>
      <c r="B618">
        <v>30348</v>
      </c>
      <c r="C618" t="s">
        <v>440</v>
      </c>
      <c r="D618">
        <v>2369</v>
      </c>
      <c r="E618">
        <v>1003</v>
      </c>
      <c r="F618">
        <v>3</v>
      </c>
      <c r="G618" t="s">
        <v>1507</v>
      </c>
      <c r="H618" t="s">
        <v>9</v>
      </c>
      <c r="I618" t="s">
        <v>730</v>
      </c>
      <c r="J618" t="s">
        <v>108</v>
      </c>
    </row>
    <row r="619" spans="1:10">
      <c r="A619">
        <v>50618</v>
      </c>
      <c r="B619">
        <v>30348</v>
      </c>
      <c r="C619" t="s">
        <v>440</v>
      </c>
      <c r="D619">
        <v>2369</v>
      </c>
      <c r="E619">
        <v>1004</v>
      </c>
      <c r="F619">
        <v>1</v>
      </c>
      <c r="G619" t="s">
        <v>1452</v>
      </c>
      <c r="H619" t="s">
        <v>9</v>
      </c>
      <c r="I619" t="s">
        <v>781</v>
      </c>
      <c r="J619" t="s">
        <v>162</v>
      </c>
    </row>
    <row r="620" spans="1:10">
      <c r="A620">
        <v>50619</v>
      </c>
      <c r="B620">
        <v>30349</v>
      </c>
      <c r="C620" t="s">
        <v>70</v>
      </c>
      <c r="D620">
        <v>2255</v>
      </c>
      <c r="E620">
        <v>1012</v>
      </c>
      <c r="F620">
        <v>1</v>
      </c>
      <c r="G620" t="s">
        <v>1449</v>
      </c>
      <c r="H620" t="s">
        <v>9</v>
      </c>
      <c r="I620" t="s">
        <v>138</v>
      </c>
      <c r="J620" t="s">
        <v>989</v>
      </c>
    </row>
    <row r="621" spans="1:10">
      <c r="A621">
        <v>50620</v>
      </c>
      <c r="B621">
        <v>30350</v>
      </c>
      <c r="C621" t="s">
        <v>426</v>
      </c>
      <c r="D621">
        <v>2171</v>
      </c>
      <c r="E621">
        <v>1002</v>
      </c>
      <c r="F621">
        <v>2</v>
      </c>
      <c r="G621" t="s">
        <v>1482</v>
      </c>
      <c r="H621" t="s">
        <v>9</v>
      </c>
      <c r="I621" t="s">
        <v>422</v>
      </c>
      <c r="J621" t="s">
        <v>559</v>
      </c>
    </row>
    <row r="622" spans="1:10">
      <c r="A622">
        <v>50621</v>
      </c>
      <c r="B622">
        <v>30351</v>
      </c>
      <c r="C622" t="s">
        <v>990</v>
      </c>
      <c r="D622">
        <v>2577</v>
      </c>
      <c r="E622">
        <v>1013</v>
      </c>
      <c r="F622">
        <v>2</v>
      </c>
      <c r="G622" t="s">
        <v>1492</v>
      </c>
      <c r="H622" t="s">
        <v>11</v>
      </c>
      <c r="I622" t="s">
        <v>991</v>
      </c>
      <c r="J622" t="s">
        <v>375</v>
      </c>
    </row>
    <row r="623" spans="1:10">
      <c r="A623">
        <v>50622</v>
      </c>
      <c r="B623">
        <v>30352</v>
      </c>
      <c r="C623" t="s">
        <v>550</v>
      </c>
      <c r="D623">
        <v>2340</v>
      </c>
      <c r="E623">
        <v>1014</v>
      </c>
      <c r="F623">
        <v>2</v>
      </c>
      <c r="G623" t="s">
        <v>1475</v>
      </c>
      <c r="H623" t="s">
        <v>11</v>
      </c>
      <c r="I623" t="s">
        <v>395</v>
      </c>
      <c r="J623" t="s">
        <v>992</v>
      </c>
    </row>
    <row r="624" spans="1:10">
      <c r="A624">
        <v>50623</v>
      </c>
      <c r="B624">
        <v>30353</v>
      </c>
      <c r="C624" t="s">
        <v>376</v>
      </c>
      <c r="D624">
        <v>2109</v>
      </c>
      <c r="E624">
        <v>1009</v>
      </c>
      <c r="F624">
        <v>3</v>
      </c>
      <c r="G624" t="s">
        <v>1461</v>
      </c>
      <c r="H624" t="s">
        <v>9</v>
      </c>
      <c r="I624" t="s">
        <v>456</v>
      </c>
      <c r="J624" t="s">
        <v>565</v>
      </c>
    </row>
    <row r="625" spans="1:10">
      <c r="A625">
        <v>50624</v>
      </c>
      <c r="B625">
        <v>30353</v>
      </c>
      <c r="C625" t="s">
        <v>603</v>
      </c>
      <c r="D625">
        <v>2109</v>
      </c>
      <c r="E625">
        <v>1008</v>
      </c>
      <c r="F625">
        <v>1</v>
      </c>
      <c r="G625" t="s">
        <v>1447</v>
      </c>
      <c r="H625" t="s">
        <v>68</v>
      </c>
      <c r="I625" t="s">
        <v>434</v>
      </c>
      <c r="J625" t="s">
        <v>276</v>
      </c>
    </row>
    <row r="626" spans="1:10">
      <c r="A626">
        <v>50625</v>
      </c>
      <c r="B626">
        <v>30354</v>
      </c>
      <c r="C626" t="s">
        <v>270</v>
      </c>
      <c r="D626">
        <v>2523</v>
      </c>
      <c r="E626">
        <v>1008</v>
      </c>
      <c r="F626">
        <v>1</v>
      </c>
      <c r="G626" t="s">
        <v>1447</v>
      </c>
      <c r="H626" t="s">
        <v>9</v>
      </c>
      <c r="I626" t="s">
        <v>993</v>
      </c>
      <c r="J626" t="s">
        <v>994</v>
      </c>
    </row>
    <row r="627" spans="1:10">
      <c r="A627">
        <v>50626</v>
      </c>
      <c r="B627">
        <v>30354</v>
      </c>
      <c r="C627" t="s">
        <v>600</v>
      </c>
      <c r="D627">
        <v>2523</v>
      </c>
      <c r="E627">
        <v>1015</v>
      </c>
      <c r="F627">
        <v>3</v>
      </c>
      <c r="G627" t="s">
        <v>1470</v>
      </c>
      <c r="H627" t="s">
        <v>9</v>
      </c>
      <c r="I627" t="s">
        <v>313</v>
      </c>
      <c r="J627" t="s">
        <v>580</v>
      </c>
    </row>
    <row r="628" spans="1:10">
      <c r="A628">
        <v>50627</v>
      </c>
      <c r="B628">
        <v>30354</v>
      </c>
      <c r="C628" t="s">
        <v>270</v>
      </c>
      <c r="D628">
        <v>2523</v>
      </c>
      <c r="E628">
        <v>1012</v>
      </c>
      <c r="F628">
        <v>2</v>
      </c>
      <c r="G628" t="s">
        <v>1450</v>
      </c>
      <c r="H628" t="s">
        <v>9</v>
      </c>
      <c r="I628" t="s">
        <v>244</v>
      </c>
      <c r="J628" t="s">
        <v>994</v>
      </c>
    </row>
    <row r="629" spans="1:10">
      <c r="A629">
        <v>50628</v>
      </c>
      <c r="B629">
        <v>30354</v>
      </c>
      <c r="C629" t="s">
        <v>600</v>
      </c>
      <c r="D629">
        <v>2523</v>
      </c>
      <c r="E629">
        <v>1013</v>
      </c>
      <c r="F629">
        <v>4</v>
      </c>
      <c r="G629" t="s">
        <v>1523</v>
      </c>
      <c r="H629" t="s">
        <v>9</v>
      </c>
      <c r="I629" t="s">
        <v>37</v>
      </c>
      <c r="J629" t="s">
        <v>601</v>
      </c>
    </row>
    <row r="630" spans="1:10">
      <c r="A630">
        <v>50629</v>
      </c>
      <c r="B630">
        <v>30355</v>
      </c>
      <c r="C630" t="s">
        <v>995</v>
      </c>
      <c r="D630">
        <v>2475</v>
      </c>
      <c r="E630">
        <v>1005</v>
      </c>
      <c r="F630">
        <v>2</v>
      </c>
      <c r="G630" t="s">
        <v>1458</v>
      </c>
      <c r="H630" t="s">
        <v>16</v>
      </c>
      <c r="I630" t="s">
        <v>1421</v>
      </c>
      <c r="J630" t="s">
        <v>1421</v>
      </c>
    </row>
    <row r="631" spans="1:10">
      <c r="A631">
        <v>50630</v>
      </c>
      <c r="B631">
        <v>30356</v>
      </c>
      <c r="C631" t="s">
        <v>852</v>
      </c>
      <c r="D631">
        <v>2026</v>
      </c>
      <c r="E631">
        <v>1010</v>
      </c>
      <c r="F631">
        <v>2</v>
      </c>
      <c r="G631" t="s">
        <v>1483</v>
      </c>
      <c r="H631" t="s">
        <v>9</v>
      </c>
      <c r="I631" t="s">
        <v>996</v>
      </c>
      <c r="J631" t="s">
        <v>52</v>
      </c>
    </row>
    <row r="632" spans="1:10">
      <c r="A632">
        <v>50631</v>
      </c>
      <c r="B632">
        <v>30356</v>
      </c>
      <c r="C632" t="s">
        <v>997</v>
      </c>
      <c r="D632">
        <v>2026</v>
      </c>
      <c r="E632">
        <v>1014</v>
      </c>
      <c r="F632">
        <v>1</v>
      </c>
      <c r="G632" t="s">
        <v>1463</v>
      </c>
      <c r="H632" t="s">
        <v>9</v>
      </c>
      <c r="I632" t="s">
        <v>853</v>
      </c>
      <c r="J632" t="s">
        <v>163</v>
      </c>
    </row>
    <row r="633" spans="1:10">
      <c r="A633">
        <v>50632</v>
      </c>
      <c r="B633">
        <v>30357</v>
      </c>
      <c r="C633" t="s">
        <v>164</v>
      </c>
      <c r="D633">
        <v>2088</v>
      </c>
      <c r="E633">
        <v>1005</v>
      </c>
      <c r="F633">
        <v>1</v>
      </c>
      <c r="G633" t="s">
        <v>1456</v>
      </c>
      <c r="H633" t="s">
        <v>9</v>
      </c>
      <c r="I633" t="s">
        <v>998</v>
      </c>
      <c r="J633" t="s">
        <v>888</v>
      </c>
    </row>
    <row r="634" spans="1:10">
      <c r="A634">
        <v>50633</v>
      </c>
      <c r="B634">
        <v>30357</v>
      </c>
      <c r="C634" t="s">
        <v>537</v>
      </c>
      <c r="D634">
        <v>2088</v>
      </c>
      <c r="E634">
        <v>1012</v>
      </c>
      <c r="F634">
        <v>1</v>
      </c>
      <c r="G634" t="s">
        <v>1449</v>
      </c>
      <c r="H634" t="s">
        <v>9</v>
      </c>
      <c r="I634" t="s">
        <v>821</v>
      </c>
      <c r="J634" t="s">
        <v>999</v>
      </c>
    </row>
    <row r="635" spans="1:10">
      <c r="A635">
        <v>50634</v>
      </c>
      <c r="B635">
        <v>30358</v>
      </c>
      <c r="C635" t="s">
        <v>1000</v>
      </c>
      <c r="D635">
        <v>2320</v>
      </c>
      <c r="E635">
        <v>1007</v>
      </c>
      <c r="F635">
        <v>1</v>
      </c>
      <c r="G635" t="s">
        <v>1453</v>
      </c>
      <c r="H635" t="s">
        <v>9</v>
      </c>
      <c r="I635" t="s">
        <v>631</v>
      </c>
      <c r="J635" t="s">
        <v>575</v>
      </c>
    </row>
    <row r="636" spans="1:10">
      <c r="A636">
        <v>50635</v>
      </c>
      <c r="B636">
        <v>30359</v>
      </c>
      <c r="C636" t="s">
        <v>454</v>
      </c>
      <c r="D636">
        <v>2534</v>
      </c>
      <c r="E636">
        <v>1016</v>
      </c>
      <c r="F636">
        <v>2</v>
      </c>
      <c r="G636" t="s">
        <v>1500</v>
      </c>
      <c r="H636" t="s">
        <v>9</v>
      </c>
      <c r="I636" t="s">
        <v>428</v>
      </c>
      <c r="J636" t="s">
        <v>1001</v>
      </c>
    </row>
    <row r="637" spans="1:10">
      <c r="A637">
        <v>50636</v>
      </c>
      <c r="B637">
        <v>30360</v>
      </c>
      <c r="C637" t="s">
        <v>743</v>
      </c>
      <c r="D637">
        <v>2100</v>
      </c>
      <c r="E637">
        <v>1015</v>
      </c>
      <c r="F637">
        <v>3</v>
      </c>
      <c r="G637" t="s">
        <v>1470</v>
      </c>
      <c r="H637" t="s">
        <v>9</v>
      </c>
      <c r="I637" t="s">
        <v>1002</v>
      </c>
      <c r="J637" t="s">
        <v>165</v>
      </c>
    </row>
    <row r="638" spans="1:10">
      <c r="A638">
        <v>50637</v>
      </c>
      <c r="B638">
        <v>30360</v>
      </c>
      <c r="C638" t="s">
        <v>743</v>
      </c>
      <c r="D638">
        <v>2100</v>
      </c>
      <c r="E638">
        <v>1011</v>
      </c>
      <c r="F638">
        <v>1</v>
      </c>
      <c r="G638" t="s">
        <v>1472</v>
      </c>
      <c r="H638" t="s">
        <v>9</v>
      </c>
      <c r="I638" t="s">
        <v>414</v>
      </c>
      <c r="J638" t="s">
        <v>986</v>
      </c>
    </row>
    <row r="639" spans="1:10">
      <c r="A639">
        <v>50638</v>
      </c>
      <c r="B639">
        <v>30361</v>
      </c>
      <c r="C639" t="s">
        <v>247</v>
      </c>
      <c r="D639">
        <v>2069</v>
      </c>
      <c r="E639">
        <v>1004</v>
      </c>
      <c r="F639">
        <v>1</v>
      </c>
      <c r="G639" t="s">
        <v>1452</v>
      </c>
      <c r="H639" t="s">
        <v>9</v>
      </c>
      <c r="I639" t="s">
        <v>606</v>
      </c>
      <c r="J639" t="s">
        <v>393</v>
      </c>
    </row>
    <row r="640" spans="1:10">
      <c r="A640">
        <v>50639</v>
      </c>
      <c r="B640">
        <v>30362</v>
      </c>
      <c r="C640" t="s">
        <v>1003</v>
      </c>
      <c r="D640">
        <v>2024</v>
      </c>
      <c r="E640">
        <v>1004</v>
      </c>
      <c r="F640">
        <v>2</v>
      </c>
      <c r="G640" t="s">
        <v>1476</v>
      </c>
      <c r="H640" t="s">
        <v>16</v>
      </c>
      <c r="I640" t="s">
        <v>1421</v>
      </c>
      <c r="J640" t="s">
        <v>1421</v>
      </c>
    </row>
    <row r="641" spans="1:10">
      <c r="A641">
        <v>50640</v>
      </c>
      <c r="B641">
        <v>30362</v>
      </c>
      <c r="C641" t="s">
        <v>343</v>
      </c>
      <c r="D641">
        <v>2024</v>
      </c>
      <c r="E641">
        <v>1006</v>
      </c>
      <c r="F641">
        <v>2</v>
      </c>
      <c r="G641" t="s">
        <v>1501</v>
      </c>
      <c r="H641" t="s">
        <v>16</v>
      </c>
      <c r="I641" t="s">
        <v>1421</v>
      </c>
      <c r="J641" t="s">
        <v>1421</v>
      </c>
    </row>
    <row r="642" spans="1:10">
      <c r="A642">
        <v>50641</v>
      </c>
      <c r="B642">
        <v>30363</v>
      </c>
      <c r="C642" t="s">
        <v>1004</v>
      </c>
      <c r="D642">
        <v>2250</v>
      </c>
      <c r="E642">
        <v>1006</v>
      </c>
      <c r="F642">
        <v>1</v>
      </c>
      <c r="G642" t="s">
        <v>1459</v>
      </c>
      <c r="H642" t="s">
        <v>9</v>
      </c>
      <c r="I642" t="s">
        <v>376</v>
      </c>
      <c r="J642" t="s">
        <v>1005</v>
      </c>
    </row>
    <row r="643" spans="1:10">
      <c r="A643">
        <v>50642</v>
      </c>
      <c r="B643">
        <v>30363</v>
      </c>
      <c r="C643" t="s">
        <v>91</v>
      </c>
      <c r="D643">
        <v>2250</v>
      </c>
      <c r="E643">
        <v>1011</v>
      </c>
      <c r="F643">
        <v>2</v>
      </c>
      <c r="G643" t="s">
        <v>1487</v>
      </c>
      <c r="H643" t="s">
        <v>9</v>
      </c>
      <c r="I643" t="s">
        <v>603</v>
      </c>
      <c r="J643" t="s">
        <v>352</v>
      </c>
    </row>
    <row r="644" spans="1:10">
      <c r="A644">
        <v>50643</v>
      </c>
      <c r="B644">
        <v>30364</v>
      </c>
      <c r="C644" t="s">
        <v>577</v>
      </c>
      <c r="D644">
        <v>2574</v>
      </c>
      <c r="E644">
        <v>1015</v>
      </c>
      <c r="F644">
        <v>1</v>
      </c>
      <c r="G644" t="s">
        <v>1478</v>
      </c>
      <c r="H644" t="s">
        <v>9</v>
      </c>
      <c r="I644" t="s">
        <v>411</v>
      </c>
      <c r="J644" t="s">
        <v>1006</v>
      </c>
    </row>
    <row r="645" spans="1:10">
      <c r="A645">
        <v>50644</v>
      </c>
      <c r="B645">
        <v>30364</v>
      </c>
      <c r="C645" t="s">
        <v>1007</v>
      </c>
      <c r="D645">
        <v>2574</v>
      </c>
      <c r="E645">
        <v>1008</v>
      </c>
      <c r="F645">
        <v>1</v>
      </c>
      <c r="G645" t="s">
        <v>1421</v>
      </c>
      <c r="H645" t="s">
        <v>9</v>
      </c>
      <c r="I645" t="s">
        <v>716</v>
      </c>
      <c r="J645" t="s">
        <v>717</v>
      </c>
    </row>
    <row r="646" spans="1:10">
      <c r="A646">
        <v>50645</v>
      </c>
      <c r="B646">
        <v>30364</v>
      </c>
      <c r="C646" t="s">
        <v>1007</v>
      </c>
      <c r="D646">
        <v>2574</v>
      </c>
      <c r="E646">
        <v>1013</v>
      </c>
      <c r="F646">
        <v>3</v>
      </c>
      <c r="G646" t="s">
        <v>1490</v>
      </c>
      <c r="H646" t="s">
        <v>9</v>
      </c>
      <c r="I646" t="s">
        <v>690</v>
      </c>
      <c r="J646" t="s">
        <v>656</v>
      </c>
    </row>
    <row r="647" spans="1:10">
      <c r="A647">
        <v>50646</v>
      </c>
      <c r="B647">
        <v>30365</v>
      </c>
      <c r="C647" t="s">
        <v>1008</v>
      </c>
      <c r="D647">
        <v>2189</v>
      </c>
      <c r="E647">
        <v>1014</v>
      </c>
      <c r="F647">
        <v>1</v>
      </c>
      <c r="G647" t="s">
        <v>1463</v>
      </c>
      <c r="H647" t="s">
        <v>9</v>
      </c>
      <c r="I647" t="s">
        <v>881</v>
      </c>
      <c r="J647" t="s">
        <v>1009</v>
      </c>
    </row>
    <row r="648" spans="1:10">
      <c r="A648">
        <v>50647</v>
      </c>
      <c r="B648">
        <v>30366</v>
      </c>
      <c r="C648" t="s">
        <v>429</v>
      </c>
      <c r="D648">
        <v>2406</v>
      </c>
      <c r="E648">
        <v>1007</v>
      </c>
      <c r="F648">
        <v>1</v>
      </c>
      <c r="G648" t="s">
        <v>1453</v>
      </c>
      <c r="H648" t="s">
        <v>9</v>
      </c>
      <c r="I648" t="s">
        <v>1010</v>
      </c>
      <c r="J648" t="s">
        <v>809</v>
      </c>
    </row>
    <row r="649" spans="1:10">
      <c r="A649">
        <v>50648</v>
      </c>
      <c r="B649">
        <v>30367</v>
      </c>
      <c r="C649" t="s">
        <v>80</v>
      </c>
      <c r="D649">
        <v>2461</v>
      </c>
      <c r="E649">
        <v>1013</v>
      </c>
      <c r="F649">
        <v>1</v>
      </c>
      <c r="G649" t="s">
        <v>1474</v>
      </c>
      <c r="H649" t="s">
        <v>9</v>
      </c>
      <c r="I649" t="s">
        <v>509</v>
      </c>
      <c r="J649" t="s">
        <v>1011</v>
      </c>
    </row>
    <row r="650" spans="1:10">
      <c r="A650">
        <v>50649</v>
      </c>
      <c r="B650">
        <v>30368</v>
      </c>
      <c r="C650" t="s">
        <v>685</v>
      </c>
      <c r="D650">
        <v>2005</v>
      </c>
      <c r="E650">
        <v>1007</v>
      </c>
      <c r="F650">
        <v>2</v>
      </c>
      <c r="G650" t="s">
        <v>1455</v>
      </c>
      <c r="H650" t="s">
        <v>9</v>
      </c>
      <c r="I650" t="s">
        <v>931</v>
      </c>
      <c r="J650" t="s">
        <v>1012</v>
      </c>
    </row>
    <row r="651" spans="1:10">
      <c r="A651">
        <v>50650</v>
      </c>
      <c r="B651">
        <v>30368</v>
      </c>
      <c r="C651" t="s">
        <v>166</v>
      </c>
      <c r="D651">
        <v>2005</v>
      </c>
      <c r="E651">
        <v>1009</v>
      </c>
      <c r="F651">
        <v>2</v>
      </c>
      <c r="G651" t="s">
        <v>1479</v>
      </c>
      <c r="H651" t="s">
        <v>9</v>
      </c>
      <c r="I651" t="s">
        <v>741</v>
      </c>
      <c r="J651" t="s">
        <v>548</v>
      </c>
    </row>
    <row r="652" spans="1:10">
      <c r="A652">
        <v>50651</v>
      </c>
      <c r="B652">
        <v>30369</v>
      </c>
      <c r="C652" t="s">
        <v>1013</v>
      </c>
      <c r="D652">
        <v>2065</v>
      </c>
      <c r="E652">
        <v>1006</v>
      </c>
      <c r="F652">
        <v>1</v>
      </c>
      <c r="G652" t="s">
        <v>1459</v>
      </c>
      <c r="H652" t="s">
        <v>9</v>
      </c>
      <c r="I652" t="s">
        <v>87</v>
      </c>
      <c r="J652" t="s">
        <v>1014</v>
      </c>
    </row>
    <row r="653" spans="1:10">
      <c r="A653">
        <v>50652</v>
      </c>
      <c r="B653">
        <v>30369</v>
      </c>
      <c r="C653" t="s">
        <v>972</v>
      </c>
      <c r="D653">
        <v>2065</v>
      </c>
      <c r="E653">
        <v>1012</v>
      </c>
      <c r="F653">
        <v>1</v>
      </c>
      <c r="G653" t="s">
        <v>1449</v>
      </c>
      <c r="H653" t="s">
        <v>9</v>
      </c>
      <c r="I653" t="s">
        <v>1015</v>
      </c>
      <c r="J653" t="s">
        <v>1016</v>
      </c>
    </row>
    <row r="654" spans="1:10">
      <c r="A654">
        <v>50653</v>
      </c>
      <c r="B654">
        <v>30370</v>
      </c>
      <c r="C654" t="s">
        <v>858</v>
      </c>
      <c r="E654">
        <v>1004</v>
      </c>
      <c r="F654">
        <v>1</v>
      </c>
      <c r="G654" t="s">
        <v>1452</v>
      </c>
      <c r="H654" t="s">
        <v>9</v>
      </c>
      <c r="I654" t="s">
        <v>1017</v>
      </c>
      <c r="J654" t="s">
        <v>145</v>
      </c>
    </row>
    <row r="655" spans="1:10">
      <c r="A655">
        <v>50654</v>
      </c>
      <c r="B655">
        <v>30371</v>
      </c>
      <c r="C655" t="s">
        <v>71</v>
      </c>
      <c r="D655">
        <v>2269</v>
      </c>
      <c r="E655">
        <v>1016</v>
      </c>
      <c r="F655">
        <v>1</v>
      </c>
      <c r="G655" t="s">
        <v>1465</v>
      </c>
      <c r="H655" t="s">
        <v>9</v>
      </c>
      <c r="I655" t="s">
        <v>550</v>
      </c>
      <c r="J655" t="s">
        <v>697</v>
      </c>
    </row>
    <row r="656" spans="1:10">
      <c r="A656">
        <v>50655</v>
      </c>
      <c r="B656">
        <v>30371</v>
      </c>
      <c r="C656" t="s">
        <v>549</v>
      </c>
      <c r="D656">
        <v>2269</v>
      </c>
      <c r="E656">
        <v>1011</v>
      </c>
      <c r="F656">
        <v>3</v>
      </c>
      <c r="G656" t="s">
        <v>1454</v>
      </c>
      <c r="H656" t="s">
        <v>9</v>
      </c>
      <c r="I656" t="s">
        <v>315</v>
      </c>
      <c r="J656" t="s">
        <v>1018</v>
      </c>
    </row>
    <row r="657" spans="1:10">
      <c r="A657">
        <v>50656</v>
      </c>
      <c r="B657">
        <v>30371</v>
      </c>
      <c r="C657" t="s">
        <v>71</v>
      </c>
      <c r="D657">
        <v>2269</v>
      </c>
      <c r="E657">
        <v>1013</v>
      </c>
      <c r="F657">
        <v>2</v>
      </c>
      <c r="G657" t="s">
        <v>1492</v>
      </c>
      <c r="H657" t="s">
        <v>9</v>
      </c>
      <c r="I657" t="s">
        <v>689</v>
      </c>
      <c r="J657" t="s">
        <v>395</v>
      </c>
    </row>
    <row r="658" spans="1:10">
      <c r="A658">
        <v>50657</v>
      </c>
      <c r="B658">
        <v>30372</v>
      </c>
      <c r="C658" t="s">
        <v>534</v>
      </c>
      <c r="D658">
        <v>2402</v>
      </c>
      <c r="E658">
        <v>1012</v>
      </c>
      <c r="F658">
        <v>3</v>
      </c>
      <c r="G658" t="s">
        <v>1448</v>
      </c>
      <c r="H658" t="s">
        <v>9</v>
      </c>
      <c r="I658" t="s">
        <v>1019</v>
      </c>
      <c r="J658" t="s">
        <v>245</v>
      </c>
    </row>
    <row r="659" spans="1:10">
      <c r="A659">
        <v>50658</v>
      </c>
      <c r="B659">
        <v>30372</v>
      </c>
      <c r="C659" t="s">
        <v>408</v>
      </c>
      <c r="D659">
        <v>2402</v>
      </c>
      <c r="E659">
        <v>1012</v>
      </c>
      <c r="F659">
        <v>1</v>
      </c>
      <c r="G659" t="s">
        <v>1449</v>
      </c>
      <c r="H659" t="s">
        <v>9</v>
      </c>
      <c r="I659" t="s">
        <v>367</v>
      </c>
      <c r="J659" t="s">
        <v>816</v>
      </c>
    </row>
    <row r="660" spans="1:10">
      <c r="A660">
        <v>50659</v>
      </c>
      <c r="B660">
        <v>30373</v>
      </c>
      <c r="C660" t="s">
        <v>1020</v>
      </c>
      <c r="D660">
        <v>2469</v>
      </c>
      <c r="E660">
        <v>1010</v>
      </c>
      <c r="F660">
        <v>2</v>
      </c>
      <c r="G660" t="s">
        <v>1483</v>
      </c>
      <c r="H660" t="s">
        <v>9</v>
      </c>
      <c r="I660" t="s">
        <v>167</v>
      </c>
      <c r="J660" t="s">
        <v>1021</v>
      </c>
    </row>
    <row r="661" spans="1:10">
      <c r="A661">
        <v>50660</v>
      </c>
      <c r="B661">
        <v>30373</v>
      </c>
      <c r="C661" t="s">
        <v>645</v>
      </c>
      <c r="D661">
        <v>2469</v>
      </c>
      <c r="E661">
        <v>1003</v>
      </c>
      <c r="F661">
        <v>2</v>
      </c>
      <c r="G661" t="s">
        <v>1464</v>
      </c>
      <c r="H661" t="s">
        <v>9</v>
      </c>
      <c r="I661" t="s">
        <v>133</v>
      </c>
      <c r="J661" t="s">
        <v>638</v>
      </c>
    </row>
    <row r="662" spans="1:10">
      <c r="A662">
        <v>50661</v>
      </c>
      <c r="B662">
        <v>30374</v>
      </c>
      <c r="C662" t="s">
        <v>738</v>
      </c>
      <c r="D662">
        <v>2138</v>
      </c>
      <c r="E662">
        <v>1008</v>
      </c>
      <c r="F662">
        <v>2</v>
      </c>
      <c r="G662" t="s">
        <v>1520</v>
      </c>
      <c r="H662" t="s">
        <v>9</v>
      </c>
      <c r="I662" t="s">
        <v>797</v>
      </c>
      <c r="J662" t="s">
        <v>1022</v>
      </c>
    </row>
    <row r="663" spans="1:10">
      <c r="A663">
        <v>50662</v>
      </c>
      <c r="B663">
        <v>30374</v>
      </c>
      <c r="C663" t="s">
        <v>93</v>
      </c>
      <c r="D663">
        <v>2138</v>
      </c>
      <c r="E663">
        <v>1010</v>
      </c>
      <c r="F663">
        <v>1</v>
      </c>
      <c r="G663" t="s">
        <v>1468</v>
      </c>
      <c r="H663" t="s">
        <v>9</v>
      </c>
      <c r="I663" t="s">
        <v>362</v>
      </c>
      <c r="J663" t="s">
        <v>238</v>
      </c>
    </row>
    <row r="664" spans="1:10">
      <c r="A664">
        <v>50663</v>
      </c>
      <c r="B664">
        <v>30375</v>
      </c>
      <c r="C664" t="s">
        <v>683</v>
      </c>
      <c r="D664">
        <v>2120</v>
      </c>
      <c r="E664">
        <v>1005</v>
      </c>
      <c r="F664">
        <v>1</v>
      </c>
      <c r="G664" t="s">
        <v>1456</v>
      </c>
      <c r="H664" t="s">
        <v>9</v>
      </c>
      <c r="I664" t="s">
        <v>168</v>
      </c>
      <c r="J664" t="s">
        <v>898</v>
      </c>
    </row>
    <row r="665" spans="1:10">
      <c r="A665">
        <v>50664</v>
      </c>
      <c r="B665">
        <v>30376</v>
      </c>
      <c r="C665" t="s">
        <v>364</v>
      </c>
      <c r="D665">
        <v>2524</v>
      </c>
      <c r="E665">
        <v>1005</v>
      </c>
      <c r="F665">
        <v>3</v>
      </c>
      <c r="G665" t="s">
        <v>1498</v>
      </c>
      <c r="H665" t="s">
        <v>9</v>
      </c>
      <c r="I665" t="s">
        <v>575</v>
      </c>
      <c r="J665" t="s">
        <v>660</v>
      </c>
    </row>
    <row r="666" spans="1:10">
      <c r="A666">
        <v>50665</v>
      </c>
      <c r="B666">
        <v>30377</v>
      </c>
      <c r="C666" t="s">
        <v>495</v>
      </c>
      <c r="D666">
        <v>2589</v>
      </c>
      <c r="E666">
        <v>1006</v>
      </c>
      <c r="F666">
        <v>1</v>
      </c>
      <c r="G666" t="s">
        <v>1459</v>
      </c>
      <c r="H666" t="s">
        <v>9</v>
      </c>
      <c r="I666" t="s">
        <v>524</v>
      </c>
      <c r="J666" t="s">
        <v>525</v>
      </c>
    </row>
    <row r="667" spans="1:10">
      <c r="A667">
        <v>50666</v>
      </c>
      <c r="B667">
        <v>30377</v>
      </c>
      <c r="C667" t="s">
        <v>498</v>
      </c>
      <c r="D667">
        <v>2589</v>
      </c>
      <c r="E667">
        <v>1016</v>
      </c>
      <c r="F667">
        <v>2</v>
      </c>
      <c r="G667" t="s">
        <v>1500</v>
      </c>
      <c r="H667" t="s">
        <v>9</v>
      </c>
      <c r="I667" t="s">
        <v>1023</v>
      </c>
      <c r="J667" t="s">
        <v>1024</v>
      </c>
    </row>
    <row r="668" spans="1:10">
      <c r="A668">
        <v>50667</v>
      </c>
      <c r="B668">
        <v>30378</v>
      </c>
      <c r="C668" t="s">
        <v>712</v>
      </c>
      <c r="D668">
        <v>2551</v>
      </c>
      <c r="E668">
        <v>1006</v>
      </c>
      <c r="F668">
        <v>2</v>
      </c>
      <c r="G668" t="s">
        <v>1501</v>
      </c>
      <c r="H668" t="s">
        <v>9</v>
      </c>
      <c r="I668" t="s">
        <v>1025</v>
      </c>
      <c r="J668" t="s">
        <v>62</v>
      </c>
    </row>
    <row r="669" spans="1:10">
      <c r="A669">
        <v>50668</v>
      </c>
      <c r="B669">
        <v>30378</v>
      </c>
      <c r="C669" t="s">
        <v>1026</v>
      </c>
      <c r="D669">
        <v>2551</v>
      </c>
      <c r="E669">
        <v>1006</v>
      </c>
      <c r="F669">
        <v>1</v>
      </c>
      <c r="G669" t="s">
        <v>1459</v>
      </c>
      <c r="H669" t="s">
        <v>9</v>
      </c>
      <c r="I669" t="s">
        <v>378</v>
      </c>
      <c r="J669" t="s">
        <v>349</v>
      </c>
    </row>
    <row r="670" spans="1:10">
      <c r="A670">
        <v>50669</v>
      </c>
      <c r="B670">
        <v>30379</v>
      </c>
      <c r="C670" t="s">
        <v>419</v>
      </c>
      <c r="D670">
        <v>2502</v>
      </c>
      <c r="E670">
        <v>1006</v>
      </c>
      <c r="F670">
        <v>4</v>
      </c>
      <c r="G670" t="s">
        <v>1496</v>
      </c>
      <c r="H670" t="s">
        <v>9</v>
      </c>
      <c r="I670" t="s">
        <v>972</v>
      </c>
      <c r="J670" t="s">
        <v>1027</v>
      </c>
    </row>
    <row r="671" spans="1:10">
      <c r="A671">
        <v>50670</v>
      </c>
      <c r="B671">
        <v>30380</v>
      </c>
      <c r="C671" t="s">
        <v>169</v>
      </c>
      <c r="D671">
        <v>2323</v>
      </c>
      <c r="E671">
        <v>1002</v>
      </c>
      <c r="F671">
        <v>1</v>
      </c>
      <c r="G671" t="s">
        <v>1466</v>
      </c>
      <c r="H671" t="s">
        <v>16</v>
      </c>
      <c r="I671" t="s">
        <v>1421</v>
      </c>
      <c r="J671" t="s">
        <v>1421</v>
      </c>
    </row>
    <row r="672" spans="1:10">
      <c r="A672">
        <v>50671</v>
      </c>
      <c r="B672">
        <v>30380</v>
      </c>
      <c r="C672" t="s">
        <v>169</v>
      </c>
      <c r="D672">
        <v>2323</v>
      </c>
      <c r="E672">
        <v>1001</v>
      </c>
      <c r="F672">
        <v>1</v>
      </c>
      <c r="G672" t="s">
        <v>1469</v>
      </c>
      <c r="H672" t="s">
        <v>16</v>
      </c>
      <c r="I672" t="s">
        <v>1421</v>
      </c>
      <c r="J672" t="s">
        <v>1421</v>
      </c>
    </row>
    <row r="673" spans="1:10">
      <c r="A673">
        <v>50672</v>
      </c>
      <c r="B673">
        <v>30380</v>
      </c>
      <c r="C673" t="s">
        <v>169</v>
      </c>
      <c r="D673">
        <v>2323</v>
      </c>
      <c r="E673">
        <v>1007</v>
      </c>
      <c r="F673">
        <v>1</v>
      </c>
      <c r="G673" t="s">
        <v>1453</v>
      </c>
      <c r="H673" t="s">
        <v>16</v>
      </c>
      <c r="I673" t="s">
        <v>1421</v>
      </c>
      <c r="J673" t="s">
        <v>1421</v>
      </c>
    </row>
    <row r="674" spans="1:10">
      <c r="A674">
        <v>50673</v>
      </c>
      <c r="B674">
        <v>30380</v>
      </c>
      <c r="C674" t="s">
        <v>1028</v>
      </c>
      <c r="D674">
        <v>2323</v>
      </c>
      <c r="E674">
        <v>1016</v>
      </c>
      <c r="F674">
        <v>1</v>
      </c>
      <c r="G674" t="s">
        <v>1465</v>
      </c>
      <c r="H674" t="s">
        <v>16</v>
      </c>
      <c r="I674" t="s">
        <v>1421</v>
      </c>
      <c r="J674" t="s">
        <v>1421</v>
      </c>
    </row>
    <row r="675" spans="1:10">
      <c r="A675">
        <v>50674</v>
      </c>
      <c r="B675">
        <v>30381</v>
      </c>
      <c r="C675" t="s">
        <v>815</v>
      </c>
      <c r="D675">
        <v>2504</v>
      </c>
      <c r="E675">
        <v>1015</v>
      </c>
      <c r="F675">
        <v>1</v>
      </c>
      <c r="G675" t="s">
        <v>1478</v>
      </c>
      <c r="H675" t="s">
        <v>9</v>
      </c>
      <c r="I675" t="s">
        <v>123</v>
      </c>
      <c r="J675" t="s">
        <v>635</v>
      </c>
    </row>
    <row r="676" spans="1:10">
      <c r="A676">
        <v>50675</v>
      </c>
      <c r="B676">
        <v>30382</v>
      </c>
      <c r="C676" t="s">
        <v>78</v>
      </c>
      <c r="D676">
        <v>2501</v>
      </c>
      <c r="E676">
        <v>1001</v>
      </c>
      <c r="F676">
        <v>1</v>
      </c>
      <c r="G676" t="s">
        <v>1469</v>
      </c>
      <c r="H676" t="s">
        <v>9</v>
      </c>
      <c r="I676" t="s">
        <v>495</v>
      </c>
      <c r="J676" t="s">
        <v>1029</v>
      </c>
    </row>
    <row r="677" spans="1:10">
      <c r="A677">
        <v>50676</v>
      </c>
      <c r="B677">
        <v>30383</v>
      </c>
      <c r="C677" t="s">
        <v>290</v>
      </c>
      <c r="D677">
        <v>2226</v>
      </c>
      <c r="E677">
        <v>1009</v>
      </c>
      <c r="F677">
        <v>1</v>
      </c>
      <c r="G677" t="s">
        <v>1473</v>
      </c>
      <c r="H677" t="s">
        <v>9</v>
      </c>
      <c r="I677" t="s">
        <v>292</v>
      </c>
      <c r="J677" t="s">
        <v>908</v>
      </c>
    </row>
    <row r="678" spans="1:10">
      <c r="A678">
        <v>50677</v>
      </c>
      <c r="B678">
        <v>30383</v>
      </c>
      <c r="C678" t="s">
        <v>944</v>
      </c>
      <c r="D678">
        <v>2226</v>
      </c>
      <c r="E678">
        <v>1008</v>
      </c>
      <c r="F678">
        <v>1</v>
      </c>
      <c r="G678" t="s">
        <v>1447</v>
      </c>
      <c r="H678" t="s">
        <v>9</v>
      </c>
      <c r="I678" t="s">
        <v>1030</v>
      </c>
      <c r="J678" t="s">
        <v>636</v>
      </c>
    </row>
    <row r="679" spans="1:10">
      <c r="A679">
        <v>50678</v>
      </c>
      <c r="B679">
        <v>30383</v>
      </c>
      <c r="C679" t="s">
        <v>56</v>
      </c>
      <c r="D679">
        <v>2226</v>
      </c>
      <c r="E679">
        <v>1010</v>
      </c>
      <c r="F679">
        <v>1</v>
      </c>
      <c r="G679" t="s">
        <v>1468</v>
      </c>
      <c r="H679" t="s">
        <v>9</v>
      </c>
      <c r="I679" t="s">
        <v>1031</v>
      </c>
      <c r="J679" t="s">
        <v>908</v>
      </c>
    </row>
    <row r="680" spans="1:10">
      <c r="A680">
        <v>50679</v>
      </c>
      <c r="B680">
        <v>30384</v>
      </c>
      <c r="C680" t="s">
        <v>806</v>
      </c>
      <c r="D680">
        <v>2173</v>
      </c>
      <c r="E680">
        <v>1016</v>
      </c>
      <c r="F680">
        <v>1</v>
      </c>
      <c r="G680" t="s">
        <v>1465</v>
      </c>
      <c r="H680" t="s">
        <v>16</v>
      </c>
      <c r="I680" t="s">
        <v>1421</v>
      </c>
      <c r="J680" t="s">
        <v>1421</v>
      </c>
    </row>
    <row r="681" spans="1:10">
      <c r="A681">
        <v>50680</v>
      </c>
      <c r="B681">
        <v>30384</v>
      </c>
      <c r="C681" t="s">
        <v>806</v>
      </c>
      <c r="D681">
        <v>2173</v>
      </c>
      <c r="E681">
        <v>1004</v>
      </c>
      <c r="F681">
        <v>2</v>
      </c>
      <c r="G681" t="s">
        <v>1476</v>
      </c>
      <c r="H681" t="s">
        <v>16</v>
      </c>
      <c r="I681" t="s">
        <v>1421</v>
      </c>
      <c r="J681" t="s">
        <v>1421</v>
      </c>
    </row>
    <row r="682" spans="1:10">
      <c r="A682">
        <v>50681</v>
      </c>
      <c r="B682">
        <v>30384</v>
      </c>
      <c r="C682" t="s">
        <v>289</v>
      </c>
      <c r="D682">
        <v>2173</v>
      </c>
      <c r="E682">
        <v>1009</v>
      </c>
      <c r="F682">
        <v>3</v>
      </c>
      <c r="G682" t="s">
        <v>1461</v>
      </c>
      <c r="H682" t="s">
        <v>16</v>
      </c>
      <c r="I682" t="s">
        <v>1421</v>
      </c>
      <c r="J682" t="s">
        <v>1421</v>
      </c>
    </row>
    <row r="683" spans="1:10">
      <c r="A683">
        <v>50682</v>
      </c>
      <c r="B683">
        <v>30385</v>
      </c>
      <c r="C683" t="s">
        <v>823</v>
      </c>
      <c r="D683">
        <v>2376</v>
      </c>
      <c r="E683">
        <v>1002</v>
      </c>
      <c r="F683">
        <v>1</v>
      </c>
      <c r="G683" t="s">
        <v>1466</v>
      </c>
      <c r="H683" t="s">
        <v>9</v>
      </c>
      <c r="I683" t="s">
        <v>888</v>
      </c>
      <c r="J683" t="s">
        <v>689</v>
      </c>
    </row>
    <row r="684" spans="1:10">
      <c r="A684">
        <v>50683</v>
      </c>
      <c r="B684">
        <v>30385</v>
      </c>
      <c r="C684" t="s">
        <v>1032</v>
      </c>
      <c r="D684">
        <v>2376</v>
      </c>
      <c r="E684">
        <v>1015</v>
      </c>
      <c r="F684">
        <v>1</v>
      </c>
      <c r="G684" t="s">
        <v>1478</v>
      </c>
      <c r="H684" t="s">
        <v>9</v>
      </c>
      <c r="I684" t="s">
        <v>1033</v>
      </c>
      <c r="J684" t="s">
        <v>689</v>
      </c>
    </row>
    <row r="685" spans="1:10">
      <c r="A685">
        <v>50684</v>
      </c>
      <c r="B685">
        <v>30385</v>
      </c>
      <c r="C685" t="s">
        <v>662</v>
      </c>
      <c r="D685">
        <v>2376</v>
      </c>
      <c r="E685">
        <v>1007</v>
      </c>
      <c r="F685">
        <v>2</v>
      </c>
      <c r="G685" t="s">
        <v>1421</v>
      </c>
      <c r="H685" t="s">
        <v>9</v>
      </c>
      <c r="I685" t="s">
        <v>52</v>
      </c>
      <c r="J685" t="s">
        <v>610</v>
      </c>
    </row>
    <row r="686" spans="1:10">
      <c r="A686">
        <v>50685</v>
      </c>
      <c r="B686">
        <v>30385</v>
      </c>
      <c r="C686" t="s">
        <v>1032</v>
      </c>
      <c r="D686">
        <v>2376</v>
      </c>
      <c r="E686">
        <v>1014</v>
      </c>
      <c r="F686">
        <v>5</v>
      </c>
      <c r="G686" t="s">
        <v>1527</v>
      </c>
      <c r="H686" t="s">
        <v>9</v>
      </c>
      <c r="I686" t="s">
        <v>443</v>
      </c>
      <c r="J686" t="s">
        <v>279</v>
      </c>
    </row>
    <row r="687" spans="1:10">
      <c r="A687">
        <v>50686</v>
      </c>
      <c r="B687">
        <v>30386</v>
      </c>
      <c r="C687" t="s">
        <v>341</v>
      </c>
      <c r="D687">
        <v>2105</v>
      </c>
      <c r="E687">
        <v>1008</v>
      </c>
      <c r="F687">
        <v>4</v>
      </c>
      <c r="G687" t="s">
        <v>1503</v>
      </c>
      <c r="H687" t="s">
        <v>9</v>
      </c>
      <c r="I687" t="s">
        <v>799</v>
      </c>
      <c r="J687" t="s">
        <v>1034</v>
      </c>
    </row>
    <row r="688" spans="1:10">
      <c r="A688">
        <v>50687</v>
      </c>
      <c r="B688">
        <v>30386</v>
      </c>
      <c r="C688" t="s">
        <v>1003</v>
      </c>
      <c r="D688">
        <v>2105</v>
      </c>
      <c r="E688">
        <v>1010</v>
      </c>
      <c r="F688">
        <v>1</v>
      </c>
      <c r="G688" t="s">
        <v>1468</v>
      </c>
      <c r="H688" t="s">
        <v>9</v>
      </c>
      <c r="I688" t="s">
        <v>898</v>
      </c>
      <c r="J688" t="s">
        <v>295</v>
      </c>
    </row>
    <row r="689" spans="1:10">
      <c r="A689">
        <v>50688</v>
      </c>
      <c r="B689">
        <v>30386</v>
      </c>
      <c r="C689" t="s">
        <v>341</v>
      </c>
      <c r="D689">
        <v>2105</v>
      </c>
      <c r="E689">
        <v>1002</v>
      </c>
      <c r="F689">
        <v>1</v>
      </c>
      <c r="G689" t="s">
        <v>1466</v>
      </c>
      <c r="H689" t="s">
        <v>9</v>
      </c>
      <c r="I689" t="s">
        <v>462</v>
      </c>
      <c r="J689" t="s">
        <v>1035</v>
      </c>
    </row>
    <row r="690" spans="1:10">
      <c r="A690">
        <v>50689</v>
      </c>
      <c r="B690">
        <v>30387</v>
      </c>
      <c r="C690" t="s">
        <v>282</v>
      </c>
      <c r="D690">
        <v>2461</v>
      </c>
      <c r="E690">
        <v>1003</v>
      </c>
      <c r="F690">
        <v>5</v>
      </c>
      <c r="G690" t="s">
        <v>1506</v>
      </c>
      <c r="H690" t="s">
        <v>9</v>
      </c>
      <c r="I690" t="s">
        <v>713</v>
      </c>
      <c r="J690" t="s">
        <v>170</v>
      </c>
    </row>
    <row r="691" spans="1:10">
      <c r="A691">
        <v>50690</v>
      </c>
      <c r="B691">
        <v>30387</v>
      </c>
      <c r="C691" t="s">
        <v>246</v>
      </c>
      <c r="D691">
        <v>2461</v>
      </c>
      <c r="E691">
        <v>1015</v>
      </c>
      <c r="F691">
        <v>2</v>
      </c>
      <c r="G691" t="s">
        <v>1488</v>
      </c>
      <c r="H691" t="s">
        <v>9</v>
      </c>
      <c r="I691" t="s">
        <v>920</v>
      </c>
      <c r="J691" t="s">
        <v>939</v>
      </c>
    </row>
    <row r="692" spans="1:10">
      <c r="A692">
        <v>50691</v>
      </c>
      <c r="B692">
        <v>30387</v>
      </c>
      <c r="C692" t="s">
        <v>281</v>
      </c>
      <c r="D692">
        <v>2461</v>
      </c>
      <c r="E692">
        <v>1004</v>
      </c>
      <c r="F692">
        <v>1</v>
      </c>
      <c r="G692" t="s">
        <v>1452</v>
      </c>
      <c r="H692" t="s">
        <v>9</v>
      </c>
      <c r="I692" t="s">
        <v>712</v>
      </c>
      <c r="J692" t="s">
        <v>130</v>
      </c>
    </row>
    <row r="693" spans="1:10">
      <c r="A693">
        <v>50692</v>
      </c>
      <c r="B693">
        <v>30387</v>
      </c>
      <c r="C693" t="s">
        <v>246</v>
      </c>
      <c r="D693">
        <v>2461</v>
      </c>
      <c r="E693">
        <v>1008</v>
      </c>
      <c r="F693">
        <v>1</v>
      </c>
      <c r="G693" t="s">
        <v>1447</v>
      </c>
      <c r="H693" t="s">
        <v>9</v>
      </c>
      <c r="I693" t="s">
        <v>1036</v>
      </c>
      <c r="J693" t="s">
        <v>171</v>
      </c>
    </row>
    <row r="694" spans="1:10">
      <c r="A694">
        <v>50693</v>
      </c>
      <c r="B694">
        <v>30388</v>
      </c>
      <c r="C694" t="s">
        <v>1037</v>
      </c>
      <c r="D694">
        <v>2215</v>
      </c>
      <c r="E694">
        <v>1012</v>
      </c>
      <c r="F694">
        <v>2</v>
      </c>
      <c r="G694" t="s">
        <v>1450</v>
      </c>
      <c r="H694" t="s">
        <v>16</v>
      </c>
      <c r="I694" t="s">
        <v>1421</v>
      </c>
      <c r="J694" t="s">
        <v>1421</v>
      </c>
    </row>
    <row r="695" spans="1:10">
      <c r="A695">
        <v>50694</v>
      </c>
      <c r="B695">
        <v>30389</v>
      </c>
      <c r="C695" t="s">
        <v>579</v>
      </c>
      <c r="D695">
        <v>2439</v>
      </c>
      <c r="E695">
        <v>1005</v>
      </c>
      <c r="F695">
        <v>1</v>
      </c>
      <c r="G695" t="s">
        <v>1456</v>
      </c>
      <c r="H695" t="s">
        <v>9</v>
      </c>
      <c r="I695" t="s">
        <v>160</v>
      </c>
      <c r="J695" t="s">
        <v>1038</v>
      </c>
    </row>
    <row r="696" spans="1:10">
      <c r="A696">
        <v>50695</v>
      </c>
      <c r="B696">
        <v>30390</v>
      </c>
      <c r="C696" t="s">
        <v>1017</v>
      </c>
      <c r="D696">
        <v>2212</v>
      </c>
      <c r="E696">
        <v>1002</v>
      </c>
      <c r="F696">
        <v>1</v>
      </c>
      <c r="G696" t="s">
        <v>1466</v>
      </c>
      <c r="H696" t="s">
        <v>16</v>
      </c>
      <c r="I696" t="s">
        <v>1421</v>
      </c>
      <c r="J696" t="s">
        <v>1421</v>
      </c>
    </row>
    <row r="697" spans="1:10">
      <c r="A697">
        <v>50696</v>
      </c>
      <c r="B697">
        <v>30390</v>
      </c>
      <c r="C697" t="s">
        <v>1017</v>
      </c>
      <c r="D697">
        <v>2212</v>
      </c>
      <c r="E697">
        <v>1009</v>
      </c>
      <c r="F697">
        <v>1</v>
      </c>
      <c r="G697" t="s">
        <v>1473</v>
      </c>
      <c r="H697" t="s">
        <v>36</v>
      </c>
      <c r="I697" t="s">
        <v>1421</v>
      </c>
      <c r="J697" t="s">
        <v>1421</v>
      </c>
    </row>
    <row r="698" spans="1:10">
      <c r="A698">
        <v>50697</v>
      </c>
      <c r="B698">
        <v>30390</v>
      </c>
      <c r="C698" t="s">
        <v>1017</v>
      </c>
      <c r="D698">
        <v>2212</v>
      </c>
      <c r="E698">
        <v>1006</v>
      </c>
      <c r="F698">
        <v>2</v>
      </c>
      <c r="G698" t="s">
        <v>1501</v>
      </c>
      <c r="H698" t="s">
        <v>16</v>
      </c>
      <c r="I698" t="s">
        <v>1421</v>
      </c>
      <c r="J698" t="s">
        <v>1421</v>
      </c>
    </row>
    <row r="699" spans="1:10">
      <c r="A699">
        <v>50698</v>
      </c>
      <c r="B699">
        <v>30391</v>
      </c>
      <c r="C699" t="s">
        <v>317</v>
      </c>
      <c r="D699">
        <v>2300</v>
      </c>
      <c r="E699">
        <v>1009</v>
      </c>
      <c r="F699">
        <v>1</v>
      </c>
      <c r="G699" t="s">
        <v>1473</v>
      </c>
      <c r="H699" t="s">
        <v>9</v>
      </c>
      <c r="I699" t="s">
        <v>172</v>
      </c>
      <c r="J699" t="s">
        <v>852</v>
      </c>
    </row>
    <row r="700" spans="1:10">
      <c r="A700">
        <v>50699</v>
      </c>
      <c r="B700">
        <v>30391</v>
      </c>
      <c r="C700" t="s">
        <v>367</v>
      </c>
      <c r="D700">
        <v>2300</v>
      </c>
      <c r="E700">
        <v>1004</v>
      </c>
      <c r="F700">
        <v>1</v>
      </c>
      <c r="G700" t="s">
        <v>1452</v>
      </c>
      <c r="H700" t="s">
        <v>9</v>
      </c>
      <c r="I700" t="s">
        <v>321</v>
      </c>
      <c r="J700" t="s">
        <v>830</v>
      </c>
    </row>
    <row r="701" spans="1:10">
      <c r="A701">
        <v>50700</v>
      </c>
      <c r="B701">
        <v>30392</v>
      </c>
      <c r="C701" t="s">
        <v>142</v>
      </c>
      <c r="D701">
        <v>2139</v>
      </c>
      <c r="E701">
        <v>1014</v>
      </c>
      <c r="F701">
        <v>1</v>
      </c>
      <c r="G701" t="s">
        <v>1463</v>
      </c>
      <c r="H701" t="s">
        <v>11</v>
      </c>
      <c r="I701" t="s">
        <v>1039</v>
      </c>
      <c r="J701" t="s">
        <v>1040</v>
      </c>
    </row>
    <row r="702" spans="1:10">
      <c r="A702">
        <v>50701</v>
      </c>
      <c r="B702">
        <v>30393</v>
      </c>
      <c r="C702" t="s">
        <v>1024</v>
      </c>
      <c r="D702">
        <v>2061</v>
      </c>
      <c r="E702">
        <v>1005</v>
      </c>
      <c r="F702">
        <v>3</v>
      </c>
      <c r="G702" t="s">
        <v>1498</v>
      </c>
      <c r="H702" t="s">
        <v>11</v>
      </c>
      <c r="I702" t="s">
        <v>967</v>
      </c>
      <c r="J702" t="s">
        <v>1041</v>
      </c>
    </row>
    <row r="703" spans="1:10">
      <c r="A703">
        <v>50702</v>
      </c>
      <c r="B703">
        <v>30394</v>
      </c>
      <c r="C703" t="s">
        <v>973</v>
      </c>
      <c r="D703">
        <v>2136</v>
      </c>
      <c r="E703">
        <v>1011</v>
      </c>
      <c r="F703">
        <v>1</v>
      </c>
      <c r="G703" t="s">
        <v>1472</v>
      </c>
      <c r="H703" t="s">
        <v>9</v>
      </c>
      <c r="I703" t="s">
        <v>420</v>
      </c>
      <c r="J703" t="s">
        <v>761</v>
      </c>
    </row>
    <row r="704" spans="1:10">
      <c r="A704">
        <v>50703</v>
      </c>
      <c r="B704">
        <v>30395</v>
      </c>
      <c r="C704" t="s">
        <v>979</v>
      </c>
      <c r="D704">
        <v>2254</v>
      </c>
      <c r="E704">
        <v>1013</v>
      </c>
      <c r="F704">
        <v>3</v>
      </c>
      <c r="G704" t="s">
        <v>1490</v>
      </c>
      <c r="H704" t="s">
        <v>16</v>
      </c>
      <c r="I704" t="s">
        <v>1421</v>
      </c>
      <c r="J704" t="s">
        <v>1421</v>
      </c>
    </row>
    <row r="705" spans="1:10">
      <c r="A705">
        <v>50704</v>
      </c>
      <c r="B705">
        <v>30395</v>
      </c>
      <c r="C705" t="s">
        <v>766</v>
      </c>
      <c r="D705">
        <v>2254</v>
      </c>
      <c r="E705">
        <v>1009</v>
      </c>
      <c r="F705">
        <v>1</v>
      </c>
      <c r="G705" t="s">
        <v>1473</v>
      </c>
      <c r="H705" t="s">
        <v>16</v>
      </c>
      <c r="I705" t="s">
        <v>1421</v>
      </c>
      <c r="J705" t="s">
        <v>1421</v>
      </c>
    </row>
    <row r="706" spans="1:10">
      <c r="A706">
        <v>50705</v>
      </c>
      <c r="B706">
        <v>30395</v>
      </c>
      <c r="C706" t="s">
        <v>766</v>
      </c>
      <c r="D706">
        <v>2254</v>
      </c>
      <c r="E706">
        <v>1013</v>
      </c>
      <c r="F706">
        <v>1</v>
      </c>
      <c r="G706" t="s">
        <v>1474</v>
      </c>
      <c r="H706" t="s">
        <v>16</v>
      </c>
      <c r="I706" t="s">
        <v>1421</v>
      </c>
      <c r="J706" t="s">
        <v>1421</v>
      </c>
    </row>
    <row r="707" spans="1:10">
      <c r="A707">
        <v>50706</v>
      </c>
      <c r="B707">
        <v>30396</v>
      </c>
      <c r="C707" t="s">
        <v>462</v>
      </c>
      <c r="D707">
        <v>2096</v>
      </c>
      <c r="E707">
        <v>1009</v>
      </c>
      <c r="F707">
        <v>1</v>
      </c>
      <c r="G707" t="s">
        <v>1473</v>
      </c>
      <c r="H707" t="s">
        <v>9</v>
      </c>
      <c r="I707" t="s">
        <v>1042</v>
      </c>
      <c r="J707" t="s">
        <v>748</v>
      </c>
    </row>
    <row r="708" spans="1:10">
      <c r="A708">
        <v>50707</v>
      </c>
      <c r="B708">
        <v>30396</v>
      </c>
      <c r="C708" t="s">
        <v>254</v>
      </c>
      <c r="D708">
        <v>2096</v>
      </c>
      <c r="E708">
        <v>1012</v>
      </c>
      <c r="F708">
        <v>2</v>
      </c>
      <c r="G708" t="s">
        <v>1450</v>
      </c>
      <c r="H708" t="s">
        <v>68</v>
      </c>
      <c r="I708" t="s">
        <v>468</v>
      </c>
      <c r="J708" t="s">
        <v>1042</v>
      </c>
    </row>
    <row r="709" spans="1:10">
      <c r="A709">
        <v>50708</v>
      </c>
      <c r="B709">
        <v>30397</v>
      </c>
      <c r="C709" t="s">
        <v>751</v>
      </c>
      <c r="D709">
        <v>2466</v>
      </c>
      <c r="E709">
        <v>1011</v>
      </c>
      <c r="F709">
        <v>4</v>
      </c>
      <c r="G709" t="s">
        <v>1499</v>
      </c>
      <c r="H709" t="s">
        <v>11</v>
      </c>
      <c r="I709" t="s">
        <v>55</v>
      </c>
      <c r="J709" t="s">
        <v>405</v>
      </c>
    </row>
    <row r="710" spans="1:10">
      <c r="A710">
        <v>50709</v>
      </c>
      <c r="B710">
        <v>30397</v>
      </c>
      <c r="C710" t="s">
        <v>124</v>
      </c>
      <c r="D710">
        <v>2466</v>
      </c>
      <c r="E710">
        <v>1001</v>
      </c>
      <c r="F710">
        <v>1</v>
      </c>
      <c r="G710" t="s">
        <v>1469</v>
      </c>
      <c r="H710" t="s">
        <v>11</v>
      </c>
      <c r="I710" t="s">
        <v>487</v>
      </c>
      <c r="J710" t="s">
        <v>777</v>
      </c>
    </row>
    <row r="711" spans="1:10">
      <c r="A711">
        <v>50710</v>
      </c>
      <c r="B711">
        <v>30398</v>
      </c>
      <c r="C711" t="s">
        <v>358</v>
      </c>
      <c r="D711">
        <v>2096</v>
      </c>
      <c r="E711">
        <v>1015</v>
      </c>
      <c r="F711">
        <v>1</v>
      </c>
      <c r="G711" t="s">
        <v>1478</v>
      </c>
      <c r="H711" t="s">
        <v>9</v>
      </c>
      <c r="I711" t="s">
        <v>368</v>
      </c>
      <c r="J711" t="s">
        <v>357</v>
      </c>
    </row>
    <row r="712" spans="1:10">
      <c r="A712">
        <v>50711</v>
      </c>
      <c r="B712">
        <v>30399</v>
      </c>
      <c r="C712" t="s">
        <v>1043</v>
      </c>
      <c r="D712">
        <v>2367</v>
      </c>
      <c r="E712">
        <v>1013</v>
      </c>
      <c r="F712">
        <v>1</v>
      </c>
      <c r="G712" t="s">
        <v>1474</v>
      </c>
      <c r="H712" t="s">
        <v>16</v>
      </c>
      <c r="I712" t="s">
        <v>1034</v>
      </c>
      <c r="J712" t="s">
        <v>1421</v>
      </c>
    </row>
    <row r="713" spans="1:10">
      <c r="A713">
        <v>50712</v>
      </c>
      <c r="B713">
        <v>30399</v>
      </c>
      <c r="C713" t="s">
        <v>626</v>
      </c>
      <c r="D713">
        <v>2367</v>
      </c>
      <c r="E713">
        <v>1014</v>
      </c>
      <c r="F713">
        <v>2</v>
      </c>
      <c r="G713" t="s">
        <v>1475</v>
      </c>
      <c r="H713" t="s">
        <v>16</v>
      </c>
      <c r="I713" t="s">
        <v>1421</v>
      </c>
      <c r="J713" t="s">
        <v>1421</v>
      </c>
    </row>
    <row r="714" spans="1:10">
      <c r="A714">
        <v>50713</v>
      </c>
      <c r="B714">
        <v>30400</v>
      </c>
      <c r="C714" t="s">
        <v>281</v>
      </c>
      <c r="D714">
        <v>2507</v>
      </c>
      <c r="E714">
        <v>1010</v>
      </c>
      <c r="F714">
        <v>2</v>
      </c>
      <c r="G714" t="s">
        <v>1483</v>
      </c>
      <c r="H714" t="s">
        <v>9</v>
      </c>
      <c r="I714" t="s">
        <v>712</v>
      </c>
      <c r="J714" t="s">
        <v>173</v>
      </c>
    </row>
    <row r="715" spans="1:10">
      <c r="A715">
        <v>50714</v>
      </c>
      <c r="B715">
        <v>30400</v>
      </c>
      <c r="C715" t="s">
        <v>282</v>
      </c>
      <c r="D715">
        <v>2507</v>
      </c>
      <c r="E715">
        <v>1011</v>
      </c>
      <c r="F715">
        <v>2</v>
      </c>
      <c r="G715" t="s">
        <v>1487</v>
      </c>
      <c r="H715" t="s">
        <v>9</v>
      </c>
      <c r="I715" t="s">
        <v>1036</v>
      </c>
      <c r="J715" t="s">
        <v>920</v>
      </c>
    </row>
    <row r="716" spans="1:10">
      <c r="A716">
        <v>50715</v>
      </c>
      <c r="B716">
        <v>30401</v>
      </c>
      <c r="C716" t="s">
        <v>1044</v>
      </c>
      <c r="D716">
        <v>2561</v>
      </c>
      <c r="E716">
        <v>1016</v>
      </c>
      <c r="F716">
        <v>1</v>
      </c>
      <c r="G716" t="s">
        <v>1465</v>
      </c>
      <c r="H716" t="s">
        <v>9</v>
      </c>
      <c r="I716" t="s">
        <v>1045</v>
      </c>
      <c r="J716" t="s">
        <v>309</v>
      </c>
    </row>
    <row r="717" spans="1:10">
      <c r="A717">
        <v>50716</v>
      </c>
      <c r="B717">
        <v>30401</v>
      </c>
      <c r="C717" t="s">
        <v>704</v>
      </c>
      <c r="D717">
        <v>2561</v>
      </c>
      <c r="E717">
        <v>1011</v>
      </c>
      <c r="F717">
        <v>1</v>
      </c>
      <c r="G717" t="s">
        <v>1472</v>
      </c>
      <c r="H717" t="s">
        <v>1457</v>
      </c>
      <c r="I717" t="s">
        <v>116</v>
      </c>
      <c r="J717" t="s">
        <v>1046</v>
      </c>
    </row>
    <row r="718" spans="1:10">
      <c r="A718">
        <v>50717</v>
      </c>
      <c r="B718">
        <v>30402</v>
      </c>
      <c r="C718" t="s">
        <v>1047</v>
      </c>
      <c r="D718">
        <v>2050</v>
      </c>
      <c r="E718">
        <v>1015</v>
      </c>
      <c r="F718">
        <v>1</v>
      </c>
      <c r="G718" t="s">
        <v>1478</v>
      </c>
      <c r="H718" t="s">
        <v>9</v>
      </c>
      <c r="I718" t="s">
        <v>675</v>
      </c>
      <c r="J718" t="s">
        <v>756</v>
      </c>
    </row>
    <row r="719" spans="1:10">
      <c r="A719">
        <v>50718</v>
      </c>
      <c r="B719">
        <v>30403</v>
      </c>
      <c r="C719" t="s">
        <v>18</v>
      </c>
      <c r="D719">
        <v>2017</v>
      </c>
      <c r="E719">
        <v>1006</v>
      </c>
      <c r="F719">
        <v>4</v>
      </c>
      <c r="G719" t="s">
        <v>1528</v>
      </c>
      <c r="H719" t="s">
        <v>9</v>
      </c>
      <c r="I719" t="s">
        <v>1037</v>
      </c>
      <c r="J719" t="s">
        <v>462</v>
      </c>
    </row>
    <row r="720" spans="1:10">
      <c r="A720">
        <v>50719</v>
      </c>
      <c r="B720">
        <v>30404</v>
      </c>
      <c r="C720" t="s">
        <v>577</v>
      </c>
      <c r="D720">
        <v>2452</v>
      </c>
      <c r="E720">
        <v>1014</v>
      </c>
      <c r="F720">
        <v>4</v>
      </c>
      <c r="G720" t="s">
        <v>1518</v>
      </c>
      <c r="H720" t="s">
        <v>9</v>
      </c>
      <c r="I720" t="s">
        <v>930</v>
      </c>
      <c r="J720" t="s">
        <v>1048</v>
      </c>
    </row>
    <row r="721" spans="1:10">
      <c r="A721">
        <v>50720</v>
      </c>
      <c r="B721">
        <v>30404</v>
      </c>
      <c r="C721" t="s">
        <v>771</v>
      </c>
      <c r="D721">
        <v>2452</v>
      </c>
      <c r="E721">
        <v>1007</v>
      </c>
      <c r="F721">
        <v>2</v>
      </c>
      <c r="G721" t="s">
        <v>1455</v>
      </c>
      <c r="H721" t="s">
        <v>9</v>
      </c>
      <c r="I721" t="s">
        <v>728</v>
      </c>
      <c r="J721" t="s">
        <v>174</v>
      </c>
    </row>
    <row r="722" spans="1:10">
      <c r="A722">
        <v>50721</v>
      </c>
      <c r="B722">
        <v>30404</v>
      </c>
      <c r="C722" t="s">
        <v>771</v>
      </c>
      <c r="D722">
        <v>2452</v>
      </c>
      <c r="E722">
        <v>1005</v>
      </c>
      <c r="F722">
        <v>3</v>
      </c>
      <c r="G722" t="s">
        <v>1498</v>
      </c>
      <c r="H722" t="s">
        <v>9</v>
      </c>
      <c r="I722" t="s">
        <v>562</v>
      </c>
      <c r="J722" t="s">
        <v>723</v>
      </c>
    </row>
    <row r="723" spans="1:10">
      <c r="A723">
        <v>50722</v>
      </c>
      <c r="B723">
        <v>30405</v>
      </c>
      <c r="C723" t="s">
        <v>252</v>
      </c>
      <c r="D723">
        <v>2310</v>
      </c>
      <c r="E723">
        <v>1009</v>
      </c>
      <c r="F723">
        <v>3</v>
      </c>
      <c r="G723" t="s">
        <v>1461</v>
      </c>
      <c r="H723" t="s">
        <v>9</v>
      </c>
      <c r="I723" t="s">
        <v>571</v>
      </c>
      <c r="J723" t="s">
        <v>108</v>
      </c>
    </row>
    <row r="724" spans="1:10">
      <c r="A724">
        <v>50723</v>
      </c>
      <c r="B724">
        <v>30406</v>
      </c>
      <c r="C724" t="s">
        <v>46</v>
      </c>
      <c r="D724">
        <v>2096</v>
      </c>
      <c r="E724">
        <v>1009</v>
      </c>
      <c r="F724">
        <v>1</v>
      </c>
      <c r="G724" t="s">
        <v>1473</v>
      </c>
      <c r="H724" t="s">
        <v>9</v>
      </c>
      <c r="I724" t="s">
        <v>175</v>
      </c>
      <c r="J724" t="s">
        <v>346</v>
      </c>
    </row>
    <row r="725" spans="1:10">
      <c r="A725">
        <v>50724</v>
      </c>
      <c r="B725">
        <v>30406</v>
      </c>
      <c r="C725" t="s">
        <v>796</v>
      </c>
      <c r="D725">
        <v>2096</v>
      </c>
      <c r="E725">
        <v>1003</v>
      </c>
      <c r="F725">
        <v>1</v>
      </c>
      <c r="G725" t="s">
        <v>1471</v>
      </c>
      <c r="H725" t="s">
        <v>9</v>
      </c>
      <c r="I725" t="s">
        <v>175</v>
      </c>
      <c r="J725" t="s">
        <v>977</v>
      </c>
    </row>
    <row r="726" spans="1:10">
      <c r="A726">
        <v>50725</v>
      </c>
      <c r="B726">
        <v>30407</v>
      </c>
      <c r="C726" t="s">
        <v>1049</v>
      </c>
      <c r="D726">
        <v>2381</v>
      </c>
      <c r="E726">
        <v>1006</v>
      </c>
      <c r="F726">
        <v>3</v>
      </c>
      <c r="G726" t="s">
        <v>1493</v>
      </c>
      <c r="H726" t="s">
        <v>9</v>
      </c>
      <c r="I726" t="s">
        <v>564</v>
      </c>
      <c r="J726" t="s">
        <v>1050</v>
      </c>
    </row>
    <row r="727" spans="1:10">
      <c r="A727">
        <v>50726</v>
      </c>
      <c r="B727">
        <v>30407</v>
      </c>
      <c r="C727" t="s">
        <v>1049</v>
      </c>
      <c r="D727">
        <v>2381</v>
      </c>
      <c r="E727">
        <v>1002</v>
      </c>
      <c r="F727">
        <v>1</v>
      </c>
      <c r="G727" t="s">
        <v>1466</v>
      </c>
      <c r="H727" t="s">
        <v>9</v>
      </c>
      <c r="I727" t="s">
        <v>74</v>
      </c>
      <c r="J727" t="s">
        <v>176</v>
      </c>
    </row>
    <row r="728" spans="1:10">
      <c r="A728">
        <v>50727</v>
      </c>
      <c r="B728">
        <v>30408</v>
      </c>
      <c r="C728" t="s">
        <v>1051</v>
      </c>
      <c r="D728">
        <v>2406</v>
      </c>
      <c r="E728">
        <v>1008</v>
      </c>
      <c r="F728">
        <v>2</v>
      </c>
      <c r="G728" t="s">
        <v>1520</v>
      </c>
      <c r="H728" t="s">
        <v>9</v>
      </c>
      <c r="I728" t="s">
        <v>151</v>
      </c>
      <c r="J728" t="s">
        <v>681</v>
      </c>
    </row>
    <row r="729" spans="1:10">
      <c r="A729">
        <v>50728</v>
      </c>
      <c r="B729">
        <v>30408</v>
      </c>
      <c r="C729" t="s">
        <v>646</v>
      </c>
      <c r="D729">
        <v>2406</v>
      </c>
      <c r="E729">
        <v>1014</v>
      </c>
      <c r="F729">
        <v>1</v>
      </c>
      <c r="G729" t="s">
        <v>1463</v>
      </c>
      <c r="H729" t="s">
        <v>9</v>
      </c>
      <c r="I729" t="s">
        <v>177</v>
      </c>
      <c r="J729" t="s">
        <v>681</v>
      </c>
    </row>
    <row r="730" spans="1:10">
      <c r="A730">
        <v>50729</v>
      </c>
      <c r="B730">
        <v>30408</v>
      </c>
      <c r="C730" t="s">
        <v>178</v>
      </c>
      <c r="D730">
        <v>2406</v>
      </c>
      <c r="E730">
        <v>1003</v>
      </c>
      <c r="F730">
        <v>1</v>
      </c>
      <c r="G730" t="s">
        <v>1471</v>
      </c>
      <c r="H730" t="s">
        <v>9</v>
      </c>
      <c r="I730" t="s">
        <v>177</v>
      </c>
      <c r="J730" t="s">
        <v>1052</v>
      </c>
    </row>
    <row r="731" spans="1:10">
      <c r="A731">
        <v>50730</v>
      </c>
      <c r="B731">
        <v>30408</v>
      </c>
      <c r="C731" t="s">
        <v>1051</v>
      </c>
      <c r="D731">
        <v>2406</v>
      </c>
      <c r="E731">
        <v>1004</v>
      </c>
      <c r="F731">
        <v>2</v>
      </c>
      <c r="G731" t="s">
        <v>1476</v>
      </c>
      <c r="H731" t="s">
        <v>9</v>
      </c>
      <c r="I731" t="s">
        <v>1053</v>
      </c>
      <c r="J731" t="s">
        <v>528</v>
      </c>
    </row>
    <row r="732" spans="1:10">
      <c r="A732">
        <v>50731</v>
      </c>
      <c r="B732">
        <v>30409</v>
      </c>
      <c r="C732" t="s">
        <v>1054</v>
      </c>
      <c r="D732">
        <v>2002</v>
      </c>
      <c r="E732">
        <v>1003</v>
      </c>
      <c r="F732">
        <v>3</v>
      </c>
      <c r="G732" t="s">
        <v>1507</v>
      </c>
      <c r="H732" t="s">
        <v>9</v>
      </c>
      <c r="I732" t="s">
        <v>50</v>
      </c>
      <c r="J732" t="s">
        <v>354</v>
      </c>
    </row>
    <row r="733" spans="1:10">
      <c r="A733">
        <v>50732</v>
      </c>
      <c r="B733">
        <v>30410</v>
      </c>
      <c r="C733" t="s">
        <v>889</v>
      </c>
      <c r="D733">
        <v>2136</v>
      </c>
      <c r="E733">
        <v>1015</v>
      </c>
      <c r="F733">
        <v>4</v>
      </c>
      <c r="G733" t="s">
        <v>1521</v>
      </c>
      <c r="H733" t="s">
        <v>1495</v>
      </c>
      <c r="I733" t="s">
        <v>549</v>
      </c>
      <c r="J733" t="s">
        <v>318</v>
      </c>
    </row>
    <row r="734" spans="1:10">
      <c r="A734">
        <v>50733</v>
      </c>
      <c r="B734">
        <v>30410</v>
      </c>
      <c r="C734" t="s">
        <v>278</v>
      </c>
      <c r="D734">
        <v>2136</v>
      </c>
      <c r="E734">
        <v>1001</v>
      </c>
      <c r="F734">
        <v>2</v>
      </c>
      <c r="G734" t="s">
        <v>1460</v>
      </c>
      <c r="H734" t="s">
        <v>9</v>
      </c>
      <c r="I734" t="s">
        <v>546</v>
      </c>
      <c r="J734" t="s">
        <v>402</v>
      </c>
    </row>
    <row r="735" spans="1:10">
      <c r="A735">
        <v>50734</v>
      </c>
      <c r="B735">
        <v>30411</v>
      </c>
      <c r="C735" t="s">
        <v>986</v>
      </c>
      <c r="D735">
        <v>2009</v>
      </c>
      <c r="E735">
        <v>1004</v>
      </c>
      <c r="F735">
        <v>2</v>
      </c>
      <c r="G735" t="s">
        <v>1476</v>
      </c>
      <c r="H735" t="s">
        <v>9</v>
      </c>
      <c r="I735" t="s">
        <v>497</v>
      </c>
      <c r="J735" t="s">
        <v>975</v>
      </c>
    </row>
    <row r="736" spans="1:10">
      <c r="A736">
        <v>50735</v>
      </c>
      <c r="B736">
        <v>30412</v>
      </c>
      <c r="C736" t="s">
        <v>1003</v>
      </c>
      <c r="D736">
        <v>2433</v>
      </c>
      <c r="E736">
        <v>1016</v>
      </c>
      <c r="F736">
        <v>1</v>
      </c>
      <c r="G736" t="s">
        <v>1465</v>
      </c>
      <c r="H736" t="s">
        <v>9</v>
      </c>
      <c r="I736" t="s">
        <v>621</v>
      </c>
      <c r="J736" t="s">
        <v>941</v>
      </c>
    </row>
    <row r="737" spans="1:10">
      <c r="A737">
        <v>50736</v>
      </c>
      <c r="B737">
        <v>30413</v>
      </c>
      <c r="C737" t="s">
        <v>1055</v>
      </c>
      <c r="D737">
        <v>2073</v>
      </c>
      <c r="E737">
        <v>1003</v>
      </c>
      <c r="F737">
        <v>3</v>
      </c>
      <c r="G737" t="s">
        <v>1507</v>
      </c>
      <c r="H737" t="s">
        <v>9</v>
      </c>
      <c r="I737" t="s">
        <v>808</v>
      </c>
      <c r="J737" t="s">
        <v>237</v>
      </c>
    </row>
    <row r="738" spans="1:10">
      <c r="A738">
        <v>50737</v>
      </c>
      <c r="B738">
        <v>30414</v>
      </c>
      <c r="C738" t="s">
        <v>971</v>
      </c>
      <c r="D738">
        <v>2105</v>
      </c>
      <c r="E738">
        <v>1012</v>
      </c>
      <c r="F738">
        <v>1</v>
      </c>
      <c r="G738" t="s">
        <v>1449</v>
      </c>
      <c r="H738" t="s">
        <v>9</v>
      </c>
      <c r="I738" t="s">
        <v>557</v>
      </c>
      <c r="J738" t="s">
        <v>1023</v>
      </c>
    </row>
    <row r="739" spans="1:10">
      <c r="A739">
        <v>50738</v>
      </c>
      <c r="B739">
        <v>30414</v>
      </c>
      <c r="C739" t="s">
        <v>1056</v>
      </c>
      <c r="D739">
        <v>2105</v>
      </c>
      <c r="E739">
        <v>1010</v>
      </c>
      <c r="F739">
        <v>2</v>
      </c>
      <c r="G739" t="s">
        <v>1483</v>
      </c>
      <c r="H739" t="s">
        <v>9</v>
      </c>
      <c r="I739" t="s">
        <v>425</v>
      </c>
      <c r="J739" t="s">
        <v>1057</v>
      </c>
    </row>
    <row r="740" spans="1:10">
      <c r="A740">
        <v>50739</v>
      </c>
      <c r="B740">
        <v>30414</v>
      </c>
      <c r="C740" t="s">
        <v>932</v>
      </c>
      <c r="D740">
        <v>2105</v>
      </c>
      <c r="E740">
        <v>1005</v>
      </c>
      <c r="F740">
        <v>3</v>
      </c>
      <c r="G740" t="s">
        <v>1498</v>
      </c>
      <c r="H740" t="s">
        <v>9</v>
      </c>
      <c r="I740" t="s">
        <v>1057</v>
      </c>
      <c r="J740" t="s">
        <v>1014</v>
      </c>
    </row>
    <row r="741" spans="1:10">
      <c r="A741">
        <v>50740</v>
      </c>
      <c r="B741">
        <v>30415</v>
      </c>
      <c r="C741" t="s">
        <v>334</v>
      </c>
      <c r="D741">
        <v>2392</v>
      </c>
      <c r="E741">
        <v>1005</v>
      </c>
      <c r="F741">
        <v>2</v>
      </c>
      <c r="G741" t="s">
        <v>1458</v>
      </c>
      <c r="H741" t="s">
        <v>16</v>
      </c>
      <c r="I741" t="s">
        <v>1421</v>
      </c>
      <c r="J741" t="s">
        <v>1421</v>
      </c>
    </row>
    <row r="742" spans="1:10">
      <c r="A742">
        <v>50741</v>
      </c>
      <c r="B742">
        <v>30416</v>
      </c>
      <c r="C742" t="s">
        <v>1058</v>
      </c>
      <c r="D742">
        <v>2147</v>
      </c>
      <c r="E742">
        <v>1001</v>
      </c>
      <c r="F742">
        <v>1</v>
      </c>
      <c r="G742" t="s">
        <v>1469</v>
      </c>
      <c r="H742" t="s">
        <v>9</v>
      </c>
      <c r="I742" t="s">
        <v>1059</v>
      </c>
      <c r="J742" t="s">
        <v>289</v>
      </c>
    </row>
    <row r="743" spans="1:10">
      <c r="A743">
        <v>50742</v>
      </c>
      <c r="B743">
        <v>30417</v>
      </c>
      <c r="C743" t="s">
        <v>162</v>
      </c>
      <c r="D743">
        <v>2169</v>
      </c>
      <c r="E743">
        <v>1007</v>
      </c>
      <c r="F743">
        <v>1</v>
      </c>
      <c r="G743" t="s">
        <v>1453</v>
      </c>
      <c r="H743" t="s">
        <v>9</v>
      </c>
      <c r="I743" t="s">
        <v>963</v>
      </c>
      <c r="J743" t="s">
        <v>1060</v>
      </c>
    </row>
    <row r="744" spans="1:10">
      <c r="A744">
        <v>50743</v>
      </c>
      <c r="B744">
        <v>30418</v>
      </c>
      <c r="C744" t="s">
        <v>396</v>
      </c>
      <c r="D744">
        <v>2156</v>
      </c>
      <c r="E744">
        <v>1015</v>
      </c>
      <c r="F744">
        <v>2</v>
      </c>
      <c r="G744" t="s">
        <v>1488</v>
      </c>
      <c r="H744" t="s">
        <v>12</v>
      </c>
      <c r="I744" t="s">
        <v>1421</v>
      </c>
      <c r="J744" t="s">
        <v>1421</v>
      </c>
    </row>
    <row r="745" spans="1:10">
      <c r="A745">
        <v>50744</v>
      </c>
      <c r="B745">
        <v>30419</v>
      </c>
      <c r="C745" t="s">
        <v>648</v>
      </c>
      <c r="D745">
        <v>2223</v>
      </c>
      <c r="E745">
        <v>1004</v>
      </c>
      <c r="F745">
        <v>1</v>
      </c>
      <c r="G745" t="s">
        <v>1452</v>
      </c>
      <c r="H745" t="s">
        <v>9</v>
      </c>
      <c r="I745" t="s">
        <v>178</v>
      </c>
      <c r="J745" t="s">
        <v>338</v>
      </c>
    </row>
    <row r="746" spans="1:10">
      <c r="A746">
        <v>50745</v>
      </c>
      <c r="B746">
        <v>30419</v>
      </c>
      <c r="C746" t="s">
        <v>1061</v>
      </c>
      <c r="D746">
        <v>2223</v>
      </c>
      <c r="E746">
        <v>1005</v>
      </c>
      <c r="F746">
        <v>1</v>
      </c>
      <c r="G746" t="s">
        <v>1456</v>
      </c>
      <c r="H746" t="s">
        <v>9</v>
      </c>
      <c r="I746" t="s">
        <v>531</v>
      </c>
      <c r="J746" t="s">
        <v>1062</v>
      </c>
    </row>
    <row r="747" spans="1:10">
      <c r="A747">
        <v>50746</v>
      </c>
      <c r="B747">
        <v>30420</v>
      </c>
      <c r="C747" t="s">
        <v>1047</v>
      </c>
      <c r="D747">
        <v>2127</v>
      </c>
      <c r="E747">
        <v>1013</v>
      </c>
      <c r="F747">
        <v>3</v>
      </c>
      <c r="G747" t="s">
        <v>1490</v>
      </c>
      <c r="H747" t="s">
        <v>9</v>
      </c>
      <c r="I747" t="s">
        <v>674</v>
      </c>
      <c r="J747" t="s">
        <v>938</v>
      </c>
    </row>
    <row r="748" spans="1:10">
      <c r="A748">
        <v>50747</v>
      </c>
      <c r="B748">
        <v>30421</v>
      </c>
      <c r="C748" t="s">
        <v>1036</v>
      </c>
      <c r="D748">
        <v>2360</v>
      </c>
      <c r="E748">
        <v>1011</v>
      </c>
      <c r="F748">
        <v>1</v>
      </c>
      <c r="G748" t="s">
        <v>1472</v>
      </c>
      <c r="H748" t="s">
        <v>11</v>
      </c>
      <c r="I748" t="s">
        <v>929</v>
      </c>
      <c r="J748" t="s">
        <v>744</v>
      </c>
    </row>
    <row r="749" spans="1:10">
      <c r="A749">
        <v>50748</v>
      </c>
      <c r="B749">
        <v>30421</v>
      </c>
      <c r="C749" t="s">
        <v>1036</v>
      </c>
      <c r="D749">
        <v>2360</v>
      </c>
      <c r="E749">
        <v>1005</v>
      </c>
      <c r="F749">
        <v>1</v>
      </c>
      <c r="G749" t="s">
        <v>1456</v>
      </c>
      <c r="H749" t="s">
        <v>11</v>
      </c>
      <c r="I749" t="s">
        <v>366</v>
      </c>
      <c r="J749" t="s">
        <v>1063</v>
      </c>
    </row>
    <row r="750" spans="1:10">
      <c r="A750">
        <v>50749</v>
      </c>
      <c r="B750">
        <v>30422</v>
      </c>
      <c r="C750" t="s">
        <v>933</v>
      </c>
      <c r="D750">
        <v>2254</v>
      </c>
      <c r="E750">
        <v>1003</v>
      </c>
      <c r="F750">
        <v>2</v>
      </c>
      <c r="G750" t="s">
        <v>1464</v>
      </c>
      <c r="H750" t="s">
        <v>68</v>
      </c>
      <c r="I750" t="s">
        <v>1017</v>
      </c>
      <c r="J750" t="s">
        <v>939</v>
      </c>
    </row>
    <row r="751" spans="1:10">
      <c r="A751">
        <v>50750</v>
      </c>
      <c r="B751">
        <v>30423</v>
      </c>
      <c r="C751" t="s">
        <v>681</v>
      </c>
      <c r="D751">
        <v>2255</v>
      </c>
      <c r="E751">
        <v>1010</v>
      </c>
      <c r="F751">
        <v>2</v>
      </c>
      <c r="G751" t="s">
        <v>1483</v>
      </c>
      <c r="H751" t="s">
        <v>9</v>
      </c>
      <c r="I751" t="s">
        <v>93</v>
      </c>
      <c r="J751" t="s">
        <v>245</v>
      </c>
    </row>
    <row r="752" spans="1:10">
      <c r="A752">
        <v>50751</v>
      </c>
      <c r="B752">
        <v>30423</v>
      </c>
      <c r="C752" t="s">
        <v>338</v>
      </c>
      <c r="D752">
        <v>2255</v>
      </c>
      <c r="E752">
        <v>1001</v>
      </c>
      <c r="F752">
        <v>2</v>
      </c>
      <c r="G752" t="s">
        <v>1460</v>
      </c>
      <c r="H752" t="s">
        <v>9</v>
      </c>
      <c r="I752" t="s">
        <v>342</v>
      </c>
      <c r="J752" t="s">
        <v>569</v>
      </c>
    </row>
    <row r="753" spans="1:10">
      <c r="A753">
        <v>50752</v>
      </c>
      <c r="B753">
        <v>30424</v>
      </c>
      <c r="C753" t="s">
        <v>590</v>
      </c>
      <c r="D753">
        <v>2309</v>
      </c>
      <c r="E753">
        <v>1007</v>
      </c>
      <c r="F753">
        <v>5</v>
      </c>
      <c r="G753" t="s">
        <v>1510</v>
      </c>
      <c r="H753" t="s">
        <v>9</v>
      </c>
      <c r="I753" t="s">
        <v>179</v>
      </c>
      <c r="J753" t="s">
        <v>977</v>
      </c>
    </row>
    <row r="754" spans="1:10">
      <c r="A754">
        <v>50753</v>
      </c>
      <c r="B754">
        <v>30424</v>
      </c>
      <c r="C754" t="s">
        <v>590</v>
      </c>
      <c r="D754">
        <v>2309</v>
      </c>
      <c r="E754">
        <v>1013</v>
      </c>
      <c r="F754">
        <v>1</v>
      </c>
      <c r="G754" t="s">
        <v>1474</v>
      </c>
      <c r="H754" t="s">
        <v>9</v>
      </c>
      <c r="I754" t="s">
        <v>401</v>
      </c>
      <c r="J754" t="s">
        <v>505</v>
      </c>
    </row>
    <row r="755" spans="1:10">
      <c r="A755">
        <v>50754</v>
      </c>
      <c r="B755">
        <v>30424</v>
      </c>
      <c r="C755" t="s">
        <v>590</v>
      </c>
      <c r="D755">
        <v>2309</v>
      </c>
      <c r="E755">
        <v>1010</v>
      </c>
      <c r="F755">
        <v>1</v>
      </c>
      <c r="G755" t="s">
        <v>1468</v>
      </c>
      <c r="H755" t="s">
        <v>9</v>
      </c>
      <c r="I755" t="s">
        <v>401</v>
      </c>
      <c r="J755" t="s">
        <v>29</v>
      </c>
    </row>
    <row r="756" spans="1:10">
      <c r="A756">
        <v>50755</v>
      </c>
      <c r="B756">
        <v>30425</v>
      </c>
      <c r="C756" t="s">
        <v>237</v>
      </c>
      <c r="D756">
        <v>2056</v>
      </c>
      <c r="E756">
        <v>1008</v>
      </c>
      <c r="F756">
        <v>1</v>
      </c>
      <c r="G756" t="s">
        <v>1447</v>
      </c>
      <c r="H756" t="s">
        <v>16</v>
      </c>
      <c r="I756" t="s">
        <v>1421</v>
      </c>
      <c r="J756" t="s">
        <v>1421</v>
      </c>
    </row>
    <row r="757" spans="1:10">
      <c r="A757">
        <v>50756</v>
      </c>
      <c r="B757">
        <v>30426</v>
      </c>
      <c r="C757" t="s">
        <v>180</v>
      </c>
      <c r="D757">
        <v>2116</v>
      </c>
      <c r="E757">
        <v>1003</v>
      </c>
      <c r="F757">
        <v>1</v>
      </c>
      <c r="G757" t="s">
        <v>1471</v>
      </c>
      <c r="H757" t="s">
        <v>9</v>
      </c>
      <c r="I757" t="s">
        <v>80</v>
      </c>
      <c r="J757" t="s">
        <v>1064</v>
      </c>
    </row>
    <row r="758" spans="1:10">
      <c r="A758">
        <v>50757</v>
      </c>
      <c r="B758">
        <v>30426</v>
      </c>
      <c r="C758" t="s">
        <v>1065</v>
      </c>
      <c r="D758">
        <v>2116</v>
      </c>
      <c r="E758">
        <v>1001</v>
      </c>
      <c r="F758">
        <v>4</v>
      </c>
      <c r="G758" t="s">
        <v>1525</v>
      </c>
      <c r="H758" t="s">
        <v>9</v>
      </c>
      <c r="I758" t="s">
        <v>909</v>
      </c>
      <c r="J758" t="s">
        <v>1066</v>
      </c>
    </row>
    <row r="759" spans="1:10">
      <c r="A759">
        <v>50758</v>
      </c>
      <c r="B759">
        <v>30426</v>
      </c>
      <c r="C759" t="s">
        <v>180</v>
      </c>
      <c r="D759">
        <v>2116</v>
      </c>
      <c r="E759">
        <v>1012</v>
      </c>
      <c r="F759">
        <v>1</v>
      </c>
      <c r="G759" t="s">
        <v>1449</v>
      </c>
      <c r="H759" t="s">
        <v>9</v>
      </c>
      <c r="I759" t="s">
        <v>909</v>
      </c>
      <c r="J759" t="s">
        <v>436</v>
      </c>
    </row>
    <row r="760" spans="1:10">
      <c r="A760">
        <v>50759</v>
      </c>
      <c r="B760">
        <v>30427</v>
      </c>
      <c r="C760" t="s">
        <v>935</v>
      </c>
      <c r="D760">
        <v>2325</v>
      </c>
      <c r="E760">
        <v>1014</v>
      </c>
      <c r="F760">
        <v>1</v>
      </c>
      <c r="G760" t="s">
        <v>1463</v>
      </c>
      <c r="H760" t="s">
        <v>9</v>
      </c>
      <c r="I760" t="s">
        <v>598</v>
      </c>
      <c r="J760" t="s">
        <v>685</v>
      </c>
    </row>
    <row r="761" spans="1:10">
      <c r="A761">
        <v>50760</v>
      </c>
      <c r="B761">
        <v>30428</v>
      </c>
      <c r="C761" t="s">
        <v>501</v>
      </c>
      <c r="D761">
        <v>2375</v>
      </c>
      <c r="E761">
        <v>1006</v>
      </c>
      <c r="F761">
        <v>4</v>
      </c>
      <c r="G761" t="s">
        <v>1496</v>
      </c>
      <c r="H761" t="s">
        <v>9</v>
      </c>
      <c r="I761" t="s">
        <v>539</v>
      </c>
      <c r="J761" t="s">
        <v>804</v>
      </c>
    </row>
    <row r="762" spans="1:10">
      <c r="A762">
        <v>50761</v>
      </c>
      <c r="B762">
        <v>30429</v>
      </c>
      <c r="C762" t="s">
        <v>277</v>
      </c>
      <c r="D762">
        <v>2483</v>
      </c>
      <c r="E762">
        <v>1003</v>
      </c>
      <c r="F762">
        <v>1</v>
      </c>
      <c r="G762" t="s">
        <v>1471</v>
      </c>
      <c r="H762" t="s">
        <v>11</v>
      </c>
      <c r="I762" t="s">
        <v>813</v>
      </c>
      <c r="J762" t="s">
        <v>1067</v>
      </c>
    </row>
    <row r="763" spans="1:10">
      <c r="A763">
        <v>50762</v>
      </c>
      <c r="B763">
        <v>30430</v>
      </c>
      <c r="C763" t="s">
        <v>310</v>
      </c>
      <c r="D763">
        <v>2018</v>
      </c>
      <c r="E763">
        <v>1001</v>
      </c>
      <c r="F763">
        <v>1</v>
      </c>
      <c r="G763" t="s">
        <v>1469</v>
      </c>
      <c r="H763" t="s">
        <v>9</v>
      </c>
      <c r="I763" t="s">
        <v>709</v>
      </c>
      <c r="J763" t="s">
        <v>700</v>
      </c>
    </row>
    <row r="764" spans="1:10">
      <c r="A764">
        <v>50763</v>
      </c>
      <c r="B764">
        <v>30431</v>
      </c>
      <c r="C764" t="s">
        <v>663</v>
      </c>
      <c r="D764">
        <v>2269</v>
      </c>
      <c r="E764">
        <v>1002</v>
      </c>
      <c r="F764">
        <v>4</v>
      </c>
      <c r="G764" t="s">
        <v>1451</v>
      </c>
      <c r="H764" t="s">
        <v>1462</v>
      </c>
      <c r="I764" t="s">
        <v>1068</v>
      </c>
      <c r="J764" t="s">
        <v>181</v>
      </c>
    </row>
    <row r="765" spans="1:10">
      <c r="A765">
        <v>50764</v>
      </c>
      <c r="B765">
        <v>30431</v>
      </c>
      <c r="C765" t="s">
        <v>308</v>
      </c>
      <c r="D765">
        <v>2269</v>
      </c>
      <c r="E765">
        <v>1013</v>
      </c>
      <c r="F765">
        <v>1</v>
      </c>
      <c r="G765" t="s">
        <v>1474</v>
      </c>
      <c r="H765" t="s">
        <v>9</v>
      </c>
      <c r="I765" t="s">
        <v>1044</v>
      </c>
      <c r="J765" t="s">
        <v>1069</v>
      </c>
    </row>
    <row r="766" spans="1:10">
      <c r="A766">
        <v>50765</v>
      </c>
      <c r="B766">
        <v>30432</v>
      </c>
      <c r="C766" t="s">
        <v>717</v>
      </c>
      <c r="D766">
        <v>2519</v>
      </c>
      <c r="E766">
        <v>1014</v>
      </c>
      <c r="F766">
        <v>1</v>
      </c>
      <c r="G766" t="s">
        <v>1463</v>
      </c>
      <c r="H766" t="s">
        <v>9</v>
      </c>
      <c r="I766" t="s">
        <v>182</v>
      </c>
      <c r="J766" t="s">
        <v>157</v>
      </c>
    </row>
    <row r="767" spans="1:10">
      <c r="A767">
        <v>50766</v>
      </c>
      <c r="B767">
        <v>30433</v>
      </c>
      <c r="C767" t="s">
        <v>532</v>
      </c>
      <c r="D767">
        <v>2434</v>
      </c>
      <c r="E767">
        <v>1003</v>
      </c>
      <c r="F767">
        <v>1</v>
      </c>
      <c r="G767" t="s">
        <v>1471</v>
      </c>
      <c r="H767" t="s">
        <v>9</v>
      </c>
      <c r="I767" t="s">
        <v>940</v>
      </c>
      <c r="J767" t="s">
        <v>183</v>
      </c>
    </row>
    <row r="768" spans="1:10">
      <c r="A768">
        <v>50767</v>
      </c>
      <c r="B768">
        <v>30433</v>
      </c>
      <c r="C768" t="s">
        <v>532</v>
      </c>
      <c r="D768">
        <v>2434</v>
      </c>
      <c r="E768">
        <v>1005</v>
      </c>
      <c r="F768">
        <v>1</v>
      </c>
      <c r="G768" t="s">
        <v>1456</v>
      </c>
      <c r="H768" t="s">
        <v>9</v>
      </c>
      <c r="I768" t="s">
        <v>322</v>
      </c>
      <c r="J768" t="s">
        <v>1070</v>
      </c>
    </row>
    <row r="769" spans="1:10">
      <c r="A769">
        <v>50768</v>
      </c>
      <c r="B769">
        <v>30434</v>
      </c>
      <c r="C769" t="s">
        <v>1071</v>
      </c>
      <c r="D769">
        <v>2285</v>
      </c>
      <c r="E769">
        <v>1003</v>
      </c>
      <c r="F769">
        <v>1</v>
      </c>
      <c r="G769" t="s">
        <v>1471</v>
      </c>
      <c r="H769" t="s">
        <v>9</v>
      </c>
      <c r="I769" t="s">
        <v>615</v>
      </c>
      <c r="J769" t="s">
        <v>741</v>
      </c>
    </row>
    <row r="770" spans="1:10">
      <c r="A770">
        <v>50769</v>
      </c>
      <c r="B770">
        <v>30435</v>
      </c>
      <c r="C770" t="s">
        <v>1072</v>
      </c>
      <c r="D770">
        <v>2524</v>
      </c>
      <c r="E770">
        <v>1005</v>
      </c>
      <c r="F770">
        <v>3</v>
      </c>
      <c r="G770" t="s">
        <v>1498</v>
      </c>
      <c r="H770" t="s">
        <v>12</v>
      </c>
      <c r="I770" t="s">
        <v>1421</v>
      </c>
      <c r="J770" t="s">
        <v>1421</v>
      </c>
    </row>
    <row r="771" spans="1:10">
      <c r="A771">
        <v>50770</v>
      </c>
      <c r="B771">
        <v>30436</v>
      </c>
      <c r="C771" t="s">
        <v>466</v>
      </c>
      <c r="D771">
        <v>2550</v>
      </c>
      <c r="E771">
        <v>1003</v>
      </c>
      <c r="F771">
        <v>1</v>
      </c>
      <c r="G771" t="s">
        <v>1471</v>
      </c>
      <c r="H771" t="s">
        <v>9</v>
      </c>
      <c r="I771" t="s">
        <v>1037</v>
      </c>
      <c r="J771" t="s">
        <v>461</v>
      </c>
    </row>
    <row r="772" spans="1:10">
      <c r="A772">
        <v>50771</v>
      </c>
      <c r="B772">
        <v>30437</v>
      </c>
      <c r="C772" t="s">
        <v>1023</v>
      </c>
      <c r="D772">
        <v>2318</v>
      </c>
      <c r="E772">
        <v>1008</v>
      </c>
      <c r="F772">
        <v>2</v>
      </c>
      <c r="G772" t="s">
        <v>1520</v>
      </c>
      <c r="H772" t="s">
        <v>9</v>
      </c>
      <c r="I772" t="s">
        <v>1073</v>
      </c>
      <c r="J772" t="s">
        <v>1074</v>
      </c>
    </row>
    <row r="773" spans="1:10">
      <c r="A773">
        <v>50772</v>
      </c>
      <c r="B773">
        <v>30438</v>
      </c>
      <c r="C773" t="s">
        <v>184</v>
      </c>
      <c r="D773">
        <v>2060</v>
      </c>
      <c r="E773">
        <v>1014</v>
      </c>
      <c r="F773">
        <v>4</v>
      </c>
      <c r="G773" t="s">
        <v>1518</v>
      </c>
      <c r="H773" t="s">
        <v>68</v>
      </c>
      <c r="I773" t="s">
        <v>429</v>
      </c>
      <c r="J773" t="s">
        <v>806</v>
      </c>
    </row>
    <row r="774" spans="1:10">
      <c r="A774">
        <v>50773</v>
      </c>
      <c r="B774">
        <v>30438</v>
      </c>
      <c r="C774" t="s">
        <v>1075</v>
      </c>
      <c r="D774">
        <v>2060</v>
      </c>
      <c r="E774">
        <v>1004</v>
      </c>
      <c r="F774">
        <v>2</v>
      </c>
      <c r="G774" t="s">
        <v>1476</v>
      </c>
      <c r="H774" t="s">
        <v>9</v>
      </c>
      <c r="I774" t="s">
        <v>185</v>
      </c>
      <c r="J774" t="s">
        <v>1031</v>
      </c>
    </row>
    <row r="775" spans="1:10">
      <c r="A775">
        <v>50774</v>
      </c>
      <c r="B775">
        <v>30438</v>
      </c>
      <c r="C775" t="s">
        <v>1075</v>
      </c>
      <c r="D775">
        <v>2060</v>
      </c>
      <c r="E775">
        <v>1015</v>
      </c>
      <c r="F775">
        <v>5</v>
      </c>
      <c r="G775" t="s">
        <v>1509</v>
      </c>
      <c r="H775" t="s">
        <v>9</v>
      </c>
      <c r="I775" t="s">
        <v>1010</v>
      </c>
      <c r="J775" t="s">
        <v>475</v>
      </c>
    </row>
    <row r="776" spans="1:10">
      <c r="A776">
        <v>50775</v>
      </c>
      <c r="B776">
        <v>30439</v>
      </c>
      <c r="C776" t="s">
        <v>974</v>
      </c>
      <c r="D776">
        <v>2057</v>
      </c>
      <c r="E776">
        <v>1006</v>
      </c>
      <c r="F776">
        <v>1</v>
      </c>
      <c r="G776" t="s">
        <v>1459</v>
      </c>
      <c r="H776" t="s">
        <v>9</v>
      </c>
      <c r="I776" t="s">
        <v>1016</v>
      </c>
      <c r="J776" t="s">
        <v>958</v>
      </c>
    </row>
    <row r="777" spans="1:10">
      <c r="A777">
        <v>50776</v>
      </c>
      <c r="B777">
        <v>30440</v>
      </c>
      <c r="C777" t="s">
        <v>320</v>
      </c>
      <c r="D777">
        <v>2123</v>
      </c>
      <c r="E777">
        <v>1005</v>
      </c>
      <c r="F777">
        <v>1</v>
      </c>
      <c r="G777" t="s">
        <v>1456</v>
      </c>
      <c r="H777" t="s">
        <v>9</v>
      </c>
      <c r="I777" t="s">
        <v>1076</v>
      </c>
      <c r="J777" t="s">
        <v>827</v>
      </c>
    </row>
    <row r="778" spans="1:10">
      <c r="A778">
        <v>50777</v>
      </c>
      <c r="B778">
        <v>30440</v>
      </c>
      <c r="C778" t="s">
        <v>858</v>
      </c>
      <c r="D778">
        <v>2123</v>
      </c>
      <c r="E778">
        <v>1001</v>
      </c>
      <c r="F778">
        <v>1</v>
      </c>
      <c r="G778" t="s">
        <v>1469</v>
      </c>
      <c r="H778" t="s">
        <v>9</v>
      </c>
      <c r="I778" t="s">
        <v>1076</v>
      </c>
      <c r="J778" t="s">
        <v>572</v>
      </c>
    </row>
    <row r="779" spans="1:10">
      <c r="A779">
        <v>50778</v>
      </c>
      <c r="B779">
        <v>30441</v>
      </c>
      <c r="C779" t="s">
        <v>1077</v>
      </c>
      <c r="D779">
        <v>2168</v>
      </c>
      <c r="E779">
        <v>1012</v>
      </c>
      <c r="F779">
        <v>1</v>
      </c>
      <c r="G779" t="s">
        <v>1449</v>
      </c>
      <c r="H779" t="s">
        <v>9</v>
      </c>
      <c r="I779" t="s">
        <v>752</v>
      </c>
      <c r="J779" t="s">
        <v>508</v>
      </c>
    </row>
    <row r="780" spans="1:10">
      <c r="A780">
        <v>50779</v>
      </c>
      <c r="B780">
        <v>30442</v>
      </c>
      <c r="C780" t="s">
        <v>870</v>
      </c>
      <c r="D780">
        <v>2536</v>
      </c>
      <c r="E780">
        <v>1009</v>
      </c>
      <c r="F780">
        <v>1</v>
      </c>
      <c r="G780" t="s">
        <v>1473</v>
      </c>
      <c r="H780" t="s">
        <v>9</v>
      </c>
      <c r="I780" t="s">
        <v>182</v>
      </c>
      <c r="J780" t="s">
        <v>186</v>
      </c>
    </row>
    <row r="781" spans="1:10">
      <c r="A781">
        <v>50780</v>
      </c>
      <c r="B781">
        <v>30443</v>
      </c>
      <c r="C781" t="s">
        <v>860</v>
      </c>
      <c r="D781">
        <v>2171</v>
      </c>
      <c r="E781">
        <v>1009</v>
      </c>
      <c r="F781">
        <v>1</v>
      </c>
      <c r="G781" t="s">
        <v>1473</v>
      </c>
      <c r="H781" t="s">
        <v>9</v>
      </c>
      <c r="I781" t="s">
        <v>859</v>
      </c>
      <c r="J781" t="s">
        <v>251</v>
      </c>
    </row>
    <row r="782" spans="1:10">
      <c r="A782">
        <v>50781</v>
      </c>
      <c r="B782">
        <v>30444</v>
      </c>
      <c r="C782" t="s">
        <v>710</v>
      </c>
      <c r="D782">
        <v>2121</v>
      </c>
      <c r="E782">
        <v>1001</v>
      </c>
      <c r="F782">
        <v>1</v>
      </c>
      <c r="G782" t="s">
        <v>1469</v>
      </c>
      <c r="H782" t="s">
        <v>16</v>
      </c>
      <c r="I782" t="s">
        <v>1421</v>
      </c>
      <c r="J782" t="s">
        <v>1421</v>
      </c>
    </row>
    <row r="783" spans="1:10">
      <c r="A783">
        <v>50782</v>
      </c>
      <c r="B783">
        <v>30445</v>
      </c>
      <c r="C783" t="s">
        <v>125</v>
      </c>
      <c r="D783">
        <v>2440</v>
      </c>
      <c r="E783">
        <v>1003</v>
      </c>
      <c r="F783">
        <v>4</v>
      </c>
      <c r="G783" t="s">
        <v>1519</v>
      </c>
      <c r="H783" t="s">
        <v>9</v>
      </c>
      <c r="I783" t="s">
        <v>529</v>
      </c>
      <c r="J783" t="s">
        <v>530</v>
      </c>
    </row>
    <row r="784" spans="1:10">
      <c r="A784">
        <v>50783</v>
      </c>
      <c r="B784">
        <v>30445</v>
      </c>
      <c r="C784" t="s">
        <v>1078</v>
      </c>
      <c r="D784">
        <v>2440</v>
      </c>
      <c r="E784">
        <v>1009</v>
      </c>
      <c r="F784">
        <v>1</v>
      </c>
      <c r="G784" t="s">
        <v>1473</v>
      </c>
      <c r="H784" t="s">
        <v>9</v>
      </c>
      <c r="I784" t="s">
        <v>133</v>
      </c>
      <c r="J784" t="s">
        <v>34</v>
      </c>
    </row>
    <row r="785" spans="1:10">
      <c r="A785">
        <v>50784</v>
      </c>
      <c r="B785">
        <v>30445</v>
      </c>
      <c r="C785" t="s">
        <v>1078</v>
      </c>
      <c r="D785">
        <v>2440</v>
      </c>
      <c r="E785">
        <v>1003</v>
      </c>
      <c r="F785">
        <v>2</v>
      </c>
      <c r="G785" t="s">
        <v>1464</v>
      </c>
      <c r="H785" t="s">
        <v>9</v>
      </c>
      <c r="I785" t="s">
        <v>735</v>
      </c>
      <c r="J785" t="s">
        <v>1079</v>
      </c>
    </row>
    <row r="786" spans="1:10">
      <c r="A786">
        <v>50785</v>
      </c>
      <c r="B786">
        <v>30445</v>
      </c>
      <c r="C786" t="s">
        <v>125</v>
      </c>
      <c r="D786">
        <v>2440</v>
      </c>
      <c r="E786">
        <v>1016</v>
      </c>
      <c r="F786">
        <v>3</v>
      </c>
      <c r="G786" t="s">
        <v>1484</v>
      </c>
      <c r="H786" t="s">
        <v>9</v>
      </c>
      <c r="I786" t="s">
        <v>529</v>
      </c>
      <c r="J786" t="s">
        <v>151</v>
      </c>
    </row>
    <row r="787" spans="1:10">
      <c r="A787">
        <v>50786</v>
      </c>
      <c r="B787">
        <v>30446</v>
      </c>
      <c r="C787" t="s">
        <v>1039</v>
      </c>
      <c r="D787">
        <v>2467</v>
      </c>
      <c r="E787">
        <v>1002</v>
      </c>
      <c r="F787">
        <v>2</v>
      </c>
      <c r="G787" t="s">
        <v>1482</v>
      </c>
      <c r="H787" t="s">
        <v>9</v>
      </c>
      <c r="I787" t="s">
        <v>1080</v>
      </c>
      <c r="J787" t="s">
        <v>374</v>
      </c>
    </row>
    <row r="788" spans="1:10">
      <c r="A788">
        <v>50787</v>
      </c>
      <c r="B788">
        <v>30447</v>
      </c>
      <c r="C788" t="s">
        <v>1081</v>
      </c>
      <c r="D788">
        <v>2512</v>
      </c>
      <c r="E788">
        <v>1006</v>
      </c>
      <c r="F788">
        <v>1</v>
      </c>
      <c r="G788" t="s">
        <v>1459</v>
      </c>
      <c r="H788" t="s">
        <v>16</v>
      </c>
      <c r="I788" t="s">
        <v>1421</v>
      </c>
      <c r="J788" t="s">
        <v>1421</v>
      </c>
    </row>
    <row r="789" spans="1:10">
      <c r="A789">
        <v>50788</v>
      </c>
      <c r="B789">
        <v>30447</v>
      </c>
      <c r="C789" t="s">
        <v>816</v>
      </c>
      <c r="D789">
        <v>2512</v>
      </c>
      <c r="E789">
        <v>1009</v>
      </c>
      <c r="F789">
        <v>5</v>
      </c>
      <c r="G789" t="s">
        <v>1529</v>
      </c>
      <c r="H789" t="s">
        <v>16</v>
      </c>
      <c r="I789" t="s">
        <v>1421</v>
      </c>
      <c r="J789" t="s">
        <v>1421</v>
      </c>
    </row>
    <row r="790" spans="1:10">
      <c r="A790">
        <v>50789</v>
      </c>
      <c r="B790">
        <v>30447</v>
      </c>
      <c r="C790" t="s">
        <v>1081</v>
      </c>
      <c r="D790">
        <v>2512</v>
      </c>
      <c r="E790">
        <v>1004</v>
      </c>
      <c r="F790">
        <v>2</v>
      </c>
      <c r="G790" t="s">
        <v>1476</v>
      </c>
      <c r="H790" t="s">
        <v>16</v>
      </c>
      <c r="I790" t="s">
        <v>783</v>
      </c>
      <c r="J790" t="s">
        <v>1421</v>
      </c>
    </row>
    <row r="791" spans="1:10">
      <c r="A791">
        <v>50790</v>
      </c>
      <c r="B791">
        <v>30448</v>
      </c>
      <c r="C791" t="s">
        <v>654</v>
      </c>
      <c r="D791">
        <v>2522</v>
      </c>
      <c r="E791">
        <v>1001</v>
      </c>
      <c r="F791">
        <v>1</v>
      </c>
      <c r="G791" t="s">
        <v>1469</v>
      </c>
      <c r="H791" t="s">
        <v>9</v>
      </c>
      <c r="I791" t="s">
        <v>182</v>
      </c>
      <c r="J791" t="s">
        <v>157</v>
      </c>
    </row>
    <row r="792" spans="1:10">
      <c r="A792">
        <v>50791</v>
      </c>
      <c r="B792">
        <v>30448</v>
      </c>
      <c r="C792" t="s">
        <v>94</v>
      </c>
      <c r="D792">
        <v>2522</v>
      </c>
      <c r="E792">
        <v>1008</v>
      </c>
      <c r="F792">
        <v>2</v>
      </c>
      <c r="G792" t="s">
        <v>1520</v>
      </c>
      <c r="H792" t="s">
        <v>9</v>
      </c>
      <c r="I792" t="s">
        <v>656</v>
      </c>
      <c r="J792" t="s">
        <v>850</v>
      </c>
    </row>
    <row r="793" spans="1:10">
      <c r="A793">
        <v>50792</v>
      </c>
      <c r="B793">
        <v>30449</v>
      </c>
      <c r="C793" t="s">
        <v>1082</v>
      </c>
      <c r="D793">
        <v>2048</v>
      </c>
      <c r="E793">
        <v>1013</v>
      </c>
      <c r="F793">
        <v>1</v>
      </c>
      <c r="G793" t="s">
        <v>1474</v>
      </c>
      <c r="H793" t="s">
        <v>9</v>
      </c>
      <c r="I793" t="s">
        <v>366</v>
      </c>
      <c r="J793" t="s">
        <v>480</v>
      </c>
    </row>
    <row r="794" spans="1:10">
      <c r="A794">
        <v>50793</v>
      </c>
      <c r="B794">
        <v>30449</v>
      </c>
      <c r="C794" t="s">
        <v>1042</v>
      </c>
      <c r="D794">
        <v>2048</v>
      </c>
      <c r="E794">
        <v>1005</v>
      </c>
      <c r="F794">
        <v>1</v>
      </c>
      <c r="G794" t="s">
        <v>1456</v>
      </c>
      <c r="H794" t="s">
        <v>9</v>
      </c>
      <c r="I794" t="s">
        <v>366</v>
      </c>
      <c r="J794" t="s">
        <v>1083</v>
      </c>
    </row>
    <row r="795" spans="1:10">
      <c r="A795">
        <v>50794</v>
      </c>
      <c r="B795">
        <v>30449</v>
      </c>
      <c r="C795" t="s">
        <v>1042</v>
      </c>
      <c r="D795">
        <v>2048</v>
      </c>
      <c r="E795">
        <v>1006</v>
      </c>
      <c r="F795">
        <v>1</v>
      </c>
      <c r="G795" t="s">
        <v>1459</v>
      </c>
      <c r="H795" t="s">
        <v>9</v>
      </c>
      <c r="I795" t="s">
        <v>400</v>
      </c>
      <c r="J795" t="s">
        <v>46</v>
      </c>
    </row>
    <row r="796" spans="1:10">
      <c r="A796">
        <v>50795</v>
      </c>
      <c r="B796">
        <v>30450</v>
      </c>
      <c r="C796" t="s">
        <v>65</v>
      </c>
      <c r="D796">
        <v>2037</v>
      </c>
      <c r="E796">
        <v>1014</v>
      </c>
      <c r="F796">
        <v>3</v>
      </c>
      <c r="G796" t="s">
        <v>1505</v>
      </c>
      <c r="H796" t="s">
        <v>9</v>
      </c>
      <c r="I796" t="s">
        <v>354</v>
      </c>
      <c r="J796" t="s">
        <v>275</v>
      </c>
    </row>
    <row r="797" spans="1:10">
      <c r="A797">
        <v>50796</v>
      </c>
      <c r="B797">
        <v>30451</v>
      </c>
      <c r="C797" t="s">
        <v>271</v>
      </c>
      <c r="D797">
        <v>2230</v>
      </c>
      <c r="E797">
        <v>1014</v>
      </c>
      <c r="F797">
        <v>1</v>
      </c>
      <c r="G797" t="s">
        <v>1463</v>
      </c>
      <c r="H797" t="s">
        <v>9</v>
      </c>
      <c r="I797" t="s">
        <v>611</v>
      </c>
      <c r="J797" t="s">
        <v>126</v>
      </c>
    </row>
    <row r="798" spans="1:10">
      <c r="A798">
        <v>50797</v>
      </c>
      <c r="B798">
        <v>30451</v>
      </c>
      <c r="C798" t="s">
        <v>825</v>
      </c>
      <c r="D798">
        <v>2230</v>
      </c>
      <c r="E798">
        <v>1011</v>
      </c>
      <c r="F798">
        <v>1</v>
      </c>
      <c r="G798" t="s">
        <v>1472</v>
      </c>
      <c r="H798" t="s">
        <v>9</v>
      </c>
      <c r="I798" t="s">
        <v>992</v>
      </c>
      <c r="J798" t="s">
        <v>335</v>
      </c>
    </row>
    <row r="799" spans="1:10">
      <c r="A799">
        <v>50798</v>
      </c>
      <c r="B799">
        <v>30451</v>
      </c>
      <c r="C799" t="s">
        <v>886</v>
      </c>
      <c r="D799">
        <v>2230</v>
      </c>
      <c r="E799">
        <v>1009</v>
      </c>
      <c r="F799">
        <v>1</v>
      </c>
      <c r="G799" t="s">
        <v>1473</v>
      </c>
      <c r="H799" t="s">
        <v>9</v>
      </c>
      <c r="I799" t="s">
        <v>402</v>
      </c>
      <c r="J799" t="s">
        <v>1078</v>
      </c>
    </row>
    <row r="800" spans="1:10">
      <c r="A800">
        <v>50799</v>
      </c>
      <c r="B800">
        <v>30452</v>
      </c>
      <c r="C800" t="s">
        <v>186</v>
      </c>
      <c r="D800">
        <v>2080</v>
      </c>
      <c r="E800">
        <v>1004</v>
      </c>
      <c r="F800">
        <v>1</v>
      </c>
      <c r="G800" t="s">
        <v>1452</v>
      </c>
      <c r="H800" t="s">
        <v>1462</v>
      </c>
      <c r="I800" t="s">
        <v>174</v>
      </c>
      <c r="J800" t="s">
        <v>187</v>
      </c>
    </row>
    <row r="801" spans="1:10">
      <c r="A801">
        <v>50800</v>
      </c>
      <c r="B801">
        <v>30453</v>
      </c>
      <c r="C801" t="s">
        <v>1084</v>
      </c>
      <c r="D801">
        <v>2515</v>
      </c>
      <c r="E801">
        <v>1002</v>
      </c>
      <c r="F801">
        <v>1</v>
      </c>
      <c r="G801" t="s">
        <v>1466</v>
      </c>
      <c r="H801" t="s">
        <v>1457</v>
      </c>
      <c r="I801" t="s">
        <v>858</v>
      </c>
      <c r="J801" t="s">
        <v>114</v>
      </c>
    </row>
    <row r="802" spans="1:10">
      <c r="A802">
        <v>50801</v>
      </c>
      <c r="B802">
        <v>30453</v>
      </c>
      <c r="C802" t="s">
        <v>250</v>
      </c>
      <c r="D802">
        <v>2515</v>
      </c>
      <c r="E802">
        <v>1006</v>
      </c>
      <c r="F802">
        <v>2</v>
      </c>
      <c r="G802" t="s">
        <v>1501</v>
      </c>
      <c r="H802" t="s">
        <v>9</v>
      </c>
      <c r="I802" t="s">
        <v>502</v>
      </c>
      <c r="J802" t="s">
        <v>715</v>
      </c>
    </row>
    <row r="803" spans="1:10">
      <c r="A803">
        <v>50802</v>
      </c>
      <c r="B803">
        <v>30453</v>
      </c>
      <c r="C803" t="s">
        <v>1084</v>
      </c>
      <c r="D803">
        <v>2515</v>
      </c>
      <c r="E803">
        <v>1008</v>
      </c>
      <c r="F803">
        <v>3</v>
      </c>
      <c r="G803" t="s">
        <v>1491</v>
      </c>
      <c r="H803" t="s">
        <v>9</v>
      </c>
      <c r="I803" t="s">
        <v>459</v>
      </c>
      <c r="J803" t="s">
        <v>856</v>
      </c>
    </row>
    <row r="804" spans="1:10">
      <c r="A804">
        <v>50803</v>
      </c>
      <c r="B804">
        <v>30454</v>
      </c>
      <c r="C804" t="s">
        <v>377</v>
      </c>
      <c r="D804">
        <v>2529</v>
      </c>
      <c r="E804">
        <v>1013</v>
      </c>
      <c r="F804">
        <v>3</v>
      </c>
      <c r="G804" t="s">
        <v>1490</v>
      </c>
      <c r="H804" t="s">
        <v>11</v>
      </c>
      <c r="I804" t="s">
        <v>1057</v>
      </c>
      <c r="J804" t="s">
        <v>1044</v>
      </c>
    </row>
    <row r="805" spans="1:10">
      <c r="A805">
        <v>50804</v>
      </c>
      <c r="B805">
        <v>30455</v>
      </c>
      <c r="C805" t="s">
        <v>967</v>
      </c>
      <c r="D805">
        <v>2071</v>
      </c>
      <c r="E805">
        <v>1010</v>
      </c>
      <c r="F805">
        <v>4</v>
      </c>
      <c r="G805" t="s">
        <v>1517</v>
      </c>
      <c r="H805" t="s">
        <v>12</v>
      </c>
      <c r="I805" t="s">
        <v>1421</v>
      </c>
      <c r="J805" t="s">
        <v>1421</v>
      </c>
    </row>
    <row r="806" spans="1:10">
      <c r="A806">
        <v>50805</v>
      </c>
      <c r="B806">
        <v>30456</v>
      </c>
      <c r="C806" t="s">
        <v>247</v>
      </c>
      <c r="D806">
        <v>2319</v>
      </c>
      <c r="E806">
        <v>1015</v>
      </c>
      <c r="F806">
        <v>2</v>
      </c>
      <c r="G806" t="s">
        <v>1488</v>
      </c>
      <c r="H806" t="s">
        <v>9</v>
      </c>
      <c r="I806" t="s">
        <v>1077</v>
      </c>
      <c r="J806" t="s">
        <v>836</v>
      </c>
    </row>
    <row r="807" spans="1:10">
      <c r="A807">
        <v>50806</v>
      </c>
      <c r="B807">
        <v>30456</v>
      </c>
      <c r="C807" t="s">
        <v>373</v>
      </c>
      <c r="D807">
        <v>2319</v>
      </c>
      <c r="E807">
        <v>1001</v>
      </c>
      <c r="F807">
        <v>2</v>
      </c>
      <c r="G807" t="s">
        <v>1460</v>
      </c>
      <c r="H807" t="s">
        <v>9</v>
      </c>
      <c r="I807" t="s">
        <v>1044</v>
      </c>
      <c r="J807" t="s">
        <v>650</v>
      </c>
    </row>
    <row r="808" spans="1:10">
      <c r="A808">
        <v>50807</v>
      </c>
      <c r="B808">
        <v>30457</v>
      </c>
      <c r="C808" t="s">
        <v>23</v>
      </c>
      <c r="D808">
        <v>2378</v>
      </c>
      <c r="E808">
        <v>1010</v>
      </c>
      <c r="F808">
        <v>1</v>
      </c>
      <c r="G808" t="s">
        <v>1468</v>
      </c>
      <c r="H808" t="s">
        <v>9</v>
      </c>
      <c r="I808" t="s">
        <v>120</v>
      </c>
      <c r="J808" t="s">
        <v>121</v>
      </c>
    </row>
    <row r="809" spans="1:10">
      <c r="A809">
        <v>50808</v>
      </c>
      <c r="B809">
        <v>30458</v>
      </c>
      <c r="C809" t="s">
        <v>865</v>
      </c>
      <c r="D809">
        <v>2249</v>
      </c>
      <c r="E809">
        <v>1016</v>
      </c>
      <c r="F809">
        <v>4</v>
      </c>
      <c r="G809" t="s">
        <v>1522</v>
      </c>
      <c r="H809" t="s">
        <v>9</v>
      </c>
      <c r="I809" t="s">
        <v>1085</v>
      </c>
      <c r="J809" t="s">
        <v>28</v>
      </c>
    </row>
    <row r="810" spans="1:10">
      <c r="A810">
        <v>50809</v>
      </c>
      <c r="B810">
        <v>30459</v>
      </c>
      <c r="C810" t="s">
        <v>110</v>
      </c>
      <c r="D810">
        <v>2201</v>
      </c>
      <c r="E810">
        <v>1008</v>
      </c>
      <c r="F810">
        <v>1</v>
      </c>
      <c r="G810" t="s">
        <v>1447</v>
      </c>
      <c r="H810" t="s">
        <v>9</v>
      </c>
      <c r="I810" t="s">
        <v>945</v>
      </c>
      <c r="J810" t="s">
        <v>947</v>
      </c>
    </row>
    <row r="811" spans="1:10">
      <c r="A811">
        <v>50810</v>
      </c>
      <c r="B811">
        <v>30460</v>
      </c>
      <c r="C811" t="s">
        <v>652</v>
      </c>
      <c r="D811">
        <v>2155</v>
      </c>
      <c r="E811">
        <v>1014</v>
      </c>
      <c r="F811">
        <v>1</v>
      </c>
      <c r="G811" t="s">
        <v>1463</v>
      </c>
      <c r="H811" t="s">
        <v>9</v>
      </c>
      <c r="I811" t="s">
        <v>343</v>
      </c>
      <c r="J811" t="s">
        <v>298</v>
      </c>
    </row>
    <row r="812" spans="1:10">
      <c r="A812">
        <v>50811</v>
      </c>
      <c r="B812">
        <v>30461</v>
      </c>
      <c r="C812" t="s">
        <v>239</v>
      </c>
      <c r="D812">
        <v>2025</v>
      </c>
      <c r="E812">
        <v>1012</v>
      </c>
      <c r="F812">
        <v>1</v>
      </c>
      <c r="G812" t="s">
        <v>1449</v>
      </c>
      <c r="H812" t="s">
        <v>9</v>
      </c>
      <c r="I812" t="s">
        <v>285</v>
      </c>
      <c r="J812" t="s">
        <v>1086</v>
      </c>
    </row>
    <row r="813" spans="1:10">
      <c r="A813">
        <v>50812</v>
      </c>
      <c r="B813">
        <v>30461</v>
      </c>
      <c r="C813" t="s">
        <v>432</v>
      </c>
      <c r="D813">
        <v>2025</v>
      </c>
      <c r="E813">
        <v>1001</v>
      </c>
      <c r="F813">
        <v>1</v>
      </c>
      <c r="G813" t="s">
        <v>1469</v>
      </c>
      <c r="H813" t="s">
        <v>9</v>
      </c>
      <c r="I813" t="s">
        <v>430</v>
      </c>
      <c r="J813" t="s">
        <v>188</v>
      </c>
    </row>
    <row r="814" spans="1:10">
      <c r="A814">
        <v>50813</v>
      </c>
      <c r="B814">
        <v>30461</v>
      </c>
      <c r="C814" t="s">
        <v>976</v>
      </c>
      <c r="D814">
        <v>2025</v>
      </c>
      <c r="E814">
        <v>1011</v>
      </c>
      <c r="F814">
        <v>1</v>
      </c>
      <c r="G814" t="s">
        <v>1472</v>
      </c>
      <c r="H814" t="s">
        <v>9</v>
      </c>
      <c r="I814" t="s">
        <v>510</v>
      </c>
      <c r="J814" t="s">
        <v>70</v>
      </c>
    </row>
    <row r="815" spans="1:10">
      <c r="A815">
        <v>50814</v>
      </c>
      <c r="B815">
        <v>30461</v>
      </c>
      <c r="C815" t="s">
        <v>239</v>
      </c>
      <c r="D815">
        <v>2025</v>
      </c>
      <c r="E815">
        <v>1001</v>
      </c>
      <c r="F815">
        <v>4</v>
      </c>
      <c r="G815" t="s">
        <v>1525</v>
      </c>
      <c r="H815" t="s">
        <v>9</v>
      </c>
      <c r="I815" t="s">
        <v>673</v>
      </c>
      <c r="J815" t="s">
        <v>807</v>
      </c>
    </row>
    <row r="816" spans="1:10">
      <c r="A816">
        <v>50815</v>
      </c>
      <c r="B816">
        <v>30462</v>
      </c>
      <c r="C816" t="s">
        <v>898</v>
      </c>
      <c r="D816">
        <v>2386</v>
      </c>
      <c r="E816">
        <v>1010</v>
      </c>
      <c r="F816">
        <v>1</v>
      </c>
      <c r="G816" t="s">
        <v>1468</v>
      </c>
      <c r="H816" t="s">
        <v>16</v>
      </c>
      <c r="I816" t="s">
        <v>268</v>
      </c>
      <c r="J816" t="s">
        <v>1421</v>
      </c>
    </row>
    <row r="817" spans="1:10">
      <c r="A817">
        <v>50816</v>
      </c>
      <c r="B817">
        <v>30463</v>
      </c>
      <c r="C817" t="s">
        <v>72</v>
      </c>
      <c r="D817">
        <v>2543</v>
      </c>
      <c r="E817">
        <v>1014</v>
      </c>
      <c r="F817">
        <v>3</v>
      </c>
      <c r="G817" t="s">
        <v>1505</v>
      </c>
      <c r="H817" t="s">
        <v>11</v>
      </c>
      <c r="I817" t="s">
        <v>43</v>
      </c>
      <c r="J817" t="s">
        <v>783</v>
      </c>
    </row>
    <row r="818" spans="1:10">
      <c r="A818">
        <v>50817</v>
      </c>
      <c r="B818">
        <v>30464</v>
      </c>
      <c r="C818" t="s">
        <v>318</v>
      </c>
      <c r="D818">
        <v>2504</v>
      </c>
      <c r="E818">
        <v>1005</v>
      </c>
      <c r="F818">
        <v>1</v>
      </c>
      <c r="G818" t="s">
        <v>1456</v>
      </c>
      <c r="H818" t="s">
        <v>11</v>
      </c>
      <c r="I818" t="s">
        <v>395</v>
      </c>
      <c r="J818" t="s">
        <v>859</v>
      </c>
    </row>
    <row r="819" spans="1:10">
      <c r="A819">
        <v>50818</v>
      </c>
      <c r="B819">
        <v>30464</v>
      </c>
      <c r="C819" t="s">
        <v>448</v>
      </c>
      <c r="D819">
        <v>2504</v>
      </c>
      <c r="E819">
        <v>1009</v>
      </c>
      <c r="F819">
        <v>2</v>
      </c>
      <c r="G819" t="s">
        <v>1479</v>
      </c>
      <c r="H819" t="s">
        <v>1486</v>
      </c>
      <c r="I819" t="s">
        <v>1087</v>
      </c>
      <c r="J819" t="s">
        <v>612</v>
      </c>
    </row>
    <row r="820" spans="1:10">
      <c r="A820">
        <v>50819</v>
      </c>
      <c r="B820">
        <v>30465</v>
      </c>
      <c r="C820" t="s">
        <v>1088</v>
      </c>
      <c r="D820">
        <v>2096</v>
      </c>
      <c r="E820">
        <v>1008</v>
      </c>
      <c r="F820">
        <v>4</v>
      </c>
      <c r="G820" t="s">
        <v>1503</v>
      </c>
      <c r="H820" t="s">
        <v>9</v>
      </c>
      <c r="I820" t="s">
        <v>462</v>
      </c>
      <c r="J820" t="s">
        <v>189</v>
      </c>
    </row>
    <row r="821" spans="1:10">
      <c r="A821">
        <v>50820</v>
      </c>
      <c r="B821">
        <v>30466</v>
      </c>
      <c r="C821" t="s">
        <v>670</v>
      </c>
      <c r="D821">
        <v>2533</v>
      </c>
      <c r="E821">
        <v>1012</v>
      </c>
      <c r="F821">
        <v>1</v>
      </c>
      <c r="G821" t="s">
        <v>1449</v>
      </c>
      <c r="H821" t="s">
        <v>9</v>
      </c>
      <c r="I821" t="s">
        <v>409</v>
      </c>
      <c r="J821" t="s">
        <v>783</v>
      </c>
    </row>
    <row r="822" spans="1:10">
      <c r="A822">
        <v>50821</v>
      </c>
      <c r="B822">
        <v>30466</v>
      </c>
      <c r="C822" t="s">
        <v>411</v>
      </c>
      <c r="D822">
        <v>2533</v>
      </c>
      <c r="E822">
        <v>1015</v>
      </c>
      <c r="F822">
        <v>1</v>
      </c>
      <c r="G822" t="s">
        <v>1478</v>
      </c>
      <c r="H822" t="s">
        <v>9</v>
      </c>
      <c r="I822" t="s">
        <v>613</v>
      </c>
      <c r="J822" t="s">
        <v>785</v>
      </c>
    </row>
    <row r="823" spans="1:10">
      <c r="A823">
        <v>50822</v>
      </c>
      <c r="B823">
        <v>30466</v>
      </c>
      <c r="C823" t="s">
        <v>728</v>
      </c>
      <c r="D823">
        <v>2533</v>
      </c>
      <c r="E823">
        <v>1003</v>
      </c>
      <c r="F823">
        <v>1</v>
      </c>
      <c r="G823" t="s">
        <v>1471</v>
      </c>
      <c r="H823" t="s">
        <v>9</v>
      </c>
      <c r="I823" t="s">
        <v>409</v>
      </c>
      <c r="J823" t="s">
        <v>245</v>
      </c>
    </row>
    <row r="824" spans="1:10">
      <c r="A824">
        <v>50823</v>
      </c>
      <c r="B824">
        <v>30467</v>
      </c>
      <c r="C824" t="s">
        <v>173</v>
      </c>
      <c r="D824">
        <v>2595</v>
      </c>
      <c r="E824">
        <v>1005</v>
      </c>
      <c r="F824">
        <v>1</v>
      </c>
      <c r="G824" t="s">
        <v>1456</v>
      </c>
      <c r="H824" t="s">
        <v>9</v>
      </c>
      <c r="I824" t="s">
        <v>323</v>
      </c>
      <c r="J824" t="s">
        <v>183</v>
      </c>
    </row>
    <row r="825" spans="1:10">
      <c r="A825">
        <v>50824</v>
      </c>
      <c r="B825">
        <v>30468</v>
      </c>
      <c r="C825" t="s">
        <v>172</v>
      </c>
      <c r="D825">
        <v>2404</v>
      </c>
      <c r="E825">
        <v>1002</v>
      </c>
      <c r="F825">
        <v>2</v>
      </c>
      <c r="G825" t="s">
        <v>1482</v>
      </c>
      <c r="H825" t="s">
        <v>9</v>
      </c>
      <c r="I825" t="s">
        <v>574</v>
      </c>
      <c r="J825" t="s">
        <v>162</v>
      </c>
    </row>
    <row r="826" spans="1:10">
      <c r="A826">
        <v>50825</v>
      </c>
      <c r="B826">
        <v>30469</v>
      </c>
      <c r="C826" t="s">
        <v>71</v>
      </c>
      <c r="D826">
        <v>2446</v>
      </c>
      <c r="E826">
        <v>1005</v>
      </c>
      <c r="F826">
        <v>2</v>
      </c>
      <c r="G826" t="s">
        <v>1458</v>
      </c>
      <c r="H826" t="s">
        <v>9</v>
      </c>
      <c r="I826" t="s">
        <v>547</v>
      </c>
      <c r="J826" t="s">
        <v>448</v>
      </c>
    </row>
    <row r="827" spans="1:10">
      <c r="A827">
        <v>50826</v>
      </c>
      <c r="B827">
        <v>30469</v>
      </c>
      <c r="C827" t="s">
        <v>749</v>
      </c>
      <c r="D827">
        <v>2446</v>
      </c>
      <c r="E827">
        <v>1008</v>
      </c>
      <c r="F827">
        <v>2</v>
      </c>
      <c r="G827" t="s">
        <v>1520</v>
      </c>
      <c r="H827" t="s">
        <v>9</v>
      </c>
      <c r="I827" t="s">
        <v>547</v>
      </c>
      <c r="J827" t="s">
        <v>395</v>
      </c>
    </row>
    <row r="828" spans="1:10">
      <c r="A828">
        <v>50827</v>
      </c>
      <c r="B828">
        <v>30470</v>
      </c>
      <c r="C828" t="s">
        <v>63</v>
      </c>
      <c r="D828">
        <v>2299</v>
      </c>
      <c r="E828">
        <v>1011</v>
      </c>
      <c r="F828">
        <v>3</v>
      </c>
      <c r="G828" t="s">
        <v>1454</v>
      </c>
      <c r="H828" t="s">
        <v>9</v>
      </c>
      <c r="I828" t="s">
        <v>1005</v>
      </c>
      <c r="J828" t="s">
        <v>509</v>
      </c>
    </row>
    <row r="829" spans="1:10">
      <c r="A829">
        <v>50828</v>
      </c>
      <c r="B829">
        <v>30470</v>
      </c>
      <c r="C829" t="s">
        <v>1089</v>
      </c>
      <c r="D829">
        <v>2299</v>
      </c>
      <c r="E829">
        <v>1013</v>
      </c>
      <c r="F829">
        <v>1</v>
      </c>
      <c r="G829" t="s">
        <v>1474</v>
      </c>
      <c r="H829" t="s">
        <v>9</v>
      </c>
      <c r="I829" t="s">
        <v>1005</v>
      </c>
      <c r="J829" t="s">
        <v>1065</v>
      </c>
    </row>
    <row r="830" spans="1:10">
      <c r="A830">
        <v>50829</v>
      </c>
      <c r="B830">
        <v>30471</v>
      </c>
      <c r="C830" t="s">
        <v>565</v>
      </c>
      <c r="D830">
        <v>2335</v>
      </c>
      <c r="E830">
        <v>1009</v>
      </c>
      <c r="F830">
        <v>1</v>
      </c>
      <c r="G830" t="s">
        <v>1473</v>
      </c>
      <c r="H830" t="s">
        <v>9</v>
      </c>
      <c r="I830" t="s">
        <v>144</v>
      </c>
      <c r="J830" t="s">
        <v>1090</v>
      </c>
    </row>
    <row r="831" spans="1:10">
      <c r="A831">
        <v>50830</v>
      </c>
      <c r="B831">
        <v>30471</v>
      </c>
      <c r="C831" t="s">
        <v>1091</v>
      </c>
      <c r="D831">
        <v>2335</v>
      </c>
      <c r="E831">
        <v>1008</v>
      </c>
      <c r="F831">
        <v>1</v>
      </c>
      <c r="G831" t="s">
        <v>1447</v>
      </c>
      <c r="H831" t="s">
        <v>9</v>
      </c>
      <c r="I831" t="s">
        <v>436</v>
      </c>
      <c r="J831" t="s">
        <v>813</v>
      </c>
    </row>
    <row r="832" spans="1:10">
      <c r="A832">
        <v>50831</v>
      </c>
      <c r="B832">
        <v>30471</v>
      </c>
      <c r="C832" t="s">
        <v>1091</v>
      </c>
      <c r="D832">
        <v>2335</v>
      </c>
      <c r="E832">
        <v>1003</v>
      </c>
      <c r="F832">
        <v>2</v>
      </c>
      <c r="G832" t="s">
        <v>1464</v>
      </c>
      <c r="H832" t="s">
        <v>9</v>
      </c>
      <c r="I832" t="s">
        <v>911</v>
      </c>
      <c r="J832" t="s">
        <v>190</v>
      </c>
    </row>
    <row r="833" spans="1:10">
      <c r="A833">
        <v>50832</v>
      </c>
      <c r="B833">
        <v>30471</v>
      </c>
      <c r="C833" t="s">
        <v>909</v>
      </c>
      <c r="D833">
        <v>2335</v>
      </c>
      <c r="E833">
        <v>1007</v>
      </c>
      <c r="F833">
        <v>2</v>
      </c>
      <c r="G833" t="s">
        <v>1455</v>
      </c>
      <c r="H833" t="s">
        <v>9</v>
      </c>
      <c r="I833" t="s">
        <v>813</v>
      </c>
      <c r="J833" t="s">
        <v>1092</v>
      </c>
    </row>
    <row r="834" spans="1:10">
      <c r="A834">
        <v>50833</v>
      </c>
      <c r="B834">
        <v>30472</v>
      </c>
      <c r="C834" t="s">
        <v>1069</v>
      </c>
      <c r="D834">
        <v>2140</v>
      </c>
      <c r="E834">
        <v>1004</v>
      </c>
      <c r="F834">
        <v>2</v>
      </c>
      <c r="G834" t="s">
        <v>1476</v>
      </c>
      <c r="H834" t="s">
        <v>16</v>
      </c>
      <c r="I834" t="s">
        <v>181</v>
      </c>
      <c r="J834" t="s">
        <v>1421</v>
      </c>
    </row>
    <row r="835" spans="1:10">
      <c r="A835">
        <v>50834</v>
      </c>
      <c r="B835">
        <v>30472</v>
      </c>
      <c r="C835" t="s">
        <v>1069</v>
      </c>
      <c r="D835">
        <v>2140</v>
      </c>
      <c r="E835">
        <v>1006</v>
      </c>
      <c r="F835">
        <v>3</v>
      </c>
      <c r="G835" t="s">
        <v>1493</v>
      </c>
      <c r="H835" t="s">
        <v>16</v>
      </c>
      <c r="I835" t="s">
        <v>1421</v>
      </c>
      <c r="J835" t="s">
        <v>1421</v>
      </c>
    </row>
    <row r="836" spans="1:10">
      <c r="A836">
        <v>50835</v>
      </c>
      <c r="B836">
        <v>30473</v>
      </c>
      <c r="C836" t="s">
        <v>406</v>
      </c>
      <c r="D836">
        <v>2322</v>
      </c>
      <c r="E836">
        <v>1012</v>
      </c>
      <c r="F836">
        <v>1</v>
      </c>
      <c r="G836" t="s">
        <v>1449</v>
      </c>
      <c r="H836" t="s">
        <v>9</v>
      </c>
      <c r="I836" t="s">
        <v>407</v>
      </c>
      <c r="J836" t="s">
        <v>785</v>
      </c>
    </row>
    <row r="837" spans="1:10">
      <c r="A837">
        <v>50836</v>
      </c>
      <c r="B837">
        <v>30473</v>
      </c>
      <c r="C837" t="s">
        <v>406</v>
      </c>
      <c r="D837">
        <v>2322</v>
      </c>
      <c r="E837">
        <v>1007</v>
      </c>
      <c r="F837">
        <v>1</v>
      </c>
      <c r="G837" t="s">
        <v>1453</v>
      </c>
      <c r="H837" t="s">
        <v>9</v>
      </c>
      <c r="I837" t="s">
        <v>548</v>
      </c>
      <c r="J837" t="s">
        <v>103</v>
      </c>
    </row>
    <row r="838" spans="1:10">
      <c r="A838">
        <v>50837</v>
      </c>
      <c r="B838">
        <v>30473</v>
      </c>
      <c r="C838" t="s">
        <v>1019</v>
      </c>
      <c r="D838">
        <v>2322</v>
      </c>
      <c r="E838">
        <v>1015</v>
      </c>
      <c r="F838">
        <v>2</v>
      </c>
      <c r="G838" t="s">
        <v>1488</v>
      </c>
      <c r="H838" t="s">
        <v>9</v>
      </c>
      <c r="I838" t="s">
        <v>245</v>
      </c>
      <c r="J838" t="s">
        <v>961</v>
      </c>
    </row>
    <row r="839" spans="1:10">
      <c r="A839">
        <v>50838</v>
      </c>
      <c r="B839">
        <v>30474</v>
      </c>
      <c r="C839" t="s">
        <v>1093</v>
      </c>
      <c r="D839">
        <v>2316</v>
      </c>
      <c r="E839">
        <v>1004</v>
      </c>
      <c r="F839">
        <v>2</v>
      </c>
      <c r="G839" t="s">
        <v>1476</v>
      </c>
      <c r="H839" t="s">
        <v>9</v>
      </c>
      <c r="I839" t="s">
        <v>716</v>
      </c>
      <c r="J839" t="s">
        <v>1094</v>
      </c>
    </row>
    <row r="840" spans="1:10">
      <c r="A840">
        <v>50839</v>
      </c>
      <c r="B840">
        <v>30475</v>
      </c>
      <c r="C840" t="s">
        <v>1095</v>
      </c>
      <c r="D840">
        <v>2093</v>
      </c>
      <c r="E840">
        <v>1010</v>
      </c>
      <c r="F840">
        <v>3</v>
      </c>
      <c r="G840" t="s">
        <v>1514</v>
      </c>
      <c r="H840" t="s">
        <v>9</v>
      </c>
      <c r="I840" t="s">
        <v>996</v>
      </c>
      <c r="J840" t="s">
        <v>446</v>
      </c>
    </row>
    <row r="841" spans="1:10">
      <c r="A841">
        <v>50840</v>
      </c>
      <c r="B841">
        <v>30476</v>
      </c>
      <c r="C841" t="s">
        <v>28</v>
      </c>
      <c r="D841">
        <v>2042</v>
      </c>
      <c r="E841">
        <v>1011</v>
      </c>
      <c r="F841">
        <v>4</v>
      </c>
      <c r="G841" t="s">
        <v>1499</v>
      </c>
      <c r="H841" t="s">
        <v>9</v>
      </c>
      <c r="I841" t="s">
        <v>866</v>
      </c>
      <c r="J841" t="s">
        <v>499</v>
      </c>
    </row>
    <row r="842" spans="1:10">
      <c r="A842">
        <v>50841</v>
      </c>
      <c r="B842">
        <v>30477</v>
      </c>
      <c r="C842" t="s">
        <v>191</v>
      </c>
      <c r="D842">
        <v>2152</v>
      </c>
      <c r="E842">
        <v>1008</v>
      </c>
      <c r="F842">
        <v>1</v>
      </c>
      <c r="G842" t="s">
        <v>1447</v>
      </c>
      <c r="H842" t="s">
        <v>9</v>
      </c>
      <c r="I842" t="s">
        <v>614</v>
      </c>
      <c r="J842" t="s">
        <v>75</v>
      </c>
    </row>
    <row r="843" spans="1:10">
      <c r="A843">
        <v>50842</v>
      </c>
      <c r="B843">
        <v>30477</v>
      </c>
      <c r="C843" t="s">
        <v>1049</v>
      </c>
      <c r="D843">
        <v>2152</v>
      </c>
      <c r="E843">
        <v>1012</v>
      </c>
      <c r="F843">
        <v>1</v>
      </c>
      <c r="G843" t="s">
        <v>1449</v>
      </c>
      <c r="H843" t="s">
        <v>9</v>
      </c>
      <c r="I843" t="s">
        <v>564</v>
      </c>
      <c r="J843" t="s">
        <v>598</v>
      </c>
    </row>
    <row r="844" spans="1:10">
      <c r="A844">
        <v>50843</v>
      </c>
      <c r="B844">
        <v>30478</v>
      </c>
      <c r="C844" t="s">
        <v>923</v>
      </c>
      <c r="D844">
        <v>2406</v>
      </c>
      <c r="E844">
        <v>1010</v>
      </c>
      <c r="F844">
        <v>2</v>
      </c>
      <c r="G844" t="s">
        <v>1483</v>
      </c>
      <c r="H844" t="s">
        <v>9</v>
      </c>
      <c r="I844" t="s">
        <v>747</v>
      </c>
      <c r="J844" t="s">
        <v>1038</v>
      </c>
    </row>
    <row r="845" spans="1:10">
      <c r="A845">
        <v>50844</v>
      </c>
      <c r="B845">
        <v>30479</v>
      </c>
      <c r="C845" t="s">
        <v>417</v>
      </c>
      <c r="D845">
        <v>2267</v>
      </c>
      <c r="E845">
        <v>1006</v>
      </c>
      <c r="F845">
        <v>1</v>
      </c>
      <c r="G845" t="s">
        <v>1459</v>
      </c>
      <c r="H845" t="s">
        <v>16</v>
      </c>
      <c r="I845" t="s">
        <v>1096</v>
      </c>
      <c r="J845" t="s">
        <v>1421</v>
      </c>
    </row>
    <row r="846" spans="1:10">
      <c r="A846">
        <v>50845</v>
      </c>
      <c r="B846">
        <v>30479</v>
      </c>
      <c r="C846" t="s">
        <v>428</v>
      </c>
      <c r="D846">
        <v>2267</v>
      </c>
      <c r="E846">
        <v>1013</v>
      </c>
      <c r="F846">
        <v>1</v>
      </c>
      <c r="G846" t="s">
        <v>1474</v>
      </c>
      <c r="H846" t="s">
        <v>16</v>
      </c>
      <c r="I846" t="s">
        <v>1421</v>
      </c>
      <c r="J846" t="s">
        <v>1421</v>
      </c>
    </row>
    <row r="847" spans="1:10">
      <c r="A847">
        <v>50846</v>
      </c>
      <c r="B847">
        <v>30480</v>
      </c>
      <c r="C847" t="s">
        <v>768</v>
      </c>
      <c r="D847">
        <v>2570</v>
      </c>
      <c r="E847">
        <v>1008</v>
      </c>
      <c r="F847">
        <v>1</v>
      </c>
      <c r="G847" t="s">
        <v>1447</v>
      </c>
      <c r="H847" t="s">
        <v>9</v>
      </c>
      <c r="I847" t="s">
        <v>325</v>
      </c>
      <c r="J847" t="s">
        <v>423</v>
      </c>
    </row>
    <row r="848" spans="1:10">
      <c r="A848">
        <v>50847</v>
      </c>
      <c r="B848">
        <v>30481</v>
      </c>
      <c r="C848" t="s">
        <v>1078</v>
      </c>
      <c r="D848">
        <v>2097</v>
      </c>
      <c r="E848">
        <v>1005</v>
      </c>
      <c r="F848">
        <v>5</v>
      </c>
      <c r="G848" t="s">
        <v>1512</v>
      </c>
      <c r="H848" t="s">
        <v>9</v>
      </c>
      <c r="I848" t="s">
        <v>333</v>
      </c>
      <c r="J848" t="s">
        <v>35</v>
      </c>
    </row>
    <row r="849" spans="1:10">
      <c r="A849">
        <v>50848</v>
      </c>
      <c r="B849">
        <v>30481</v>
      </c>
      <c r="C849" t="s">
        <v>336</v>
      </c>
      <c r="D849">
        <v>2097</v>
      </c>
      <c r="E849">
        <v>1004</v>
      </c>
      <c r="F849">
        <v>1</v>
      </c>
      <c r="G849" t="s">
        <v>1452</v>
      </c>
      <c r="H849" t="s">
        <v>9</v>
      </c>
      <c r="I849" t="s">
        <v>699</v>
      </c>
      <c r="J849" t="s">
        <v>333</v>
      </c>
    </row>
    <row r="850" spans="1:10">
      <c r="A850">
        <v>50849</v>
      </c>
      <c r="B850">
        <v>30481</v>
      </c>
      <c r="C850" t="s">
        <v>125</v>
      </c>
      <c r="D850">
        <v>2097</v>
      </c>
      <c r="E850">
        <v>1001</v>
      </c>
      <c r="F850">
        <v>1</v>
      </c>
      <c r="G850" t="s">
        <v>1469</v>
      </c>
      <c r="H850" t="s">
        <v>9</v>
      </c>
      <c r="I850" t="s">
        <v>167</v>
      </c>
      <c r="J850" t="s">
        <v>737</v>
      </c>
    </row>
    <row r="851" spans="1:10">
      <c r="A851">
        <v>50850</v>
      </c>
      <c r="B851">
        <v>30482</v>
      </c>
      <c r="C851" t="s">
        <v>30</v>
      </c>
      <c r="D851">
        <v>2064</v>
      </c>
      <c r="E851">
        <v>1008</v>
      </c>
      <c r="F851">
        <v>2</v>
      </c>
      <c r="G851" t="s">
        <v>1520</v>
      </c>
      <c r="H851" t="s">
        <v>1477</v>
      </c>
      <c r="I851" t="s">
        <v>665</v>
      </c>
      <c r="J851" t="s">
        <v>1421</v>
      </c>
    </row>
    <row r="852" spans="1:10">
      <c r="A852">
        <v>50851</v>
      </c>
      <c r="B852">
        <v>30483</v>
      </c>
      <c r="C852" t="s">
        <v>771</v>
      </c>
      <c r="D852">
        <v>2411</v>
      </c>
      <c r="E852">
        <v>1003</v>
      </c>
      <c r="F852">
        <v>1</v>
      </c>
      <c r="G852" t="s">
        <v>1471</v>
      </c>
      <c r="H852" t="s">
        <v>9</v>
      </c>
      <c r="I852" t="s">
        <v>426</v>
      </c>
      <c r="J852" t="s">
        <v>1097</v>
      </c>
    </row>
    <row r="853" spans="1:10">
      <c r="A853">
        <v>50852</v>
      </c>
      <c r="B853">
        <v>30483</v>
      </c>
      <c r="C853" t="s">
        <v>326</v>
      </c>
      <c r="D853">
        <v>2411</v>
      </c>
      <c r="E853">
        <v>1009</v>
      </c>
      <c r="F853">
        <v>1</v>
      </c>
      <c r="G853" t="s">
        <v>1473</v>
      </c>
      <c r="H853" t="s">
        <v>9</v>
      </c>
      <c r="I853" t="s">
        <v>421</v>
      </c>
      <c r="J853" t="s">
        <v>1097</v>
      </c>
    </row>
    <row r="854" spans="1:10">
      <c r="A854">
        <v>50853</v>
      </c>
      <c r="B854">
        <v>30483</v>
      </c>
      <c r="C854" t="s">
        <v>769</v>
      </c>
      <c r="D854">
        <v>2411</v>
      </c>
      <c r="E854">
        <v>1003</v>
      </c>
      <c r="F854">
        <v>1</v>
      </c>
      <c r="G854" t="s">
        <v>1471</v>
      </c>
      <c r="H854" t="s">
        <v>9</v>
      </c>
      <c r="I854" t="s">
        <v>908</v>
      </c>
      <c r="J854" t="s">
        <v>1016</v>
      </c>
    </row>
    <row r="855" spans="1:10">
      <c r="A855">
        <v>50854</v>
      </c>
      <c r="B855">
        <v>30484</v>
      </c>
      <c r="C855" t="s">
        <v>736</v>
      </c>
      <c r="D855">
        <v>2023</v>
      </c>
      <c r="E855">
        <v>1007</v>
      </c>
      <c r="F855">
        <v>1</v>
      </c>
      <c r="G855" t="s">
        <v>1453</v>
      </c>
      <c r="H855" t="s">
        <v>11</v>
      </c>
      <c r="I855" t="s">
        <v>652</v>
      </c>
      <c r="J855" t="s">
        <v>1098</v>
      </c>
    </row>
    <row r="856" spans="1:10">
      <c r="A856">
        <v>50855</v>
      </c>
      <c r="B856">
        <v>30485</v>
      </c>
      <c r="C856" t="s">
        <v>769</v>
      </c>
      <c r="D856">
        <v>2455</v>
      </c>
      <c r="E856">
        <v>1003</v>
      </c>
      <c r="F856">
        <v>1</v>
      </c>
      <c r="G856" t="s">
        <v>1471</v>
      </c>
      <c r="H856" t="s">
        <v>16</v>
      </c>
      <c r="I856" t="s">
        <v>1421</v>
      </c>
      <c r="J856" t="s">
        <v>1421</v>
      </c>
    </row>
    <row r="857" spans="1:10">
      <c r="A857">
        <v>50856</v>
      </c>
      <c r="B857">
        <v>30485</v>
      </c>
      <c r="C857" t="s">
        <v>326</v>
      </c>
      <c r="D857">
        <v>2455</v>
      </c>
      <c r="F857">
        <v>3</v>
      </c>
      <c r="G857" t="s">
        <v>1454</v>
      </c>
      <c r="H857" t="s">
        <v>16</v>
      </c>
      <c r="I857" t="s">
        <v>636</v>
      </c>
      <c r="J857" t="s">
        <v>1421</v>
      </c>
    </row>
    <row r="858" spans="1:10">
      <c r="A858">
        <v>50857</v>
      </c>
      <c r="B858">
        <v>30486</v>
      </c>
      <c r="C858" t="s">
        <v>809</v>
      </c>
      <c r="D858">
        <v>2473</v>
      </c>
      <c r="E858">
        <v>1014</v>
      </c>
      <c r="F858">
        <v>2</v>
      </c>
      <c r="G858" t="s">
        <v>1475</v>
      </c>
      <c r="H858" t="s">
        <v>9</v>
      </c>
      <c r="I858" t="s">
        <v>188</v>
      </c>
      <c r="J858" t="s">
        <v>729</v>
      </c>
    </row>
    <row r="859" spans="1:10">
      <c r="A859">
        <v>50858</v>
      </c>
      <c r="B859">
        <v>30487</v>
      </c>
      <c r="C859" t="s">
        <v>844</v>
      </c>
      <c r="D859">
        <v>2405</v>
      </c>
      <c r="E859">
        <v>1013</v>
      </c>
      <c r="F859">
        <v>1</v>
      </c>
      <c r="G859" t="s">
        <v>1474</v>
      </c>
      <c r="H859" t="s">
        <v>9</v>
      </c>
      <c r="I859" t="s">
        <v>633</v>
      </c>
      <c r="J859" t="s">
        <v>984</v>
      </c>
    </row>
    <row r="860" spans="1:10">
      <c r="A860">
        <v>50859</v>
      </c>
      <c r="B860">
        <v>30487</v>
      </c>
      <c r="C860" t="s">
        <v>917</v>
      </c>
      <c r="D860">
        <v>2405</v>
      </c>
      <c r="E860">
        <v>1014</v>
      </c>
      <c r="F860">
        <v>1</v>
      </c>
      <c r="G860" t="s">
        <v>1463</v>
      </c>
      <c r="H860" t="s">
        <v>9</v>
      </c>
      <c r="I860" t="s">
        <v>1099</v>
      </c>
      <c r="J860" t="s">
        <v>659</v>
      </c>
    </row>
    <row r="861" spans="1:10">
      <c r="A861">
        <v>50860</v>
      </c>
      <c r="B861">
        <v>30488</v>
      </c>
      <c r="C861" t="s">
        <v>41</v>
      </c>
      <c r="D861">
        <v>2177</v>
      </c>
      <c r="E861">
        <v>1006</v>
      </c>
      <c r="F861">
        <v>2</v>
      </c>
      <c r="G861" t="s">
        <v>1501</v>
      </c>
      <c r="H861" t="s">
        <v>9</v>
      </c>
      <c r="I861" t="s">
        <v>257</v>
      </c>
      <c r="J861" t="s">
        <v>55</v>
      </c>
    </row>
    <row r="862" spans="1:10">
      <c r="A862">
        <v>50861</v>
      </c>
      <c r="B862">
        <v>30489</v>
      </c>
      <c r="C862" t="s">
        <v>909</v>
      </c>
      <c r="D862">
        <v>2282</v>
      </c>
      <c r="E862">
        <v>1005</v>
      </c>
      <c r="F862">
        <v>1</v>
      </c>
      <c r="G862" t="s">
        <v>1456</v>
      </c>
      <c r="H862" t="s">
        <v>9</v>
      </c>
      <c r="I862" t="s">
        <v>913</v>
      </c>
      <c r="J862" t="s">
        <v>567</v>
      </c>
    </row>
    <row r="863" spans="1:10">
      <c r="A863">
        <v>50862</v>
      </c>
      <c r="B863">
        <v>30489</v>
      </c>
      <c r="C863" t="s">
        <v>80</v>
      </c>
      <c r="D863">
        <v>2282</v>
      </c>
      <c r="E863">
        <v>1002</v>
      </c>
      <c r="F863">
        <v>1</v>
      </c>
      <c r="G863" t="s">
        <v>1466</v>
      </c>
      <c r="H863" t="s">
        <v>9</v>
      </c>
      <c r="I863" t="s">
        <v>143</v>
      </c>
      <c r="J863" t="s">
        <v>1100</v>
      </c>
    </row>
    <row r="864" spans="1:10">
      <c r="A864">
        <v>50863</v>
      </c>
      <c r="B864">
        <v>30489</v>
      </c>
      <c r="C864" t="s">
        <v>1091</v>
      </c>
      <c r="D864">
        <v>2282</v>
      </c>
      <c r="E864">
        <v>1008</v>
      </c>
      <c r="F864">
        <v>1</v>
      </c>
      <c r="G864" t="s">
        <v>1447</v>
      </c>
      <c r="H864" t="s">
        <v>68</v>
      </c>
      <c r="I864" t="s">
        <v>566</v>
      </c>
      <c r="J864" t="s">
        <v>1101</v>
      </c>
    </row>
    <row r="865" spans="1:10">
      <c r="A865">
        <v>50864</v>
      </c>
      <c r="B865">
        <v>30490</v>
      </c>
      <c r="C865" t="s">
        <v>496</v>
      </c>
      <c r="D865">
        <v>2303</v>
      </c>
      <c r="E865">
        <v>1016</v>
      </c>
      <c r="F865">
        <v>2</v>
      </c>
      <c r="G865" t="s">
        <v>1500</v>
      </c>
      <c r="H865" t="s">
        <v>9</v>
      </c>
      <c r="I865" t="s">
        <v>1073</v>
      </c>
      <c r="J865" t="s">
        <v>583</v>
      </c>
    </row>
    <row r="866" spans="1:10">
      <c r="A866">
        <v>50865</v>
      </c>
      <c r="B866">
        <v>30491</v>
      </c>
      <c r="C866" t="s">
        <v>884</v>
      </c>
      <c r="D866">
        <v>2063</v>
      </c>
      <c r="E866">
        <v>1013</v>
      </c>
      <c r="F866">
        <v>1</v>
      </c>
      <c r="G866" t="s">
        <v>1474</v>
      </c>
      <c r="H866" t="s">
        <v>9</v>
      </c>
      <c r="I866" t="s">
        <v>1094</v>
      </c>
      <c r="J866" t="s">
        <v>871</v>
      </c>
    </row>
    <row r="867" spans="1:10">
      <c r="A867">
        <v>50866</v>
      </c>
      <c r="B867">
        <v>30491</v>
      </c>
      <c r="C867" t="s">
        <v>724</v>
      </c>
      <c r="D867">
        <v>2063</v>
      </c>
      <c r="E867">
        <v>1005</v>
      </c>
      <c r="F867">
        <v>1</v>
      </c>
      <c r="G867" t="s">
        <v>1456</v>
      </c>
      <c r="H867" t="s">
        <v>9</v>
      </c>
      <c r="I867" t="s">
        <v>654</v>
      </c>
      <c r="J867" t="s">
        <v>1102</v>
      </c>
    </row>
    <row r="868" spans="1:10">
      <c r="A868">
        <v>50867</v>
      </c>
      <c r="B868">
        <v>30491</v>
      </c>
      <c r="C868" t="s">
        <v>724</v>
      </c>
      <c r="D868">
        <v>2063</v>
      </c>
      <c r="E868">
        <v>1014</v>
      </c>
      <c r="F868">
        <v>3</v>
      </c>
      <c r="G868" t="s">
        <v>1505</v>
      </c>
      <c r="H868" t="s">
        <v>9</v>
      </c>
      <c r="I868" t="s">
        <v>1103</v>
      </c>
      <c r="J868" t="s">
        <v>182</v>
      </c>
    </row>
    <row r="869" spans="1:10">
      <c r="A869">
        <v>50868</v>
      </c>
      <c r="B869">
        <v>30491</v>
      </c>
      <c r="C869" t="s">
        <v>719</v>
      </c>
      <c r="D869">
        <v>2063</v>
      </c>
      <c r="E869">
        <v>1007</v>
      </c>
      <c r="F869">
        <v>2</v>
      </c>
      <c r="G869" t="s">
        <v>1455</v>
      </c>
      <c r="H869" t="s">
        <v>9</v>
      </c>
      <c r="I869" t="s">
        <v>44</v>
      </c>
      <c r="J869" t="s">
        <v>1072</v>
      </c>
    </row>
    <row r="870" spans="1:10">
      <c r="A870">
        <v>50869</v>
      </c>
      <c r="B870">
        <v>30492</v>
      </c>
      <c r="C870" t="s">
        <v>423</v>
      </c>
      <c r="D870">
        <v>2539</v>
      </c>
      <c r="E870">
        <v>1001</v>
      </c>
      <c r="F870">
        <v>1</v>
      </c>
      <c r="G870" t="s">
        <v>1469</v>
      </c>
      <c r="H870" t="s">
        <v>9</v>
      </c>
      <c r="I870" t="s">
        <v>825</v>
      </c>
      <c r="J870" t="s">
        <v>775</v>
      </c>
    </row>
    <row r="871" spans="1:10">
      <c r="A871">
        <v>50870</v>
      </c>
      <c r="B871">
        <v>30493</v>
      </c>
      <c r="C871" t="s">
        <v>1104</v>
      </c>
      <c r="D871">
        <v>2392</v>
      </c>
      <c r="E871">
        <v>1012</v>
      </c>
      <c r="F871">
        <v>1</v>
      </c>
      <c r="G871" t="s">
        <v>1449</v>
      </c>
      <c r="H871" t="s">
        <v>16</v>
      </c>
      <c r="I871" t="s">
        <v>1421</v>
      </c>
      <c r="J871" t="s">
        <v>1421</v>
      </c>
    </row>
    <row r="872" spans="1:10">
      <c r="A872">
        <v>50871</v>
      </c>
      <c r="B872">
        <v>30494</v>
      </c>
      <c r="C872" t="s">
        <v>1105</v>
      </c>
      <c r="D872">
        <v>2497</v>
      </c>
      <c r="E872">
        <v>1011</v>
      </c>
      <c r="F872">
        <v>1</v>
      </c>
      <c r="G872" t="s">
        <v>1472</v>
      </c>
      <c r="H872" t="s">
        <v>9</v>
      </c>
      <c r="I872" t="s">
        <v>840</v>
      </c>
      <c r="J872" t="s">
        <v>937</v>
      </c>
    </row>
    <row r="873" spans="1:10">
      <c r="A873">
        <v>50872</v>
      </c>
      <c r="B873">
        <v>30495</v>
      </c>
      <c r="C873" t="s">
        <v>1106</v>
      </c>
      <c r="D873">
        <v>2398</v>
      </c>
      <c r="E873">
        <v>1001</v>
      </c>
      <c r="F873">
        <v>1</v>
      </c>
      <c r="G873" t="s">
        <v>1469</v>
      </c>
      <c r="H873" t="s">
        <v>9</v>
      </c>
      <c r="I873" t="s">
        <v>23</v>
      </c>
      <c r="J873" t="s">
        <v>951</v>
      </c>
    </row>
    <row r="874" spans="1:10">
      <c r="A874">
        <v>50873</v>
      </c>
      <c r="B874">
        <v>30495</v>
      </c>
      <c r="C874" t="s">
        <v>1106</v>
      </c>
      <c r="D874">
        <v>2398</v>
      </c>
      <c r="E874">
        <v>1011</v>
      </c>
      <c r="F874">
        <v>3</v>
      </c>
      <c r="G874" t="s">
        <v>1454</v>
      </c>
      <c r="H874" t="s">
        <v>9</v>
      </c>
      <c r="I874" t="s">
        <v>629</v>
      </c>
      <c r="J874" t="s">
        <v>792</v>
      </c>
    </row>
    <row r="875" spans="1:10">
      <c r="A875">
        <v>50874</v>
      </c>
      <c r="B875">
        <v>30496</v>
      </c>
      <c r="C875" t="s">
        <v>97</v>
      </c>
      <c r="D875">
        <v>2225</v>
      </c>
      <c r="E875">
        <v>1009</v>
      </c>
      <c r="F875">
        <v>1</v>
      </c>
      <c r="G875" t="s">
        <v>1473</v>
      </c>
      <c r="H875" t="s">
        <v>9</v>
      </c>
      <c r="I875" t="s">
        <v>52</v>
      </c>
      <c r="J875" t="s">
        <v>889</v>
      </c>
    </row>
    <row r="876" spans="1:10">
      <c r="A876">
        <v>50875</v>
      </c>
      <c r="B876">
        <v>30497</v>
      </c>
      <c r="C876" t="s">
        <v>839</v>
      </c>
      <c r="D876">
        <v>2060</v>
      </c>
      <c r="F876">
        <v>1</v>
      </c>
      <c r="G876" t="s">
        <v>1465</v>
      </c>
      <c r="H876" t="s">
        <v>16</v>
      </c>
      <c r="I876" t="s">
        <v>1421</v>
      </c>
      <c r="J876" t="s">
        <v>1421</v>
      </c>
    </row>
    <row r="877" spans="1:10">
      <c r="A877">
        <v>50876</v>
      </c>
      <c r="B877">
        <v>30497</v>
      </c>
      <c r="C877" t="s">
        <v>839</v>
      </c>
      <c r="D877">
        <v>2060</v>
      </c>
      <c r="E877">
        <v>1008</v>
      </c>
      <c r="F877">
        <v>2</v>
      </c>
      <c r="G877" t="s">
        <v>1520</v>
      </c>
      <c r="H877" t="s">
        <v>16</v>
      </c>
      <c r="I877" t="s">
        <v>1421</v>
      </c>
      <c r="J877" t="s">
        <v>1421</v>
      </c>
    </row>
    <row r="878" spans="1:10">
      <c r="A878">
        <v>50877</v>
      </c>
      <c r="B878">
        <v>30497</v>
      </c>
      <c r="C878" t="s">
        <v>735</v>
      </c>
      <c r="D878">
        <v>2060</v>
      </c>
      <c r="E878">
        <v>1004</v>
      </c>
      <c r="F878">
        <v>1</v>
      </c>
      <c r="G878" t="s">
        <v>1452</v>
      </c>
      <c r="H878" t="s">
        <v>1477</v>
      </c>
      <c r="I878" t="s">
        <v>1061</v>
      </c>
      <c r="J878" t="s">
        <v>1421</v>
      </c>
    </row>
    <row r="879" spans="1:10">
      <c r="A879">
        <v>50878</v>
      </c>
      <c r="B879">
        <v>30497</v>
      </c>
      <c r="C879" t="s">
        <v>839</v>
      </c>
      <c r="D879">
        <v>2060</v>
      </c>
      <c r="E879">
        <v>1008</v>
      </c>
      <c r="F879">
        <v>2</v>
      </c>
      <c r="G879" t="s">
        <v>1520</v>
      </c>
      <c r="H879" t="s">
        <v>16</v>
      </c>
      <c r="I879" t="s">
        <v>1421</v>
      </c>
      <c r="J879" t="s">
        <v>1421</v>
      </c>
    </row>
    <row r="880" spans="1:10">
      <c r="A880">
        <v>50879</v>
      </c>
      <c r="B880">
        <v>30498</v>
      </c>
      <c r="C880" t="s">
        <v>1107</v>
      </c>
      <c r="D880">
        <v>2058</v>
      </c>
      <c r="E880">
        <v>1008</v>
      </c>
      <c r="F880">
        <v>1</v>
      </c>
      <c r="G880" t="s">
        <v>1447</v>
      </c>
      <c r="H880" t="s">
        <v>36</v>
      </c>
      <c r="I880" t="s">
        <v>1421</v>
      </c>
      <c r="J880" t="s">
        <v>1421</v>
      </c>
    </row>
    <row r="881" spans="1:10">
      <c r="A881">
        <v>50880</v>
      </c>
      <c r="B881">
        <v>30499</v>
      </c>
      <c r="C881" t="s">
        <v>1012</v>
      </c>
      <c r="D881">
        <v>2398</v>
      </c>
      <c r="E881">
        <v>1006</v>
      </c>
      <c r="F881">
        <v>5</v>
      </c>
      <c r="G881" t="s">
        <v>1530</v>
      </c>
      <c r="H881" t="s">
        <v>9</v>
      </c>
      <c r="I881" t="s">
        <v>281</v>
      </c>
      <c r="J881" t="s">
        <v>358</v>
      </c>
    </row>
    <row r="882" spans="1:10">
      <c r="A882">
        <v>50881</v>
      </c>
      <c r="B882">
        <v>30499</v>
      </c>
      <c r="C882" t="s">
        <v>1019</v>
      </c>
      <c r="D882">
        <v>2398</v>
      </c>
      <c r="E882">
        <v>1006</v>
      </c>
      <c r="F882">
        <v>1</v>
      </c>
      <c r="G882" t="s">
        <v>1459</v>
      </c>
      <c r="H882" t="s">
        <v>9</v>
      </c>
      <c r="I882" t="s">
        <v>245</v>
      </c>
      <c r="J882" t="s">
        <v>1108</v>
      </c>
    </row>
    <row r="883" spans="1:10">
      <c r="A883">
        <v>50882</v>
      </c>
      <c r="B883">
        <v>30500</v>
      </c>
      <c r="C883" t="s">
        <v>86</v>
      </c>
      <c r="D883">
        <v>2243</v>
      </c>
      <c r="E883">
        <v>1012</v>
      </c>
      <c r="F883">
        <v>2</v>
      </c>
      <c r="G883" t="s">
        <v>1450</v>
      </c>
      <c r="H883" t="s">
        <v>9</v>
      </c>
      <c r="I883" t="s">
        <v>587</v>
      </c>
      <c r="J883" t="s">
        <v>576</v>
      </c>
    </row>
    <row r="884" spans="1:10">
      <c r="A884">
        <v>50883</v>
      </c>
      <c r="B884">
        <v>30500</v>
      </c>
      <c r="C884" t="s">
        <v>86</v>
      </c>
      <c r="D884">
        <v>2243</v>
      </c>
      <c r="E884">
        <v>1001</v>
      </c>
      <c r="F884">
        <v>3</v>
      </c>
      <c r="G884" t="s">
        <v>1515</v>
      </c>
      <c r="H884" t="s">
        <v>9</v>
      </c>
      <c r="I884" t="s">
        <v>1109</v>
      </c>
      <c r="J884" t="s">
        <v>1110</v>
      </c>
    </row>
    <row r="885" spans="1:10">
      <c r="A885">
        <v>50884</v>
      </c>
      <c r="B885">
        <v>30501</v>
      </c>
      <c r="C885" t="s">
        <v>634</v>
      </c>
      <c r="D885">
        <v>2361</v>
      </c>
      <c r="E885">
        <v>1005</v>
      </c>
      <c r="F885">
        <v>1</v>
      </c>
      <c r="G885" t="s">
        <v>1456</v>
      </c>
      <c r="H885" t="s">
        <v>1524</v>
      </c>
      <c r="I885" t="s">
        <v>629</v>
      </c>
      <c r="J885" t="s">
        <v>834</v>
      </c>
    </row>
    <row r="886" spans="1:10">
      <c r="A886">
        <v>50885</v>
      </c>
      <c r="B886">
        <v>30502</v>
      </c>
      <c r="C886" t="s">
        <v>192</v>
      </c>
      <c r="D886">
        <v>2577</v>
      </c>
      <c r="E886">
        <v>1016</v>
      </c>
      <c r="F886">
        <v>2</v>
      </c>
      <c r="G886" t="s">
        <v>1500</v>
      </c>
      <c r="H886" t="s">
        <v>11</v>
      </c>
      <c r="I886" t="s">
        <v>1111</v>
      </c>
      <c r="J886" t="s">
        <v>155</v>
      </c>
    </row>
    <row r="887" spans="1:10">
      <c r="A887">
        <v>50886</v>
      </c>
      <c r="B887">
        <v>30502</v>
      </c>
      <c r="C887" t="s">
        <v>192</v>
      </c>
      <c r="D887">
        <v>2577</v>
      </c>
      <c r="E887">
        <v>1010</v>
      </c>
      <c r="F887">
        <v>1</v>
      </c>
      <c r="G887" t="s">
        <v>1468</v>
      </c>
      <c r="H887" t="s">
        <v>11</v>
      </c>
      <c r="I887" t="s">
        <v>112</v>
      </c>
      <c r="J887" t="s">
        <v>1112</v>
      </c>
    </row>
    <row r="888" spans="1:10">
      <c r="A888">
        <v>50887</v>
      </c>
      <c r="B888">
        <v>30502</v>
      </c>
      <c r="C888" t="s">
        <v>1113</v>
      </c>
      <c r="D888">
        <v>2577</v>
      </c>
      <c r="E888">
        <v>1006</v>
      </c>
      <c r="F888">
        <v>1</v>
      </c>
      <c r="G888" t="s">
        <v>1459</v>
      </c>
      <c r="H888" t="s">
        <v>11</v>
      </c>
      <c r="I888" t="s">
        <v>705</v>
      </c>
      <c r="J888" t="s">
        <v>708</v>
      </c>
    </row>
    <row r="889" spans="1:10">
      <c r="A889">
        <v>50888</v>
      </c>
      <c r="B889">
        <v>30503</v>
      </c>
      <c r="C889" t="s">
        <v>383</v>
      </c>
      <c r="D889">
        <v>2503</v>
      </c>
      <c r="E889">
        <v>1002</v>
      </c>
      <c r="F889">
        <v>1</v>
      </c>
      <c r="G889" t="s">
        <v>1466</v>
      </c>
      <c r="H889" t="s">
        <v>9</v>
      </c>
      <c r="I889" t="s">
        <v>523</v>
      </c>
      <c r="J889" t="s">
        <v>510</v>
      </c>
    </row>
    <row r="890" spans="1:10">
      <c r="A890">
        <v>50889</v>
      </c>
      <c r="B890">
        <v>30504</v>
      </c>
      <c r="C890" t="s">
        <v>420</v>
      </c>
      <c r="D890">
        <v>2239</v>
      </c>
      <c r="E890">
        <v>1001</v>
      </c>
      <c r="F890">
        <v>1</v>
      </c>
      <c r="G890" t="s">
        <v>1469</v>
      </c>
      <c r="H890" t="s">
        <v>9</v>
      </c>
      <c r="I890" t="s">
        <v>703</v>
      </c>
      <c r="J890" t="s">
        <v>1114</v>
      </c>
    </row>
    <row r="891" spans="1:10">
      <c r="A891">
        <v>50890</v>
      </c>
      <c r="B891">
        <v>30505</v>
      </c>
      <c r="C891" t="s">
        <v>1115</v>
      </c>
      <c r="D891">
        <v>2540</v>
      </c>
      <c r="E891">
        <v>1011</v>
      </c>
      <c r="F891">
        <v>3</v>
      </c>
      <c r="G891" t="s">
        <v>1454</v>
      </c>
      <c r="H891" t="s">
        <v>9</v>
      </c>
      <c r="I891" t="s">
        <v>785</v>
      </c>
      <c r="J891" t="s">
        <v>786</v>
      </c>
    </row>
    <row r="892" spans="1:10">
      <c r="A892">
        <v>50891</v>
      </c>
      <c r="B892">
        <v>30506</v>
      </c>
      <c r="C892" t="s">
        <v>432</v>
      </c>
      <c r="D892">
        <v>2207</v>
      </c>
      <c r="E892">
        <v>1011</v>
      </c>
      <c r="F892">
        <v>2</v>
      </c>
      <c r="G892" t="s">
        <v>1421</v>
      </c>
      <c r="H892" t="s">
        <v>16</v>
      </c>
      <c r="I892" t="s">
        <v>1421</v>
      </c>
      <c r="J892" t="s">
        <v>1421</v>
      </c>
    </row>
    <row r="893" spans="1:10">
      <c r="A893">
        <v>50892</v>
      </c>
      <c r="B893">
        <v>30506</v>
      </c>
      <c r="C893" t="s">
        <v>976</v>
      </c>
      <c r="D893">
        <v>2207</v>
      </c>
      <c r="E893">
        <v>1011</v>
      </c>
      <c r="F893">
        <v>2</v>
      </c>
      <c r="G893" t="s">
        <v>1487</v>
      </c>
      <c r="H893" t="s">
        <v>16</v>
      </c>
      <c r="I893" t="s">
        <v>383</v>
      </c>
      <c r="J893" t="s">
        <v>1421</v>
      </c>
    </row>
    <row r="894" spans="1:10">
      <c r="A894">
        <v>50893</v>
      </c>
      <c r="B894">
        <v>30507</v>
      </c>
      <c r="C894" t="s">
        <v>848</v>
      </c>
      <c r="D894">
        <v>2152</v>
      </c>
      <c r="E894">
        <v>1005</v>
      </c>
      <c r="F894">
        <v>2</v>
      </c>
      <c r="G894" t="s">
        <v>1458</v>
      </c>
      <c r="H894" t="s">
        <v>9</v>
      </c>
      <c r="I894" t="s">
        <v>193</v>
      </c>
      <c r="J894" t="s">
        <v>303</v>
      </c>
    </row>
    <row r="895" spans="1:10">
      <c r="A895">
        <v>50894</v>
      </c>
      <c r="B895">
        <v>30507</v>
      </c>
      <c r="C895" t="s">
        <v>885</v>
      </c>
      <c r="D895">
        <v>2152</v>
      </c>
      <c r="E895">
        <v>1004</v>
      </c>
      <c r="F895">
        <v>2</v>
      </c>
      <c r="G895" t="s">
        <v>1476</v>
      </c>
      <c r="H895" t="s">
        <v>9</v>
      </c>
      <c r="I895" t="s">
        <v>1116</v>
      </c>
      <c r="J895" t="s">
        <v>897</v>
      </c>
    </row>
    <row r="896" spans="1:10">
      <c r="A896">
        <v>50895</v>
      </c>
      <c r="B896">
        <v>30508</v>
      </c>
      <c r="C896" t="s">
        <v>91</v>
      </c>
      <c r="D896">
        <v>2539</v>
      </c>
      <c r="E896">
        <v>1003</v>
      </c>
      <c r="F896">
        <v>2</v>
      </c>
      <c r="G896" t="s">
        <v>1464</v>
      </c>
      <c r="H896" t="s">
        <v>12</v>
      </c>
      <c r="I896" t="s">
        <v>1421</v>
      </c>
      <c r="J896" t="s">
        <v>1421</v>
      </c>
    </row>
    <row r="897" spans="1:10">
      <c r="A897">
        <v>50896</v>
      </c>
      <c r="B897">
        <v>30508</v>
      </c>
      <c r="C897" t="s">
        <v>1004</v>
      </c>
      <c r="D897">
        <v>2539</v>
      </c>
      <c r="E897">
        <v>1012</v>
      </c>
      <c r="F897">
        <v>1</v>
      </c>
      <c r="G897" t="s">
        <v>1449</v>
      </c>
      <c r="H897" t="s">
        <v>1531</v>
      </c>
      <c r="I897" t="s">
        <v>1421</v>
      </c>
      <c r="J897" t="s">
        <v>1421</v>
      </c>
    </row>
    <row r="898" spans="1:10">
      <c r="A898">
        <v>50897</v>
      </c>
      <c r="B898">
        <v>30509</v>
      </c>
      <c r="C898" t="s">
        <v>1117</v>
      </c>
      <c r="D898">
        <v>2406</v>
      </c>
      <c r="E898">
        <v>1011</v>
      </c>
      <c r="F898">
        <v>1</v>
      </c>
      <c r="G898" t="s">
        <v>1472</v>
      </c>
      <c r="H898" t="s">
        <v>9</v>
      </c>
      <c r="I898" t="s">
        <v>460</v>
      </c>
      <c r="J898" t="s">
        <v>1056</v>
      </c>
    </row>
    <row r="899" spans="1:10">
      <c r="A899">
        <v>50898</v>
      </c>
      <c r="B899">
        <v>30509</v>
      </c>
      <c r="C899" t="s">
        <v>1118</v>
      </c>
      <c r="D899">
        <v>2406</v>
      </c>
      <c r="E899">
        <v>1010</v>
      </c>
      <c r="F899">
        <v>1</v>
      </c>
      <c r="G899" t="s">
        <v>1468</v>
      </c>
      <c r="H899" t="s">
        <v>9</v>
      </c>
      <c r="I899" t="s">
        <v>886</v>
      </c>
      <c r="J899" t="s">
        <v>619</v>
      </c>
    </row>
    <row r="900" spans="1:10">
      <c r="A900">
        <v>50899</v>
      </c>
      <c r="B900">
        <v>30509</v>
      </c>
      <c r="C900" t="s">
        <v>964</v>
      </c>
      <c r="D900">
        <v>2406</v>
      </c>
      <c r="E900">
        <v>1011</v>
      </c>
      <c r="F900">
        <v>1</v>
      </c>
      <c r="G900" t="s">
        <v>1472</v>
      </c>
      <c r="H900" t="s">
        <v>9</v>
      </c>
      <c r="I900" t="s">
        <v>624</v>
      </c>
      <c r="J900" t="s">
        <v>460</v>
      </c>
    </row>
    <row r="901" spans="1:10">
      <c r="A901">
        <v>50900</v>
      </c>
      <c r="B901">
        <v>30509</v>
      </c>
      <c r="C901" t="s">
        <v>964</v>
      </c>
      <c r="D901">
        <v>2406</v>
      </c>
      <c r="E901">
        <v>1005</v>
      </c>
      <c r="F901">
        <v>1</v>
      </c>
      <c r="G901" t="s">
        <v>1456</v>
      </c>
      <c r="H901" t="s">
        <v>9</v>
      </c>
      <c r="I901" t="s">
        <v>271</v>
      </c>
      <c r="J901" t="s">
        <v>965</v>
      </c>
    </row>
    <row r="902" spans="1:10">
      <c r="A902">
        <v>50901</v>
      </c>
      <c r="B902">
        <v>30510</v>
      </c>
      <c r="C902" t="s">
        <v>1024</v>
      </c>
      <c r="D902">
        <v>2162</v>
      </c>
      <c r="E902">
        <v>1014</v>
      </c>
      <c r="F902">
        <v>2</v>
      </c>
      <c r="G902" t="s">
        <v>1475</v>
      </c>
      <c r="H902" t="s">
        <v>9</v>
      </c>
      <c r="I902" t="s">
        <v>1119</v>
      </c>
      <c r="J902" t="s">
        <v>620</v>
      </c>
    </row>
    <row r="903" spans="1:10">
      <c r="A903">
        <v>50902</v>
      </c>
      <c r="B903">
        <v>30510</v>
      </c>
      <c r="C903" t="s">
        <v>1024</v>
      </c>
      <c r="D903">
        <v>2162</v>
      </c>
      <c r="E903">
        <v>1016</v>
      </c>
      <c r="F903">
        <v>2</v>
      </c>
      <c r="G903" t="s">
        <v>1500</v>
      </c>
      <c r="H903" t="s">
        <v>1457</v>
      </c>
      <c r="I903" t="s">
        <v>432</v>
      </c>
      <c r="J903" t="s">
        <v>397</v>
      </c>
    </row>
    <row r="904" spans="1:10">
      <c r="A904">
        <v>50903</v>
      </c>
      <c r="B904">
        <v>30511</v>
      </c>
      <c r="C904" t="s">
        <v>51</v>
      </c>
      <c r="D904">
        <v>2325</v>
      </c>
      <c r="E904">
        <v>1012</v>
      </c>
      <c r="F904">
        <v>2</v>
      </c>
      <c r="G904" t="s">
        <v>1450</v>
      </c>
      <c r="H904" t="s">
        <v>9</v>
      </c>
      <c r="I904" t="s">
        <v>262</v>
      </c>
      <c r="J904" t="s">
        <v>121</v>
      </c>
    </row>
    <row r="905" spans="1:10">
      <c r="A905">
        <v>50904</v>
      </c>
      <c r="B905">
        <v>30511</v>
      </c>
      <c r="C905" t="s">
        <v>51</v>
      </c>
      <c r="D905">
        <v>2325</v>
      </c>
      <c r="E905">
        <v>1008</v>
      </c>
      <c r="F905">
        <v>1</v>
      </c>
      <c r="G905" t="s">
        <v>1447</v>
      </c>
      <c r="H905" t="s">
        <v>9</v>
      </c>
      <c r="I905" t="s">
        <v>668</v>
      </c>
      <c r="J905" t="s">
        <v>121</v>
      </c>
    </row>
    <row r="906" spans="1:10">
      <c r="A906">
        <v>50905</v>
      </c>
      <c r="B906">
        <v>30512</v>
      </c>
      <c r="C906" t="s">
        <v>1057</v>
      </c>
      <c r="D906">
        <v>2180</v>
      </c>
      <c r="E906">
        <v>1010</v>
      </c>
      <c r="F906">
        <v>2</v>
      </c>
      <c r="G906" t="s">
        <v>1483</v>
      </c>
      <c r="H906" t="s">
        <v>9</v>
      </c>
      <c r="I906" t="s">
        <v>87</v>
      </c>
      <c r="J906" t="s">
        <v>760</v>
      </c>
    </row>
    <row r="907" spans="1:10">
      <c r="A907">
        <v>50906</v>
      </c>
      <c r="B907">
        <v>30512</v>
      </c>
      <c r="C907" t="s">
        <v>557</v>
      </c>
      <c r="D907">
        <v>2180</v>
      </c>
      <c r="E907">
        <v>1005</v>
      </c>
      <c r="F907">
        <v>2</v>
      </c>
      <c r="G907" t="s">
        <v>1458</v>
      </c>
      <c r="H907" t="s">
        <v>9</v>
      </c>
      <c r="I907" t="s">
        <v>1120</v>
      </c>
      <c r="J907" t="s">
        <v>1121</v>
      </c>
    </row>
    <row r="908" spans="1:10">
      <c r="A908">
        <v>50907</v>
      </c>
      <c r="B908">
        <v>30512</v>
      </c>
      <c r="C908" t="s">
        <v>1057</v>
      </c>
      <c r="D908">
        <v>2180</v>
      </c>
      <c r="E908">
        <v>1006</v>
      </c>
      <c r="F908">
        <v>2</v>
      </c>
      <c r="G908" t="s">
        <v>1501</v>
      </c>
      <c r="H908" t="s">
        <v>9</v>
      </c>
      <c r="I908" t="s">
        <v>761</v>
      </c>
      <c r="J908" t="s">
        <v>762</v>
      </c>
    </row>
    <row r="909" spans="1:10">
      <c r="A909">
        <v>50908</v>
      </c>
      <c r="B909">
        <v>30513</v>
      </c>
      <c r="C909" t="s">
        <v>301</v>
      </c>
      <c r="D909">
        <v>2002</v>
      </c>
      <c r="E909">
        <v>1013</v>
      </c>
      <c r="F909">
        <v>1</v>
      </c>
      <c r="G909" t="s">
        <v>1474</v>
      </c>
      <c r="H909" t="s">
        <v>11</v>
      </c>
      <c r="I909" t="s">
        <v>101</v>
      </c>
      <c r="J909" t="s">
        <v>54</v>
      </c>
    </row>
    <row r="910" spans="1:10">
      <c r="A910">
        <v>50909</v>
      </c>
      <c r="B910">
        <v>30513</v>
      </c>
      <c r="C910" t="s">
        <v>554</v>
      </c>
      <c r="D910">
        <v>2002</v>
      </c>
      <c r="E910">
        <v>1002</v>
      </c>
      <c r="F910">
        <v>3</v>
      </c>
      <c r="G910" t="s">
        <v>1508</v>
      </c>
      <c r="H910" t="s">
        <v>11</v>
      </c>
      <c r="I910" t="s">
        <v>555</v>
      </c>
      <c r="J910" t="s">
        <v>297</v>
      </c>
    </row>
    <row r="911" spans="1:10">
      <c r="A911">
        <v>50910</v>
      </c>
      <c r="B911">
        <v>30514</v>
      </c>
      <c r="C911" t="s">
        <v>124</v>
      </c>
      <c r="D911">
        <v>2187</v>
      </c>
      <c r="E911">
        <v>1008</v>
      </c>
      <c r="F911">
        <v>1</v>
      </c>
      <c r="G911" t="s">
        <v>1447</v>
      </c>
      <c r="H911" t="s">
        <v>9</v>
      </c>
      <c r="I911" t="s">
        <v>1050</v>
      </c>
      <c r="J911" t="s">
        <v>257</v>
      </c>
    </row>
    <row r="912" spans="1:10">
      <c r="A912">
        <v>50911</v>
      </c>
      <c r="B912">
        <v>30515</v>
      </c>
      <c r="C912" t="s">
        <v>103</v>
      </c>
      <c r="D912">
        <v>2580</v>
      </c>
      <c r="E912">
        <v>1016</v>
      </c>
      <c r="F912">
        <v>1</v>
      </c>
      <c r="G912" t="s">
        <v>1465</v>
      </c>
      <c r="H912" t="s">
        <v>9</v>
      </c>
      <c r="I912" t="s">
        <v>952</v>
      </c>
      <c r="J912" t="s">
        <v>1122</v>
      </c>
    </row>
    <row r="913" spans="1:10">
      <c r="A913">
        <v>50912</v>
      </c>
      <c r="B913">
        <v>30516</v>
      </c>
      <c r="C913" t="s">
        <v>1077</v>
      </c>
      <c r="D913">
        <v>2145</v>
      </c>
      <c r="E913">
        <v>1003</v>
      </c>
      <c r="F913">
        <v>1</v>
      </c>
      <c r="G913" t="s">
        <v>1471</v>
      </c>
      <c r="H913" t="s">
        <v>9</v>
      </c>
      <c r="I913" t="s">
        <v>836</v>
      </c>
      <c r="J913" t="s">
        <v>1001</v>
      </c>
    </row>
    <row r="914" spans="1:10">
      <c r="A914">
        <v>50913</v>
      </c>
      <c r="B914">
        <v>30517</v>
      </c>
      <c r="C914" t="s">
        <v>821</v>
      </c>
      <c r="D914">
        <v>2244</v>
      </c>
      <c r="E914">
        <v>1011</v>
      </c>
      <c r="F914">
        <v>1</v>
      </c>
      <c r="G914" t="s">
        <v>1472</v>
      </c>
      <c r="H914" t="s">
        <v>9</v>
      </c>
      <c r="I914" t="s">
        <v>823</v>
      </c>
      <c r="J914" t="s">
        <v>1087</v>
      </c>
    </row>
    <row r="915" spans="1:10">
      <c r="A915">
        <v>50914</v>
      </c>
      <c r="B915">
        <v>30517</v>
      </c>
      <c r="C915" t="s">
        <v>131</v>
      </c>
      <c r="D915">
        <v>2244</v>
      </c>
      <c r="E915">
        <v>1006</v>
      </c>
      <c r="F915">
        <v>2</v>
      </c>
      <c r="G915" t="s">
        <v>1501</v>
      </c>
      <c r="H915" t="s">
        <v>9</v>
      </c>
      <c r="I915" t="s">
        <v>443</v>
      </c>
      <c r="J915" t="s">
        <v>311</v>
      </c>
    </row>
    <row r="916" spans="1:10">
      <c r="A916">
        <v>50915</v>
      </c>
      <c r="B916">
        <v>30517</v>
      </c>
      <c r="C916" t="s">
        <v>1123</v>
      </c>
      <c r="D916">
        <v>2244</v>
      </c>
      <c r="E916">
        <v>1003</v>
      </c>
      <c r="F916">
        <v>2</v>
      </c>
      <c r="G916" t="s">
        <v>1464</v>
      </c>
      <c r="H916" t="s">
        <v>9</v>
      </c>
      <c r="I916" t="s">
        <v>822</v>
      </c>
      <c r="J916" t="s">
        <v>1087</v>
      </c>
    </row>
    <row r="917" spans="1:10">
      <c r="A917">
        <v>50916</v>
      </c>
      <c r="B917">
        <v>30518</v>
      </c>
      <c r="C917" t="s">
        <v>194</v>
      </c>
      <c r="D917">
        <v>2344</v>
      </c>
      <c r="E917">
        <v>1009</v>
      </c>
      <c r="F917">
        <v>1</v>
      </c>
      <c r="G917" t="s">
        <v>1473</v>
      </c>
      <c r="H917" t="s">
        <v>9</v>
      </c>
      <c r="I917" t="s">
        <v>352</v>
      </c>
      <c r="J917" t="s">
        <v>509</v>
      </c>
    </row>
    <row r="918" spans="1:10">
      <c r="A918">
        <v>50917</v>
      </c>
      <c r="B918">
        <v>30519</v>
      </c>
      <c r="C918" t="s">
        <v>1057</v>
      </c>
      <c r="D918">
        <v>2215</v>
      </c>
      <c r="E918">
        <v>1003</v>
      </c>
      <c r="F918">
        <v>1</v>
      </c>
      <c r="G918" t="s">
        <v>1471</v>
      </c>
      <c r="H918" t="s">
        <v>9</v>
      </c>
      <c r="I918" t="s">
        <v>1124</v>
      </c>
      <c r="J918" t="s">
        <v>604</v>
      </c>
    </row>
    <row r="919" spans="1:10">
      <c r="A919">
        <v>50918</v>
      </c>
      <c r="B919">
        <v>30519</v>
      </c>
      <c r="C919" t="s">
        <v>414</v>
      </c>
      <c r="D919">
        <v>2215</v>
      </c>
      <c r="E919">
        <v>1012</v>
      </c>
      <c r="F919">
        <v>3</v>
      </c>
      <c r="G919" t="s">
        <v>1448</v>
      </c>
      <c r="H919" t="s">
        <v>9</v>
      </c>
      <c r="I919" t="s">
        <v>375</v>
      </c>
      <c r="J919" t="s">
        <v>1125</v>
      </c>
    </row>
    <row r="920" spans="1:10">
      <c r="A920">
        <v>50919</v>
      </c>
      <c r="B920">
        <v>30520</v>
      </c>
      <c r="C920" t="s">
        <v>769</v>
      </c>
      <c r="D920">
        <v>2263</v>
      </c>
      <c r="E920">
        <v>1001</v>
      </c>
      <c r="F920">
        <v>2</v>
      </c>
      <c r="G920" t="s">
        <v>1460</v>
      </c>
      <c r="H920" t="s">
        <v>16</v>
      </c>
      <c r="I920" t="s">
        <v>637</v>
      </c>
      <c r="J920" t="s">
        <v>1421</v>
      </c>
    </row>
    <row r="921" spans="1:10">
      <c r="A921">
        <v>50920</v>
      </c>
      <c r="B921">
        <v>30521</v>
      </c>
      <c r="C921" t="s">
        <v>428</v>
      </c>
      <c r="D921">
        <v>2449</v>
      </c>
      <c r="E921">
        <v>1006</v>
      </c>
      <c r="F921">
        <v>1</v>
      </c>
      <c r="G921" t="s">
        <v>1459</v>
      </c>
      <c r="H921" t="s">
        <v>9</v>
      </c>
      <c r="I921" t="s">
        <v>1001</v>
      </c>
      <c r="J921" t="s">
        <v>376</v>
      </c>
    </row>
    <row r="922" spans="1:10">
      <c r="A922">
        <v>50921</v>
      </c>
      <c r="B922">
        <v>30521</v>
      </c>
      <c r="C922" t="s">
        <v>650</v>
      </c>
      <c r="D922">
        <v>2449</v>
      </c>
      <c r="E922">
        <v>1014</v>
      </c>
      <c r="F922">
        <v>4</v>
      </c>
      <c r="G922" t="s">
        <v>1518</v>
      </c>
      <c r="H922" t="s">
        <v>9</v>
      </c>
      <c r="I922" t="s">
        <v>1126</v>
      </c>
      <c r="J922" t="s">
        <v>1127</v>
      </c>
    </row>
    <row r="923" spans="1:10">
      <c r="A923">
        <v>50922</v>
      </c>
      <c r="B923">
        <v>30521</v>
      </c>
      <c r="C923" t="s">
        <v>89</v>
      </c>
      <c r="D923">
        <v>2449</v>
      </c>
      <c r="E923">
        <v>1016</v>
      </c>
      <c r="F923">
        <v>1</v>
      </c>
      <c r="G923" t="s">
        <v>1465</v>
      </c>
      <c r="H923" t="s">
        <v>9</v>
      </c>
      <c r="I923" t="s">
        <v>1004</v>
      </c>
      <c r="J923" t="s">
        <v>354</v>
      </c>
    </row>
    <row r="924" spans="1:10">
      <c r="A924">
        <v>50923</v>
      </c>
      <c r="B924">
        <v>30522</v>
      </c>
      <c r="C924" t="s">
        <v>1128</v>
      </c>
      <c r="D924">
        <v>2388</v>
      </c>
      <c r="E924">
        <v>1013</v>
      </c>
      <c r="F924">
        <v>1</v>
      </c>
      <c r="G924" t="s">
        <v>1474</v>
      </c>
      <c r="H924" t="s">
        <v>9</v>
      </c>
      <c r="I924" t="s">
        <v>1112</v>
      </c>
      <c r="J924" t="s">
        <v>948</v>
      </c>
    </row>
    <row r="925" spans="1:10">
      <c r="A925">
        <v>50924</v>
      </c>
      <c r="B925">
        <v>30523</v>
      </c>
      <c r="C925" t="s">
        <v>306</v>
      </c>
      <c r="D925">
        <v>2104</v>
      </c>
      <c r="E925">
        <v>1008</v>
      </c>
      <c r="F925">
        <v>3</v>
      </c>
      <c r="G925" t="s">
        <v>1491</v>
      </c>
      <c r="H925" t="s">
        <v>16</v>
      </c>
      <c r="I925" t="s">
        <v>843</v>
      </c>
      <c r="J925" t="s">
        <v>1421</v>
      </c>
    </row>
    <row r="926" spans="1:10">
      <c r="A926">
        <v>50925</v>
      </c>
      <c r="B926">
        <v>30524</v>
      </c>
      <c r="C926" t="s">
        <v>1059</v>
      </c>
      <c r="D926">
        <v>2076</v>
      </c>
      <c r="E926">
        <v>1002</v>
      </c>
      <c r="F926">
        <v>1</v>
      </c>
      <c r="G926" t="s">
        <v>1466</v>
      </c>
      <c r="H926" t="s">
        <v>16</v>
      </c>
      <c r="I926" t="s">
        <v>1421</v>
      </c>
      <c r="J926" t="s">
        <v>1421</v>
      </c>
    </row>
    <row r="927" spans="1:10">
      <c r="A927">
        <v>50926</v>
      </c>
      <c r="B927">
        <v>30525</v>
      </c>
      <c r="C927" t="s">
        <v>190</v>
      </c>
      <c r="D927">
        <v>2327</v>
      </c>
      <c r="E927">
        <v>1004</v>
      </c>
      <c r="F927">
        <v>1</v>
      </c>
      <c r="G927" t="s">
        <v>1452</v>
      </c>
      <c r="H927" t="s">
        <v>9</v>
      </c>
      <c r="I927" t="s">
        <v>566</v>
      </c>
      <c r="J927" t="s">
        <v>1129</v>
      </c>
    </row>
    <row r="928" spans="1:10">
      <c r="A928">
        <v>50927</v>
      </c>
      <c r="B928">
        <v>30526</v>
      </c>
      <c r="C928" t="s">
        <v>111</v>
      </c>
      <c r="D928">
        <v>2076</v>
      </c>
      <c r="E928">
        <v>1013</v>
      </c>
      <c r="F928">
        <v>3</v>
      </c>
      <c r="G928" t="s">
        <v>1490</v>
      </c>
      <c r="H928" t="s">
        <v>9</v>
      </c>
      <c r="I928" t="s">
        <v>1130</v>
      </c>
      <c r="J928" t="s">
        <v>1131</v>
      </c>
    </row>
    <row r="929" spans="1:10">
      <c r="A929">
        <v>50928</v>
      </c>
      <c r="B929">
        <v>30526</v>
      </c>
      <c r="C929" t="s">
        <v>903</v>
      </c>
      <c r="D929">
        <v>2076</v>
      </c>
      <c r="E929">
        <v>1006</v>
      </c>
      <c r="F929">
        <v>3</v>
      </c>
      <c r="G929" t="s">
        <v>1493</v>
      </c>
      <c r="H929" t="s">
        <v>9</v>
      </c>
      <c r="I929" t="s">
        <v>584</v>
      </c>
      <c r="J929" t="s">
        <v>299</v>
      </c>
    </row>
    <row r="930" spans="1:10">
      <c r="A930">
        <v>50929</v>
      </c>
      <c r="B930">
        <v>30527</v>
      </c>
      <c r="C930" t="s">
        <v>1054</v>
      </c>
      <c r="D930">
        <v>2077</v>
      </c>
      <c r="E930">
        <v>1003</v>
      </c>
      <c r="F930">
        <v>2</v>
      </c>
      <c r="G930" t="s">
        <v>1464</v>
      </c>
      <c r="H930" t="s">
        <v>9</v>
      </c>
      <c r="I930" t="s">
        <v>1132</v>
      </c>
      <c r="J930" t="s">
        <v>1133</v>
      </c>
    </row>
    <row r="931" spans="1:10">
      <c r="A931">
        <v>50930</v>
      </c>
      <c r="B931">
        <v>30527</v>
      </c>
      <c r="C931" t="s">
        <v>752</v>
      </c>
      <c r="D931">
        <v>2077</v>
      </c>
      <c r="E931">
        <v>1011</v>
      </c>
      <c r="F931">
        <v>2</v>
      </c>
      <c r="G931" t="s">
        <v>1487</v>
      </c>
      <c r="H931" t="s">
        <v>9</v>
      </c>
      <c r="I931" t="s">
        <v>349</v>
      </c>
      <c r="J931" t="s">
        <v>352</v>
      </c>
    </row>
    <row r="932" spans="1:10">
      <c r="A932">
        <v>50931</v>
      </c>
      <c r="B932">
        <v>30528</v>
      </c>
      <c r="C932" t="s">
        <v>1007</v>
      </c>
      <c r="D932">
        <v>2495</v>
      </c>
      <c r="E932">
        <v>1014</v>
      </c>
      <c r="F932">
        <v>2</v>
      </c>
      <c r="G932" t="s">
        <v>1475</v>
      </c>
      <c r="H932" t="s">
        <v>9</v>
      </c>
      <c r="I932" t="s">
        <v>1134</v>
      </c>
      <c r="J932" t="s">
        <v>95</v>
      </c>
    </row>
    <row r="933" spans="1:10">
      <c r="A933">
        <v>50932</v>
      </c>
      <c r="B933">
        <v>30528</v>
      </c>
      <c r="C933" t="s">
        <v>771</v>
      </c>
      <c r="D933">
        <v>2495</v>
      </c>
      <c r="E933">
        <v>1006</v>
      </c>
      <c r="F933">
        <v>1</v>
      </c>
      <c r="G933" t="s">
        <v>1459</v>
      </c>
      <c r="H933" t="s">
        <v>9</v>
      </c>
      <c r="I933" t="s">
        <v>1093</v>
      </c>
      <c r="J933" t="s">
        <v>716</v>
      </c>
    </row>
    <row r="934" spans="1:10">
      <c r="A934">
        <v>50933</v>
      </c>
      <c r="B934">
        <v>30528</v>
      </c>
      <c r="C934" t="s">
        <v>1007</v>
      </c>
      <c r="D934">
        <v>2495</v>
      </c>
      <c r="E934">
        <v>1014</v>
      </c>
      <c r="F934">
        <v>1</v>
      </c>
      <c r="G934" t="s">
        <v>1463</v>
      </c>
      <c r="H934" t="s">
        <v>9</v>
      </c>
      <c r="I934" t="s">
        <v>1135</v>
      </c>
      <c r="J934" t="s">
        <v>654</v>
      </c>
    </row>
    <row r="935" spans="1:10">
      <c r="A935">
        <v>50934</v>
      </c>
      <c r="B935">
        <v>30528</v>
      </c>
      <c r="C935" t="s">
        <v>726</v>
      </c>
      <c r="D935">
        <v>2495</v>
      </c>
      <c r="E935">
        <v>1006</v>
      </c>
      <c r="F935">
        <v>1</v>
      </c>
      <c r="G935" t="s">
        <v>1459</v>
      </c>
      <c r="H935" t="s">
        <v>9</v>
      </c>
      <c r="I935" t="s">
        <v>930</v>
      </c>
      <c r="J935" t="s">
        <v>1103</v>
      </c>
    </row>
    <row r="936" spans="1:10">
      <c r="A936">
        <v>50935</v>
      </c>
      <c r="B936">
        <v>30529</v>
      </c>
      <c r="C936" t="s">
        <v>917</v>
      </c>
      <c r="D936">
        <v>2055</v>
      </c>
      <c r="E936">
        <v>1007</v>
      </c>
      <c r="F936">
        <v>1</v>
      </c>
      <c r="G936" t="s">
        <v>1453</v>
      </c>
      <c r="H936" t="s">
        <v>9</v>
      </c>
      <c r="I936" t="s">
        <v>884</v>
      </c>
      <c r="J936" t="s">
        <v>846</v>
      </c>
    </row>
    <row r="937" spans="1:10">
      <c r="A937">
        <v>50936</v>
      </c>
      <c r="B937">
        <v>30529</v>
      </c>
      <c r="C937" t="s">
        <v>364</v>
      </c>
      <c r="D937">
        <v>2055</v>
      </c>
      <c r="E937">
        <v>1007</v>
      </c>
      <c r="F937">
        <v>1</v>
      </c>
      <c r="G937" t="s">
        <v>1453</v>
      </c>
      <c r="H937" t="s">
        <v>9</v>
      </c>
      <c r="I937" t="s">
        <v>511</v>
      </c>
      <c r="J937" t="s">
        <v>703</v>
      </c>
    </row>
    <row r="938" spans="1:10">
      <c r="A938">
        <v>50937</v>
      </c>
      <c r="B938">
        <v>30530</v>
      </c>
      <c r="C938" t="s">
        <v>1136</v>
      </c>
      <c r="D938">
        <v>2420</v>
      </c>
      <c r="E938">
        <v>1009</v>
      </c>
      <c r="F938">
        <v>1</v>
      </c>
      <c r="G938" t="s">
        <v>1473</v>
      </c>
      <c r="H938" t="s">
        <v>9</v>
      </c>
      <c r="I938" t="s">
        <v>528</v>
      </c>
      <c r="J938" t="s">
        <v>639</v>
      </c>
    </row>
    <row r="939" spans="1:10">
      <c r="A939">
        <v>50938</v>
      </c>
      <c r="B939">
        <v>30531</v>
      </c>
      <c r="C939" t="s">
        <v>517</v>
      </c>
      <c r="D939">
        <v>2289</v>
      </c>
      <c r="E939">
        <v>1004</v>
      </c>
      <c r="F939">
        <v>1</v>
      </c>
      <c r="G939" t="s">
        <v>1452</v>
      </c>
      <c r="H939" t="s">
        <v>9</v>
      </c>
      <c r="I939" t="s">
        <v>510</v>
      </c>
      <c r="J939" t="s">
        <v>286</v>
      </c>
    </row>
    <row r="940" spans="1:10">
      <c r="A940">
        <v>50939</v>
      </c>
      <c r="B940">
        <v>30531</v>
      </c>
      <c r="C940" t="s">
        <v>383</v>
      </c>
      <c r="D940">
        <v>2289</v>
      </c>
      <c r="E940">
        <v>1002</v>
      </c>
      <c r="F940">
        <v>1</v>
      </c>
      <c r="G940" t="s">
        <v>1466</v>
      </c>
      <c r="H940" t="s">
        <v>9</v>
      </c>
      <c r="I940" t="s">
        <v>672</v>
      </c>
      <c r="J940" t="s">
        <v>67</v>
      </c>
    </row>
    <row r="941" spans="1:10">
      <c r="A941">
        <v>50940</v>
      </c>
      <c r="B941">
        <v>30531</v>
      </c>
      <c r="C941" t="s">
        <v>517</v>
      </c>
      <c r="D941">
        <v>2289</v>
      </c>
      <c r="E941">
        <v>1013</v>
      </c>
      <c r="F941">
        <v>1</v>
      </c>
      <c r="G941" t="s">
        <v>1474</v>
      </c>
      <c r="H941" t="s">
        <v>9</v>
      </c>
      <c r="I941" t="s">
        <v>408</v>
      </c>
      <c r="J941" t="s">
        <v>288</v>
      </c>
    </row>
    <row r="942" spans="1:10">
      <c r="A942">
        <v>50941</v>
      </c>
      <c r="B942">
        <v>30531</v>
      </c>
      <c r="C942" t="s">
        <v>383</v>
      </c>
      <c r="D942">
        <v>2289</v>
      </c>
      <c r="E942">
        <v>1016</v>
      </c>
      <c r="F942">
        <v>2</v>
      </c>
      <c r="G942" t="s">
        <v>1500</v>
      </c>
      <c r="H942" t="s">
        <v>9</v>
      </c>
      <c r="I942" t="s">
        <v>673</v>
      </c>
      <c r="J942" t="s">
        <v>464</v>
      </c>
    </row>
    <row r="943" spans="1:10">
      <c r="A943">
        <v>50942</v>
      </c>
      <c r="B943">
        <v>30532</v>
      </c>
      <c r="C943" t="s">
        <v>624</v>
      </c>
      <c r="E943">
        <v>1001</v>
      </c>
      <c r="F943">
        <v>1</v>
      </c>
      <c r="G943" t="s">
        <v>1469</v>
      </c>
      <c r="H943" t="s">
        <v>9</v>
      </c>
      <c r="I943" t="s">
        <v>619</v>
      </c>
      <c r="J943" t="s">
        <v>514</v>
      </c>
    </row>
    <row r="944" spans="1:10">
      <c r="A944">
        <v>50943</v>
      </c>
      <c r="B944">
        <v>30532</v>
      </c>
      <c r="C944" t="s">
        <v>624</v>
      </c>
      <c r="D944">
        <v>2158</v>
      </c>
      <c r="E944">
        <v>1014</v>
      </c>
      <c r="F944">
        <v>1</v>
      </c>
      <c r="G944" t="s">
        <v>1463</v>
      </c>
      <c r="H944" t="s">
        <v>9</v>
      </c>
      <c r="I944" t="s">
        <v>386</v>
      </c>
      <c r="J944" t="s">
        <v>1137</v>
      </c>
    </row>
    <row r="945" spans="1:10">
      <c r="A945">
        <v>50944</v>
      </c>
      <c r="B945">
        <v>30533</v>
      </c>
      <c r="C945" t="s">
        <v>936</v>
      </c>
      <c r="D945">
        <v>2090</v>
      </c>
      <c r="E945">
        <v>1016</v>
      </c>
      <c r="F945">
        <v>5</v>
      </c>
      <c r="G945" t="s">
        <v>1513</v>
      </c>
      <c r="H945" t="s">
        <v>9</v>
      </c>
      <c r="I945" t="s">
        <v>552</v>
      </c>
      <c r="J945" t="s">
        <v>1138</v>
      </c>
    </row>
    <row r="946" spans="1:10">
      <c r="A946">
        <v>50945</v>
      </c>
      <c r="B946">
        <v>30533</v>
      </c>
      <c r="C946" t="s">
        <v>1050</v>
      </c>
      <c r="D946">
        <v>2090</v>
      </c>
      <c r="E946">
        <v>1007</v>
      </c>
      <c r="F946">
        <v>1</v>
      </c>
      <c r="G946" t="s">
        <v>1453</v>
      </c>
      <c r="H946" t="s">
        <v>9</v>
      </c>
      <c r="I946" t="s">
        <v>257</v>
      </c>
      <c r="J946" t="s">
        <v>728</v>
      </c>
    </row>
    <row r="947" spans="1:10">
      <c r="A947">
        <v>50946</v>
      </c>
      <c r="B947">
        <v>30534</v>
      </c>
      <c r="C947" t="s">
        <v>534</v>
      </c>
      <c r="D947">
        <v>2100</v>
      </c>
      <c r="E947">
        <v>1006</v>
      </c>
      <c r="F947">
        <v>1</v>
      </c>
      <c r="G947" t="s">
        <v>1459</v>
      </c>
      <c r="H947" t="s">
        <v>9</v>
      </c>
      <c r="I947" t="s">
        <v>1012</v>
      </c>
      <c r="J947" t="s">
        <v>961</v>
      </c>
    </row>
    <row r="948" spans="1:10">
      <c r="A948">
        <v>50947</v>
      </c>
      <c r="B948">
        <v>30534</v>
      </c>
      <c r="C948" t="s">
        <v>1139</v>
      </c>
      <c r="D948">
        <v>2100</v>
      </c>
      <c r="E948">
        <v>1010</v>
      </c>
      <c r="F948">
        <v>2</v>
      </c>
      <c r="G948" t="s">
        <v>1483</v>
      </c>
      <c r="H948" t="s">
        <v>9</v>
      </c>
      <c r="I948" t="s">
        <v>412</v>
      </c>
      <c r="J948" t="s">
        <v>952</v>
      </c>
    </row>
    <row r="949" spans="1:10">
      <c r="A949">
        <v>50948</v>
      </c>
      <c r="B949">
        <v>30534</v>
      </c>
      <c r="C949" t="s">
        <v>534</v>
      </c>
      <c r="D949">
        <v>2100</v>
      </c>
      <c r="E949">
        <v>1003</v>
      </c>
      <c r="F949">
        <v>1</v>
      </c>
      <c r="G949" t="s">
        <v>1471</v>
      </c>
      <c r="H949" t="s">
        <v>9</v>
      </c>
      <c r="I949" t="s">
        <v>1019</v>
      </c>
      <c r="J949" t="s">
        <v>357</v>
      </c>
    </row>
    <row r="950" spans="1:10">
      <c r="A950">
        <v>50949</v>
      </c>
      <c r="B950">
        <v>30535</v>
      </c>
      <c r="C950" t="s">
        <v>943</v>
      </c>
      <c r="D950">
        <v>2485</v>
      </c>
      <c r="E950">
        <v>1010</v>
      </c>
      <c r="F950">
        <v>1</v>
      </c>
      <c r="G950" t="s">
        <v>1468</v>
      </c>
      <c r="H950" t="s">
        <v>16</v>
      </c>
      <c r="I950" t="s">
        <v>1421</v>
      </c>
      <c r="J950" t="s">
        <v>1421</v>
      </c>
    </row>
    <row r="951" spans="1:10">
      <c r="A951">
        <v>50950</v>
      </c>
      <c r="B951">
        <v>30535</v>
      </c>
      <c r="C951" t="s">
        <v>943</v>
      </c>
      <c r="D951">
        <v>2485</v>
      </c>
      <c r="E951">
        <v>1016</v>
      </c>
      <c r="F951">
        <v>1</v>
      </c>
      <c r="G951" t="s">
        <v>1465</v>
      </c>
      <c r="H951" t="s">
        <v>16</v>
      </c>
      <c r="I951" t="s">
        <v>1421</v>
      </c>
      <c r="J951" t="s">
        <v>1421</v>
      </c>
    </row>
    <row r="952" spans="1:10">
      <c r="A952">
        <v>50951</v>
      </c>
      <c r="B952">
        <v>30535</v>
      </c>
      <c r="C952" t="s">
        <v>586</v>
      </c>
      <c r="D952">
        <v>2485</v>
      </c>
      <c r="E952">
        <v>1009</v>
      </c>
      <c r="F952">
        <v>1</v>
      </c>
      <c r="G952" t="s">
        <v>1473</v>
      </c>
      <c r="H952" t="s">
        <v>16</v>
      </c>
      <c r="I952" t="s">
        <v>1140</v>
      </c>
      <c r="J952" t="s">
        <v>1421</v>
      </c>
    </row>
    <row r="953" spans="1:10">
      <c r="A953">
        <v>50952</v>
      </c>
      <c r="B953">
        <v>30536</v>
      </c>
      <c r="C953" t="s">
        <v>1042</v>
      </c>
      <c r="D953">
        <v>2558</v>
      </c>
      <c r="E953">
        <v>1012</v>
      </c>
      <c r="F953">
        <v>1</v>
      </c>
      <c r="G953" t="s">
        <v>1449</v>
      </c>
      <c r="H953" t="s">
        <v>9</v>
      </c>
      <c r="I953" t="s">
        <v>294</v>
      </c>
      <c r="J953" t="s">
        <v>46</v>
      </c>
    </row>
    <row r="954" spans="1:10">
      <c r="A954">
        <v>50953</v>
      </c>
      <c r="B954">
        <v>30537</v>
      </c>
      <c r="C954" t="s">
        <v>1141</v>
      </c>
      <c r="D954">
        <v>2391</v>
      </c>
      <c r="E954">
        <v>1015</v>
      </c>
      <c r="F954">
        <v>2</v>
      </c>
      <c r="G954" t="s">
        <v>1488</v>
      </c>
      <c r="H954" t="s">
        <v>9</v>
      </c>
      <c r="I954" t="s">
        <v>113</v>
      </c>
      <c r="J954" t="s">
        <v>755</v>
      </c>
    </row>
    <row r="955" spans="1:10">
      <c r="A955">
        <v>50954</v>
      </c>
      <c r="B955">
        <v>30538</v>
      </c>
      <c r="C955" t="s">
        <v>247</v>
      </c>
      <c r="D955">
        <v>2046</v>
      </c>
      <c r="E955">
        <v>1015</v>
      </c>
      <c r="F955">
        <v>1</v>
      </c>
      <c r="G955" t="s">
        <v>1478</v>
      </c>
      <c r="H955" t="s">
        <v>9</v>
      </c>
      <c r="I955" t="s">
        <v>195</v>
      </c>
      <c r="J955" t="s">
        <v>634</v>
      </c>
    </row>
    <row r="956" spans="1:10">
      <c r="A956">
        <v>50955</v>
      </c>
      <c r="B956">
        <v>30539</v>
      </c>
      <c r="C956" t="s">
        <v>990</v>
      </c>
      <c r="D956">
        <v>2270</v>
      </c>
      <c r="E956">
        <v>1009</v>
      </c>
      <c r="F956">
        <v>1</v>
      </c>
      <c r="G956" t="s">
        <v>1473</v>
      </c>
      <c r="H956" t="s">
        <v>9</v>
      </c>
      <c r="I956" t="s">
        <v>451</v>
      </c>
      <c r="J956" t="s">
        <v>417</v>
      </c>
    </row>
    <row r="957" spans="1:10">
      <c r="A957">
        <v>50956</v>
      </c>
      <c r="B957">
        <v>30540</v>
      </c>
      <c r="C957" t="s">
        <v>1074</v>
      </c>
      <c r="D957">
        <v>2578</v>
      </c>
      <c r="E957">
        <v>1004</v>
      </c>
      <c r="F957">
        <v>2</v>
      </c>
      <c r="G957" t="s">
        <v>1476</v>
      </c>
      <c r="H957" t="s">
        <v>9</v>
      </c>
      <c r="I957" t="s">
        <v>1142</v>
      </c>
      <c r="J957" t="s">
        <v>268</v>
      </c>
    </row>
    <row r="958" spans="1:10">
      <c r="A958">
        <v>50957</v>
      </c>
      <c r="B958">
        <v>30541</v>
      </c>
      <c r="C958" t="s">
        <v>1143</v>
      </c>
      <c r="D958">
        <v>2088</v>
      </c>
      <c r="E958">
        <v>1014</v>
      </c>
      <c r="F958">
        <v>1</v>
      </c>
      <c r="G958" t="s">
        <v>1463</v>
      </c>
      <c r="H958" t="s">
        <v>9</v>
      </c>
      <c r="I958" t="s">
        <v>675</v>
      </c>
      <c r="J958" t="s">
        <v>940</v>
      </c>
    </row>
    <row r="959" spans="1:10">
      <c r="A959">
        <v>50958</v>
      </c>
      <c r="B959">
        <v>30541</v>
      </c>
      <c r="C959" t="s">
        <v>1047</v>
      </c>
      <c r="D959">
        <v>2088</v>
      </c>
      <c r="E959">
        <v>1008</v>
      </c>
      <c r="F959">
        <v>2</v>
      </c>
      <c r="G959" t="s">
        <v>1520</v>
      </c>
      <c r="H959" t="s">
        <v>9</v>
      </c>
      <c r="I959" t="s">
        <v>196</v>
      </c>
      <c r="J959" t="s">
        <v>123</v>
      </c>
    </row>
    <row r="960" spans="1:10">
      <c r="A960">
        <v>50959</v>
      </c>
      <c r="B960">
        <v>30542</v>
      </c>
      <c r="C960" t="s">
        <v>370</v>
      </c>
      <c r="D960">
        <v>2567</v>
      </c>
      <c r="E960">
        <v>1013</v>
      </c>
      <c r="F960">
        <v>3</v>
      </c>
      <c r="G960" t="s">
        <v>1490</v>
      </c>
      <c r="H960" t="s">
        <v>9</v>
      </c>
      <c r="I960" t="s">
        <v>953</v>
      </c>
      <c r="J960" t="s">
        <v>791</v>
      </c>
    </row>
    <row r="961" spans="1:10">
      <c r="A961">
        <v>50960</v>
      </c>
      <c r="B961">
        <v>30543</v>
      </c>
      <c r="C961" t="s">
        <v>1144</v>
      </c>
      <c r="D961">
        <v>2536</v>
      </c>
      <c r="E961">
        <v>1016</v>
      </c>
      <c r="F961">
        <v>2</v>
      </c>
      <c r="G961" t="s">
        <v>1500</v>
      </c>
      <c r="H961" t="s">
        <v>9</v>
      </c>
      <c r="I961" t="s">
        <v>834</v>
      </c>
      <c r="J961" t="s">
        <v>917</v>
      </c>
    </row>
    <row r="962" spans="1:10">
      <c r="A962">
        <v>50961</v>
      </c>
      <c r="B962">
        <v>30544</v>
      </c>
      <c r="C962" t="s">
        <v>288</v>
      </c>
      <c r="D962">
        <v>2587</v>
      </c>
      <c r="E962">
        <v>1016</v>
      </c>
      <c r="F962">
        <v>3</v>
      </c>
      <c r="G962" t="s">
        <v>1484</v>
      </c>
      <c r="H962" t="s">
        <v>12</v>
      </c>
      <c r="I962" t="s">
        <v>1421</v>
      </c>
      <c r="J962" t="s">
        <v>1421</v>
      </c>
    </row>
    <row r="963" spans="1:10">
      <c r="A963">
        <v>50962</v>
      </c>
      <c r="B963">
        <v>30545</v>
      </c>
      <c r="C963" t="s">
        <v>635</v>
      </c>
      <c r="D963">
        <v>2307</v>
      </c>
      <c r="E963">
        <v>1002</v>
      </c>
      <c r="F963">
        <v>3</v>
      </c>
      <c r="G963" t="s">
        <v>1508</v>
      </c>
      <c r="H963" t="s">
        <v>9</v>
      </c>
      <c r="I963" t="s">
        <v>868</v>
      </c>
      <c r="J963" t="s">
        <v>1015</v>
      </c>
    </row>
    <row r="964" spans="1:10">
      <c r="A964">
        <v>50963</v>
      </c>
      <c r="B964">
        <v>30545</v>
      </c>
      <c r="C964" t="s">
        <v>635</v>
      </c>
      <c r="D964">
        <v>2307</v>
      </c>
      <c r="E964">
        <v>1005</v>
      </c>
      <c r="F964">
        <v>4</v>
      </c>
      <c r="G964" t="s">
        <v>1480</v>
      </c>
      <c r="H964" t="s">
        <v>9</v>
      </c>
      <c r="I964" t="s">
        <v>868</v>
      </c>
      <c r="J964" t="s">
        <v>637</v>
      </c>
    </row>
    <row r="965" spans="1:10">
      <c r="A965">
        <v>50964</v>
      </c>
      <c r="B965">
        <v>30545</v>
      </c>
      <c r="C965" t="s">
        <v>1145</v>
      </c>
      <c r="D965">
        <v>2307</v>
      </c>
      <c r="E965">
        <v>1004</v>
      </c>
      <c r="F965">
        <v>4</v>
      </c>
      <c r="G965" t="s">
        <v>1489</v>
      </c>
      <c r="H965" t="s">
        <v>9</v>
      </c>
      <c r="I965" t="s">
        <v>754</v>
      </c>
      <c r="J965" t="s">
        <v>1056</v>
      </c>
    </row>
    <row r="966" spans="1:10">
      <c r="A966">
        <v>50965</v>
      </c>
      <c r="B966">
        <v>30546</v>
      </c>
      <c r="C966" t="s">
        <v>1146</v>
      </c>
      <c r="D966">
        <v>2460</v>
      </c>
      <c r="E966">
        <v>1006</v>
      </c>
      <c r="F966">
        <v>1</v>
      </c>
      <c r="G966" t="s">
        <v>1459</v>
      </c>
      <c r="H966" t="s">
        <v>9</v>
      </c>
      <c r="I966" t="s">
        <v>56</v>
      </c>
      <c r="J966" t="s">
        <v>1147</v>
      </c>
    </row>
    <row r="967" spans="1:10">
      <c r="A967">
        <v>50966</v>
      </c>
      <c r="B967">
        <v>30546</v>
      </c>
      <c r="C967" t="s">
        <v>476</v>
      </c>
      <c r="D967">
        <v>2460</v>
      </c>
      <c r="E967">
        <v>1007</v>
      </c>
      <c r="F967">
        <v>1</v>
      </c>
      <c r="G967" t="s">
        <v>1453</v>
      </c>
      <c r="H967" t="s">
        <v>9</v>
      </c>
      <c r="I967" t="s">
        <v>197</v>
      </c>
      <c r="J967" t="s">
        <v>1076</v>
      </c>
    </row>
    <row r="968" spans="1:10">
      <c r="A968">
        <v>50967</v>
      </c>
      <c r="B968">
        <v>30547</v>
      </c>
      <c r="C968" t="s">
        <v>1148</v>
      </c>
      <c r="D968">
        <v>2198</v>
      </c>
      <c r="E968">
        <v>1014</v>
      </c>
      <c r="F968">
        <v>3</v>
      </c>
      <c r="G968" t="s">
        <v>1505</v>
      </c>
      <c r="H968" t="s">
        <v>9</v>
      </c>
      <c r="I968" t="s">
        <v>734</v>
      </c>
      <c r="J968" t="s">
        <v>285</v>
      </c>
    </row>
    <row r="969" spans="1:10">
      <c r="A969">
        <v>50968</v>
      </c>
      <c r="B969">
        <v>30548</v>
      </c>
      <c r="C969" t="s">
        <v>1149</v>
      </c>
      <c r="D969">
        <v>2081</v>
      </c>
      <c r="E969">
        <v>1014</v>
      </c>
      <c r="F969">
        <v>1</v>
      </c>
      <c r="G969" t="s">
        <v>1463</v>
      </c>
      <c r="H969" t="s">
        <v>11</v>
      </c>
      <c r="I969" t="s">
        <v>514</v>
      </c>
      <c r="J969" t="s">
        <v>751</v>
      </c>
    </row>
    <row r="970" spans="1:10">
      <c r="A970">
        <v>50969</v>
      </c>
      <c r="B970">
        <v>30549</v>
      </c>
      <c r="C970" t="s">
        <v>1150</v>
      </c>
      <c r="D970">
        <v>2207</v>
      </c>
      <c r="E970">
        <v>1005</v>
      </c>
      <c r="F970">
        <v>1</v>
      </c>
      <c r="G970" t="s">
        <v>1456</v>
      </c>
      <c r="H970" t="s">
        <v>11</v>
      </c>
      <c r="I970" t="s">
        <v>828</v>
      </c>
      <c r="J970" t="s">
        <v>1033</v>
      </c>
    </row>
    <row r="971" spans="1:10">
      <c r="A971">
        <v>50970</v>
      </c>
      <c r="B971">
        <v>30549</v>
      </c>
      <c r="C971" t="s">
        <v>830</v>
      </c>
      <c r="D971">
        <v>2207</v>
      </c>
      <c r="E971">
        <v>1009</v>
      </c>
      <c r="F971">
        <v>2</v>
      </c>
      <c r="G971" t="s">
        <v>1479</v>
      </c>
      <c r="H971" t="s">
        <v>11</v>
      </c>
      <c r="I971" t="s">
        <v>828</v>
      </c>
      <c r="J971" t="s">
        <v>446</v>
      </c>
    </row>
    <row r="972" spans="1:10">
      <c r="A972">
        <v>50971</v>
      </c>
      <c r="B972">
        <v>30549</v>
      </c>
      <c r="C972" t="s">
        <v>830</v>
      </c>
      <c r="D972">
        <v>2207</v>
      </c>
      <c r="E972">
        <v>1011</v>
      </c>
      <c r="F972">
        <v>3</v>
      </c>
      <c r="G972" t="s">
        <v>1454</v>
      </c>
      <c r="H972" t="s">
        <v>11</v>
      </c>
      <c r="I972" t="s">
        <v>996</v>
      </c>
      <c r="J972" t="s">
        <v>537</v>
      </c>
    </row>
    <row r="973" spans="1:10">
      <c r="A973">
        <v>50972</v>
      </c>
      <c r="B973">
        <v>30550</v>
      </c>
      <c r="C973" t="s">
        <v>951</v>
      </c>
      <c r="D973">
        <v>2069</v>
      </c>
      <c r="E973">
        <v>1013</v>
      </c>
      <c r="F973">
        <v>2</v>
      </c>
      <c r="G973" t="s">
        <v>1532</v>
      </c>
      <c r="H973" t="s">
        <v>9</v>
      </c>
      <c r="I973" t="s">
        <v>365</v>
      </c>
      <c r="J973" t="s">
        <v>535</v>
      </c>
    </row>
    <row r="974" spans="1:10">
      <c r="A974">
        <v>50973</v>
      </c>
      <c r="B974">
        <v>30550</v>
      </c>
      <c r="C974" t="s">
        <v>84</v>
      </c>
      <c r="D974">
        <v>2069</v>
      </c>
      <c r="E974">
        <v>1011</v>
      </c>
      <c r="F974">
        <v>3</v>
      </c>
      <c r="G974" t="s">
        <v>1454</v>
      </c>
      <c r="H974" t="s">
        <v>9</v>
      </c>
      <c r="I974" t="s">
        <v>722</v>
      </c>
      <c r="J974" t="s">
        <v>846</v>
      </c>
    </row>
    <row r="975" spans="1:10">
      <c r="A975">
        <v>50974</v>
      </c>
      <c r="B975">
        <v>30551</v>
      </c>
      <c r="C975" t="s">
        <v>812</v>
      </c>
      <c r="D975">
        <v>2283</v>
      </c>
      <c r="E975">
        <v>1001</v>
      </c>
      <c r="F975">
        <v>3</v>
      </c>
      <c r="G975" t="s">
        <v>1515</v>
      </c>
      <c r="H975" t="s">
        <v>9</v>
      </c>
      <c r="I975" t="s">
        <v>814</v>
      </c>
      <c r="J975" t="s">
        <v>1151</v>
      </c>
    </row>
    <row r="976" spans="1:10">
      <c r="A976">
        <v>50975</v>
      </c>
      <c r="B976">
        <v>30552</v>
      </c>
      <c r="C976" t="s">
        <v>1152</v>
      </c>
      <c r="D976">
        <v>2536</v>
      </c>
      <c r="E976">
        <v>1004</v>
      </c>
      <c r="F976">
        <v>1</v>
      </c>
      <c r="G976" t="s">
        <v>1452</v>
      </c>
      <c r="H976" t="s">
        <v>16</v>
      </c>
      <c r="I976" t="s">
        <v>1421</v>
      </c>
      <c r="J976" t="s">
        <v>1421</v>
      </c>
    </row>
    <row r="977" spans="1:10">
      <c r="A977">
        <v>50976</v>
      </c>
      <c r="B977">
        <v>30552</v>
      </c>
      <c r="C977" t="s">
        <v>1152</v>
      </c>
      <c r="D977">
        <v>2536</v>
      </c>
      <c r="E977">
        <v>1005</v>
      </c>
      <c r="F977">
        <v>1</v>
      </c>
      <c r="G977" t="s">
        <v>1456</v>
      </c>
      <c r="H977" t="s">
        <v>16</v>
      </c>
      <c r="I977" t="s">
        <v>1421</v>
      </c>
      <c r="J977" t="s">
        <v>1421</v>
      </c>
    </row>
    <row r="978" spans="1:10">
      <c r="A978">
        <v>50977</v>
      </c>
      <c r="B978">
        <v>30552</v>
      </c>
      <c r="C978" t="s">
        <v>1152</v>
      </c>
      <c r="D978">
        <v>2536</v>
      </c>
      <c r="E978">
        <v>1004</v>
      </c>
      <c r="F978">
        <v>1</v>
      </c>
      <c r="G978" t="s">
        <v>1452</v>
      </c>
      <c r="H978" t="s">
        <v>16</v>
      </c>
      <c r="I978" t="s">
        <v>1421</v>
      </c>
      <c r="J978" t="s">
        <v>1421</v>
      </c>
    </row>
    <row r="979" spans="1:10">
      <c r="A979">
        <v>50978</v>
      </c>
      <c r="B979">
        <v>30553</v>
      </c>
      <c r="C979" t="s">
        <v>198</v>
      </c>
      <c r="D979">
        <v>2577</v>
      </c>
      <c r="E979">
        <v>1010</v>
      </c>
      <c r="F979">
        <v>3</v>
      </c>
      <c r="G979" t="s">
        <v>1514</v>
      </c>
      <c r="H979" t="s">
        <v>16</v>
      </c>
      <c r="I979" t="s">
        <v>1421</v>
      </c>
      <c r="J979" t="s">
        <v>1421</v>
      </c>
    </row>
    <row r="980" spans="1:10">
      <c r="A980">
        <v>50979</v>
      </c>
      <c r="B980">
        <v>30554</v>
      </c>
      <c r="C980" t="s">
        <v>1153</v>
      </c>
      <c r="D980">
        <v>2353</v>
      </c>
      <c r="E980">
        <v>1009</v>
      </c>
      <c r="F980">
        <v>1</v>
      </c>
      <c r="G980" t="s">
        <v>1473</v>
      </c>
      <c r="H980" t="s">
        <v>199</v>
      </c>
      <c r="I980" t="s">
        <v>1421</v>
      </c>
      <c r="J980" t="s">
        <v>1421</v>
      </c>
    </row>
    <row r="981" spans="1:10">
      <c r="A981">
        <v>50980</v>
      </c>
      <c r="B981">
        <v>30555</v>
      </c>
      <c r="C981" t="s">
        <v>587</v>
      </c>
      <c r="D981">
        <v>2393</v>
      </c>
      <c r="E981">
        <v>1016</v>
      </c>
      <c r="F981">
        <v>2</v>
      </c>
      <c r="G981" t="s">
        <v>1500</v>
      </c>
      <c r="H981" t="s">
        <v>9</v>
      </c>
      <c r="I981" t="s">
        <v>1154</v>
      </c>
      <c r="J981" t="s">
        <v>1107</v>
      </c>
    </row>
    <row r="982" spans="1:10">
      <c r="A982">
        <v>50981</v>
      </c>
      <c r="B982">
        <v>30556</v>
      </c>
      <c r="C982" t="s">
        <v>733</v>
      </c>
      <c r="D982">
        <v>2039</v>
      </c>
      <c r="E982">
        <v>1013</v>
      </c>
      <c r="F982">
        <v>1</v>
      </c>
      <c r="G982" t="s">
        <v>1474</v>
      </c>
      <c r="H982" t="s">
        <v>9</v>
      </c>
      <c r="I982" t="s">
        <v>1155</v>
      </c>
      <c r="J982" t="s">
        <v>481</v>
      </c>
    </row>
    <row r="983" spans="1:10">
      <c r="A983">
        <v>50982</v>
      </c>
      <c r="B983">
        <v>30556</v>
      </c>
      <c r="C983" t="s">
        <v>397</v>
      </c>
      <c r="D983">
        <v>2039</v>
      </c>
      <c r="E983">
        <v>1005</v>
      </c>
      <c r="F983">
        <v>1</v>
      </c>
      <c r="G983" t="s">
        <v>1456</v>
      </c>
      <c r="H983" t="s">
        <v>9</v>
      </c>
      <c r="I983" t="s">
        <v>1083</v>
      </c>
      <c r="J983" t="s">
        <v>924</v>
      </c>
    </row>
    <row r="984" spans="1:10">
      <c r="A984">
        <v>50983</v>
      </c>
      <c r="B984">
        <v>30557</v>
      </c>
      <c r="C984" t="s">
        <v>299</v>
      </c>
      <c r="D984">
        <v>2412</v>
      </c>
      <c r="E984">
        <v>1011</v>
      </c>
      <c r="F984">
        <v>2</v>
      </c>
      <c r="G984" t="s">
        <v>1487</v>
      </c>
      <c r="H984" t="s">
        <v>9</v>
      </c>
      <c r="I984" t="s">
        <v>641</v>
      </c>
      <c r="J984" t="s">
        <v>857</v>
      </c>
    </row>
    <row r="985" spans="1:10">
      <c r="A985">
        <v>50984</v>
      </c>
      <c r="B985">
        <v>30558</v>
      </c>
      <c r="C985" t="s">
        <v>431</v>
      </c>
      <c r="D985">
        <v>2244</v>
      </c>
      <c r="E985">
        <v>1016</v>
      </c>
      <c r="F985">
        <v>2</v>
      </c>
      <c r="G985" t="s">
        <v>1500</v>
      </c>
      <c r="H985" t="s">
        <v>9</v>
      </c>
      <c r="I985" t="s">
        <v>138</v>
      </c>
      <c r="J985" t="s">
        <v>184</v>
      </c>
    </row>
    <row r="986" spans="1:10">
      <c r="A986">
        <v>50985</v>
      </c>
      <c r="B986">
        <v>30558</v>
      </c>
      <c r="C986" t="s">
        <v>134</v>
      </c>
      <c r="D986">
        <v>2244</v>
      </c>
      <c r="E986">
        <v>1009</v>
      </c>
      <c r="F986">
        <v>2</v>
      </c>
      <c r="G986" t="s">
        <v>1479</v>
      </c>
      <c r="H986" t="s">
        <v>9</v>
      </c>
      <c r="I986" t="s">
        <v>138</v>
      </c>
      <c r="J986" t="s">
        <v>1156</v>
      </c>
    </row>
    <row r="987" spans="1:10">
      <c r="A987">
        <v>50986</v>
      </c>
      <c r="B987">
        <v>30558</v>
      </c>
      <c r="C987" t="s">
        <v>134</v>
      </c>
      <c r="D987">
        <v>2244</v>
      </c>
      <c r="E987">
        <v>1012</v>
      </c>
      <c r="F987">
        <v>1</v>
      </c>
      <c r="G987" t="s">
        <v>1449</v>
      </c>
      <c r="H987" t="s">
        <v>9</v>
      </c>
      <c r="I987" t="s">
        <v>464</v>
      </c>
      <c r="J987" t="s">
        <v>153</v>
      </c>
    </row>
    <row r="988" spans="1:10">
      <c r="A988">
        <v>50987</v>
      </c>
      <c r="B988">
        <v>30559</v>
      </c>
      <c r="C988" t="s">
        <v>1157</v>
      </c>
      <c r="D988">
        <v>2021</v>
      </c>
      <c r="E988">
        <v>1010</v>
      </c>
      <c r="F988">
        <v>2</v>
      </c>
      <c r="G988" t="s">
        <v>1483</v>
      </c>
      <c r="H988" t="s">
        <v>9</v>
      </c>
      <c r="I988" t="s">
        <v>1119</v>
      </c>
      <c r="J988" t="s">
        <v>1158</v>
      </c>
    </row>
    <row r="989" spans="1:10">
      <c r="A989">
        <v>50988</v>
      </c>
      <c r="B989">
        <v>30560</v>
      </c>
      <c r="C989" t="s">
        <v>489</v>
      </c>
      <c r="D989">
        <v>2319</v>
      </c>
      <c r="E989">
        <v>1016</v>
      </c>
      <c r="F989">
        <v>1</v>
      </c>
      <c r="G989" t="s">
        <v>1465</v>
      </c>
      <c r="H989" t="s">
        <v>9</v>
      </c>
      <c r="I989" t="s">
        <v>742</v>
      </c>
      <c r="J989" t="s">
        <v>406</v>
      </c>
    </row>
    <row r="990" spans="1:10">
      <c r="A990">
        <v>50989</v>
      </c>
      <c r="B990">
        <v>30561</v>
      </c>
      <c r="C990" t="s">
        <v>417</v>
      </c>
      <c r="D990">
        <v>2101</v>
      </c>
      <c r="E990">
        <v>1008</v>
      </c>
      <c r="F990">
        <v>3</v>
      </c>
      <c r="G990" t="s">
        <v>1491</v>
      </c>
      <c r="H990" t="s">
        <v>11</v>
      </c>
      <c r="I990" t="s">
        <v>349</v>
      </c>
      <c r="J990" t="s">
        <v>1159</v>
      </c>
    </row>
    <row r="991" spans="1:10">
      <c r="A991">
        <v>50990</v>
      </c>
      <c r="B991">
        <v>30562</v>
      </c>
      <c r="C991" t="s">
        <v>769</v>
      </c>
      <c r="D991">
        <v>2138</v>
      </c>
      <c r="E991">
        <v>1015</v>
      </c>
      <c r="F991">
        <v>3</v>
      </c>
      <c r="G991" t="s">
        <v>1470</v>
      </c>
      <c r="H991" t="s">
        <v>9</v>
      </c>
      <c r="I991" t="s">
        <v>421</v>
      </c>
      <c r="J991" t="s">
        <v>972</v>
      </c>
    </row>
    <row r="992" spans="1:10">
      <c r="A992">
        <v>50991</v>
      </c>
      <c r="B992">
        <v>30563</v>
      </c>
      <c r="C992" t="s">
        <v>991</v>
      </c>
      <c r="D992">
        <v>2329</v>
      </c>
      <c r="E992">
        <v>1014</v>
      </c>
      <c r="F992">
        <v>3</v>
      </c>
      <c r="G992" t="s">
        <v>1505</v>
      </c>
      <c r="H992" t="s">
        <v>9</v>
      </c>
      <c r="I992" t="s">
        <v>720</v>
      </c>
      <c r="J992" t="s">
        <v>1160</v>
      </c>
    </row>
    <row r="993" spans="1:10">
      <c r="A993">
        <v>50992</v>
      </c>
      <c r="B993">
        <v>30564</v>
      </c>
      <c r="C993" t="s">
        <v>1118</v>
      </c>
      <c r="D993">
        <v>2092</v>
      </c>
      <c r="E993">
        <v>1007</v>
      </c>
      <c r="F993">
        <v>3</v>
      </c>
      <c r="G993" t="s">
        <v>1446</v>
      </c>
      <c r="H993" t="s">
        <v>9</v>
      </c>
      <c r="I993" t="s">
        <v>624</v>
      </c>
      <c r="J993" t="s">
        <v>1161</v>
      </c>
    </row>
    <row r="994" spans="1:10">
      <c r="A994">
        <v>50993</v>
      </c>
      <c r="B994">
        <v>30565</v>
      </c>
      <c r="C994" t="s">
        <v>1162</v>
      </c>
      <c r="D994">
        <v>2417</v>
      </c>
      <c r="E994">
        <v>1012</v>
      </c>
      <c r="F994">
        <v>3</v>
      </c>
      <c r="G994" t="s">
        <v>1448</v>
      </c>
      <c r="H994" t="s">
        <v>9</v>
      </c>
      <c r="I994" t="s">
        <v>73</v>
      </c>
      <c r="J994" t="s">
        <v>485</v>
      </c>
    </row>
    <row r="995" spans="1:10">
      <c r="A995">
        <v>50994</v>
      </c>
      <c r="B995">
        <v>30566</v>
      </c>
      <c r="C995" t="s">
        <v>1043</v>
      </c>
      <c r="D995">
        <v>2058</v>
      </c>
      <c r="E995">
        <v>1006</v>
      </c>
      <c r="F995">
        <v>4</v>
      </c>
      <c r="G995" t="s">
        <v>1496</v>
      </c>
      <c r="H995" t="s">
        <v>9</v>
      </c>
      <c r="I995" t="s">
        <v>739</v>
      </c>
      <c r="J995" t="s">
        <v>469</v>
      </c>
    </row>
    <row r="996" spans="1:10">
      <c r="A996">
        <v>50995</v>
      </c>
      <c r="B996">
        <v>30566</v>
      </c>
      <c r="C996" t="s">
        <v>1043</v>
      </c>
      <c r="D996">
        <v>2058</v>
      </c>
      <c r="E996">
        <v>1003</v>
      </c>
      <c r="F996">
        <v>1</v>
      </c>
      <c r="G996" t="s">
        <v>1471</v>
      </c>
      <c r="H996" t="s">
        <v>9</v>
      </c>
      <c r="I996" t="s">
        <v>245</v>
      </c>
      <c r="J996" t="s">
        <v>200</v>
      </c>
    </row>
    <row r="997" spans="1:10">
      <c r="A997">
        <v>50996</v>
      </c>
      <c r="B997">
        <v>30567</v>
      </c>
      <c r="C997" t="s">
        <v>99</v>
      </c>
      <c r="D997">
        <v>2319</v>
      </c>
      <c r="E997">
        <v>1013</v>
      </c>
      <c r="F997">
        <v>1</v>
      </c>
      <c r="G997" t="s">
        <v>1474</v>
      </c>
      <c r="H997" t="s">
        <v>9</v>
      </c>
      <c r="I997" t="s">
        <v>1058</v>
      </c>
      <c r="J997" t="s">
        <v>1031</v>
      </c>
    </row>
    <row r="998" spans="1:10">
      <c r="A998">
        <v>50997</v>
      </c>
      <c r="B998">
        <v>30567</v>
      </c>
      <c r="C998" t="s">
        <v>671</v>
      </c>
      <c r="D998">
        <v>2319</v>
      </c>
      <c r="E998">
        <v>1005</v>
      </c>
      <c r="F998">
        <v>5</v>
      </c>
      <c r="G998" t="s">
        <v>1512</v>
      </c>
      <c r="H998" t="s">
        <v>9</v>
      </c>
      <c r="I998" t="s">
        <v>808</v>
      </c>
      <c r="J998" t="s">
        <v>1163</v>
      </c>
    </row>
    <row r="999" spans="1:10">
      <c r="A999">
        <v>50998</v>
      </c>
      <c r="B999">
        <v>30567</v>
      </c>
      <c r="C999" t="s">
        <v>809</v>
      </c>
      <c r="D999">
        <v>2319</v>
      </c>
      <c r="E999">
        <v>1001</v>
      </c>
      <c r="F999">
        <v>1</v>
      </c>
      <c r="G999" t="s">
        <v>1469</v>
      </c>
      <c r="H999" t="s">
        <v>9</v>
      </c>
      <c r="I999" t="s">
        <v>1156</v>
      </c>
      <c r="J999" t="s">
        <v>1030</v>
      </c>
    </row>
    <row r="1000" spans="1:10">
      <c r="A1000">
        <v>50999</v>
      </c>
      <c r="B1000">
        <v>30568</v>
      </c>
      <c r="C1000" t="s">
        <v>694</v>
      </c>
      <c r="D1000">
        <v>2178</v>
      </c>
      <c r="E1000">
        <v>1007</v>
      </c>
      <c r="F1000">
        <v>1</v>
      </c>
      <c r="G1000" t="s">
        <v>1453</v>
      </c>
      <c r="H1000" t="s">
        <v>9</v>
      </c>
      <c r="I1000" t="s">
        <v>712</v>
      </c>
      <c r="J1000" t="s">
        <v>1044</v>
      </c>
    </row>
    <row r="1001" spans="1:10">
      <c r="A1001">
        <v>51000</v>
      </c>
      <c r="B1001">
        <v>30569</v>
      </c>
      <c r="C1001" t="s">
        <v>731</v>
      </c>
      <c r="D1001">
        <v>2060</v>
      </c>
      <c r="F1001">
        <v>2</v>
      </c>
      <c r="G1001" t="s">
        <v>1488</v>
      </c>
      <c r="H1001" t="s">
        <v>9</v>
      </c>
      <c r="I1001" t="s">
        <v>1164</v>
      </c>
      <c r="J1001" t="s">
        <v>316</v>
      </c>
    </row>
    <row r="1002" spans="1:10">
      <c r="A1002">
        <v>51001</v>
      </c>
      <c r="B1002">
        <v>30569</v>
      </c>
      <c r="C1002" t="s">
        <v>811</v>
      </c>
      <c r="D1002">
        <v>2060</v>
      </c>
      <c r="E1002">
        <v>1002</v>
      </c>
      <c r="F1002">
        <v>1</v>
      </c>
      <c r="G1002" t="s">
        <v>1421</v>
      </c>
      <c r="H1002" t="s">
        <v>9</v>
      </c>
      <c r="I1002" t="s">
        <v>797</v>
      </c>
      <c r="J1002" t="s">
        <v>574</v>
      </c>
    </row>
    <row r="1003" spans="1:10">
      <c r="A1003">
        <v>51002</v>
      </c>
      <c r="B1003">
        <v>30570</v>
      </c>
      <c r="C1003" t="s">
        <v>701</v>
      </c>
      <c r="D1003">
        <v>2370</v>
      </c>
      <c r="E1003">
        <v>1009</v>
      </c>
      <c r="F1003">
        <v>1</v>
      </c>
      <c r="G1003" t="s">
        <v>1473</v>
      </c>
      <c r="H1003" t="s">
        <v>9</v>
      </c>
      <c r="I1003" t="s">
        <v>155</v>
      </c>
      <c r="J1003" t="s">
        <v>201</v>
      </c>
    </row>
    <row r="1004" spans="1:10">
      <c r="A1004">
        <v>51003</v>
      </c>
      <c r="B1004">
        <v>30571</v>
      </c>
      <c r="C1004" t="s">
        <v>238</v>
      </c>
      <c r="D1004">
        <v>2378</v>
      </c>
      <c r="E1004">
        <v>1013</v>
      </c>
      <c r="F1004">
        <v>1</v>
      </c>
      <c r="G1004" t="s">
        <v>1474</v>
      </c>
      <c r="H1004" t="s">
        <v>16</v>
      </c>
      <c r="I1004" t="s">
        <v>1421</v>
      </c>
      <c r="J1004" t="s">
        <v>1421</v>
      </c>
    </row>
    <row r="1005" spans="1:10">
      <c r="A1005">
        <v>51004</v>
      </c>
      <c r="B1005">
        <v>30572</v>
      </c>
      <c r="C1005" t="s">
        <v>607</v>
      </c>
      <c r="D1005">
        <v>2127</v>
      </c>
      <c r="E1005">
        <v>1008</v>
      </c>
      <c r="F1005">
        <v>2</v>
      </c>
      <c r="G1005" t="s">
        <v>1520</v>
      </c>
      <c r="H1005" t="s">
        <v>9</v>
      </c>
      <c r="I1005" t="s">
        <v>102</v>
      </c>
      <c r="J1005" t="s">
        <v>262</v>
      </c>
    </row>
    <row r="1006" spans="1:10">
      <c r="A1006">
        <v>51005</v>
      </c>
      <c r="B1006">
        <v>30572</v>
      </c>
      <c r="C1006" t="s">
        <v>607</v>
      </c>
      <c r="D1006">
        <v>2127</v>
      </c>
      <c r="E1006">
        <v>1012</v>
      </c>
      <c r="F1006">
        <v>1</v>
      </c>
      <c r="G1006" t="s">
        <v>1449</v>
      </c>
      <c r="H1006" t="s">
        <v>9</v>
      </c>
      <c r="I1006" t="s">
        <v>983</v>
      </c>
      <c r="J1006" t="s">
        <v>1165</v>
      </c>
    </row>
    <row r="1007" spans="1:10">
      <c r="A1007">
        <v>51006</v>
      </c>
      <c r="B1007">
        <v>30573</v>
      </c>
      <c r="C1007" t="s">
        <v>469</v>
      </c>
      <c r="D1007">
        <v>2501</v>
      </c>
      <c r="E1007">
        <v>1006</v>
      </c>
      <c r="F1007">
        <v>2</v>
      </c>
      <c r="G1007" t="s">
        <v>1501</v>
      </c>
      <c r="H1007" t="s">
        <v>9</v>
      </c>
      <c r="I1007" t="s">
        <v>660</v>
      </c>
      <c r="J1007" t="s">
        <v>1044</v>
      </c>
    </row>
    <row r="1008" spans="1:10">
      <c r="A1008">
        <v>51007</v>
      </c>
      <c r="B1008">
        <v>30574</v>
      </c>
      <c r="C1008" t="s">
        <v>123</v>
      </c>
      <c r="D1008">
        <v>2486</v>
      </c>
      <c r="E1008">
        <v>1012</v>
      </c>
      <c r="F1008">
        <v>1</v>
      </c>
      <c r="G1008" t="s">
        <v>1449</v>
      </c>
      <c r="H1008" t="s">
        <v>9</v>
      </c>
      <c r="I1008" t="s">
        <v>183</v>
      </c>
      <c r="J1008" t="s">
        <v>770</v>
      </c>
    </row>
    <row r="1009" spans="1:10">
      <c r="A1009">
        <v>51008</v>
      </c>
      <c r="B1009">
        <v>30575</v>
      </c>
      <c r="C1009" t="s">
        <v>771</v>
      </c>
      <c r="D1009">
        <v>2353</v>
      </c>
      <c r="E1009">
        <v>1009</v>
      </c>
      <c r="F1009">
        <v>1</v>
      </c>
      <c r="G1009" t="s">
        <v>1421</v>
      </c>
      <c r="H1009" t="s">
        <v>1495</v>
      </c>
      <c r="I1009" t="s">
        <v>1166</v>
      </c>
      <c r="J1009" t="s">
        <v>1013</v>
      </c>
    </row>
    <row r="1010" spans="1:10">
      <c r="A1010">
        <v>51009</v>
      </c>
      <c r="B1010">
        <v>30576</v>
      </c>
      <c r="C1010" t="s">
        <v>760</v>
      </c>
      <c r="D1010">
        <v>2093</v>
      </c>
      <c r="E1010">
        <v>1013</v>
      </c>
      <c r="F1010">
        <v>3</v>
      </c>
      <c r="G1010" t="s">
        <v>1490</v>
      </c>
      <c r="H1010" t="s">
        <v>9</v>
      </c>
      <c r="I1010" t="s">
        <v>1014</v>
      </c>
      <c r="J1010" t="s">
        <v>1023</v>
      </c>
    </row>
    <row r="1011" spans="1:10">
      <c r="A1011">
        <v>51010</v>
      </c>
      <c r="B1011">
        <v>30577</v>
      </c>
      <c r="C1011" t="s">
        <v>607</v>
      </c>
      <c r="D1011">
        <v>2051</v>
      </c>
      <c r="E1011">
        <v>1007</v>
      </c>
      <c r="F1011">
        <v>2</v>
      </c>
      <c r="G1011" t="s">
        <v>1455</v>
      </c>
      <c r="H1011" t="s">
        <v>9</v>
      </c>
      <c r="I1011" t="s">
        <v>983</v>
      </c>
      <c r="J1011" t="s">
        <v>790</v>
      </c>
    </row>
    <row r="1012" spans="1:10">
      <c r="A1012">
        <v>51011</v>
      </c>
      <c r="B1012">
        <v>30577</v>
      </c>
      <c r="C1012" t="s">
        <v>1167</v>
      </c>
      <c r="D1012">
        <v>2051</v>
      </c>
      <c r="E1012">
        <v>1008</v>
      </c>
      <c r="F1012">
        <v>1</v>
      </c>
      <c r="G1012" t="s">
        <v>1447</v>
      </c>
      <c r="H1012" t="s">
        <v>9</v>
      </c>
      <c r="I1012" t="s">
        <v>262</v>
      </c>
      <c r="J1012" t="s">
        <v>1168</v>
      </c>
    </row>
    <row r="1013" spans="1:10">
      <c r="A1013">
        <v>51012</v>
      </c>
      <c r="B1013">
        <v>30577</v>
      </c>
      <c r="C1013" t="s">
        <v>607</v>
      </c>
      <c r="D1013">
        <v>2051</v>
      </c>
      <c r="E1013">
        <v>1008</v>
      </c>
      <c r="F1013">
        <v>3</v>
      </c>
      <c r="G1013" t="s">
        <v>1491</v>
      </c>
      <c r="H1013" t="s">
        <v>9</v>
      </c>
      <c r="I1013" t="s">
        <v>265</v>
      </c>
      <c r="J1013" t="s">
        <v>788</v>
      </c>
    </row>
    <row r="1014" spans="1:10">
      <c r="A1014">
        <v>51013</v>
      </c>
      <c r="B1014">
        <v>30578</v>
      </c>
      <c r="C1014" t="s">
        <v>1119</v>
      </c>
      <c r="D1014">
        <v>2212</v>
      </c>
      <c r="E1014">
        <v>1014</v>
      </c>
      <c r="F1014">
        <v>4</v>
      </c>
      <c r="G1014" t="s">
        <v>1518</v>
      </c>
      <c r="H1014" t="s">
        <v>9</v>
      </c>
      <c r="I1014" t="s">
        <v>1041</v>
      </c>
      <c r="J1014" t="s">
        <v>733</v>
      </c>
    </row>
    <row r="1015" spans="1:10">
      <c r="A1015">
        <v>51014</v>
      </c>
      <c r="B1015">
        <v>30579</v>
      </c>
      <c r="C1015" t="s">
        <v>1169</v>
      </c>
      <c r="D1015">
        <v>2526</v>
      </c>
      <c r="E1015">
        <v>1001</v>
      </c>
      <c r="F1015">
        <v>3</v>
      </c>
      <c r="G1015" t="s">
        <v>1515</v>
      </c>
      <c r="H1015" t="s">
        <v>9</v>
      </c>
      <c r="I1015" t="s">
        <v>1170</v>
      </c>
      <c r="J1015" t="s">
        <v>773</v>
      </c>
    </row>
    <row r="1016" spans="1:10">
      <c r="A1016">
        <v>51015</v>
      </c>
      <c r="B1016">
        <v>30579</v>
      </c>
      <c r="C1016" t="s">
        <v>712</v>
      </c>
      <c r="D1016">
        <v>2526</v>
      </c>
      <c r="E1016">
        <v>1016</v>
      </c>
      <c r="F1016">
        <v>1</v>
      </c>
      <c r="G1016" t="s">
        <v>1465</v>
      </c>
      <c r="H1016" t="s">
        <v>9</v>
      </c>
      <c r="I1016" t="s">
        <v>713</v>
      </c>
      <c r="J1016" t="s">
        <v>937</v>
      </c>
    </row>
    <row r="1017" spans="1:10">
      <c r="A1017">
        <v>51016</v>
      </c>
      <c r="B1017">
        <v>30580</v>
      </c>
      <c r="C1017" t="s">
        <v>536</v>
      </c>
      <c r="D1017">
        <v>2136</v>
      </c>
      <c r="E1017">
        <v>1001</v>
      </c>
      <c r="F1017">
        <v>2</v>
      </c>
      <c r="G1017" t="s">
        <v>1460</v>
      </c>
      <c r="H1017" t="s">
        <v>9</v>
      </c>
      <c r="I1017" t="s">
        <v>1123</v>
      </c>
      <c r="J1017" t="s">
        <v>71</v>
      </c>
    </row>
    <row r="1018" spans="1:10">
      <c r="A1018">
        <v>51017</v>
      </c>
      <c r="B1018">
        <v>30581</v>
      </c>
      <c r="C1018" t="s">
        <v>1022</v>
      </c>
      <c r="D1018">
        <v>2230</v>
      </c>
      <c r="E1018">
        <v>1010</v>
      </c>
      <c r="F1018">
        <v>1</v>
      </c>
      <c r="G1018" t="s">
        <v>1468</v>
      </c>
      <c r="H1018" t="s">
        <v>9</v>
      </c>
      <c r="I1018" t="s">
        <v>622</v>
      </c>
      <c r="J1018" t="s">
        <v>25</v>
      </c>
    </row>
    <row r="1019" spans="1:10">
      <c r="A1019">
        <v>51018</v>
      </c>
      <c r="B1019">
        <v>30581</v>
      </c>
      <c r="C1019" t="s">
        <v>1022</v>
      </c>
      <c r="D1019">
        <v>2230</v>
      </c>
      <c r="E1019">
        <v>1009</v>
      </c>
      <c r="F1019">
        <v>1</v>
      </c>
      <c r="G1019" t="s">
        <v>1473</v>
      </c>
      <c r="H1019" t="s">
        <v>9</v>
      </c>
      <c r="I1019" t="s">
        <v>625</v>
      </c>
      <c r="J1019" t="s">
        <v>25</v>
      </c>
    </row>
    <row r="1020" spans="1:10">
      <c r="A1020">
        <v>51019</v>
      </c>
      <c r="B1020">
        <v>30582</v>
      </c>
      <c r="C1020" t="s">
        <v>667</v>
      </c>
      <c r="D1020">
        <v>2434</v>
      </c>
      <c r="E1020">
        <v>1012</v>
      </c>
      <c r="F1020">
        <v>1</v>
      </c>
      <c r="G1020" t="s">
        <v>1449</v>
      </c>
      <c r="H1020" t="s">
        <v>12</v>
      </c>
      <c r="I1020" t="s">
        <v>1421</v>
      </c>
      <c r="J1020" t="s">
        <v>1421</v>
      </c>
    </row>
    <row r="1021" spans="1:10">
      <c r="A1021">
        <v>51020</v>
      </c>
      <c r="B1021">
        <v>30582</v>
      </c>
      <c r="C1021" t="s">
        <v>42</v>
      </c>
      <c r="D1021">
        <v>2434</v>
      </c>
      <c r="E1021">
        <v>1015</v>
      </c>
      <c r="F1021">
        <v>1</v>
      </c>
      <c r="G1021" t="s">
        <v>1478</v>
      </c>
      <c r="H1021" t="s">
        <v>12</v>
      </c>
      <c r="I1021" t="s">
        <v>1421</v>
      </c>
      <c r="J1021" t="s">
        <v>1421</v>
      </c>
    </row>
    <row r="1022" spans="1:10">
      <c r="A1022">
        <v>51021</v>
      </c>
      <c r="B1022">
        <v>30583</v>
      </c>
      <c r="C1022" t="s">
        <v>304</v>
      </c>
      <c r="D1022">
        <v>2259</v>
      </c>
      <c r="E1022">
        <v>1010</v>
      </c>
      <c r="F1022">
        <v>2</v>
      </c>
      <c r="G1022" t="s">
        <v>1483</v>
      </c>
      <c r="H1022" t="s">
        <v>9</v>
      </c>
      <c r="I1022" t="s">
        <v>408</v>
      </c>
      <c r="J1022" t="s">
        <v>746</v>
      </c>
    </row>
    <row r="1023" spans="1:10">
      <c r="A1023">
        <v>51022</v>
      </c>
      <c r="B1023">
        <v>30583</v>
      </c>
      <c r="C1023" t="s">
        <v>329</v>
      </c>
      <c r="D1023">
        <v>2259</v>
      </c>
      <c r="E1023">
        <v>1013</v>
      </c>
      <c r="F1023">
        <v>4</v>
      </c>
      <c r="G1023" t="s">
        <v>1523</v>
      </c>
      <c r="H1023" t="s">
        <v>9</v>
      </c>
      <c r="I1023" t="s">
        <v>383</v>
      </c>
      <c r="J1023" t="s">
        <v>70</v>
      </c>
    </row>
    <row r="1024" spans="1:10">
      <c r="A1024">
        <v>51023</v>
      </c>
      <c r="B1024">
        <v>30584</v>
      </c>
      <c r="C1024" t="s">
        <v>1121</v>
      </c>
      <c r="D1024">
        <v>2599</v>
      </c>
      <c r="E1024">
        <v>1012</v>
      </c>
      <c r="F1024">
        <v>2</v>
      </c>
      <c r="G1024" t="s">
        <v>1450</v>
      </c>
      <c r="H1024" t="s">
        <v>9</v>
      </c>
      <c r="I1024" t="s">
        <v>498</v>
      </c>
      <c r="J1024" t="s">
        <v>159</v>
      </c>
    </row>
    <row r="1025" spans="1:10">
      <c r="A1025">
        <v>51024</v>
      </c>
      <c r="B1025">
        <v>30585</v>
      </c>
      <c r="C1025" t="s">
        <v>1065</v>
      </c>
      <c r="D1025">
        <v>2575</v>
      </c>
      <c r="E1025">
        <v>1010</v>
      </c>
      <c r="F1025">
        <v>1</v>
      </c>
      <c r="G1025" t="s">
        <v>1468</v>
      </c>
      <c r="H1025" t="s">
        <v>9</v>
      </c>
      <c r="I1025" t="s">
        <v>911</v>
      </c>
      <c r="J1025" t="s">
        <v>1171</v>
      </c>
    </row>
    <row r="1026" spans="1:10">
      <c r="A1026">
        <v>51025</v>
      </c>
      <c r="B1026">
        <v>30585</v>
      </c>
      <c r="C1026" t="s">
        <v>277</v>
      </c>
      <c r="D1026">
        <v>2575</v>
      </c>
      <c r="E1026">
        <v>1010</v>
      </c>
      <c r="F1026">
        <v>1</v>
      </c>
      <c r="G1026" t="s">
        <v>1468</v>
      </c>
      <c r="H1026" t="s">
        <v>9</v>
      </c>
      <c r="I1026" t="s">
        <v>436</v>
      </c>
      <c r="J1026" t="s">
        <v>1172</v>
      </c>
    </row>
    <row r="1027" spans="1:10">
      <c r="A1027">
        <v>51026</v>
      </c>
      <c r="B1027">
        <v>30585</v>
      </c>
      <c r="C1027" t="s">
        <v>277</v>
      </c>
      <c r="D1027">
        <v>2575</v>
      </c>
      <c r="E1027">
        <v>1004</v>
      </c>
      <c r="F1027">
        <v>2</v>
      </c>
      <c r="G1027" t="s">
        <v>1476</v>
      </c>
      <c r="H1027" t="s">
        <v>1462</v>
      </c>
      <c r="I1027" t="s">
        <v>436</v>
      </c>
      <c r="J1027" t="s">
        <v>1011</v>
      </c>
    </row>
    <row r="1028" spans="1:10">
      <c r="A1028">
        <v>51027</v>
      </c>
      <c r="B1028">
        <v>30586</v>
      </c>
      <c r="C1028" t="s">
        <v>561</v>
      </c>
      <c r="D1028">
        <v>2494</v>
      </c>
      <c r="E1028">
        <v>1009</v>
      </c>
      <c r="F1028">
        <v>2</v>
      </c>
      <c r="G1028" t="s">
        <v>1479</v>
      </c>
      <c r="H1028" t="s">
        <v>9</v>
      </c>
      <c r="I1028" t="s">
        <v>390</v>
      </c>
      <c r="J1028" t="s">
        <v>1094</v>
      </c>
    </row>
    <row r="1029" spans="1:10">
      <c r="A1029">
        <v>51028</v>
      </c>
      <c r="B1029">
        <v>30587</v>
      </c>
      <c r="C1029" t="s">
        <v>70</v>
      </c>
      <c r="D1029">
        <v>2333</v>
      </c>
      <c r="E1029">
        <v>1009</v>
      </c>
      <c r="F1029">
        <v>1</v>
      </c>
      <c r="G1029" t="s">
        <v>1473</v>
      </c>
      <c r="H1029" t="s">
        <v>12</v>
      </c>
      <c r="I1029" t="s">
        <v>1421</v>
      </c>
      <c r="J1029" t="s">
        <v>1421</v>
      </c>
    </row>
    <row r="1030" spans="1:10">
      <c r="A1030">
        <v>51029</v>
      </c>
      <c r="B1030">
        <v>30588</v>
      </c>
      <c r="C1030" t="s">
        <v>583</v>
      </c>
      <c r="D1030">
        <v>2306</v>
      </c>
      <c r="E1030">
        <v>1008</v>
      </c>
      <c r="F1030">
        <v>1</v>
      </c>
      <c r="G1030" t="s">
        <v>1447</v>
      </c>
      <c r="H1030" t="s">
        <v>9</v>
      </c>
      <c r="I1030" t="s">
        <v>1173</v>
      </c>
      <c r="J1030" t="s">
        <v>562</v>
      </c>
    </row>
    <row r="1031" spans="1:10">
      <c r="A1031">
        <v>51030</v>
      </c>
      <c r="B1031">
        <v>30589</v>
      </c>
      <c r="C1031" t="s">
        <v>656</v>
      </c>
      <c r="D1031">
        <v>2059</v>
      </c>
      <c r="E1031">
        <v>1013</v>
      </c>
      <c r="F1031">
        <v>2</v>
      </c>
      <c r="G1031" t="s">
        <v>1492</v>
      </c>
      <c r="H1031" t="s">
        <v>16</v>
      </c>
      <c r="I1031" t="s">
        <v>1421</v>
      </c>
      <c r="J1031" t="s">
        <v>1421</v>
      </c>
    </row>
    <row r="1032" spans="1:10">
      <c r="A1032">
        <v>51031</v>
      </c>
      <c r="B1032">
        <v>30589</v>
      </c>
      <c r="C1032" t="s">
        <v>833</v>
      </c>
      <c r="D1032">
        <v>2059</v>
      </c>
      <c r="E1032">
        <v>1005</v>
      </c>
      <c r="F1032">
        <v>1</v>
      </c>
      <c r="G1032" t="s">
        <v>1456</v>
      </c>
      <c r="H1032" t="s">
        <v>16</v>
      </c>
      <c r="I1032" t="s">
        <v>1421</v>
      </c>
      <c r="J1032" t="s">
        <v>1421</v>
      </c>
    </row>
    <row r="1033" spans="1:10">
      <c r="A1033">
        <v>51032</v>
      </c>
      <c r="B1033">
        <v>30589</v>
      </c>
      <c r="C1033" t="s">
        <v>202</v>
      </c>
      <c r="D1033">
        <v>2059</v>
      </c>
      <c r="E1033">
        <v>1016</v>
      </c>
      <c r="F1033">
        <v>1</v>
      </c>
      <c r="G1033" t="s">
        <v>1465</v>
      </c>
      <c r="H1033" t="s">
        <v>16</v>
      </c>
      <c r="I1033" t="s">
        <v>1421</v>
      </c>
      <c r="J1033" t="s">
        <v>1421</v>
      </c>
    </row>
    <row r="1034" spans="1:10">
      <c r="A1034">
        <v>51033</v>
      </c>
      <c r="B1034">
        <v>30590</v>
      </c>
      <c r="C1034" t="s">
        <v>170</v>
      </c>
      <c r="D1034">
        <v>2266</v>
      </c>
      <c r="E1034">
        <v>1013</v>
      </c>
      <c r="F1034">
        <v>2</v>
      </c>
      <c r="G1034" t="s">
        <v>1492</v>
      </c>
      <c r="H1034" t="s">
        <v>12</v>
      </c>
      <c r="I1034" t="s">
        <v>1421</v>
      </c>
      <c r="J1034" t="s">
        <v>1421</v>
      </c>
    </row>
    <row r="1035" spans="1:10">
      <c r="A1035">
        <v>51034</v>
      </c>
      <c r="B1035">
        <v>30591</v>
      </c>
      <c r="C1035" t="s">
        <v>169</v>
      </c>
      <c r="D1035">
        <v>2398</v>
      </c>
      <c r="E1035">
        <v>1007</v>
      </c>
      <c r="F1035">
        <v>4</v>
      </c>
      <c r="G1035" t="s">
        <v>1504</v>
      </c>
      <c r="H1035" t="s">
        <v>9</v>
      </c>
      <c r="I1035" t="s">
        <v>525</v>
      </c>
      <c r="J1035" t="s">
        <v>15</v>
      </c>
    </row>
    <row r="1036" spans="1:10">
      <c r="A1036">
        <v>51035</v>
      </c>
      <c r="B1036">
        <v>30592</v>
      </c>
      <c r="C1036" t="s">
        <v>969</v>
      </c>
      <c r="D1036">
        <v>2352</v>
      </c>
      <c r="E1036">
        <v>1008</v>
      </c>
      <c r="F1036">
        <v>4</v>
      </c>
      <c r="G1036" t="s">
        <v>1503</v>
      </c>
      <c r="H1036" t="s">
        <v>9</v>
      </c>
      <c r="I1036" t="s">
        <v>1174</v>
      </c>
      <c r="J1036" t="s">
        <v>73</v>
      </c>
    </row>
    <row r="1037" spans="1:10">
      <c r="A1037">
        <v>51036</v>
      </c>
      <c r="B1037">
        <v>30593</v>
      </c>
      <c r="C1037" t="s">
        <v>81</v>
      </c>
      <c r="D1037">
        <v>2548</v>
      </c>
      <c r="E1037">
        <v>1016</v>
      </c>
      <c r="F1037">
        <v>1</v>
      </c>
      <c r="G1037" t="s">
        <v>1465</v>
      </c>
      <c r="H1037" t="s">
        <v>9</v>
      </c>
      <c r="I1037" t="s">
        <v>275</v>
      </c>
      <c r="J1037" t="s">
        <v>909</v>
      </c>
    </row>
    <row r="1038" spans="1:10">
      <c r="A1038">
        <v>51037</v>
      </c>
      <c r="B1038">
        <v>30593</v>
      </c>
      <c r="C1038" t="s">
        <v>1159</v>
      </c>
      <c r="D1038">
        <v>2548</v>
      </c>
      <c r="E1038">
        <v>1012</v>
      </c>
      <c r="F1038">
        <v>3</v>
      </c>
      <c r="G1038" t="s">
        <v>1448</v>
      </c>
      <c r="H1038" t="s">
        <v>9</v>
      </c>
      <c r="I1038" t="s">
        <v>1175</v>
      </c>
      <c r="J1038" t="s">
        <v>609</v>
      </c>
    </row>
    <row r="1039" spans="1:10">
      <c r="A1039">
        <v>51038</v>
      </c>
      <c r="B1039">
        <v>30594</v>
      </c>
      <c r="C1039" t="s">
        <v>184</v>
      </c>
      <c r="D1039">
        <v>2520</v>
      </c>
      <c r="E1039">
        <v>1006</v>
      </c>
      <c r="F1039">
        <v>1</v>
      </c>
      <c r="G1039" t="s">
        <v>1459</v>
      </c>
      <c r="H1039" t="s">
        <v>68</v>
      </c>
      <c r="I1039" t="s">
        <v>153</v>
      </c>
      <c r="J1039" t="s">
        <v>893</v>
      </c>
    </row>
    <row r="1040" spans="1:10">
      <c r="A1040">
        <v>51039</v>
      </c>
      <c r="B1040">
        <v>30595</v>
      </c>
      <c r="C1040" t="s">
        <v>121</v>
      </c>
      <c r="D1040">
        <v>2572</v>
      </c>
      <c r="E1040">
        <v>1004</v>
      </c>
      <c r="F1040">
        <v>2</v>
      </c>
      <c r="G1040" t="s">
        <v>1476</v>
      </c>
      <c r="H1040" t="s">
        <v>9</v>
      </c>
      <c r="I1040" t="s">
        <v>1099</v>
      </c>
      <c r="J1040" t="s">
        <v>660</v>
      </c>
    </row>
    <row r="1041" spans="1:10">
      <c r="A1041">
        <v>51040</v>
      </c>
      <c r="B1041">
        <v>30595</v>
      </c>
      <c r="C1041" t="s">
        <v>1176</v>
      </c>
      <c r="D1041">
        <v>2572</v>
      </c>
      <c r="E1041">
        <v>1016</v>
      </c>
      <c r="F1041">
        <v>1</v>
      </c>
      <c r="G1041" t="s">
        <v>1465</v>
      </c>
      <c r="H1041" t="s">
        <v>9</v>
      </c>
      <c r="I1041" t="s">
        <v>364</v>
      </c>
      <c r="J1041" t="s">
        <v>664</v>
      </c>
    </row>
    <row r="1042" spans="1:10">
      <c r="A1042">
        <v>51041</v>
      </c>
      <c r="B1042">
        <v>30596</v>
      </c>
      <c r="C1042" t="s">
        <v>1083</v>
      </c>
      <c r="D1042">
        <v>2132</v>
      </c>
      <c r="E1042">
        <v>1006</v>
      </c>
      <c r="F1042">
        <v>1</v>
      </c>
      <c r="G1042" t="s">
        <v>1459</v>
      </c>
      <c r="H1042" t="s">
        <v>9</v>
      </c>
      <c r="I1042" t="s">
        <v>46</v>
      </c>
      <c r="J1042" t="s">
        <v>240</v>
      </c>
    </row>
    <row r="1043" spans="1:10">
      <c r="A1043">
        <v>51042</v>
      </c>
      <c r="B1043">
        <v>30596</v>
      </c>
      <c r="C1043" t="s">
        <v>347</v>
      </c>
      <c r="D1043">
        <v>2132</v>
      </c>
      <c r="E1043">
        <v>1011</v>
      </c>
      <c r="F1043">
        <v>1</v>
      </c>
      <c r="G1043" t="s">
        <v>1472</v>
      </c>
      <c r="H1043" t="s">
        <v>9</v>
      </c>
      <c r="I1043" t="s">
        <v>923</v>
      </c>
      <c r="J1043" t="s">
        <v>179</v>
      </c>
    </row>
    <row r="1044" spans="1:10">
      <c r="A1044">
        <v>51043</v>
      </c>
      <c r="B1044">
        <v>30597</v>
      </c>
      <c r="C1044" t="s">
        <v>830</v>
      </c>
      <c r="D1044">
        <v>2092</v>
      </c>
      <c r="E1044">
        <v>1008</v>
      </c>
      <c r="F1044">
        <v>1</v>
      </c>
      <c r="G1044" t="s">
        <v>1447</v>
      </c>
      <c r="H1044" t="s">
        <v>9</v>
      </c>
      <c r="I1044" t="s">
        <v>141</v>
      </c>
      <c r="J1044" t="s">
        <v>831</v>
      </c>
    </row>
    <row r="1045" spans="1:10">
      <c r="A1045">
        <v>51044</v>
      </c>
      <c r="B1045">
        <v>30597</v>
      </c>
      <c r="C1045" t="s">
        <v>162</v>
      </c>
      <c r="D1045">
        <v>2092</v>
      </c>
      <c r="E1045">
        <v>1010</v>
      </c>
      <c r="F1045">
        <v>2</v>
      </c>
      <c r="G1045" t="s">
        <v>1483</v>
      </c>
      <c r="H1045" t="s">
        <v>9</v>
      </c>
      <c r="I1045" t="s">
        <v>107</v>
      </c>
      <c r="J1045" t="s">
        <v>163</v>
      </c>
    </row>
    <row r="1046" spans="1:10">
      <c r="A1046">
        <v>51045</v>
      </c>
      <c r="B1046">
        <v>30598</v>
      </c>
      <c r="C1046" t="s">
        <v>1177</v>
      </c>
      <c r="D1046">
        <v>2431</v>
      </c>
      <c r="E1046">
        <v>1011</v>
      </c>
      <c r="G1046" t="s">
        <v>1454</v>
      </c>
      <c r="H1046" t="s">
        <v>16</v>
      </c>
      <c r="I1046" t="s">
        <v>1421</v>
      </c>
      <c r="J1046" t="s">
        <v>1421</v>
      </c>
    </row>
    <row r="1047" spans="1:10">
      <c r="A1047">
        <v>51046</v>
      </c>
      <c r="B1047">
        <v>30599</v>
      </c>
      <c r="C1047" t="s">
        <v>554</v>
      </c>
      <c r="D1047">
        <v>2600</v>
      </c>
      <c r="E1047">
        <v>1004</v>
      </c>
      <c r="F1047">
        <v>2</v>
      </c>
      <c r="G1047" t="s">
        <v>1476</v>
      </c>
      <c r="H1047" t="s">
        <v>9</v>
      </c>
      <c r="I1047" t="s">
        <v>1178</v>
      </c>
      <c r="J1047" t="s">
        <v>683</v>
      </c>
    </row>
    <row r="1048" spans="1:10">
      <c r="A1048">
        <v>51047</v>
      </c>
      <c r="B1048">
        <v>30600</v>
      </c>
      <c r="C1048" t="s">
        <v>940</v>
      </c>
      <c r="D1048">
        <v>2482</v>
      </c>
      <c r="E1048">
        <v>1003</v>
      </c>
      <c r="F1048">
        <v>2</v>
      </c>
      <c r="G1048" t="s">
        <v>1464</v>
      </c>
      <c r="H1048" t="s">
        <v>9</v>
      </c>
      <c r="I1048" t="s">
        <v>919</v>
      </c>
      <c r="J1048" t="s">
        <v>533</v>
      </c>
    </row>
    <row r="1049" spans="1:10">
      <c r="A1049">
        <v>51048</v>
      </c>
      <c r="B1049">
        <v>30601</v>
      </c>
      <c r="C1049" t="s">
        <v>675</v>
      </c>
      <c r="D1049">
        <v>2484</v>
      </c>
      <c r="E1049">
        <v>1004</v>
      </c>
      <c r="F1049">
        <v>1</v>
      </c>
      <c r="G1049" t="s">
        <v>1452</v>
      </c>
      <c r="H1049" t="s">
        <v>12</v>
      </c>
      <c r="I1049" t="s">
        <v>1421</v>
      </c>
      <c r="J1049" t="s">
        <v>1421</v>
      </c>
    </row>
    <row r="1050" spans="1:10">
      <c r="A1050">
        <v>51049</v>
      </c>
      <c r="B1050">
        <v>30602</v>
      </c>
      <c r="C1050" t="s">
        <v>1179</v>
      </c>
      <c r="D1050">
        <v>2391</v>
      </c>
      <c r="E1050">
        <v>1014</v>
      </c>
      <c r="F1050">
        <v>1</v>
      </c>
      <c r="G1050" t="s">
        <v>1463</v>
      </c>
      <c r="H1050" t="s">
        <v>9</v>
      </c>
      <c r="I1050" t="s">
        <v>831</v>
      </c>
      <c r="J1050" t="s">
        <v>889</v>
      </c>
    </row>
    <row r="1051" spans="1:10">
      <c r="A1051">
        <v>51050</v>
      </c>
      <c r="B1051">
        <v>30603</v>
      </c>
      <c r="C1051" t="s">
        <v>863</v>
      </c>
      <c r="D1051">
        <v>2056</v>
      </c>
      <c r="E1051">
        <v>1005</v>
      </c>
      <c r="F1051">
        <v>1</v>
      </c>
      <c r="G1051" t="s">
        <v>1456</v>
      </c>
      <c r="H1051" t="s">
        <v>12</v>
      </c>
      <c r="I1051" t="s">
        <v>1421</v>
      </c>
      <c r="J1051" t="s">
        <v>1421</v>
      </c>
    </row>
    <row r="1052" spans="1:10">
      <c r="A1052">
        <v>51051</v>
      </c>
      <c r="B1052">
        <v>30604</v>
      </c>
      <c r="C1052" t="s">
        <v>529</v>
      </c>
      <c r="D1052">
        <v>2141</v>
      </c>
      <c r="E1052">
        <v>1011</v>
      </c>
      <c r="F1052">
        <v>2</v>
      </c>
      <c r="G1052" t="s">
        <v>1487</v>
      </c>
      <c r="H1052" t="s">
        <v>1467</v>
      </c>
      <c r="I1052" t="s">
        <v>988</v>
      </c>
      <c r="J1052" t="s">
        <v>238</v>
      </c>
    </row>
    <row r="1053" spans="1:10">
      <c r="A1053">
        <v>51052</v>
      </c>
      <c r="B1053">
        <v>30605</v>
      </c>
      <c r="C1053" t="s">
        <v>171</v>
      </c>
      <c r="D1053">
        <v>2420</v>
      </c>
      <c r="E1053">
        <v>1015</v>
      </c>
      <c r="F1053">
        <v>1</v>
      </c>
      <c r="G1053" t="s">
        <v>1478</v>
      </c>
      <c r="H1053" t="s">
        <v>11</v>
      </c>
      <c r="I1053" t="s">
        <v>767</v>
      </c>
      <c r="J1053" t="s">
        <v>492</v>
      </c>
    </row>
    <row r="1054" spans="1:10">
      <c r="A1054">
        <v>51053</v>
      </c>
      <c r="B1054">
        <v>30606</v>
      </c>
      <c r="C1054" t="s">
        <v>1128</v>
      </c>
      <c r="D1054">
        <v>2147</v>
      </c>
      <c r="E1054">
        <v>1006</v>
      </c>
      <c r="F1054">
        <v>1</v>
      </c>
      <c r="G1054" t="s">
        <v>1459</v>
      </c>
      <c r="H1054" t="s">
        <v>9</v>
      </c>
      <c r="I1054" t="s">
        <v>995</v>
      </c>
      <c r="J1054" t="s">
        <v>110</v>
      </c>
    </row>
    <row r="1055" spans="1:10">
      <c r="A1055">
        <v>51054</v>
      </c>
      <c r="B1055">
        <v>30607</v>
      </c>
      <c r="C1055" t="s">
        <v>1016</v>
      </c>
      <c r="D1055">
        <v>2083</v>
      </c>
      <c r="E1055">
        <v>1006</v>
      </c>
      <c r="F1055">
        <v>1</v>
      </c>
      <c r="G1055" t="s">
        <v>1459</v>
      </c>
      <c r="H1055" t="s">
        <v>9</v>
      </c>
      <c r="I1055" t="s">
        <v>760</v>
      </c>
      <c r="J1055" t="s">
        <v>1027</v>
      </c>
    </row>
    <row r="1056" spans="1:10">
      <c r="A1056">
        <v>51055</v>
      </c>
      <c r="B1056">
        <v>30608</v>
      </c>
      <c r="C1056" t="s">
        <v>151</v>
      </c>
      <c r="D1056">
        <v>2321</v>
      </c>
      <c r="E1056">
        <v>1001</v>
      </c>
      <c r="F1056">
        <v>1</v>
      </c>
      <c r="G1056" t="s">
        <v>1469</v>
      </c>
      <c r="H1056" t="s">
        <v>9</v>
      </c>
      <c r="I1056" t="s">
        <v>1062</v>
      </c>
      <c r="J1056" t="s">
        <v>362</v>
      </c>
    </row>
    <row r="1057" spans="1:10">
      <c r="A1057">
        <v>51056</v>
      </c>
      <c r="B1057">
        <v>30609</v>
      </c>
      <c r="C1057" t="s">
        <v>537</v>
      </c>
      <c r="D1057">
        <v>2463</v>
      </c>
      <c r="E1057">
        <v>1006</v>
      </c>
      <c r="F1057">
        <v>4</v>
      </c>
      <c r="G1057" t="s">
        <v>1496</v>
      </c>
      <c r="H1057" t="s">
        <v>9</v>
      </c>
      <c r="I1057" t="s">
        <v>1123</v>
      </c>
      <c r="J1057" t="s">
        <v>203</v>
      </c>
    </row>
    <row r="1058" spans="1:10">
      <c r="A1058">
        <v>51057</v>
      </c>
      <c r="B1058">
        <v>30610</v>
      </c>
      <c r="C1058" t="s">
        <v>684</v>
      </c>
      <c r="D1058">
        <v>2591</v>
      </c>
      <c r="E1058">
        <v>1016</v>
      </c>
      <c r="F1058">
        <v>5</v>
      </c>
      <c r="G1058" t="s">
        <v>1513</v>
      </c>
      <c r="H1058" t="s">
        <v>16</v>
      </c>
      <c r="I1058" t="s">
        <v>1421</v>
      </c>
      <c r="J1058" t="s">
        <v>1421</v>
      </c>
    </row>
    <row r="1059" spans="1:10">
      <c r="A1059">
        <v>51058</v>
      </c>
      <c r="B1059">
        <v>30611</v>
      </c>
      <c r="C1059" t="s">
        <v>1180</v>
      </c>
      <c r="D1059">
        <v>2091</v>
      </c>
      <c r="E1059">
        <v>1014</v>
      </c>
      <c r="F1059">
        <v>2</v>
      </c>
      <c r="G1059" t="s">
        <v>1475</v>
      </c>
      <c r="H1059" t="s">
        <v>9</v>
      </c>
      <c r="I1059" t="s">
        <v>1086</v>
      </c>
      <c r="J1059" t="s">
        <v>1030</v>
      </c>
    </row>
    <row r="1060" spans="1:10">
      <c r="A1060">
        <v>51059</v>
      </c>
      <c r="B1060">
        <v>30611</v>
      </c>
      <c r="C1060" t="s">
        <v>138</v>
      </c>
      <c r="D1060">
        <v>2091</v>
      </c>
      <c r="E1060">
        <v>1014</v>
      </c>
      <c r="F1060">
        <v>1</v>
      </c>
      <c r="G1060" t="s">
        <v>1463</v>
      </c>
      <c r="H1060" t="s">
        <v>9</v>
      </c>
      <c r="I1060" t="s">
        <v>1086</v>
      </c>
      <c r="J1060" t="s">
        <v>292</v>
      </c>
    </row>
    <row r="1061" spans="1:10">
      <c r="A1061">
        <v>51060</v>
      </c>
      <c r="B1061">
        <v>30612</v>
      </c>
      <c r="C1061" t="s">
        <v>204</v>
      </c>
      <c r="D1061">
        <v>2414</v>
      </c>
      <c r="E1061">
        <v>1016</v>
      </c>
      <c r="F1061">
        <v>1</v>
      </c>
      <c r="G1061" t="s">
        <v>1465</v>
      </c>
      <c r="H1061" t="s">
        <v>9</v>
      </c>
      <c r="I1061" t="s">
        <v>458</v>
      </c>
      <c r="J1061" t="s">
        <v>168</v>
      </c>
    </row>
    <row r="1062" spans="1:10">
      <c r="A1062">
        <v>51061</v>
      </c>
      <c r="B1062">
        <v>30612</v>
      </c>
      <c r="C1062" t="s">
        <v>692</v>
      </c>
      <c r="D1062">
        <v>2414</v>
      </c>
      <c r="E1062">
        <v>1013</v>
      </c>
      <c r="F1062">
        <v>4</v>
      </c>
      <c r="G1062" t="s">
        <v>1523</v>
      </c>
      <c r="H1062" t="s">
        <v>9</v>
      </c>
      <c r="I1062" t="s">
        <v>205</v>
      </c>
      <c r="J1062" t="s">
        <v>856</v>
      </c>
    </row>
    <row r="1063" spans="1:10">
      <c r="A1063">
        <v>51062</v>
      </c>
      <c r="B1063">
        <v>30613</v>
      </c>
      <c r="C1063" t="s">
        <v>1146</v>
      </c>
      <c r="D1063">
        <v>2005</v>
      </c>
      <c r="E1063">
        <v>1007</v>
      </c>
      <c r="F1063">
        <v>1</v>
      </c>
      <c r="G1063" t="s">
        <v>1453</v>
      </c>
      <c r="H1063" t="s">
        <v>9</v>
      </c>
      <c r="I1063" t="s">
        <v>1181</v>
      </c>
      <c r="J1063" t="s">
        <v>316</v>
      </c>
    </row>
    <row r="1064" spans="1:10">
      <c r="A1064">
        <v>51063</v>
      </c>
      <c r="B1064">
        <v>30613</v>
      </c>
      <c r="C1064" t="s">
        <v>1146</v>
      </c>
      <c r="D1064">
        <v>2005</v>
      </c>
      <c r="E1064">
        <v>1012</v>
      </c>
      <c r="F1064">
        <v>4</v>
      </c>
      <c r="G1064" t="s">
        <v>1485</v>
      </c>
      <c r="H1064" t="s">
        <v>9</v>
      </c>
      <c r="I1064" t="s">
        <v>290</v>
      </c>
      <c r="J1064" t="s">
        <v>1147</v>
      </c>
    </row>
    <row r="1065" spans="1:10">
      <c r="A1065">
        <v>51064</v>
      </c>
      <c r="B1065">
        <v>30613</v>
      </c>
      <c r="C1065" t="s">
        <v>1146</v>
      </c>
      <c r="D1065">
        <v>2005</v>
      </c>
      <c r="E1065">
        <v>1001</v>
      </c>
      <c r="F1065">
        <v>4</v>
      </c>
      <c r="G1065" t="s">
        <v>1525</v>
      </c>
      <c r="H1065" t="s">
        <v>9</v>
      </c>
      <c r="I1065" t="s">
        <v>290</v>
      </c>
      <c r="J1065" t="s">
        <v>318</v>
      </c>
    </row>
    <row r="1066" spans="1:10">
      <c r="A1066">
        <v>51065</v>
      </c>
      <c r="B1066">
        <v>30613</v>
      </c>
      <c r="C1066" t="s">
        <v>206</v>
      </c>
      <c r="D1066">
        <v>2005</v>
      </c>
      <c r="E1066">
        <v>1011</v>
      </c>
      <c r="F1066">
        <v>2</v>
      </c>
      <c r="G1066" t="s">
        <v>1487</v>
      </c>
      <c r="H1066" t="s">
        <v>9</v>
      </c>
      <c r="I1066" t="s">
        <v>147</v>
      </c>
      <c r="J1066" t="s">
        <v>779</v>
      </c>
    </row>
    <row r="1067" spans="1:10">
      <c r="A1067">
        <v>51066</v>
      </c>
      <c r="B1067">
        <v>30614</v>
      </c>
      <c r="C1067" t="s">
        <v>1182</v>
      </c>
      <c r="D1067">
        <v>2544</v>
      </c>
      <c r="E1067">
        <v>1001</v>
      </c>
      <c r="F1067">
        <v>1</v>
      </c>
      <c r="G1067" t="s">
        <v>1469</v>
      </c>
      <c r="H1067" t="s">
        <v>9</v>
      </c>
      <c r="I1067" t="s">
        <v>1013</v>
      </c>
      <c r="J1067" t="s">
        <v>207</v>
      </c>
    </row>
    <row r="1068" spans="1:10">
      <c r="A1068">
        <v>51067</v>
      </c>
      <c r="B1068">
        <v>30614</v>
      </c>
      <c r="C1068" t="s">
        <v>1182</v>
      </c>
      <c r="D1068">
        <v>2544</v>
      </c>
      <c r="E1068">
        <v>1008</v>
      </c>
      <c r="F1068">
        <v>1</v>
      </c>
      <c r="G1068" t="s">
        <v>1447</v>
      </c>
      <c r="H1068" t="s">
        <v>1495</v>
      </c>
      <c r="I1068" t="s">
        <v>1056</v>
      </c>
      <c r="J1068" t="s">
        <v>557</v>
      </c>
    </row>
    <row r="1069" spans="1:10">
      <c r="A1069">
        <v>51068</v>
      </c>
      <c r="B1069">
        <v>30615</v>
      </c>
      <c r="C1069" t="s">
        <v>1183</v>
      </c>
      <c r="D1069">
        <v>2232</v>
      </c>
      <c r="E1069">
        <v>1012</v>
      </c>
      <c r="F1069">
        <v>2</v>
      </c>
      <c r="G1069" t="s">
        <v>1450</v>
      </c>
      <c r="H1069" t="s">
        <v>9</v>
      </c>
      <c r="I1069" t="s">
        <v>308</v>
      </c>
      <c r="J1069" t="s">
        <v>208</v>
      </c>
    </row>
    <row r="1070" spans="1:10">
      <c r="A1070">
        <v>51069</v>
      </c>
      <c r="B1070">
        <v>30616</v>
      </c>
      <c r="C1070" t="s">
        <v>642</v>
      </c>
      <c r="D1070">
        <v>2320</v>
      </c>
      <c r="E1070">
        <v>1013</v>
      </c>
      <c r="F1070">
        <v>2</v>
      </c>
      <c r="G1070" t="s">
        <v>1492</v>
      </c>
      <c r="H1070" t="s">
        <v>9</v>
      </c>
      <c r="I1070" t="s">
        <v>1073</v>
      </c>
      <c r="J1070" t="s">
        <v>209</v>
      </c>
    </row>
    <row r="1071" spans="1:10">
      <c r="A1071">
        <v>51070</v>
      </c>
      <c r="B1071">
        <v>30617</v>
      </c>
      <c r="C1071" t="s">
        <v>1160</v>
      </c>
      <c r="D1071">
        <v>2516</v>
      </c>
      <c r="E1071">
        <v>1006</v>
      </c>
      <c r="F1071">
        <v>2</v>
      </c>
      <c r="G1071" t="s">
        <v>1501</v>
      </c>
      <c r="H1071" t="s">
        <v>9</v>
      </c>
      <c r="I1071" t="s">
        <v>210</v>
      </c>
      <c r="J1071" t="s">
        <v>1184</v>
      </c>
    </row>
    <row r="1072" spans="1:10">
      <c r="A1072">
        <v>51071</v>
      </c>
      <c r="B1072">
        <v>30617</v>
      </c>
      <c r="C1072" t="s">
        <v>1160</v>
      </c>
      <c r="D1072">
        <v>2516</v>
      </c>
      <c r="E1072">
        <v>1003</v>
      </c>
      <c r="F1072">
        <v>1</v>
      </c>
      <c r="G1072" t="s">
        <v>1471</v>
      </c>
      <c r="H1072" t="s">
        <v>9</v>
      </c>
      <c r="I1072" t="s">
        <v>849</v>
      </c>
      <c r="J1072" t="s">
        <v>855</v>
      </c>
    </row>
    <row r="1073" spans="1:10">
      <c r="A1073">
        <v>51072</v>
      </c>
      <c r="B1073">
        <v>30618</v>
      </c>
      <c r="C1073" t="s">
        <v>331</v>
      </c>
      <c r="D1073">
        <v>2047</v>
      </c>
      <c r="E1073">
        <v>1010</v>
      </c>
      <c r="F1073">
        <v>1</v>
      </c>
      <c r="G1073" t="s">
        <v>1468</v>
      </c>
      <c r="H1073" t="s">
        <v>9</v>
      </c>
      <c r="I1073" t="s">
        <v>1056</v>
      </c>
      <c r="J1073" t="s">
        <v>165</v>
      </c>
    </row>
    <row r="1074" spans="1:10">
      <c r="A1074">
        <v>51073</v>
      </c>
      <c r="B1074">
        <v>30619</v>
      </c>
      <c r="C1074" t="s">
        <v>1185</v>
      </c>
      <c r="D1074">
        <v>2467</v>
      </c>
      <c r="E1074">
        <v>1011</v>
      </c>
      <c r="F1074">
        <v>1</v>
      </c>
      <c r="G1074" t="s">
        <v>1472</v>
      </c>
      <c r="H1074" t="s">
        <v>9</v>
      </c>
      <c r="I1074" t="s">
        <v>708</v>
      </c>
      <c r="J1074" t="s">
        <v>1186</v>
      </c>
    </row>
    <row r="1075" spans="1:10">
      <c r="A1075">
        <v>51074</v>
      </c>
      <c r="B1075">
        <v>30619</v>
      </c>
      <c r="C1075" t="s">
        <v>1114</v>
      </c>
      <c r="D1075">
        <v>2467</v>
      </c>
      <c r="E1075">
        <v>1014</v>
      </c>
      <c r="F1075">
        <v>1</v>
      </c>
      <c r="G1075" t="s">
        <v>1463</v>
      </c>
      <c r="H1075" t="s">
        <v>9</v>
      </c>
      <c r="I1075" t="s">
        <v>208</v>
      </c>
      <c r="J1075" t="s">
        <v>945</v>
      </c>
    </row>
    <row r="1076" spans="1:10">
      <c r="A1076">
        <v>51075</v>
      </c>
      <c r="B1076">
        <v>30620</v>
      </c>
      <c r="C1076" t="s">
        <v>505</v>
      </c>
      <c r="D1076">
        <v>2138</v>
      </c>
      <c r="E1076">
        <v>1016</v>
      </c>
      <c r="F1076">
        <v>1</v>
      </c>
      <c r="G1076" t="s">
        <v>1465</v>
      </c>
      <c r="H1076" t="s">
        <v>9</v>
      </c>
      <c r="I1076" t="s">
        <v>438</v>
      </c>
      <c r="J1076" t="s">
        <v>993</v>
      </c>
    </row>
    <row r="1077" spans="1:10">
      <c r="A1077">
        <v>51076</v>
      </c>
      <c r="B1077">
        <v>30620</v>
      </c>
      <c r="C1077" t="s">
        <v>1187</v>
      </c>
      <c r="D1077">
        <v>2138</v>
      </c>
      <c r="E1077">
        <v>1012</v>
      </c>
      <c r="F1077">
        <v>1</v>
      </c>
      <c r="G1077" t="s">
        <v>1449</v>
      </c>
      <c r="H1077" t="s">
        <v>9</v>
      </c>
      <c r="I1077" t="s">
        <v>313</v>
      </c>
      <c r="J1077" t="s">
        <v>386</v>
      </c>
    </row>
    <row r="1078" spans="1:10">
      <c r="A1078">
        <v>51077</v>
      </c>
      <c r="B1078">
        <v>30620</v>
      </c>
      <c r="C1078" t="s">
        <v>1188</v>
      </c>
      <c r="D1078">
        <v>2138</v>
      </c>
      <c r="E1078">
        <v>1007</v>
      </c>
      <c r="F1078">
        <v>1</v>
      </c>
      <c r="G1078" t="s">
        <v>1453</v>
      </c>
      <c r="H1078" t="s">
        <v>9</v>
      </c>
      <c r="I1078" t="s">
        <v>270</v>
      </c>
      <c r="J1078" t="s">
        <v>313</v>
      </c>
    </row>
    <row r="1079" spans="1:10">
      <c r="A1079">
        <v>51078</v>
      </c>
      <c r="B1079">
        <v>30620</v>
      </c>
      <c r="C1079" t="s">
        <v>1187</v>
      </c>
      <c r="D1079">
        <v>2138</v>
      </c>
      <c r="E1079">
        <v>1006</v>
      </c>
      <c r="F1079">
        <v>2</v>
      </c>
      <c r="G1079" t="s">
        <v>1501</v>
      </c>
      <c r="H1079" t="s">
        <v>9</v>
      </c>
      <c r="I1079" t="s">
        <v>600</v>
      </c>
      <c r="J1079" t="s">
        <v>244</v>
      </c>
    </row>
    <row r="1080" spans="1:10">
      <c r="A1080">
        <v>51079</v>
      </c>
      <c r="B1080">
        <v>30621</v>
      </c>
      <c r="C1080" t="s">
        <v>91</v>
      </c>
      <c r="E1080">
        <v>1008</v>
      </c>
      <c r="F1080">
        <v>1</v>
      </c>
      <c r="G1080" t="s">
        <v>1447</v>
      </c>
      <c r="H1080" t="s">
        <v>9</v>
      </c>
      <c r="I1080" t="s">
        <v>376</v>
      </c>
      <c r="J1080" t="s">
        <v>275</v>
      </c>
    </row>
    <row r="1081" spans="1:10">
      <c r="A1081">
        <v>51080</v>
      </c>
      <c r="B1081">
        <v>30621</v>
      </c>
      <c r="C1081" t="s">
        <v>649</v>
      </c>
      <c r="D1081">
        <v>2414</v>
      </c>
      <c r="E1081">
        <v>1005</v>
      </c>
      <c r="F1081">
        <v>1</v>
      </c>
      <c r="G1081" t="s">
        <v>1456</v>
      </c>
      <c r="H1081" t="s">
        <v>9</v>
      </c>
      <c r="I1081" t="s">
        <v>456</v>
      </c>
      <c r="J1081" t="s">
        <v>909</v>
      </c>
    </row>
    <row r="1082" spans="1:10">
      <c r="A1082">
        <v>51081</v>
      </c>
      <c r="B1082">
        <v>30621</v>
      </c>
      <c r="C1082" t="s">
        <v>1004</v>
      </c>
      <c r="D1082">
        <v>2414</v>
      </c>
      <c r="E1082">
        <v>1007</v>
      </c>
      <c r="F1082">
        <v>1</v>
      </c>
      <c r="G1082" t="s">
        <v>1453</v>
      </c>
      <c r="H1082" t="s">
        <v>9</v>
      </c>
      <c r="I1082" t="s">
        <v>604</v>
      </c>
      <c r="J1082" t="s">
        <v>508</v>
      </c>
    </row>
    <row r="1083" spans="1:10">
      <c r="A1083">
        <v>51082</v>
      </c>
      <c r="B1083">
        <v>30622</v>
      </c>
      <c r="C1083" t="s">
        <v>1153</v>
      </c>
      <c r="D1083">
        <v>2023</v>
      </c>
      <c r="E1083">
        <v>1006</v>
      </c>
      <c r="F1083">
        <v>1</v>
      </c>
      <c r="G1083" t="s">
        <v>1459</v>
      </c>
      <c r="H1083" t="s">
        <v>9</v>
      </c>
      <c r="I1083" t="s">
        <v>962</v>
      </c>
      <c r="J1083" t="s">
        <v>563</v>
      </c>
    </row>
    <row r="1084" spans="1:10">
      <c r="A1084">
        <v>51083</v>
      </c>
      <c r="B1084">
        <v>30623</v>
      </c>
      <c r="C1084" t="s">
        <v>211</v>
      </c>
      <c r="D1084">
        <v>2127</v>
      </c>
      <c r="E1084">
        <v>1002</v>
      </c>
      <c r="F1084">
        <v>4</v>
      </c>
      <c r="G1084" t="s">
        <v>1451</v>
      </c>
      <c r="H1084" t="s">
        <v>9</v>
      </c>
      <c r="I1084" t="s">
        <v>1040</v>
      </c>
      <c r="J1084" t="s">
        <v>416</v>
      </c>
    </row>
    <row r="1085" spans="1:10">
      <c r="A1085">
        <v>51084</v>
      </c>
      <c r="B1085">
        <v>30623</v>
      </c>
      <c r="C1085" t="s">
        <v>947</v>
      </c>
      <c r="D1085">
        <v>2127</v>
      </c>
      <c r="E1085">
        <v>1013</v>
      </c>
      <c r="F1085">
        <v>2</v>
      </c>
      <c r="G1085" t="s">
        <v>1492</v>
      </c>
      <c r="H1085" t="s">
        <v>9</v>
      </c>
      <c r="I1085" t="s">
        <v>991</v>
      </c>
      <c r="J1085" t="s">
        <v>1189</v>
      </c>
    </row>
    <row r="1086" spans="1:10">
      <c r="A1086">
        <v>51085</v>
      </c>
      <c r="B1086">
        <v>30624</v>
      </c>
      <c r="C1086" t="s">
        <v>416</v>
      </c>
      <c r="D1086">
        <v>2262</v>
      </c>
      <c r="E1086">
        <v>1002</v>
      </c>
      <c r="F1086">
        <v>1</v>
      </c>
      <c r="G1086" t="s">
        <v>1466</v>
      </c>
      <c r="H1086" t="s">
        <v>16</v>
      </c>
      <c r="I1086" t="s">
        <v>1421</v>
      </c>
      <c r="J1086" t="s">
        <v>1421</v>
      </c>
    </row>
    <row r="1087" spans="1:10">
      <c r="A1087">
        <v>51086</v>
      </c>
      <c r="B1087">
        <v>30625</v>
      </c>
      <c r="C1087" t="s">
        <v>494</v>
      </c>
      <c r="D1087">
        <v>2050</v>
      </c>
      <c r="E1087">
        <v>1001</v>
      </c>
      <c r="F1087">
        <v>1</v>
      </c>
      <c r="G1087" t="s">
        <v>1469</v>
      </c>
      <c r="H1087" t="s">
        <v>9</v>
      </c>
      <c r="I1087" t="s">
        <v>582</v>
      </c>
      <c r="J1087" t="s">
        <v>762</v>
      </c>
    </row>
    <row r="1088" spans="1:10">
      <c r="A1088">
        <v>51087</v>
      </c>
      <c r="B1088">
        <v>30625</v>
      </c>
      <c r="C1088" t="s">
        <v>494</v>
      </c>
      <c r="D1088">
        <v>2050</v>
      </c>
      <c r="E1088">
        <v>1002</v>
      </c>
      <c r="F1088">
        <v>2</v>
      </c>
      <c r="G1088" t="s">
        <v>1482</v>
      </c>
      <c r="H1088" t="s">
        <v>9</v>
      </c>
      <c r="I1088" t="s">
        <v>495</v>
      </c>
      <c r="J1088" t="s">
        <v>958</v>
      </c>
    </row>
    <row r="1089" spans="1:10">
      <c r="A1089">
        <v>51088</v>
      </c>
      <c r="B1089">
        <v>30626</v>
      </c>
      <c r="C1089" t="s">
        <v>968</v>
      </c>
      <c r="D1089">
        <v>2119</v>
      </c>
      <c r="E1089">
        <v>1013</v>
      </c>
      <c r="F1089">
        <v>3</v>
      </c>
      <c r="G1089" t="s">
        <v>1490</v>
      </c>
      <c r="H1089" t="s">
        <v>9</v>
      </c>
      <c r="I1089" t="s">
        <v>271</v>
      </c>
      <c r="J1089" t="s">
        <v>592</v>
      </c>
    </row>
    <row r="1090" spans="1:10">
      <c r="A1090">
        <v>51089</v>
      </c>
      <c r="B1090">
        <v>30627</v>
      </c>
      <c r="C1090" t="s">
        <v>53</v>
      </c>
      <c r="D1090">
        <v>2127</v>
      </c>
      <c r="E1090">
        <v>1016</v>
      </c>
      <c r="F1090">
        <v>2</v>
      </c>
      <c r="G1090" t="s">
        <v>1500</v>
      </c>
      <c r="H1090" t="s">
        <v>9</v>
      </c>
      <c r="I1090" t="s">
        <v>600</v>
      </c>
      <c r="J1090" t="s">
        <v>1174</v>
      </c>
    </row>
    <row r="1091" spans="1:10">
      <c r="A1091">
        <v>51090</v>
      </c>
      <c r="B1091">
        <v>30627</v>
      </c>
      <c r="C1091" t="s">
        <v>272</v>
      </c>
      <c r="D1091">
        <v>2127</v>
      </c>
      <c r="E1091">
        <v>1005</v>
      </c>
      <c r="F1091">
        <v>2</v>
      </c>
      <c r="G1091" t="s">
        <v>1458</v>
      </c>
      <c r="H1091" t="s">
        <v>9</v>
      </c>
      <c r="I1091" t="s">
        <v>273</v>
      </c>
      <c r="J1091" t="s">
        <v>285</v>
      </c>
    </row>
    <row r="1092" spans="1:10">
      <c r="A1092">
        <v>51091</v>
      </c>
      <c r="B1092">
        <v>30628</v>
      </c>
      <c r="C1092" t="s">
        <v>43</v>
      </c>
      <c r="D1092">
        <v>2211</v>
      </c>
      <c r="E1092">
        <v>1001</v>
      </c>
      <c r="F1092">
        <v>1</v>
      </c>
      <c r="G1092" t="s">
        <v>1469</v>
      </c>
      <c r="H1092" t="s">
        <v>9</v>
      </c>
      <c r="I1092" t="s">
        <v>410</v>
      </c>
      <c r="J1092" t="s">
        <v>400</v>
      </c>
    </row>
    <row r="1093" spans="1:10">
      <c r="A1093">
        <v>51092</v>
      </c>
      <c r="B1093">
        <v>30628</v>
      </c>
      <c r="C1093" t="s">
        <v>669</v>
      </c>
      <c r="D1093">
        <v>2211</v>
      </c>
      <c r="E1093">
        <v>1010</v>
      </c>
      <c r="F1093">
        <v>1</v>
      </c>
      <c r="G1093" t="s">
        <v>1468</v>
      </c>
      <c r="H1093" t="s">
        <v>9</v>
      </c>
      <c r="I1093" t="s">
        <v>98</v>
      </c>
      <c r="J1093" t="s">
        <v>961</v>
      </c>
    </row>
    <row r="1094" spans="1:10">
      <c r="A1094">
        <v>51093</v>
      </c>
      <c r="B1094">
        <v>30629</v>
      </c>
      <c r="C1094" t="s">
        <v>1190</v>
      </c>
      <c r="D1094">
        <v>2431</v>
      </c>
      <c r="E1094">
        <v>1009</v>
      </c>
      <c r="F1094">
        <v>2</v>
      </c>
      <c r="G1094" t="s">
        <v>1479</v>
      </c>
      <c r="H1094" t="s">
        <v>9</v>
      </c>
      <c r="I1094" t="s">
        <v>1191</v>
      </c>
      <c r="J1094" t="s">
        <v>1192</v>
      </c>
    </row>
    <row r="1095" spans="1:10">
      <c r="A1095">
        <v>51094</v>
      </c>
      <c r="B1095">
        <v>30630</v>
      </c>
      <c r="C1095" t="s">
        <v>374</v>
      </c>
      <c r="D1095">
        <v>2141</v>
      </c>
      <c r="E1095">
        <v>1004</v>
      </c>
      <c r="F1095">
        <v>1</v>
      </c>
      <c r="G1095" t="s">
        <v>1452</v>
      </c>
      <c r="H1095" t="s">
        <v>9</v>
      </c>
      <c r="I1095" t="s">
        <v>455</v>
      </c>
      <c r="J1095" t="s">
        <v>194</v>
      </c>
    </row>
    <row r="1096" spans="1:10">
      <c r="A1096">
        <v>51095</v>
      </c>
      <c r="B1096">
        <v>30631</v>
      </c>
      <c r="C1096" t="s">
        <v>527</v>
      </c>
      <c r="D1096">
        <v>2524</v>
      </c>
      <c r="E1096">
        <v>1004</v>
      </c>
      <c r="F1096">
        <v>2</v>
      </c>
      <c r="G1096" t="s">
        <v>1476</v>
      </c>
      <c r="H1096" t="s">
        <v>9</v>
      </c>
      <c r="I1096" t="s">
        <v>525</v>
      </c>
      <c r="J1096" t="s">
        <v>1029</v>
      </c>
    </row>
    <row r="1097" spans="1:10">
      <c r="A1097">
        <v>51096</v>
      </c>
      <c r="B1097">
        <v>30632</v>
      </c>
      <c r="C1097" t="s">
        <v>929</v>
      </c>
      <c r="D1097">
        <v>2290</v>
      </c>
      <c r="E1097">
        <v>1004</v>
      </c>
      <c r="F1097">
        <v>3</v>
      </c>
      <c r="G1097" t="s">
        <v>1481</v>
      </c>
      <c r="H1097" t="s">
        <v>9</v>
      </c>
      <c r="I1097" t="s">
        <v>308</v>
      </c>
      <c r="J1097" t="s">
        <v>1114</v>
      </c>
    </row>
    <row r="1098" spans="1:10">
      <c r="A1098">
        <v>51097</v>
      </c>
      <c r="B1098">
        <v>30633</v>
      </c>
      <c r="C1098" t="s">
        <v>268</v>
      </c>
      <c r="D1098">
        <v>2510</v>
      </c>
      <c r="E1098">
        <v>1007</v>
      </c>
      <c r="F1098">
        <v>2</v>
      </c>
      <c r="G1098" t="s">
        <v>1455</v>
      </c>
      <c r="H1098" t="s">
        <v>9</v>
      </c>
      <c r="I1098" t="s">
        <v>1193</v>
      </c>
      <c r="J1098" t="s">
        <v>1182</v>
      </c>
    </row>
    <row r="1099" spans="1:10">
      <c r="A1099">
        <v>51098</v>
      </c>
      <c r="B1099">
        <v>30634</v>
      </c>
      <c r="C1099" t="s">
        <v>260</v>
      </c>
      <c r="D1099">
        <v>2270</v>
      </c>
      <c r="E1099">
        <v>1007</v>
      </c>
      <c r="F1099">
        <v>1</v>
      </c>
      <c r="G1099" t="s">
        <v>1453</v>
      </c>
      <c r="H1099" t="s">
        <v>16</v>
      </c>
      <c r="I1099" t="s">
        <v>1421</v>
      </c>
      <c r="J1099" t="s">
        <v>1421</v>
      </c>
    </row>
    <row r="1100" spans="1:10">
      <c r="A1100">
        <v>51099</v>
      </c>
      <c r="B1100">
        <v>30634</v>
      </c>
      <c r="C1100" t="s">
        <v>587</v>
      </c>
      <c r="D1100">
        <v>2270</v>
      </c>
      <c r="E1100">
        <v>1014</v>
      </c>
      <c r="F1100">
        <v>1</v>
      </c>
      <c r="G1100" t="s">
        <v>1463</v>
      </c>
      <c r="H1100" t="s">
        <v>1477</v>
      </c>
      <c r="I1100" t="s">
        <v>1421</v>
      </c>
      <c r="J1100" t="s">
        <v>1421</v>
      </c>
    </row>
    <row r="1101" spans="1:10">
      <c r="A1101">
        <v>51100</v>
      </c>
      <c r="B1101">
        <v>30635</v>
      </c>
      <c r="C1101" t="s">
        <v>785</v>
      </c>
      <c r="D1101">
        <v>2041</v>
      </c>
      <c r="E1101">
        <v>1007</v>
      </c>
      <c r="F1101">
        <v>1</v>
      </c>
      <c r="G1101" t="s">
        <v>1453</v>
      </c>
      <c r="H1101" t="s">
        <v>9</v>
      </c>
      <c r="I1101" t="s">
        <v>706</v>
      </c>
      <c r="J1101" t="s">
        <v>1194</v>
      </c>
    </row>
    <row r="1102" spans="1:10">
      <c r="A1102">
        <v>51101</v>
      </c>
      <c r="B1102">
        <v>30635</v>
      </c>
      <c r="C1102" t="s">
        <v>961</v>
      </c>
      <c r="D1102">
        <v>2041</v>
      </c>
      <c r="E1102">
        <v>1016</v>
      </c>
      <c r="F1102">
        <v>2</v>
      </c>
      <c r="G1102" t="s">
        <v>1500</v>
      </c>
      <c r="H1102" t="s">
        <v>9</v>
      </c>
      <c r="I1102" t="s">
        <v>356</v>
      </c>
      <c r="J1102" t="s">
        <v>607</v>
      </c>
    </row>
    <row r="1103" spans="1:10">
      <c r="A1103">
        <v>51102</v>
      </c>
      <c r="B1103">
        <v>30636</v>
      </c>
      <c r="C1103" t="s">
        <v>974</v>
      </c>
      <c r="D1103">
        <v>2339</v>
      </c>
      <c r="E1103">
        <v>1001</v>
      </c>
      <c r="F1103">
        <v>4</v>
      </c>
      <c r="G1103" t="s">
        <v>1525</v>
      </c>
      <c r="H1103" t="s">
        <v>9</v>
      </c>
      <c r="I1103" t="s">
        <v>1016</v>
      </c>
      <c r="J1103" t="s">
        <v>1121</v>
      </c>
    </row>
    <row r="1104" spans="1:10">
      <c r="A1104">
        <v>51103</v>
      </c>
      <c r="B1104">
        <v>30636</v>
      </c>
      <c r="C1104" t="s">
        <v>557</v>
      </c>
      <c r="D1104">
        <v>2339</v>
      </c>
      <c r="E1104">
        <v>1003</v>
      </c>
      <c r="F1104">
        <v>1</v>
      </c>
      <c r="G1104" t="s">
        <v>1471</v>
      </c>
      <c r="H1104" t="s">
        <v>9</v>
      </c>
      <c r="I1104" t="s">
        <v>87</v>
      </c>
      <c r="J1104" t="s">
        <v>59</v>
      </c>
    </row>
    <row r="1105" spans="1:10">
      <c r="A1105">
        <v>51104</v>
      </c>
      <c r="B1105">
        <v>30637</v>
      </c>
      <c r="C1105" t="s">
        <v>446</v>
      </c>
      <c r="D1105">
        <v>2114</v>
      </c>
      <c r="E1105">
        <v>1016</v>
      </c>
      <c r="F1105">
        <v>2</v>
      </c>
      <c r="G1105" t="s">
        <v>1500</v>
      </c>
      <c r="H1105" t="s">
        <v>16</v>
      </c>
      <c r="I1105" t="s">
        <v>212</v>
      </c>
      <c r="J1105" t="s">
        <v>1421</v>
      </c>
    </row>
    <row r="1106" spans="1:10">
      <c r="A1106">
        <v>51105</v>
      </c>
      <c r="B1106">
        <v>30638</v>
      </c>
      <c r="C1106" t="s">
        <v>170</v>
      </c>
      <c r="D1106">
        <v>2093</v>
      </c>
      <c r="E1106">
        <v>1003</v>
      </c>
      <c r="F1106">
        <v>1</v>
      </c>
      <c r="G1106" t="s">
        <v>1471</v>
      </c>
      <c r="H1106" t="s">
        <v>16</v>
      </c>
      <c r="I1106" t="s">
        <v>1421</v>
      </c>
      <c r="J1106" t="s">
        <v>1421</v>
      </c>
    </row>
    <row r="1107" spans="1:10">
      <c r="A1107">
        <v>51106</v>
      </c>
      <c r="B1107">
        <v>30638</v>
      </c>
      <c r="C1107" t="s">
        <v>1195</v>
      </c>
      <c r="D1107">
        <v>2093</v>
      </c>
      <c r="E1107">
        <v>1004</v>
      </c>
      <c r="F1107">
        <v>1</v>
      </c>
      <c r="G1107" t="s">
        <v>1452</v>
      </c>
      <c r="H1107" t="s">
        <v>16</v>
      </c>
      <c r="I1107" t="s">
        <v>1421</v>
      </c>
      <c r="J1107" t="s">
        <v>1421</v>
      </c>
    </row>
    <row r="1108" spans="1:10">
      <c r="A1108">
        <v>51107</v>
      </c>
      <c r="B1108">
        <v>30639</v>
      </c>
      <c r="C1108" t="s">
        <v>1196</v>
      </c>
      <c r="D1108">
        <v>2237</v>
      </c>
      <c r="E1108">
        <v>1010</v>
      </c>
      <c r="F1108">
        <v>2</v>
      </c>
      <c r="G1108" t="s">
        <v>1483</v>
      </c>
      <c r="H1108" t="s">
        <v>9</v>
      </c>
      <c r="I1108" t="s">
        <v>148</v>
      </c>
      <c r="J1108" t="s">
        <v>457</v>
      </c>
    </row>
    <row r="1109" spans="1:10">
      <c r="A1109">
        <v>51108</v>
      </c>
      <c r="B1109">
        <v>30639</v>
      </c>
      <c r="C1109" t="s">
        <v>1196</v>
      </c>
      <c r="D1109">
        <v>2237</v>
      </c>
      <c r="E1109">
        <v>1009</v>
      </c>
      <c r="F1109">
        <v>2</v>
      </c>
      <c r="G1109" t="s">
        <v>1479</v>
      </c>
      <c r="H1109" t="s">
        <v>9</v>
      </c>
      <c r="I1109" t="s">
        <v>587</v>
      </c>
      <c r="J1109" t="s">
        <v>954</v>
      </c>
    </row>
    <row r="1110" spans="1:10">
      <c r="A1110">
        <v>51109</v>
      </c>
      <c r="B1110">
        <v>30639</v>
      </c>
      <c r="C1110" t="s">
        <v>693</v>
      </c>
      <c r="D1110">
        <v>2237</v>
      </c>
      <c r="E1110">
        <v>1015</v>
      </c>
      <c r="F1110">
        <v>1</v>
      </c>
      <c r="G1110" t="s">
        <v>1478</v>
      </c>
      <c r="H1110" t="s">
        <v>9</v>
      </c>
      <c r="I1110" t="s">
        <v>148</v>
      </c>
      <c r="J1110" t="s">
        <v>1197</v>
      </c>
    </row>
    <row r="1111" spans="1:10">
      <c r="A1111">
        <v>51110</v>
      </c>
      <c r="B1111">
        <v>30640</v>
      </c>
      <c r="C1111" t="s">
        <v>538</v>
      </c>
      <c r="D1111">
        <v>2052</v>
      </c>
      <c r="E1111">
        <v>1006</v>
      </c>
      <c r="F1111">
        <v>2</v>
      </c>
      <c r="G1111" t="s">
        <v>1501</v>
      </c>
      <c r="H1111" t="s">
        <v>9</v>
      </c>
      <c r="I1111" t="s">
        <v>97</v>
      </c>
      <c r="J1111" t="s">
        <v>1087</v>
      </c>
    </row>
    <row r="1112" spans="1:10">
      <c r="A1112">
        <v>51111</v>
      </c>
      <c r="B1112">
        <v>30640</v>
      </c>
      <c r="C1112" t="s">
        <v>1198</v>
      </c>
      <c r="D1112">
        <v>2052</v>
      </c>
      <c r="E1112">
        <v>1002</v>
      </c>
      <c r="F1112">
        <v>1</v>
      </c>
      <c r="G1112" t="s">
        <v>1466</v>
      </c>
      <c r="H1112" t="s">
        <v>9</v>
      </c>
      <c r="I1112" t="s">
        <v>823</v>
      </c>
      <c r="J1112" t="s">
        <v>999</v>
      </c>
    </row>
    <row r="1113" spans="1:10">
      <c r="A1113">
        <v>51112</v>
      </c>
      <c r="B1113">
        <v>30640</v>
      </c>
      <c r="C1113" t="s">
        <v>538</v>
      </c>
      <c r="D1113">
        <v>2052</v>
      </c>
      <c r="E1113">
        <v>1010</v>
      </c>
      <c r="F1113">
        <v>2</v>
      </c>
      <c r="G1113" t="s">
        <v>1483</v>
      </c>
      <c r="H1113" t="s">
        <v>1462</v>
      </c>
      <c r="I1113" t="s">
        <v>444</v>
      </c>
      <c r="J1113" t="s">
        <v>887</v>
      </c>
    </row>
    <row r="1114" spans="1:10">
      <c r="A1114">
        <v>51113</v>
      </c>
      <c r="B1114">
        <v>30640</v>
      </c>
      <c r="C1114" t="s">
        <v>163</v>
      </c>
      <c r="D1114">
        <v>2052</v>
      </c>
      <c r="E1114">
        <v>1012</v>
      </c>
      <c r="F1114">
        <v>4</v>
      </c>
      <c r="G1114" t="s">
        <v>1485</v>
      </c>
      <c r="H1114" t="s">
        <v>9</v>
      </c>
      <c r="I1114" t="s">
        <v>1199</v>
      </c>
      <c r="J1114" t="s">
        <v>591</v>
      </c>
    </row>
    <row r="1115" spans="1:10">
      <c r="A1115">
        <v>51114</v>
      </c>
      <c r="B1115">
        <v>30641</v>
      </c>
      <c r="C1115" t="s">
        <v>712</v>
      </c>
      <c r="D1115">
        <v>2321</v>
      </c>
      <c r="E1115">
        <v>1004</v>
      </c>
      <c r="F1115">
        <v>4</v>
      </c>
      <c r="G1115" t="s">
        <v>1489</v>
      </c>
      <c r="H1115" t="s">
        <v>9</v>
      </c>
      <c r="I1115" t="s">
        <v>145</v>
      </c>
      <c r="J1115" t="s">
        <v>113</v>
      </c>
    </row>
    <row r="1116" spans="1:10">
      <c r="A1116">
        <v>51115</v>
      </c>
      <c r="B1116">
        <v>30641</v>
      </c>
      <c r="C1116" t="s">
        <v>1169</v>
      </c>
      <c r="D1116">
        <v>2321</v>
      </c>
      <c r="E1116">
        <v>1004</v>
      </c>
      <c r="F1116">
        <v>2</v>
      </c>
      <c r="G1116" t="s">
        <v>1476</v>
      </c>
      <c r="H1116" t="s">
        <v>9</v>
      </c>
      <c r="I1116" t="s">
        <v>145</v>
      </c>
      <c r="J1116" t="s">
        <v>938</v>
      </c>
    </row>
    <row r="1117" spans="1:10">
      <c r="A1117">
        <v>51116</v>
      </c>
      <c r="B1117">
        <v>30642</v>
      </c>
      <c r="C1117" t="s">
        <v>519</v>
      </c>
      <c r="D1117">
        <v>2047</v>
      </c>
      <c r="E1117">
        <v>1005</v>
      </c>
      <c r="F1117">
        <v>3</v>
      </c>
      <c r="G1117" t="s">
        <v>1498</v>
      </c>
      <c r="H1117" t="s">
        <v>9</v>
      </c>
      <c r="I1117" t="s">
        <v>881</v>
      </c>
      <c r="J1117" t="s">
        <v>377</v>
      </c>
    </row>
    <row r="1118" spans="1:10">
      <c r="A1118">
        <v>51117</v>
      </c>
      <c r="B1118">
        <v>30643</v>
      </c>
      <c r="C1118" t="s">
        <v>1176</v>
      </c>
      <c r="D1118">
        <v>2175</v>
      </c>
      <c r="E1118">
        <v>1015</v>
      </c>
      <c r="F1118">
        <v>2</v>
      </c>
      <c r="G1118" t="s">
        <v>1488</v>
      </c>
      <c r="H1118" t="s">
        <v>1495</v>
      </c>
      <c r="I1118" t="s">
        <v>213</v>
      </c>
      <c r="J1118" t="s">
        <v>1200</v>
      </c>
    </row>
    <row r="1119" spans="1:10">
      <c r="A1119">
        <v>51118</v>
      </c>
      <c r="B1119">
        <v>30643</v>
      </c>
      <c r="C1119" t="s">
        <v>1176</v>
      </c>
      <c r="D1119">
        <v>2175</v>
      </c>
      <c r="E1119">
        <v>1009</v>
      </c>
      <c r="F1119">
        <v>2</v>
      </c>
      <c r="G1119" t="s">
        <v>1479</v>
      </c>
      <c r="H1119" t="s">
        <v>9</v>
      </c>
      <c r="I1119" t="s">
        <v>364</v>
      </c>
      <c r="J1119" t="s">
        <v>510</v>
      </c>
    </row>
    <row r="1120" spans="1:10">
      <c r="A1120">
        <v>51119</v>
      </c>
      <c r="B1120">
        <v>30644</v>
      </c>
      <c r="C1120" t="s">
        <v>289</v>
      </c>
      <c r="D1120">
        <v>2096</v>
      </c>
      <c r="E1120">
        <v>1011</v>
      </c>
      <c r="F1120">
        <v>1</v>
      </c>
      <c r="G1120" t="s">
        <v>1472</v>
      </c>
      <c r="H1120" t="s">
        <v>9</v>
      </c>
      <c r="I1120" t="s">
        <v>248</v>
      </c>
      <c r="J1120" t="s">
        <v>318</v>
      </c>
    </row>
    <row r="1121" spans="1:10">
      <c r="A1121">
        <v>51120</v>
      </c>
      <c r="B1121">
        <v>30645</v>
      </c>
      <c r="C1121" t="s">
        <v>1201</v>
      </c>
      <c r="D1121">
        <v>2188</v>
      </c>
      <c r="E1121">
        <v>1013</v>
      </c>
      <c r="F1121">
        <v>3</v>
      </c>
      <c r="G1121" t="s">
        <v>1490</v>
      </c>
      <c r="H1121" t="s">
        <v>9</v>
      </c>
      <c r="I1121" t="s">
        <v>634</v>
      </c>
      <c r="J1121" t="s">
        <v>1000</v>
      </c>
    </row>
    <row r="1122" spans="1:10">
      <c r="A1122">
        <v>51121</v>
      </c>
      <c r="B1122">
        <v>30646</v>
      </c>
      <c r="C1122" t="s">
        <v>623</v>
      </c>
      <c r="D1122">
        <v>2468</v>
      </c>
      <c r="E1122">
        <v>1013</v>
      </c>
      <c r="F1122">
        <v>1</v>
      </c>
      <c r="G1122" t="s">
        <v>1474</v>
      </c>
      <c r="H1122" t="s">
        <v>9</v>
      </c>
      <c r="I1122" t="s">
        <v>1131</v>
      </c>
      <c r="J1122" t="s">
        <v>1140</v>
      </c>
    </row>
    <row r="1123" spans="1:10">
      <c r="A1123">
        <v>51122</v>
      </c>
      <c r="B1123">
        <v>30647</v>
      </c>
      <c r="C1123" t="s">
        <v>808</v>
      </c>
      <c r="D1123">
        <v>2490</v>
      </c>
      <c r="E1123">
        <v>1006</v>
      </c>
      <c r="F1123">
        <v>1</v>
      </c>
      <c r="G1123" t="s">
        <v>1459</v>
      </c>
      <c r="H1123" t="s">
        <v>16</v>
      </c>
      <c r="I1123" t="s">
        <v>291</v>
      </c>
      <c r="J1123" t="s">
        <v>1421</v>
      </c>
    </row>
    <row r="1124" spans="1:10">
      <c r="A1124">
        <v>51123</v>
      </c>
      <c r="B1124">
        <v>30648</v>
      </c>
      <c r="C1124" t="s">
        <v>1120</v>
      </c>
      <c r="D1124">
        <v>2061</v>
      </c>
      <c r="E1124">
        <v>1006</v>
      </c>
      <c r="F1124">
        <v>2</v>
      </c>
      <c r="G1124" t="s">
        <v>1501</v>
      </c>
      <c r="H1124" t="s">
        <v>11</v>
      </c>
      <c r="I1124" t="s">
        <v>559</v>
      </c>
      <c r="J1124" t="s">
        <v>987</v>
      </c>
    </row>
    <row r="1125" spans="1:10">
      <c r="A1125">
        <v>51124</v>
      </c>
      <c r="B1125">
        <v>30648</v>
      </c>
      <c r="C1125" t="s">
        <v>87</v>
      </c>
      <c r="D1125">
        <v>2061</v>
      </c>
      <c r="E1125">
        <v>1004</v>
      </c>
      <c r="F1125">
        <v>3</v>
      </c>
      <c r="G1125" t="s">
        <v>1481</v>
      </c>
      <c r="H1125" t="s">
        <v>1486</v>
      </c>
      <c r="I1125" t="s">
        <v>1121</v>
      </c>
      <c r="J1125" t="s">
        <v>1073</v>
      </c>
    </row>
    <row r="1126" spans="1:10">
      <c r="A1126">
        <v>51125</v>
      </c>
      <c r="B1126">
        <v>30648</v>
      </c>
      <c r="C1126" t="s">
        <v>1202</v>
      </c>
      <c r="D1126">
        <v>2061</v>
      </c>
      <c r="E1126">
        <v>1014</v>
      </c>
      <c r="F1126">
        <v>2</v>
      </c>
      <c r="G1126" t="s">
        <v>1475</v>
      </c>
      <c r="H1126" t="s">
        <v>11</v>
      </c>
      <c r="I1126" t="s">
        <v>1203</v>
      </c>
      <c r="J1126" t="s">
        <v>78</v>
      </c>
    </row>
    <row r="1127" spans="1:10">
      <c r="A1127">
        <v>51126</v>
      </c>
      <c r="B1127">
        <v>30649</v>
      </c>
      <c r="C1127" t="s">
        <v>620</v>
      </c>
      <c r="D1127">
        <v>2495</v>
      </c>
      <c r="E1127">
        <v>1015</v>
      </c>
      <c r="F1127">
        <v>1</v>
      </c>
      <c r="G1127" t="s">
        <v>1478</v>
      </c>
      <c r="H1127" t="s">
        <v>16</v>
      </c>
      <c r="I1127" t="s">
        <v>1025</v>
      </c>
      <c r="J1127" t="s">
        <v>1421</v>
      </c>
    </row>
    <row r="1128" spans="1:10">
      <c r="A1128">
        <v>51127</v>
      </c>
      <c r="B1128">
        <v>30650</v>
      </c>
      <c r="C1128" t="s">
        <v>365</v>
      </c>
      <c r="D1128">
        <v>2389</v>
      </c>
      <c r="E1128">
        <v>1001</v>
      </c>
      <c r="F1128">
        <v>2</v>
      </c>
      <c r="G1128" t="s">
        <v>1460</v>
      </c>
      <c r="H1128" t="s">
        <v>16</v>
      </c>
      <c r="I1128" t="s">
        <v>1421</v>
      </c>
      <c r="J1128" t="s">
        <v>1421</v>
      </c>
    </row>
    <row r="1129" spans="1:10">
      <c r="A1129">
        <v>51128</v>
      </c>
      <c r="B1129">
        <v>30650</v>
      </c>
      <c r="C1129" t="s">
        <v>430</v>
      </c>
      <c r="D1129">
        <v>2389</v>
      </c>
      <c r="E1129">
        <v>1005</v>
      </c>
      <c r="F1129">
        <v>2</v>
      </c>
      <c r="G1129" t="s">
        <v>1458</v>
      </c>
      <c r="H1129" t="s">
        <v>16</v>
      </c>
      <c r="I1129" t="s">
        <v>1421</v>
      </c>
      <c r="J1129" t="s">
        <v>1421</v>
      </c>
    </row>
    <row r="1130" spans="1:10">
      <c r="A1130">
        <v>51129</v>
      </c>
      <c r="B1130">
        <v>30651</v>
      </c>
      <c r="C1130" t="s">
        <v>1121</v>
      </c>
      <c r="D1130">
        <v>2500</v>
      </c>
      <c r="E1130">
        <v>1014</v>
      </c>
      <c r="F1130">
        <v>1</v>
      </c>
      <c r="G1130" t="s">
        <v>1463</v>
      </c>
      <c r="H1130" t="s">
        <v>9</v>
      </c>
      <c r="I1130" t="s">
        <v>987</v>
      </c>
      <c r="J1130" t="s">
        <v>787</v>
      </c>
    </row>
    <row r="1131" spans="1:10">
      <c r="A1131">
        <v>51130</v>
      </c>
      <c r="B1131">
        <v>30652</v>
      </c>
      <c r="C1131" t="s">
        <v>60</v>
      </c>
      <c r="D1131">
        <v>2452</v>
      </c>
      <c r="E1131">
        <v>1009</v>
      </c>
      <c r="F1131">
        <v>3</v>
      </c>
      <c r="G1131" t="s">
        <v>1461</v>
      </c>
      <c r="H1131" t="s">
        <v>68</v>
      </c>
      <c r="I1131" t="s">
        <v>61</v>
      </c>
      <c r="J1131" t="s">
        <v>1142</v>
      </c>
    </row>
    <row r="1132" spans="1:10">
      <c r="A1132">
        <v>51131</v>
      </c>
      <c r="B1132">
        <v>30652</v>
      </c>
      <c r="C1132" t="s">
        <v>498</v>
      </c>
      <c r="D1132">
        <v>2452</v>
      </c>
      <c r="E1132">
        <v>1011</v>
      </c>
      <c r="F1132">
        <v>3</v>
      </c>
      <c r="G1132" t="s">
        <v>1454</v>
      </c>
      <c r="H1132" t="s">
        <v>9</v>
      </c>
      <c r="I1132" t="s">
        <v>49</v>
      </c>
      <c r="J1132" t="s">
        <v>274</v>
      </c>
    </row>
    <row r="1133" spans="1:10">
      <c r="A1133">
        <v>51132</v>
      </c>
      <c r="B1133">
        <v>30652</v>
      </c>
      <c r="C1133" t="s">
        <v>582</v>
      </c>
      <c r="D1133">
        <v>2452</v>
      </c>
      <c r="E1133">
        <v>1001</v>
      </c>
      <c r="F1133">
        <v>1</v>
      </c>
      <c r="G1133" t="s">
        <v>1469</v>
      </c>
      <c r="H1133" t="s">
        <v>9</v>
      </c>
      <c r="I1133" t="s">
        <v>642</v>
      </c>
      <c r="J1133" t="s">
        <v>169</v>
      </c>
    </row>
    <row r="1134" spans="1:10">
      <c r="A1134">
        <v>51133</v>
      </c>
      <c r="B1134">
        <v>30653</v>
      </c>
      <c r="C1134" t="s">
        <v>966</v>
      </c>
      <c r="D1134">
        <v>2538</v>
      </c>
      <c r="E1134">
        <v>1008</v>
      </c>
      <c r="F1134">
        <v>1</v>
      </c>
      <c r="G1134" t="s">
        <v>1447</v>
      </c>
      <c r="H1134" t="s">
        <v>16</v>
      </c>
      <c r="I1134" t="s">
        <v>1421</v>
      </c>
      <c r="J1134" t="s">
        <v>1421</v>
      </c>
    </row>
    <row r="1135" spans="1:10">
      <c r="A1135">
        <v>51134</v>
      </c>
      <c r="B1135">
        <v>30654</v>
      </c>
      <c r="C1135" t="s">
        <v>1148</v>
      </c>
      <c r="D1135">
        <v>2347</v>
      </c>
      <c r="E1135">
        <v>1004</v>
      </c>
      <c r="F1135">
        <v>4</v>
      </c>
      <c r="G1135" t="s">
        <v>1489</v>
      </c>
      <c r="H1135" t="s">
        <v>9</v>
      </c>
      <c r="I1135" t="s">
        <v>1204</v>
      </c>
      <c r="J1135" t="s">
        <v>499</v>
      </c>
    </row>
    <row r="1136" spans="1:10">
      <c r="A1136">
        <v>51135</v>
      </c>
      <c r="B1136">
        <v>30655</v>
      </c>
      <c r="C1136" t="s">
        <v>718</v>
      </c>
      <c r="D1136">
        <v>2444</v>
      </c>
      <c r="E1136">
        <v>1008</v>
      </c>
      <c r="F1136">
        <v>2</v>
      </c>
      <c r="G1136" t="s">
        <v>1520</v>
      </c>
      <c r="H1136" t="s">
        <v>9</v>
      </c>
      <c r="I1136" t="s">
        <v>1116</v>
      </c>
      <c r="J1136" t="s">
        <v>764</v>
      </c>
    </row>
    <row r="1137" spans="1:10">
      <c r="A1137">
        <v>51136</v>
      </c>
      <c r="B1137">
        <v>30655</v>
      </c>
      <c r="C1137" t="s">
        <v>718</v>
      </c>
      <c r="D1137">
        <v>2444</v>
      </c>
      <c r="E1137">
        <v>1016</v>
      </c>
      <c r="F1137">
        <v>1</v>
      </c>
      <c r="G1137" t="s">
        <v>1465</v>
      </c>
      <c r="H1137" t="s">
        <v>9</v>
      </c>
      <c r="I1137" t="s">
        <v>418</v>
      </c>
      <c r="J1137" t="s">
        <v>28</v>
      </c>
    </row>
    <row r="1138" spans="1:10">
      <c r="A1138">
        <v>51137</v>
      </c>
      <c r="B1138">
        <v>30656</v>
      </c>
      <c r="C1138" t="s">
        <v>1205</v>
      </c>
      <c r="D1138">
        <v>2355</v>
      </c>
      <c r="E1138">
        <v>1013</v>
      </c>
      <c r="F1138">
        <v>4</v>
      </c>
      <c r="G1138" t="s">
        <v>1523</v>
      </c>
      <c r="H1138" t="s">
        <v>9</v>
      </c>
      <c r="I1138" t="s">
        <v>1206</v>
      </c>
      <c r="J1138" t="s">
        <v>19</v>
      </c>
    </row>
    <row r="1139" spans="1:10">
      <c r="A1139">
        <v>51138</v>
      </c>
      <c r="B1139">
        <v>30657</v>
      </c>
      <c r="C1139" t="s">
        <v>471</v>
      </c>
      <c r="D1139">
        <v>2153</v>
      </c>
      <c r="E1139">
        <v>1002</v>
      </c>
      <c r="F1139">
        <v>2</v>
      </c>
      <c r="G1139" t="s">
        <v>1482</v>
      </c>
      <c r="H1139" t="s">
        <v>16</v>
      </c>
      <c r="I1139" t="s">
        <v>1137</v>
      </c>
      <c r="J1139" t="s">
        <v>1421</v>
      </c>
    </row>
    <row r="1140" spans="1:10">
      <c r="A1140">
        <v>51139</v>
      </c>
      <c r="B1140">
        <v>30657</v>
      </c>
      <c r="C1140" t="s">
        <v>471</v>
      </c>
      <c r="D1140">
        <v>2153</v>
      </c>
      <c r="E1140">
        <v>1006</v>
      </c>
      <c r="F1140">
        <v>1</v>
      </c>
      <c r="G1140" t="s">
        <v>1459</v>
      </c>
      <c r="H1140" t="s">
        <v>16</v>
      </c>
      <c r="I1140" t="s">
        <v>1421</v>
      </c>
      <c r="J1140" t="s">
        <v>1421</v>
      </c>
    </row>
    <row r="1141" spans="1:10">
      <c r="A1141">
        <v>51140</v>
      </c>
      <c r="B1141">
        <v>30658</v>
      </c>
      <c r="C1141" t="s">
        <v>323</v>
      </c>
      <c r="D1141">
        <v>2481</v>
      </c>
      <c r="E1141">
        <v>1006</v>
      </c>
      <c r="F1141">
        <v>2</v>
      </c>
      <c r="G1141" t="s">
        <v>1501</v>
      </c>
      <c r="H1141" t="s">
        <v>16</v>
      </c>
      <c r="I1141" t="s">
        <v>1207</v>
      </c>
      <c r="J1141" t="s">
        <v>1421</v>
      </c>
    </row>
    <row r="1142" spans="1:10">
      <c r="A1142">
        <v>51141</v>
      </c>
      <c r="B1142">
        <v>30659</v>
      </c>
      <c r="C1142" t="s">
        <v>45</v>
      </c>
      <c r="D1142">
        <v>2504</v>
      </c>
      <c r="E1142">
        <v>1011</v>
      </c>
      <c r="F1142">
        <v>1</v>
      </c>
      <c r="G1142" t="s">
        <v>1472</v>
      </c>
      <c r="H1142" t="s">
        <v>9</v>
      </c>
      <c r="I1142" t="s">
        <v>629</v>
      </c>
      <c r="J1142" t="s">
        <v>1208</v>
      </c>
    </row>
    <row r="1143" spans="1:10">
      <c r="A1143">
        <v>51142</v>
      </c>
      <c r="B1143">
        <v>30660</v>
      </c>
      <c r="C1143" t="s">
        <v>542</v>
      </c>
      <c r="D1143">
        <v>2285</v>
      </c>
      <c r="E1143">
        <v>1008</v>
      </c>
      <c r="F1143">
        <v>1</v>
      </c>
      <c r="G1143" t="s">
        <v>1447</v>
      </c>
      <c r="H1143" t="s">
        <v>9</v>
      </c>
      <c r="I1143" t="s">
        <v>1209</v>
      </c>
      <c r="J1143" t="s">
        <v>343</v>
      </c>
    </row>
    <row r="1144" spans="1:10">
      <c r="A1144">
        <v>51143</v>
      </c>
      <c r="B1144">
        <v>30661</v>
      </c>
      <c r="C1144" t="s">
        <v>1056</v>
      </c>
      <c r="D1144">
        <v>2564</v>
      </c>
      <c r="E1144">
        <v>1013</v>
      </c>
      <c r="F1144">
        <v>1</v>
      </c>
      <c r="G1144" t="s">
        <v>1474</v>
      </c>
      <c r="H1144" t="s">
        <v>9</v>
      </c>
      <c r="I1144" t="s">
        <v>1137</v>
      </c>
      <c r="J1144" t="s">
        <v>256</v>
      </c>
    </row>
    <row r="1145" spans="1:10">
      <c r="A1145">
        <v>51144</v>
      </c>
      <c r="B1145">
        <v>30661</v>
      </c>
      <c r="C1145" t="s">
        <v>1174</v>
      </c>
      <c r="D1145">
        <v>2564</v>
      </c>
      <c r="E1145">
        <v>1008</v>
      </c>
      <c r="F1145">
        <v>4</v>
      </c>
      <c r="G1145" t="s">
        <v>1503</v>
      </c>
      <c r="H1145" t="s">
        <v>9</v>
      </c>
      <c r="I1145" t="s">
        <v>358</v>
      </c>
      <c r="J1145" t="s">
        <v>512</v>
      </c>
    </row>
    <row r="1146" spans="1:10">
      <c r="A1146">
        <v>51145</v>
      </c>
      <c r="B1146">
        <v>30662</v>
      </c>
      <c r="C1146" t="s">
        <v>898</v>
      </c>
      <c r="D1146">
        <v>2081</v>
      </c>
      <c r="E1146">
        <v>1015</v>
      </c>
      <c r="F1146">
        <v>1</v>
      </c>
      <c r="G1146" t="s">
        <v>1478</v>
      </c>
      <c r="H1146" t="s">
        <v>9</v>
      </c>
      <c r="I1146" t="s">
        <v>1158</v>
      </c>
      <c r="J1146" t="s">
        <v>1210</v>
      </c>
    </row>
    <row r="1147" spans="1:10">
      <c r="A1147">
        <v>51146</v>
      </c>
      <c r="B1147">
        <v>30662</v>
      </c>
      <c r="C1147" t="s">
        <v>1107</v>
      </c>
      <c r="D1147">
        <v>2081</v>
      </c>
      <c r="E1147">
        <v>1003</v>
      </c>
      <c r="F1147">
        <v>2</v>
      </c>
      <c r="G1147" t="s">
        <v>1464</v>
      </c>
      <c r="H1147" t="s">
        <v>9</v>
      </c>
      <c r="I1147" t="s">
        <v>1211</v>
      </c>
      <c r="J1147" t="s">
        <v>198</v>
      </c>
    </row>
    <row r="1148" spans="1:10">
      <c r="A1148">
        <v>51147</v>
      </c>
      <c r="B1148">
        <v>30662</v>
      </c>
      <c r="C1148" t="s">
        <v>1212</v>
      </c>
      <c r="D1148">
        <v>2081</v>
      </c>
      <c r="E1148">
        <v>1016</v>
      </c>
      <c r="F1148">
        <v>3</v>
      </c>
      <c r="G1148" t="s">
        <v>1484</v>
      </c>
      <c r="H1148" t="s">
        <v>9</v>
      </c>
      <c r="I1148" t="s">
        <v>427</v>
      </c>
      <c r="J1148" t="s">
        <v>1158</v>
      </c>
    </row>
    <row r="1149" spans="1:10">
      <c r="A1149">
        <v>51148</v>
      </c>
      <c r="B1149">
        <v>30663</v>
      </c>
      <c r="C1149" t="s">
        <v>979</v>
      </c>
      <c r="D1149">
        <v>2458</v>
      </c>
      <c r="E1149">
        <v>1016</v>
      </c>
      <c r="F1149">
        <v>1</v>
      </c>
      <c r="G1149" t="s">
        <v>1465</v>
      </c>
      <c r="H1149" t="s">
        <v>9</v>
      </c>
      <c r="I1149" t="s">
        <v>303</v>
      </c>
      <c r="J1149" t="s">
        <v>542</v>
      </c>
    </row>
    <row r="1150" spans="1:10">
      <c r="A1150">
        <v>51149</v>
      </c>
      <c r="B1150">
        <v>30664</v>
      </c>
      <c r="C1150" t="s">
        <v>682</v>
      </c>
      <c r="D1150">
        <v>2019</v>
      </c>
      <c r="E1150">
        <v>1014</v>
      </c>
      <c r="F1150">
        <v>1</v>
      </c>
      <c r="G1150" t="s">
        <v>1463</v>
      </c>
      <c r="H1150" t="s">
        <v>9</v>
      </c>
      <c r="I1150" t="s">
        <v>858</v>
      </c>
      <c r="J1150" t="s">
        <v>1213</v>
      </c>
    </row>
    <row r="1151" spans="1:10">
      <c r="A1151">
        <v>51150</v>
      </c>
      <c r="B1151">
        <v>30664</v>
      </c>
      <c r="C1151" t="s">
        <v>682</v>
      </c>
      <c r="D1151">
        <v>2019</v>
      </c>
      <c r="E1151">
        <v>1002</v>
      </c>
      <c r="F1151">
        <v>2</v>
      </c>
      <c r="G1151" t="s">
        <v>1482</v>
      </c>
      <c r="H1151" t="s">
        <v>9</v>
      </c>
      <c r="I1151" t="s">
        <v>861</v>
      </c>
      <c r="J1151" t="s">
        <v>780</v>
      </c>
    </row>
    <row r="1152" spans="1:10">
      <c r="A1152">
        <v>51151</v>
      </c>
      <c r="B1152">
        <v>30664</v>
      </c>
      <c r="C1152" t="s">
        <v>319</v>
      </c>
      <c r="D1152">
        <v>2019</v>
      </c>
      <c r="E1152">
        <v>1001</v>
      </c>
      <c r="F1152">
        <v>2</v>
      </c>
      <c r="G1152" t="s">
        <v>1460</v>
      </c>
      <c r="H1152" t="s">
        <v>9</v>
      </c>
      <c r="I1152" t="s">
        <v>858</v>
      </c>
      <c r="J1152" t="s">
        <v>1214</v>
      </c>
    </row>
    <row r="1153" spans="1:10">
      <c r="A1153">
        <v>51152</v>
      </c>
      <c r="B1153">
        <v>30664</v>
      </c>
      <c r="C1153" t="s">
        <v>478</v>
      </c>
      <c r="D1153">
        <v>2019</v>
      </c>
      <c r="E1153">
        <v>1003</v>
      </c>
      <c r="F1153">
        <v>1</v>
      </c>
      <c r="G1153" t="s">
        <v>1471</v>
      </c>
      <c r="H1153" t="s">
        <v>9</v>
      </c>
      <c r="I1153" t="s">
        <v>1076</v>
      </c>
      <c r="J1153" t="s">
        <v>878</v>
      </c>
    </row>
    <row r="1154" spans="1:10">
      <c r="A1154">
        <v>51153</v>
      </c>
      <c r="B1154">
        <v>30665</v>
      </c>
      <c r="C1154" t="s">
        <v>439</v>
      </c>
      <c r="D1154">
        <v>2312</v>
      </c>
      <c r="E1154">
        <v>1007</v>
      </c>
      <c r="F1154">
        <v>1</v>
      </c>
      <c r="G1154" t="s">
        <v>1453</v>
      </c>
      <c r="H1154" t="s">
        <v>12</v>
      </c>
      <c r="I1154" t="s">
        <v>1421</v>
      </c>
      <c r="J1154" t="s">
        <v>1421</v>
      </c>
    </row>
    <row r="1155" spans="1:10">
      <c r="A1155">
        <v>51154</v>
      </c>
      <c r="B1155">
        <v>30666</v>
      </c>
      <c r="C1155" t="s">
        <v>463</v>
      </c>
      <c r="D1155">
        <v>2468</v>
      </c>
      <c r="E1155">
        <v>1012</v>
      </c>
      <c r="F1155">
        <v>1</v>
      </c>
      <c r="G1155" t="s">
        <v>1449</v>
      </c>
      <c r="H1155" t="s">
        <v>11</v>
      </c>
      <c r="I1155" t="s">
        <v>1042</v>
      </c>
      <c r="J1155" t="s">
        <v>619</v>
      </c>
    </row>
    <row r="1156" spans="1:10">
      <c r="A1156">
        <v>51155</v>
      </c>
      <c r="B1156">
        <v>30667</v>
      </c>
      <c r="C1156" t="s">
        <v>929</v>
      </c>
      <c r="D1156">
        <v>2056</v>
      </c>
      <c r="E1156">
        <v>1015</v>
      </c>
      <c r="F1156">
        <v>1</v>
      </c>
      <c r="G1156" t="s">
        <v>1478</v>
      </c>
      <c r="H1156" t="s">
        <v>16</v>
      </c>
      <c r="I1156" t="s">
        <v>1421</v>
      </c>
      <c r="J1156" t="s">
        <v>1421</v>
      </c>
    </row>
    <row r="1157" spans="1:10">
      <c r="A1157">
        <v>51156</v>
      </c>
      <c r="B1157">
        <v>30667</v>
      </c>
      <c r="C1157" t="s">
        <v>660</v>
      </c>
      <c r="D1157">
        <v>2056</v>
      </c>
      <c r="E1157">
        <v>1016</v>
      </c>
      <c r="F1157">
        <v>5</v>
      </c>
      <c r="G1157" t="s">
        <v>1513</v>
      </c>
      <c r="H1157" t="s">
        <v>16</v>
      </c>
      <c r="I1157" t="s">
        <v>1421</v>
      </c>
      <c r="J1157" t="s">
        <v>1421</v>
      </c>
    </row>
    <row r="1158" spans="1:10">
      <c r="A1158">
        <v>51157</v>
      </c>
      <c r="B1158">
        <v>30667</v>
      </c>
      <c r="C1158" t="s">
        <v>1183</v>
      </c>
      <c r="D1158">
        <v>2056</v>
      </c>
      <c r="E1158">
        <v>1012</v>
      </c>
      <c r="F1158">
        <v>4</v>
      </c>
      <c r="G1158" t="s">
        <v>1485</v>
      </c>
      <c r="H1158" t="s">
        <v>16</v>
      </c>
      <c r="I1158" t="s">
        <v>1421</v>
      </c>
      <c r="J1158" t="s">
        <v>1421</v>
      </c>
    </row>
    <row r="1159" spans="1:10">
      <c r="A1159">
        <v>51158</v>
      </c>
      <c r="B1159">
        <v>30668</v>
      </c>
      <c r="C1159" t="s">
        <v>657</v>
      </c>
      <c r="D1159">
        <v>2117</v>
      </c>
      <c r="E1159">
        <v>1008</v>
      </c>
      <c r="F1159">
        <v>2</v>
      </c>
      <c r="G1159" t="s">
        <v>1520</v>
      </c>
      <c r="H1159" t="s">
        <v>9</v>
      </c>
      <c r="I1159" t="s">
        <v>885</v>
      </c>
      <c r="J1159" t="s">
        <v>302</v>
      </c>
    </row>
    <row r="1160" spans="1:10">
      <c r="A1160">
        <v>51159</v>
      </c>
      <c r="B1160">
        <v>30669</v>
      </c>
      <c r="C1160" t="s">
        <v>210</v>
      </c>
      <c r="D1160">
        <v>2003</v>
      </c>
      <c r="E1160">
        <v>1010</v>
      </c>
      <c r="F1160">
        <v>1</v>
      </c>
      <c r="G1160" t="s">
        <v>1468</v>
      </c>
      <c r="H1160" t="s">
        <v>9</v>
      </c>
      <c r="I1160" t="s">
        <v>766</v>
      </c>
      <c r="J1160" t="s">
        <v>711</v>
      </c>
    </row>
    <row r="1161" spans="1:10">
      <c r="A1161">
        <v>51160</v>
      </c>
      <c r="B1161">
        <v>30670</v>
      </c>
      <c r="C1161" t="s">
        <v>1085</v>
      </c>
      <c r="D1161">
        <v>2561</v>
      </c>
      <c r="E1161">
        <v>1004</v>
      </c>
      <c r="F1161">
        <v>5</v>
      </c>
      <c r="G1161" t="s">
        <v>1533</v>
      </c>
      <c r="H1161" t="s">
        <v>9</v>
      </c>
      <c r="I1161" t="s">
        <v>1184</v>
      </c>
      <c r="J1161" t="s">
        <v>502</v>
      </c>
    </row>
    <row r="1162" spans="1:10">
      <c r="A1162">
        <v>51161</v>
      </c>
      <c r="B1162">
        <v>30670</v>
      </c>
      <c r="C1162" t="s">
        <v>1085</v>
      </c>
      <c r="D1162">
        <v>2561</v>
      </c>
      <c r="E1162">
        <v>1002</v>
      </c>
      <c r="F1162">
        <v>2</v>
      </c>
      <c r="G1162" t="s">
        <v>1482</v>
      </c>
      <c r="H1162" t="s">
        <v>9</v>
      </c>
      <c r="I1162" t="s">
        <v>303</v>
      </c>
      <c r="J1162" t="s">
        <v>285</v>
      </c>
    </row>
    <row r="1163" spans="1:10">
      <c r="A1163">
        <v>51162</v>
      </c>
      <c r="B1163">
        <v>30671</v>
      </c>
      <c r="C1163" t="s">
        <v>841</v>
      </c>
      <c r="D1163">
        <v>2169</v>
      </c>
      <c r="E1163">
        <v>1014</v>
      </c>
      <c r="F1163">
        <v>3</v>
      </c>
      <c r="G1163" t="s">
        <v>1505</v>
      </c>
      <c r="H1163" t="s">
        <v>9</v>
      </c>
      <c r="I1163" t="s">
        <v>118</v>
      </c>
      <c r="J1163" t="s">
        <v>637</v>
      </c>
    </row>
    <row r="1164" spans="1:10">
      <c r="A1164">
        <v>51163</v>
      </c>
      <c r="B1164">
        <v>30672</v>
      </c>
      <c r="C1164" t="s">
        <v>776</v>
      </c>
      <c r="D1164">
        <v>2110</v>
      </c>
      <c r="E1164">
        <v>1007</v>
      </c>
      <c r="F1164">
        <v>1</v>
      </c>
      <c r="G1164" t="s">
        <v>1453</v>
      </c>
      <c r="H1164" t="s">
        <v>9</v>
      </c>
      <c r="I1164" t="s">
        <v>300</v>
      </c>
      <c r="J1164" t="s">
        <v>261</v>
      </c>
    </row>
    <row r="1165" spans="1:10">
      <c r="A1165">
        <v>51164</v>
      </c>
      <c r="B1165">
        <v>30673</v>
      </c>
      <c r="C1165" t="s">
        <v>245</v>
      </c>
      <c r="D1165">
        <v>2193</v>
      </c>
      <c r="E1165">
        <v>1013</v>
      </c>
      <c r="F1165">
        <v>1</v>
      </c>
      <c r="G1165" t="s">
        <v>1474</v>
      </c>
      <c r="H1165" t="s">
        <v>9</v>
      </c>
      <c r="I1165" t="s">
        <v>1081</v>
      </c>
      <c r="J1165" t="s">
        <v>1215</v>
      </c>
    </row>
    <row r="1166" spans="1:10">
      <c r="A1166">
        <v>51165</v>
      </c>
      <c r="B1166">
        <v>30674</v>
      </c>
      <c r="C1166" t="s">
        <v>1160</v>
      </c>
      <c r="D1166">
        <v>2221</v>
      </c>
      <c r="E1166">
        <v>1007</v>
      </c>
      <c r="F1166">
        <v>2</v>
      </c>
      <c r="G1166" t="s">
        <v>1455</v>
      </c>
      <c r="H1166" t="s">
        <v>9</v>
      </c>
      <c r="I1166" t="s">
        <v>214</v>
      </c>
      <c r="J1166" t="s">
        <v>382</v>
      </c>
    </row>
    <row r="1167" spans="1:10">
      <c r="A1167">
        <v>51166</v>
      </c>
      <c r="B1167">
        <v>30675</v>
      </c>
      <c r="C1167" t="s">
        <v>1156</v>
      </c>
      <c r="D1167">
        <v>2347</v>
      </c>
      <c r="E1167">
        <v>1014</v>
      </c>
      <c r="F1167">
        <v>1</v>
      </c>
      <c r="G1167" t="s">
        <v>1463</v>
      </c>
      <c r="H1167" t="s">
        <v>9</v>
      </c>
      <c r="I1167" t="s">
        <v>1163</v>
      </c>
      <c r="J1167" t="s">
        <v>439</v>
      </c>
    </row>
    <row r="1168" spans="1:10">
      <c r="A1168">
        <v>51167</v>
      </c>
      <c r="B1168">
        <v>30676</v>
      </c>
      <c r="C1168" t="s">
        <v>411</v>
      </c>
      <c r="D1168">
        <v>2048</v>
      </c>
      <c r="E1168">
        <v>1004</v>
      </c>
      <c r="F1168">
        <v>2</v>
      </c>
      <c r="G1168" t="s">
        <v>1476</v>
      </c>
      <c r="H1168" t="s">
        <v>12</v>
      </c>
      <c r="I1168" t="s">
        <v>1421</v>
      </c>
      <c r="J1168" t="s">
        <v>1421</v>
      </c>
    </row>
    <row r="1169" spans="1:10">
      <c r="A1169">
        <v>51168</v>
      </c>
      <c r="B1169">
        <v>30676</v>
      </c>
      <c r="C1169" t="s">
        <v>1048</v>
      </c>
      <c r="D1169">
        <v>2048</v>
      </c>
      <c r="E1169">
        <v>1015</v>
      </c>
      <c r="F1169">
        <v>2</v>
      </c>
      <c r="G1169" t="s">
        <v>1488</v>
      </c>
      <c r="H1169" t="s">
        <v>12</v>
      </c>
      <c r="I1169" t="s">
        <v>1421</v>
      </c>
      <c r="J1169" t="s">
        <v>1421</v>
      </c>
    </row>
    <row r="1170" spans="1:10">
      <c r="A1170">
        <v>51169</v>
      </c>
      <c r="B1170">
        <v>30677</v>
      </c>
      <c r="C1170" t="s">
        <v>474</v>
      </c>
      <c r="D1170">
        <v>2469</v>
      </c>
      <c r="E1170">
        <v>1005</v>
      </c>
      <c r="F1170">
        <v>1</v>
      </c>
      <c r="G1170" t="s">
        <v>1456</v>
      </c>
      <c r="H1170" t="s">
        <v>9</v>
      </c>
      <c r="I1170" t="s">
        <v>1215</v>
      </c>
      <c r="J1170" t="s">
        <v>1216</v>
      </c>
    </row>
    <row r="1171" spans="1:10">
      <c r="A1171">
        <v>51170</v>
      </c>
      <c r="B1171">
        <v>30677</v>
      </c>
      <c r="C1171" t="s">
        <v>474</v>
      </c>
      <c r="D1171">
        <v>2469</v>
      </c>
      <c r="E1171">
        <v>1016</v>
      </c>
      <c r="F1171">
        <v>4</v>
      </c>
      <c r="G1171" t="s">
        <v>1522</v>
      </c>
      <c r="H1171" t="s">
        <v>9</v>
      </c>
      <c r="I1171" t="s">
        <v>1081</v>
      </c>
      <c r="J1171" t="s">
        <v>793</v>
      </c>
    </row>
    <row r="1172" spans="1:10">
      <c r="A1172">
        <v>51171</v>
      </c>
      <c r="B1172">
        <v>30678</v>
      </c>
      <c r="C1172" t="s">
        <v>245</v>
      </c>
      <c r="D1172">
        <v>2005</v>
      </c>
      <c r="E1172">
        <v>1002</v>
      </c>
      <c r="F1172">
        <v>3</v>
      </c>
      <c r="G1172" t="s">
        <v>1508</v>
      </c>
      <c r="H1172" t="s">
        <v>9</v>
      </c>
      <c r="I1172" t="s">
        <v>784</v>
      </c>
      <c r="J1172" t="s">
        <v>393</v>
      </c>
    </row>
    <row r="1173" spans="1:10">
      <c r="A1173">
        <v>51172</v>
      </c>
      <c r="B1173">
        <v>30678</v>
      </c>
      <c r="C1173" t="s">
        <v>245</v>
      </c>
      <c r="D1173">
        <v>2005</v>
      </c>
      <c r="E1173">
        <v>1014</v>
      </c>
      <c r="F1173">
        <v>4</v>
      </c>
      <c r="G1173" t="s">
        <v>1518</v>
      </c>
      <c r="H1173" t="s">
        <v>9</v>
      </c>
      <c r="I1173" t="s">
        <v>733</v>
      </c>
      <c r="J1173" t="s">
        <v>103</v>
      </c>
    </row>
    <row r="1174" spans="1:10">
      <c r="A1174">
        <v>51173</v>
      </c>
      <c r="B1174">
        <v>30678</v>
      </c>
      <c r="C1174" t="s">
        <v>474</v>
      </c>
      <c r="D1174">
        <v>2005</v>
      </c>
      <c r="E1174">
        <v>1016</v>
      </c>
      <c r="F1174">
        <v>1</v>
      </c>
      <c r="G1174" t="s">
        <v>1465</v>
      </c>
      <c r="H1174" t="s">
        <v>9</v>
      </c>
      <c r="I1174" t="s">
        <v>281</v>
      </c>
      <c r="J1174" t="s">
        <v>1013</v>
      </c>
    </row>
    <row r="1175" spans="1:10">
      <c r="A1175">
        <v>51174</v>
      </c>
      <c r="B1175">
        <v>30679</v>
      </c>
      <c r="C1175" t="s">
        <v>1217</v>
      </c>
      <c r="D1175">
        <v>2521</v>
      </c>
      <c r="E1175">
        <v>1006</v>
      </c>
      <c r="F1175">
        <v>1</v>
      </c>
      <c r="G1175" t="s">
        <v>1459</v>
      </c>
      <c r="H1175" t="s">
        <v>16</v>
      </c>
      <c r="I1175" t="s">
        <v>1421</v>
      </c>
      <c r="J1175" t="s">
        <v>1421</v>
      </c>
    </row>
    <row r="1176" spans="1:10">
      <c r="A1176">
        <v>51175</v>
      </c>
      <c r="B1176">
        <v>30680</v>
      </c>
      <c r="C1176" t="s">
        <v>285</v>
      </c>
      <c r="D1176">
        <v>2178</v>
      </c>
      <c r="E1176">
        <v>1005</v>
      </c>
      <c r="F1176">
        <v>2</v>
      </c>
      <c r="G1176" t="s">
        <v>1458</v>
      </c>
      <c r="H1176" t="s">
        <v>9</v>
      </c>
      <c r="I1176" t="s">
        <v>519</v>
      </c>
      <c r="J1176" t="s">
        <v>803</v>
      </c>
    </row>
    <row r="1177" spans="1:10">
      <c r="A1177">
        <v>51176</v>
      </c>
      <c r="B1177">
        <v>30680</v>
      </c>
      <c r="C1177" t="s">
        <v>383</v>
      </c>
      <c r="D1177">
        <v>2178</v>
      </c>
      <c r="E1177">
        <v>1004</v>
      </c>
      <c r="F1177">
        <v>1</v>
      </c>
      <c r="G1177" t="s">
        <v>1452</v>
      </c>
      <c r="H1177" t="s">
        <v>9</v>
      </c>
      <c r="I1177" t="s">
        <v>672</v>
      </c>
      <c r="J1177" t="s">
        <v>807</v>
      </c>
    </row>
    <row r="1178" spans="1:10">
      <c r="A1178">
        <v>51177</v>
      </c>
      <c r="B1178">
        <v>30681</v>
      </c>
      <c r="C1178" t="s">
        <v>448</v>
      </c>
      <c r="D1178">
        <v>2397</v>
      </c>
      <c r="E1178">
        <v>1011</v>
      </c>
      <c r="F1178">
        <v>1</v>
      </c>
      <c r="G1178" t="s">
        <v>1472</v>
      </c>
      <c r="H1178" t="s">
        <v>9</v>
      </c>
      <c r="I1178" t="s">
        <v>591</v>
      </c>
      <c r="J1178" t="s">
        <v>445</v>
      </c>
    </row>
    <row r="1179" spans="1:10">
      <c r="A1179">
        <v>51178</v>
      </c>
      <c r="B1179">
        <v>30682</v>
      </c>
      <c r="C1179" t="s">
        <v>877</v>
      </c>
      <c r="D1179">
        <v>2517</v>
      </c>
      <c r="E1179">
        <v>1014</v>
      </c>
      <c r="F1179">
        <v>3</v>
      </c>
      <c r="G1179" t="s">
        <v>1505</v>
      </c>
      <c r="H1179" t="s">
        <v>12</v>
      </c>
      <c r="I1179" t="s">
        <v>1421</v>
      </c>
      <c r="J1179" t="s">
        <v>1421</v>
      </c>
    </row>
    <row r="1180" spans="1:10">
      <c r="A1180">
        <v>51179</v>
      </c>
      <c r="B1180">
        <v>30683</v>
      </c>
      <c r="C1180" t="s">
        <v>1103</v>
      </c>
      <c r="D1180">
        <v>2255</v>
      </c>
      <c r="E1180">
        <v>1011</v>
      </c>
      <c r="F1180">
        <v>1</v>
      </c>
      <c r="G1180" t="s">
        <v>1472</v>
      </c>
      <c r="H1180" t="s">
        <v>9</v>
      </c>
      <c r="I1180" t="s">
        <v>95</v>
      </c>
      <c r="J1180" t="s">
        <v>849</v>
      </c>
    </row>
    <row r="1181" spans="1:10">
      <c r="A1181">
        <v>51180</v>
      </c>
      <c r="B1181">
        <v>30683</v>
      </c>
      <c r="C1181" t="s">
        <v>1094</v>
      </c>
      <c r="D1181">
        <v>2255</v>
      </c>
      <c r="E1181">
        <v>1010</v>
      </c>
      <c r="F1181">
        <v>2</v>
      </c>
      <c r="G1181" t="s">
        <v>1483</v>
      </c>
      <c r="H1181" t="s">
        <v>9</v>
      </c>
      <c r="I1181" t="s">
        <v>95</v>
      </c>
      <c r="J1181" t="s">
        <v>657</v>
      </c>
    </row>
    <row r="1182" spans="1:10">
      <c r="A1182">
        <v>51181</v>
      </c>
      <c r="B1182">
        <v>30684</v>
      </c>
      <c r="C1182" t="s">
        <v>172</v>
      </c>
      <c r="D1182">
        <v>2464</v>
      </c>
      <c r="E1182">
        <v>1005</v>
      </c>
      <c r="F1182">
        <v>1</v>
      </c>
      <c r="G1182" t="s">
        <v>1456</v>
      </c>
      <c r="H1182" t="s">
        <v>16</v>
      </c>
      <c r="I1182" t="s">
        <v>1421</v>
      </c>
      <c r="J1182" t="s">
        <v>1421</v>
      </c>
    </row>
    <row r="1183" spans="1:10">
      <c r="A1183">
        <v>51182</v>
      </c>
      <c r="B1183">
        <v>30684</v>
      </c>
      <c r="C1183" t="s">
        <v>781</v>
      </c>
      <c r="D1183">
        <v>2464</v>
      </c>
      <c r="E1183">
        <v>1010</v>
      </c>
      <c r="F1183">
        <v>1</v>
      </c>
      <c r="G1183" t="s">
        <v>1468</v>
      </c>
      <c r="H1183" t="s">
        <v>16</v>
      </c>
      <c r="I1183" t="s">
        <v>1421</v>
      </c>
      <c r="J1183" t="s">
        <v>1421</v>
      </c>
    </row>
    <row r="1184" spans="1:10">
      <c r="A1184">
        <v>51183</v>
      </c>
      <c r="B1184">
        <v>30685</v>
      </c>
      <c r="C1184" t="s">
        <v>999</v>
      </c>
      <c r="D1184">
        <v>2561</v>
      </c>
      <c r="E1184">
        <v>1007</v>
      </c>
      <c r="F1184">
        <v>1</v>
      </c>
      <c r="G1184" t="s">
        <v>1453</v>
      </c>
      <c r="H1184" t="s">
        <v>12</v>
      </c>
      <c r="I1184" t="s">
        <v>1421</v>
      </c>
      <c r="J1184" t="s">
        <v>1421</v>
      </c>
    </row>
    <row r="1185" spans="1:10">
      <c r="A1185">
        <v>51184</v>
      </c>
      <c r="B1185">
        <v>30686</v>
      </c>
      <c r="C1185" t="s">
        <v>523</v>
      </c>
      <c r="D1185">
        <v>2206</v>
      </c>
      <c r="E1185">
        <v>1010</v>
      </c>
      <c r="F1185">
        <v>1</v>
      </c>
      <c r="G1185" t="s">
        <v>1468</v>
      </c>
      <c r="H1185" t="s">
        <v>9</v>
      </c>
      <c r="I1185" t="s">
        <v>450</v>
      </c>
      <c r="J1185" t="s">
        <v>808</v>
      </c>
    </row>
    <row r="1186" spans="1:10">
      <c r="A1186">
        <v>51185</v>
      </c>
      <c r="B1186">
        <v>30687</v>
      </c>
      <c r="C1186" t="s">
        <v>889</v>
      </c>
      <c r="D1186">
        <v>2354</v>
      </c>
      <c r="E1186">
        <v>1005</v>
      </c>
      <c r="F1186">
        <v>1</v>
      </c>
      <c r="G1186" t="s">
        <v>1456</v>
      </c>
      <c r="H1186" t="s">
        <v>12</v>
      </c>
      <c r="I1186" t="s">
        <v>1421</v>
      </c>
      <c r="J1186" t="s">
        <v>1421</v>
      </c>
    </row>
    <row r="1187" spans="1:10">
      <c r="A1187">
        <v>51186</v>
      </c>
      <c r="B1187">
        <v>30688</v>
      </c>
      <c r="C1187" t="s">
        <v>32</v>
      </c>
      <c r="D1187">
        <v>2183</v>
      </c>
      <c r="E1187">
        <v>1011</v>
      </c>
      <c r="F1187">
        <v>1</v>
      </c>
      <c r="G1187" t="s">
        <v>1472</v>
      </c>
      <c r="H1187" t="s">
        <v>9</v>
      </c>
      <c r="I1187" t="s">
        <v>647</v>
      </c>
      <c r="J1187" t="s">
        <v>1136</v>
      </c>
    </row>
    <row r="1188" spans="1:10">
      <c r="A1188">
        <v>51187</v>
      </c>
      <c r="B1188">
        <v>30688</v>
      </c>
      <c r="C1188" t="s">
        <v>1218</v>
      </c>
      <c r="D1188">
        <v>2183</v>
      </c>
      <c r="E1188">
        <v>1004</v>
      </c>
      <c r="F1188">
        <v>1</v>
      </c>
      <c r="G1188" t="s">
        <v>1452</v>
      </c>
      <c r="H1188" t="s">
        <v>9</v>
      </c>
      <c r="I1188" t="s">
        <v>876</v>
      </c>
      <c r="J1188" t="s">
        <v>1078</v>
      </c>
    </row>
    <row r="1189" spans="1:10">
      <c r="A1189">
        <v>51188</v>
      </c>
      <c r="B1189">
        <v>30688</v>
      </c>
      <c r="C1189" t="s">
        <v>1218</v>
      </c>
      <c r="D1189">
        <v>2183</v>
      </c>
      <c r="E1189">
        <v>1012</v>
      </c>
      <c r="F1189">
        <v>1</v>
      </c>
      <c r="G1189" t="s">
        <v>1449</v>
      </c>
      <c r="H1189" t="s">
        <v>9</v>
      </c>
      <c r="I1189" t="s">
        <v>335</v>
      </c>
      <c r="J1189" t="s">
        <v>133</v>
      </c>
    </row>
    <row r="1190" spans="1:10">
      <c r="A1190">
        <v>51189</v>
      </c>
      <c r="B1190">
        <v>30689</v>
      </c>
      <c r="C1190" t="s">
        <v>396</v>
      </c>
      <c r="D1190">
        <v>2576</v>
      </c>
      <c r="E1190">
        <v>1014</v>
      </c>
      <c r="G1190" t="s">
        <v>1463</v>
      </c>
      <c r="H1190" t="s">
        <v>9</v>
      </c>
      <c r="I1190" t="s">
        <v>504</v>
      </c>
      <c r="J1190" t="s">
        <v>735</v>
      </c>
    </row>
    <row r="1191" spans="1:10">
      <c r="A1191">
        <v>51190</v>
      </c>
      <c r="B1191">
        <v>30689</v>
      </c>
      <c r="C1191" t="s">
        <v>403</v>
      </c>
      <c r="D1191">
        <v>2576</v>
      </c>
      <c r="E1191">
        <v>1010</v>
      </c>
      <c r="F1191">
        <v>1</v>
      </c>
      <c r="G1191" t="s">
        <v>1468</v>
      </c>
      <c r="H1191" t="s">
        <v>9</v>
      </c>
      <c r="I1191" t="s">
        <v>504</v>
      </c>
      <c r="J1191" t="s">
        <v>643</v>
      </c>
    </row>
    <row r="1192" spans="1:10">
      <c r="A1192">
        <v>51191</v>
      </c>
      <c r="B1192">
        <v>30689</v>
      </c>
      <c r="C1192" t="s">
        <v>403</v>
      </c>
      <c r="D1192">
        <v>2576</v>
      </c>
      <c r="F1192">
        <v>1</v>
      </c>
      <c r="G1192" t="s">
        <v>1421</v>
      </c>
      <c r="H1192" t="s">
        <v>9</v>
      </c>
      <c r="I1192" t="s">
        <v>332</v>
      </c>
      <c r="J1192" t="s">
        <v>638</v>
      </c>
    </row>
    <row r="1193" spans="1:10">
      <c r="A1193">
        <v>51192</v>
      </c>
      <c r="B1193">
        <v>30690</v>
      </c>
      <c r="C1193" t="s">
        <v>94</v>
      </c>
      <c r="D1193">
        <v>2014</v>
      </c>
      <c r="E1193">
        <v>1001</v>
      </c>
      <c r="F1193">
        <v>1</v>
      </c>
      <c r="G1193" t="s">
        <v>1469</v>
      </c>
      <c r="H1193" t="s">
        <v>9</v>
      </c>
      <c r="I1193" t="s">
        <v>833</v>
      </c>
      <c r="J1193" t="s">
        <v>1219</v>
      </c>
    </row>
    <row r="1194" spans="1:10">
      <c r="A1194">
        <v>51193</v>
      </c>
      <c r="B1194">
        <v>30690</v>
      </c>
      <c r="C1194" t="s">
        <v>654</v>
      </c>
      <c r="D1194">
        <v>2014</v>
      </c>
      <c r="E1194">
        <v>1013</v>
      </c>
      <c r="F1194">
        <v>1</v>
      </c>
      <c r="G1194" t="s">
        <v>1474</v>
      </c>
      <c r="H1194" t="s">
        <v>9</v>
      </c>
      <c r="I1194" t="s">
        <v>720</v>
      </c>
      <c r="J1194" t="s">
        <v>1220</v>
      </c>
    </row>
    <row r="1195" spans="1:10">
      <c r="A1195">
        <v>51194</v>
      </c>
      <c r="B1195">
        <v>30690</v>
      </c>
      <c r="C1195" t="s">
        <v>94</v>
      </c>
      <c r="D1195">
        <v>2014</v>
      </c>
      <c r="E1195">
        <v>1005</v>
      </c>
      <c r="F1195">
        <v>1</v>
      </c>
      <c r="G1195" t="s">
        <v>1456</v>
      </c>
      <c r="H1195" t="s">
        <v>9</v>
      </c>
      <c r="I1195" t="s">
        <v>658</v>
      </c>
      <c r="J1195" t="s">
        <v>885</v>
      </c>
    </row>
    <row r="1196" spans="1:10">
      <c r="A1196">
        <v>51195</v>
      </c>
      <c r="B1196">
        <v>30691</v>
      </c>
      <c r="C1196" t="s">
        <v>333</v>
      </c>
      <c r="D1196">
        <v>2055</v>
      </c>
      <c r="E1196">
        <v>1007</v>
      </c>
      <c r="F1196">
        <v>1</v>
      </c>
      <c r="G1196" t="s">
        <v>1453</v>
      </c>
      <c r="H1196" t="s">
        <v>9</v>
      </c>
      <c r="I1196" t="s">
        <v>737</v>
      </c>
      <c r="J1196" t="s">
        <v>643</v>
      </c>
    </row>
    <row r="1197" spans="1:10">
      <c r="A1197">
        <v>51196</v>
      </c>
      <c r="B1197">
        <v>30692</v>
      </c>
      <c r="C1197" t="s">
        <v>163</v>
      </c>
      <c r="D1197">
        <v>2274</v>
      </c>
      <c r="E1197">
        <v>1006</v>
      </c>
      <c r="F1197">
        <v>2</v>
      </c>
      <c r="G1197" t="s">
        <v>1501</v>
      </c>
      <c r="H1197" t="s">
        <v>9</v>
      </c>
      <c r="I1197" t="s">
        <v>446</v>
      </c>
      <c r="J1197" t="s">
        <v>445</v>
      </c>
    </row>
    <row r="1198" spans="1:10">
      <c r="A1198">
        <v>51197</v>
      </c>
      <c r="B1198">
        <v>30693</v>
      </c>
      <c r="C1198" t="s">
        <v>34</v>
      </c>
      <c r="D1198">
        <v>2294</v>
      </c>
      <c r="E1198">
        <v>1005</v>
      </c>
      <c r="F1198">
        <v>2</v>
      </c>
      <c r="G1198" t="s">
        <v>1458</v>
      </c>
      <c r="H1198" t="s">
        <v>9</v>
      </c>
      <c r="I1198" t="s">
        <v>1221</v>
      </c>
      <c r="J1198" t="s">
        <v>238</v>
      </c>
    </row>
    <row r="1199" spans="1:10">
      <c r="A1199">
        <v>51198</v>
      </c>
      <c r="B1199">
        <v>30693</v>
      </c>
      <c r="C1199" t="s">
        <v>338</v>
      </c>
      <c r="D1199">
        <v>2294</v>
      </c>
      <c r="E1199">
        <v>1002</v>
      </c>
      <c r="F1199">
        <v>2</v>
      </c>
      <c r="G1199" t="s">
        <v>1482</v>
      </c>
      <c r="H1199" t="s">
        <v>9</v>
      </c>
      <c r="I1199" t="s">
        <v>568</v>
      </c>
      <c r="J1199" t="s">
        <v>799</v>
      </c>
    </row>
    <row r="1200" spans="1:10">
      <c r="A1200">
        <v>51199</v>
      </c>
      <c r="B1200">
        <v>30693</v>
      </c>
      <c r="C1200" t="s">
        <v>819</v>
      </c>
      <c r="D1200">
        <v>2294</v>
      </c>
      <c r="E1200">
        <v>1010</v>
      </c>
      <c r="F1200">
        <v>3</v>
      </c>
      <c r="G1200" t="s">
        <v>1514</v>
      </c>
      <c r="H1200" t="s">
        <v>9</v>
      </c>
      <c r="I1200" t="s">
        <v>238</v>
      </c>
      <c r="J1200" t="s">
        <v>798</v>
      </c>
    </row>
    <row r="1201" spans="1:10">
      <c r="A1201">
        <v>51200</v>
      </c>
      <c r="B1201">
        <v>30693</v>
      </c>
      <c r="C1201" t="s">
        <v>34</v>
      </c>
      <c r="D1201">
        <v>2294</v>
      </c>
      <c r="E1201">
        <v>1007</v>
      </c>
      <c r="F1201">
        <v>1</v>
      </c>
      <c r="G1201" t="s">
        <v>1453</v>
      </c>
      <c r="H1201" t="s">
        <v>9</v>
      </c>
      <c r="I1201" t="s">
        <v>362</v>
      </c>
      <c r="J1201" t="s">
        <v>639</v>
      </c>
    </row>
    <row r="1202" spans="1:10">
      <c r="A1202">
        <v>51201</v>
      </c>
      <c r="B1202">
        <v>30694</v>
      </c>
      <c r="C1202" t="s">
        <v>338</v>
      </c>
      <c r="D1202">
        <v>2555</v>
      </c>
      <c r="E1202">
        <v>1015</v>
      </c>
      <c r="F1202">
        <v>2</v>
      </c>
      <c r="G1202" t="s">
        <v>1488</v>
      </c>
      <c r="H1202" t="s">
        <v>9</v>
      </c>
      <c r="I1202" t="s">
        <v>877</v>
      </c>
      <c r="J1202" t="s">
        <v>238</v>
      </c>
    </row>
    <row r="1203" spans="1:10">
      <c r="A1203">
        <v>51202</v>
      </c>
      <c r="B1203">
        <v>30695</v>
      </c>
      <c r="C1203" t="s">
        <v>44</v>
      </c>
      <c r="D1203">
        <v>2105</v>
      </c>
      <c r="E1203">
        <v>1008</v>
      </c>
      <c r="F1203">
        <v>1</v>
      </c>
      <c r="G1203" t="s">
        <v>1447</v>
      </c>
      <c r="H1203" t="s">
        <v>9</v>
      </c>
      <c r="I1203" t="s">
        <v>1222</v>
      </c>
      <c r="J1203" t="s">
        <v>418</v>
      </c>
    </row>
    <row r="1204" spans="1:10">
      <c r="A1204">
        <v>51203</v>
      </c>
      <c r="B1204">
        <v>30696</v>
      </c>
      <c r="C1204" t="s">
        <v>243</v>
      </c>
      <c r="D1204">
        <v>2575</v>
      </c>
      <c r="E1204">
        <v>1010</v>
      </c>
      <c r="F1204">
        <v>1</v>
      </c>
      <c r="G1204" t="s">
        <v>1468</v>
      </c>
      <c r="H1204" t="s">
        <v>9</v>
      </c>
      <c r="I1204" t="s">
        <v>160</v>
      </c>
      <c r="J1204" t="s">
        <v>77</v>
      </c>
    </row>
    <row r="1205" spans="1:10">
      <c r="A1205">
        <v>51204</v>
      </c>
      <c r="B1205">
        <v>30696</v>
      </c>
      <c r="C1205" t="s">
        <v>1223</v>
      </c>
      <c r="D1205">
        <v>2575</v>
      </c>
      <c r="E1205">
        <v>1002</v>
      </c>
      <c r="F1205">
        <v>1</v>
      </c>
      <c r="G1205" t="s">
        <v>1466</v>
      </c>
      <c r="H1205" t="s">
        <v>9</v>
      </c>
      <c r="I1205" t="s">
        <v>978</v>
      </c>
      <c r="J1205" t="s">
        <v>215</v>
      </c>
    </row>
    <row r="1206" spans="1:10">
      <c r="A1206">
        <v>51205</v>
      </c>
      <c r="B1206">
        <v>30697</v>
      </c>
      <c r="C1206" t="s">
        <v>175</v>
      </c>
      <c r="D1206">
        <v>2391</v>
      </c>
      <c r="E1206">
        <v>1011</v>
      </c>
      <c r="F1206">
        <v>1</v>
      </c>
      <c r="G1206" t="s">
        <v>1472</v>
      </c>
      <c r="H1206" t="s">
        <v>9</v>
      </c>
      <c r="I1206" t="s">
        <v>399</v>
      </c>
      <c r="J1206" t="s">
        <v>579</v>
      </c>
    </row>
    <row r="1207" spans="1:10">
      <c r="A1207">
        <v>51206</v>
      </c>
      <c r="B1207">
        <v>30697</v>
      </c>
      <c r="C1207" t="s">
        <v>924</v>
      </c>
      <c r="D1207">
        <v>2391</v>
      </c>
      <c r="E1207">
        <v>1002</v>
      </c>
      <c r="F1207">
        <v>4</v>
      </c>
      <c r="G1207" t="s">
        <v>1451</v>
      </c>
      <c r="H1207" t="s">
        <v>1457</v>
      </c>
      <c r="I1207" t="s">
        <v>748</v>
      </c>
      <c r="J1207" t="s">
        <v>346</v>
      </c>
    </row>
    <row r="1208" spans="1:10">
      <c r="A1208">
        <v>51207</v>
      </c>
      <c r="B1208">
        <v>30698</v>
      </c>
      <c r="C1208" t="s">
        <v>409</v>
      </c>
      <c r="D1208">
        <v>2014</v>
      </c>
      <c r="E1208">
        <v>1007</v>
      </c>
      <c r="F1208">
        <v>1</v>
      </c>
      <c r="G1208" t="s">
        <v>1453</v>
      </c>
      <c r="H1208" t="s">
        <v>9</v>
      </c>
      <c r="I1208" t="s">
        <v>1022</v>
      </c>
      <c r="J1208" t="s">
        <v>281</v>
      </c>
    </row>
    <row r="1209" spans="1:10">
      <c r="A1209">
        <v>51208</v>
      </c>
      <c r="B1209">
        <v>30699</v>
      </c>
      <c r="C1209" t="s">
        <v>288</v>
      </c>
      <c r="D1209">
        <v>2454</v>
      </c>
      <c r="E1209">
        <v>1012</v>
      </c>
      <c r="F1209">
        <v>1</v>
      </c>
      <c r="G1209" t="s">
        <v>1449</v>
      </c>
      <c r="H1209" t="s">
        <v>16</v>
      </c>
      <c r="I1209" t="s">
        <v>1421</v>
      </c>
      <c r="J1209" t="s">
        <v>1421</v>
      </c>
    </row>
    <row r="1210" spans="1:10">
      <c r="A1210">
        <v>51209</v>
      </c>
      <c r="B1210">
        <v>30700</v>
      </c>
      <c r="C1210" t="s">
        <v>1077</v>
      </c>
      <c r="D1210">
        <v>2560</v>
      </c>
      <c r="E1210">
        <v>1007</v>
      </c>
      <c r="F1210">
        <v>2</v>
      </c>
      <c r="G1210" t="s">
        <v>1455</v>
      </c>
      <c r="H1210" t="s">
        <v>9</v>
      </c>
      <c r="I1210" t="s">
        <v>417</v>
      </c>
      <c r="J1210" t="s">
        <v>1096</v>
      </c>
    </row>
    <row r="1211" spans="1:10">
      <c r="A1211">
        <v>51210</v>
      </c>
      <c r="B1211">
        <v>30700</v>
      </c>
      <c r="C1211" t="s">
        <v>454</v>
      </c>
      <c r="D1211">
        <v>2560</v>
      </c>
      <c r="E1211">
        <v>1007</v>
      </c>
      <c r="F1211">
        <v>1</v>
      </c>
      <c r="G1211" t="s">
        <v>1453</v>
      </c>
      <c r="H1211" t="s">
        <v>9</v>
      </c>
      <c r="I1211" t="s">
        <v>1054</v>
      </c>
      <c r="J1211" t="s">
        <v>650</v>
      </c>
    </row>
    <row r="1212" spans="1:10">
      <c r="A1212">
        <v>51211</v>
      </c>
      <c r="B1212">
        <v>30700</v>
      </c>
      <c r="C1212" t="s">
        <v>454</v>
      </c>
      <c r="D1212">
        <v>2560</v>
      </c>
      <c r="E1212">
        <v>1010</v>
      </c>
      <c r="F1212">
        <v>2</v>
      </c>
      <c r="G1212" t="s">
        <v>1483</v>
      </c>
      <c r="H1212" t="s">
        <v>9</v>
      </c>
      <c r="I1212" t="s">
        <v>752</v>
      </c>
      <c r="J1212" t="s">
        <v>417</v>
      </c>
    </row>
    <row r="1213" spans="1:10">
      <c r="A1213">
        <v>51212</v>
      </c>
      <c r="B1213">
        <v>30700</v>
      </c>
      <c r="C1213" t="s">
        <v>1077</v>
      </c>
      <c r="D1213">
        <v>2560</v>
      </c>
      <c r="E1213">
        <v>1015</v>
      </c>
      <c r="F1213">
        <v>4</v>
      </c>
      <c r="G1213" t="s">
        <v>1521</v>
      </c>
      <c r="H1213" t="s">
        <v>9</v>
      </c>
      <c r="I1213" t="s">
        <v>216</v>
      </c>
      <c r="J1213" t="s">
        <v>1159</v>
      </c>
    </row>
    <row r="1214" spans="1:10">
      <c r="A1214">
        <v>51213</v>
      </c>
      <c r="B1214">
        <v>30701</v>
      </c>
      <c r="C1214" t="s">
        <v>87</v>
      </c>
      <c r="D1214">
        <v>2182</v>
      </c>
      <c r="E1214">
        <v>1003</v>
      </c>
      <c r="F1214">
        <v>1</v>
      </c>
      <c r="G1214" t="s">
        <v>1471</v>
      </c>
      <c r="H1214" t="s">
        <v>11</v>
      </c>
      <c r="I1214" t="s">
        <v>88</v>
      </c>
      <c r="J1214" t="s">
        <v>61</v>
      </c>
    </row>
    <row r="1215" spans="1:10">
      <c r="A1215">
        <v>51214</v>
      </c>
      <c r="B1215">
        <v>30701</v>
      </c>
      <c r="C1215" t="s">
        <v>1120</v>
      </c>
      <c r="D1215">
        <v>2182</v>
      </c>
      <c r="E1215">
        <v>1006</v>
      </c>
      <c r="F1215">
        <v>2</v>
      </c>
      <c r="G1215" t="s">
        <v>1501</v>
      </c>
      <c r="H1215" t="s">
        <v>11</v>
      </c>
      <c r="I1215" t="s">
        <v>820</v>
      </c>
      <c r="J1215" t="s">
        <v>169</v>
      </c>
    </row>
    <row r="1216" spans="1:10">
      <c r="A1216">
        <v>51215</v>
      </c>
      <c r="B1216">
        <v>30702</v>
      </c>
      <c r="C1216" t="s">
        <v>330</v>
      </c>
      <c r="D1216">
        <v>2178</v>
      </c>
      <c r="E1216">
        <v>1004</v>
      </c>
      <c r="F1216">
        <v>1</v>
      </c>
      <c r="G1216" t="s">
        <v>1452</v>
      </c>
      <c r="H1216" t="s">
        <v>9</v>
      </c>
      <c r="I1216" t="s">
        <v>284</v>
      </c>
      <c r="J1216" t="s">
        <v>285</v>
      </c>
    </row>
    <row r="1217" spans="1:10">
      <c r="A1217">
        <v>51216</v>
      </c>
      <c r="B1217">
        <v>30703</v>
      </c>
      <c r="C1217" t="s">
        <v>508</v>
      </c>
      <c r="D1217">
        <v>2387</v>
      </c>
      <c r="E1217">
        <v>1009</v>
      </c>
      <c r="F1217">
        <v>2</v>
      </c>
      <c r="G1217" t="s">
        <v>1479</v>
      </c>
      <c r="H1217" t="s">
        <v>9</v>
      </c>
      <c r="I1217" t="s">
        <v>90</v>
      </c>
      <c r="J1217" t="s">
        <v>812</v>
      </c>
    </row>
    <row r="1218" spans="1:10">
      <c r="A1218">
        <v>51217</v>
      </c>
      <c r="B1218">
        <v>30703</v>
      </c>
      <c r="C1218" t="s">
        <v>605</v>
      </c>
      <c r="D1218">
        <v>2387</v>
      </c>
      <c r="E1218">
        <v>1009</v>
      </c>
      <c r="F1218">
        <v>3</v>
      </c>
      <c r="G1218" t="s">
        <v>1461</v>
      </c>
      <c r="H1218" t="s">
        <v>9</v>
      </c>
      <c r="I1218" t="s">
        <v>608</v>
      </c>
      <c r="J1218" t="s">
        <v>1224</v>
      </c>
    </row>
    <row r="1219" spans="1:10">
      <c r="A1219">
        <v>51218</v>
      </c>
      <c r="B1219">
        <v>30704</v>
      </c>
      <c r="C1219" t="s">
        <v>1225</v>
      </c>
      <c r="D1219">
        <v>2134</v>
      </c>
      <c r="E1219">
        <v>1009</v>
      </c>
      <c r="F1219">
        <v>1</v>
      </c>
      <c r="G1219" t="s">
        <v>1473</v>
      </c>
      <c r="H1219" t="s">
        <v>9</v>
      </c>
      <c r="I1219" t="s">
        <v>457</v>
      </c>
      <c r="J1219" t="s">
        <v>861</v>
      </c>
    </row>
    <row r="1220" spans="1:10">
      <c r="A1220">
        <v>51219</v>
      </c>
      <c r="B1220">
        <v>30704</v>
      </c>
      <c r="C1220" t="s">
        <v>954</v>
      </c>
      <c r="D1220">
        <v>2134</v>
      </c>
      <c r="E1220">
        <v>1001</v>
      </c>
      <c r="F1220">
        <v>4</v>
      </c>
      <c r="G1220" t="s">
        <v>1525</v>
      </c>
      <c r="H1220" t="s">
        <v>1457</v>
      </c>
      <c r="I1220" t="s">
        <v>250</v>
      </c>
      <c r="J1220" t="s">
        <v>933</v>
      </c>
    </row>
    <row r="1221" spans="1:10">
      <c r="A1221">
        <v>51220</v>
      </c>
      <c r="B1221">
        <v>30704</v>
      </c>
      <c r="C1221" t="s">
        <v>954</v>
      </c>
      <c r="D1221">
        <v>2134</v>
      </c>
      <c r="E1221">
        <v>1011</v>
      </c>
      <c r="F1221">
        <v>1</v>
      </c>
      <c r="G1221" t="s">
        <v>1472</v>
      </c>
      <c r="H1221" t="s">
        <v>9</v>
      </c>
      <c r="I1221" t="s">
        <v>1110</v>
      </c>
      <c r="J1221" t="s">
        <v>502</v>
      </c>
    </row>
    <row r="1222" spans="1:10">
      <c r="A1222">
        <v>51221</v>
      </c>
      <c r="B1222">
        <v>30705</v>
      </c>
      <c r="C1222" t="s">
        <v>491</v>
      </c>
      <c r="D1222">
        <v>2478</v>
      </c>
      <c r="E1222">
        <v>1005</v>
      </c>
      <c r="F1222">
        <v>1</v>
      </c>
      <c r="G1222" t="s">
        <v>1456</v>
      </c>
      <c r="H1222" t="s">
        <v>9</v>
      </c>
      <c r="I1222" t="s">
        <v>113</v>
      </c>
      <c r="J1222" t="s">
        <v>533</v>
      </c>
    </row>
    <row r="1223" spans="1:10">
      <c r="A1223">
        <v>51222</v>
      </c>
      <c r="B1223">
        <v>30706</v>
      </c>
      <c r="C1223" t="s">
        <v>995</v>
      </c>
      <c r="D1223">
        <v>2041</v>
      </c>
      <c r="E1223">
        <v>1011</v>
      </c>
      <c r="F1223">
        <v>1</v>
      </c>
      <c r="G1223" t="s">
        <v>1472</v>
      </c>
      <c r="H1223" t="s">
        <v>1462</v>
      </c>
      <c r="I1223" t="s">
        <v>1226</v>
      </c>
      <c r="J1223" t="s">
        <v>1227</v>
      </c>
    </row>
    <row r="1224" spans="1:10">
      <c r="A1224">
        <v>51223</v>
      </c>
      <c r="B1224">
        <v>30707</v>
      </c>
      <c r="C1224" t="s">
        <v>217</v>
      </c>
      <c r="D1224">
        <v>2053</v>
      </c>
      <c r="E1224">
        <v>1010</v>
      </c>
      <c r="F1224">
        <v>1</v>
      </c>
      <c r="G1224" t="s">
        <v>1468</v>
      </c>
      <c r="H1224" t="s">
        <v>16</v>
      </c>
      <c r="I1224" t="s">
        <v>1421</v>
      </c>
      <c r="J1224" t="s">
        <v>1421</v>
      </c>
    </row>
    <row r="1225" spans="1:10">
      <c r="A1225">
        <v>51224</v>
      </c>
      <c r="B1225">
        <v>30708</v>
      </c>
      <c r="C1225" t="s">
        <v>266</v>
      </c>
      <c r="D1225">
        <v>2587</v>
      </c>
      <c r="E1225">
        <v>1003</v>
      </c>
      <c r="F1225">
        <v>2</v>
      </c>
      <c r="G1225" t="s">
        <v>1464</v>
      </c>
      <c r="H1225" t="s">
        <v>9</v>
      </c>
      <c r="I1225" t="s">
        <v>1228</v>
      </c>
      <c r="J1225" t="s">
        <v>1229</v>
      </c>
    </row>
    <row r="1226" spans="1:10">
      <c r="A1226">
        <v>51225</v>
      </c>
      <c r="B1226">
        <v>30709</v>
      </c>
      <c r="C1226" t="s">
        <v>807</v>
      </c>
      <c r="D1226">
        <v>2326</v>
      </c>
      <c r="E1226">
        <v>1006</v>
      </c>
      <c r="F1226">
        <v>1</v>
      </c>
      <c r="G1226" t="s">
        <v>1459</v>
      </c>
      <c r="H1226" t="s">
        <v>9</v>
      </c>
      <c r="I1226" t="s">
        <v>1156</v>
      </c>
      <c r="J1226" t="s">
        <v>731</v>
      </c>
    </row>
    <row r="1227" spans="1:10">
      <c r="A1227">
        <v>51226</v>
      </c>
      <c r="B1227">
        <v>30709</v>
      </c>
      <c r="C1227" t="s">
        <v>99</v>
      </c>
      <c r="D1227">
        <v>2326</v>
      </c>
      <c r="E1227">
        <v>1003</v>
      </c>
      <c r="F1227">
        <v>1</v>
      </c>
      <c r="G1227" t="s">
        <v>1471</v>
      </c>
      <c r="H1227" t="s">
        <v>9</v>
      </c>
      <c r="I1227" t="s">
        <v>1058</v>
      </c>
      <c r="J1227" t="s">
        <v>439</v>
      </c>
    </row>
    <row r="1228" spans="1:10">
      <c r="A1228">
        <v>51227</v>
      </c>
      <c r="B1228">
        <v>30710</v>
      </c>
      <c r="C1228" t="s">
        <v>182</v>
      </c>
      <c r="D1228">
        <v>2518</v>
      </c>
      <c r="E1228">
        <v>1013</v>
      </c>
      <c r="F1228">
        <v>1</v>
      </c>
      <c r="G1228" t="s">
        <v>1474</v>
      </c>
      <c r="H1228" t="s">
        <v>9</v>
      </c>
      <c r="I1228" t="s">
        <v>95</v>
      </c>
      <c r="J1228" t="s">
        <v>1230</v>
      </c>
    </row>
    <row r="1229" spans="1:10">
      <c r="A1229">
        <v>51228</v>
      </c>
      <c r="B1229">
        <v>30711</v>
      </c>
      <c r="C1229" t="s">
        <v>14</v>
      </c>
      <c r="D1229">
        <v>2095</v>
      </c>
      <c r="E1229">
        <v>1007</v>
      </c>
      <c r="F1229">
        <v>2</v>
      </c>
      <c r="G1229" t="s">
        <v>1455</v>
      </c>
      <c r="H1229" t="s">
        <v>9</v>
      </c>
      <c r="I1229" t="s">
        <v>127</v>
      </c>
      <c r="J1229" t="s">
        <v>1192</v>
      </c>
    </row>
    <row r="1230" spans="1:10">
      <c r="A1230">
        <v>51229</v>
      </c>
      <c r="B1230">
        <v>30712</v>
      </c>
      <c r="C1230" t="s">
        <v>385</v>
      </c>
      <c r="D1230">
        <v>2340</v>
      </c>
      <c r="E1230">
        <v>1010</v>
      </c>
      <c r="F1230">
        <v>1</v>
      </c>
      <c r="G1230" t="s">
        <v>1468</v>
      </c>
      <c r="H1230" t="s">
        <v>9</v>
      </c>
      <c r="I1230" t="s">
        <v>1231</v>
      </c>
      <c r="J1230" t="s">
        <v>1232</v>
      </c>
    </row>
    <row r="1231" spans="1:10">
      <c r="A1231">
        <v>51230</v>
      </c>
      <c r="B1231">
        <v>30713</v>
      </c>
      <c r="C1231" t="s">
        <v>709</v>
      </c>
      <c r="D1231">
        <v>2224</v>
      </c>
      <c r="E1231">
        <v>1016</v>
      </c>
      <c r="F1231">
        <v>1</v>
      </c>
      <c r="G1231" t="s">
        <v>1465</v>
      </c>
      <c r="H1231" t="s">
        <v>11</v>
      </c>
      <c r="I1231" t="s">
        <v>922</v>
      </c>
      <c r="J1231" t="s">
        <v>1233</v>
      </c>
    </row>
    <row r="1232" spans="1:10">
      <c r="A1232">
        <v>51231</v>
      </c>
      <c r="B1232">
        <v>30714</v>
      </c>
      <c r="C1232" t="s">
        <v>627</v>
      </c>
      <c r="D1232">
        <v>2575</v>
      </c>
      <c r="E1232">
        <v>1001</v>
      </c>
      <c r="F1232">
        <v>1</v>
      </c>
      <c r="G1232" t="s">
        <v>1469</v>
      </c>
      <c r="H1232" t="s">
        <v>16</v>
      </c>
      <c r="I1232" t="s">
        <v>218</v>
      </c>
      <c r="J1232" t="s">
        <v>1421</v>
      </c>
    </row>
    <row r="1233" spans="1:10">
      <c r="A1233">
        <v>51232</v>
      </c>
      <c r="B1233">
        <v>30714</v>
      </c>
      <c r="C1233" t="s">
        <v>985</v>
      </c>
      <c r="D1233">
        <v>2575</v>
      </c>
      <c r="E1233">
        <v>1012</v>
      </c>
      <c r="F1233">
        <v>3</v>
      </c>
      <c r="G1233" t="s">
        <v>1448</v>
      </c>
      <c r="H1233" t="s">
        <v>16</v>
      </c>
      <c r="I1233" t="s">
        <v>1421</v>
      </c>
      <c r="J1233" t="s">
        <v>1421</v>
      </c>
    </row>
    <row r="1234" spans="1:10">
      <c r="A1234">
        <v>51233</v>
      </c>
      <c r="B1234">
        <v>30715</v>
      </c>
      <c r="C1234" t="s">
        <v>246</v>
      </c>
      <c r="D1234">
        <v>2250</v>
      </c>
      <c r="E1234">
        <v>1011</v>
      </c>
      <c r="F1234">
        <v>3</v>
      </c>
      <c r="G1234" t="s">
        <v>1454</v>
      </c>
      <c r="H1234" t="s">
        <v>11</v>
      </c>
      <c r="I1234" t="s">
        <v>1234</v>
      </c>
      <c r="J1234" t="s">
        <v>1235</v>
      </c>
    </row>
    <row r="1235" spans="1:10">
      <c r="A1235">
        <v>51234</v>
      </c>
      <c r="B1235">
        <v>30716</v>
      </c>
      <c r="C1235" t="s">
        <v>298</v>
      </c>
      <c r="D1235">
        <v>2391</v>
      </c>
      <c r="E1235">
        <v>1004</v>
      </c>
      <c r="F1235">
        <v>1</v>
      </c>
      <c r="G1235" t="s">
        <v>1452</v>
      </c>
      <c r="H1235" t="s">
        <v>12</v>
      </c>
      <c r="I1235" t="s">
        <v>1421</v>
      </c>
      <c r="J1235" t="s">
        <v>1421</v>
      </c>
    </row>
    <row r="1236" spans="1:10">
      <c r="A1236">
        <v>51235</v>
      </c>
      <c r="B1236">
        <v>30717</v>
      </c>
      <c r="C1236" t="s">
        <v>558</v>
      </c>
      <c r="D1236">
        <v>2396</v>
      </c>
      <c r="E1236">
        <v>1010</v>
      </c>
      <c r="F1236">
        <v>1</v>
      </c>
      <c r="G1236" t="s">
        <v>1468</v>
      </c>
      <c r="H1236" t="s">
        <v>9</v>
      </c>
      <c r="I1236" t="s">
        <v>327</v>
      </c>
      <c r="J1236" t="s">
        <v>545</v>
      </c>
    </row>
    <row r="1237" spans="1:10">
      <c r="A1237">
        <v>51236</v>
      </c>
      <c r="B1237">
        <v>30717</v>
      </c>
      <c r="C1237" t="s">
        <v>637</v>
      </c>
      <c r="D1237">
        <v>2396</v>
      </c>
      <c r="E1237">
        <v>1001</v>
      </c>
      <c r="F1237">
        <v>1</v>
      </c>
      <c r="G1237" t="s">
        <v>1469</v>
      </c>
      <c r="H1237" t="s">
        <v>9</v>
      </c>
      <c r="I1237" t="s">
        <v>327</v>
      </c>
      <c r="J1237" t="s">
        <v>1203</v>
      </c>
    </row>
    <row r="1238" spans="1:10">
      <c r="A1238">
        <v>51237</v>
      </c>
      <c r="B1238">
        <v>30717</v>
      </c>
      <c r="C1238" t="s">
        <v>1097</v>
      </c>
      <c r="D1238">
        <v>2396</v>
      </c>
      <c r="E1238">
        <v>1012</v>
      </c>
      <c r="F1238">
        <v>4</v>
      </c>
      <c r="G1238" t="s">
        <v>1485</v>
      </c>
      <c r="H1238" t="s">
        <v>9</v>
      </c>
      <c r="I1238" t="s">
        <v>331</v>
      </c>
      <c r="J1238" t="s">
        <v>1120</v>
      </c>
    </row>
    <row r="1239" spans="1:10">
      <c r="A1239">
        <v>51238</v>
      </c>
      <c r="B1239">
        <v>30718</v>
      </c>
      <c r="C1239" t="s">
        <v>544</v>
      </c>
      <c r="D1239">
        <v>2527</v>
      </c>
      <c r="E1239">
        <v>1015</v>
      </c>
      <c r="F1239">
        <v>1</v>
      </c>
      <c r="G1239" t="s">
        <v>1478</v>
      </c>
      <c r="H1239" t="s">
        <v>16</v>
      </c>
      <c r="I1239" t="s">
        <v>1421</v>
      </c>
      <c r="J1239" t="s">
        <v>1421</v>
      </c>
    </row>
    <row r="1240" spans="1:10">
      <c r="A1240">
        <v>51239</v>
      </c>
      <c r="B1240">
        <v>30718</v>
      </c>
      <c r="C1240" t="s">
        <v>1182</v>
      </c>
      <c r="D1240">
        <v>2527</v>
      </c>
      <c r="E1240">
        <v>1010</v>
      </c>
      <c r="F1240">
        <v>4</v>
      </c>
      <c r="G1240" t="s">
        <v>1517</v>
      </c>
      <c r="H1240" t="s">
        <v>16</v>
      </c>
      <c r="I1240" t="s">
        <v>1421</v>
      </c>
      <c r="J1240" t="s">
        <v>1421</v>
      </c>
    </row>
    <row r="1241" spans="1:10">
      <c r="A1241">
        <v>51240</v>
      </c>
      <c r="B1241">
        <v>30719</v>
      </c>
      <c r="C1241" t="s">
        <v>13</v>
      </c>
      <c r="D1241">
        <v>2198</v>
      </c>
      <c r="E1241">
        <v>1003</v>
      </c>
      <c r="F1241">
        <v>1</v>
      </c>
      <c r="G1241" t="s">
        <v>1471</v>
      </c>
      <c r="H1241" t="s">
        <v>9</v>
      </c>
      <c r="I1241" t="s">
        <v>832</v>
      </c>
      <c r="J1241" t="s">
        <v>853</v>
      </c>
    </row>
    <row r="1242" spans="1:10">
      <c r="A1242">
        <v>51241</v>
      </c>
      <c r="B1242">
        <v>30720</v>
      </c>
      <c r="C1242" t="s">
        <v>260</v>
      </c>
      <c r="D1242">
        <v>2099</v>
      </c>
      <c r="E1242">
        <v>1001</v>
      </c>
      <c r="F1242">
        <v>1</v>
      </c>
      <c r="G1242" t="s">
        <v>1469</v>
      </c>
      <c r="H1242" t="s">
        <v>9</v>
      </c>
      <c r="I1242" t="s">
        <v>204</v>
      </c>
      <c r="J1242" t="s">
        <v>250</v>
      </c>
    </row>
    <row r="1243" spans="1:10">
      <c r="A1243">
        <v>51242</v>
      </c>
      <c r="B1243">
        <v>30720</v>
      </c>
      <c r="C1243" t="s">
        <v>1236</v>
      </c>
      <c r="D1243">
        <v>2099</v>
      </c>
      <c r="E1243">
        <v>1003</v>
      </c>
      <c r="F1243">
        <v>4</v>
      </c>
      <c r="G1243" t="s">
        <v>1519</v>
      </c>
      <c r="H1243" t="s">
        <v>9</v>
      </c>
      <c r="I1243" t="s">
        <v>1237</v>
      </c>
      <c r="J1243" t="s">
        <v>1017</v>
      </c>
    </row>
    <row r="1244" spans="1:10">
      <c r="A1244">
        <v>51243</v>
      </c>
      <c r="B1244">
        <v>30720</v>
      </c>
      <c r="C1244" t="s">
        <v>260</v>
      </c>
      <c r="D1244">
        <v>2099</v>
      </c>
      <c r="E1244">
        <v>1007</v>
      </c>
      <c r="F1244">
        <v>1</v>
      </c>
      <c r="G1244" t="s">
        <v>1453</v>
      </c>
      <c r="H1244" t="s">
        <v>9</v>
      </c>
      <c r="I1244" t="s">
        <v>261</v>
      </c>
      <c r="J1244" t="s">
        <v>1238</v>
      </c>
    </row>
    <row r="1245" spans="1:10">
      <c r="A1245">
        <v>51244</v>
      </c>
      <c r="B1245">
        <v>30720</v>
      </c>
      <c r="C1245" t="s">
        <v>1236</v>
      </c>
      <c r="D1245">
        <v>2099</v>
      </c>
      <c r="E1245">
        <v>1007</v>
      </c>
      <c r="F1245">
        <v>2</v>
      </c>
      <c r="G1245" t="s">
        <v>1455</v>
      </c>
      <c r="H1245" t="s">
        <v>9</v>
      </c>
      <c r="I1245" t="s">
        <v>1197</v>
      </c>
      <c r="J1245" t="s">
        <v>1239</v>
      </c>
    </row>
    <row r="1246" spans="1:10">
      <c r="A1246">
        <v>51245</v>
      </c>
      <c r="B1246">
        <v>30721</v>
      </c>
      <c r="C1246" t="s">
        <v>187</v>
      </c>
      <c r="D1246">
        <v>2435</v>
      </c>
      <c r="E1246">
        <v>1007</v>
      </c>
      <c r="F1246">
        <v>1</v>
      </c>
      <c r="G1246" t="s">
        <v>1453</v>
      </c>
      <c r="H1246" t="s">
        <v>16</v>
      </c>
      <c r="I1246" t="s">
        <v>1421</v>
      </c>
      <c r="J1246" t="s">
        <v>1421</v>
      </c>
    </row>
    <row r="1247" spans="1:10">
      <c r="A1247">
        <v>51246</v>
      </c>
      <c r="B1247">
        <v>30721</v>
      </c>
      <c r="C1247" t="s">
        <v>896</v>
      </c>
      <c r="D1247">
        <v>2435</v>
      </c>
      <c r="E1247">
        <v>1014</v>
      </c>
      <c r="F1247">
        <v>3</v>
      </c>
      <c r="G1247" t="s">
        <v>1505</v>
      </c>
      <c r="H1247" t="s">
        <v>16</v>
      </c>
      <c r="I1247" t="s">
        <v>1421</v>
      </c>
      <c r="J1247" t="s">
        <v>1421</v>
      </c>
    </row>
    <row r="1248" spans="1:10">
      <c r="A1248">
        <v>51247</v>
      </c>
      <c r="B1248">
        <v>30721</v>
      </c>
      <c r="C1248" t="s">
        <v>187</v>
      </c>
      <c r="D1248">
        <v>2435</v>
      </c>
      <c r="E1248">
        <v>1003</v>
      </c>
      <c r="F1248">
        <v>3</v>
      </c>
      <c r="G1248" t="s">
        <v>1507</v>
      </c>
      <c r="H1248" t="s">
        <v>16</v>
      </c>
      <c r="I1248" t="s">
        <v>1421</v>
      </c>
      <c r="J1248" t="s">
        <v>1421</v>
      </c>
    </row>
    <row r="1249" spans="1:10">
      <c r="A1249">
        <v>51248</v>
      </c>
      <c r="B1249">
        <v>30722</v>
      </c>
      <c r="C1249" t="s">
        <v>629</v>
      </c>
      <c r="D1249">
        <v>2158</v>
      </c>
      <c r="E1249">
        <v>1011</v>
      </c>
      <c r="F1249">
        <v>1</v>
      </c>
      <c r="G1249" t="s">
        <v>1472</v>
      </c>
      <c r="H1249" t="s">
        <v>9</v>
      </c>
      <c r="I1249" t="s">
        <v>219</v>
      </c>
      <c r="J1249" t="s">
        <v>470</v>
      </c>
    </row>
    <row r="1250" spans="1:10">
      <c r="A1250">
        <v>51249</v>
      </c>
      <c r="B1250">
        <v>30723</v>
      </c>
      <c r="C1250" t="s">
        <v>869</v>
      </c>
      <c r="D1250">
        <v>2039</v>
      </c>
      <c r="E1250">
        <v>1002</v>
      </c>
      <c r="F1250">
        <v>2</v>
      </c>
      <c r="G1250" t="s">
        <v>1482</v>
      </c>
      <c r="H1250" t="s">
        <v>9</v>
      </c>
      <c r="I1250" t="s">
        <v>331</v>
      </c>
      <c r="J1250" t="s">
        <v>932</v>
      </c>
    </row>
    <row r="1251" spans="1:10">
      <c r="A1251">
        <v>51250</v>
      </c>
      <c r="B1251">
        <v>30724</v>
      </c>
      <c r="C1251" t="s">
        <v>165</v>
      </c>
      <c r="D1251">
        <v>2183</v>
      </c>
      <c r="E1251">
        <v>1003</v>
      </c>
      <c r="F1251">
        <v>1</v>
      </c>
      <c r="G1251" t="s">
        <v>1471</v>
      </c>
      <c r="H1251" t="s">
        <v>16</v>
      </c>
      <c r="I1251" t="s">
        <v>1421</v>
      </c>
      <c r="J1251" t="s">
        <v>1421</v>
      </c>
    </row>
    <row r="1252" spans="1:10">
      <c r="A1252">
        <v>51251</v>
      </c>
      <c r="B1252">
        <v>30725</v>
      </c>
      <c r="C1252" t="s">
        <v>872</v>
      </c>
      <c r="D1252">
        <v>2234</v>
      </c>
      <c r="E1252">
        <v>1014</v>
      </c>
      <c r="F1252">
        <v>2</v>
      </c>
      <c r="G1252" t="s">
        <v>1475</v>
      </c>
      <c r="H1252" t="s">
        <v>12</v>
      </c>
      <c r="I1252" t="s">
        <v>1421</v>
      </c>
      <c r="J1252" t="s">
        <v>1421</v>
      </c>
    </row>
    <row r="1253" spans="1:10">
      <c r="A1253">
        <v>51252</v>
      </c>
      <c r="B1253">
        <v>30726</v>
      </c>
      <c r="C1253" t="s">
        <v>210</v>
      </c>
      <c r="D1253">
        <v>2398</v>
      </c>
      <c r="E1253">
        <v>1013</v>
      </c>
      <c r="F1253">
        <v>3</v>
      </c>
      <c r="G1253" t="s">
        <v>1490</v>
      </c>
      <c r="H1253" t="s">
        <v>9</v>
      </c>
      <c r="I1253" t="s">
        <v>979</v>
      </c>
      <c r="J1253" t="s">
        <v>27</v>
      </c>
    </row>
    <row r="1254" spans="1:10">
      <c r="A1254">
        <v>51253</v>
      </c>
      <c r="B1254">
        <v>30727</v>
      </c>
      <c r="C1254" t="s">
        <v>663</v>
      </c>
      <c r="D1254">
        <v>2444</v>
      </c>
      <c r="E1254">
        <v>1013</v>
      </c>
      <c r="F1254">
        <v>2</v>
      </c>
      <c r="G1254" t="s">
        <v>1492</v>
      </c>
      <c r="H1254" t="s">
        <v>9</v>
      </c>
      <c r="I1254" t="s">
        <v>704</v>
      </c>
      <c r="J1254" t="s">
        <v>661</v>
      </c>
    </row>
    <row r="1255" spans="1:10">
      <c r="A1255">
        <v>51254</v>
      </c>
      <c r="B1255">
        <v>30728</v>
      </c>
      <c r="C1255" t="s">
        <v>1098</v>
      </c>
      <c r="D1255">
        <v>2122</v>
      </c>
      <c r="E1255">
        <v>1003</v>
      </c>
      <c r="F1255">
        <v>1</v>
      </c>
      <c r="G1255" t="s">
        <v>1471</v>
      </c>
      <c r="H1255" t="s">
        <v>9</v>
      </c>
      <c r="I1255" t="s">
        <v>1240</v>
      </c>
      <c r="J1255" t="s">
        <v>85</v>
      </c>
    </row>
    <row r="1256" spans="1:10">
      <c r="A1256">
        <v>51255</v>
      </c>
      <c r="B1256">
        <v>30728</v>
      </c>
      <c r="C1256" t="s">
        <v>556</v>
      </c>
      <c r="D1256">
        <v>2122</v>
      </c>
      <c r="E1256">
        <v>1002</v>
      </c>
      <c r="F1256">
        <v>4</v>
      </c>
      <c r="G1256" t="s">
        <v>1451</v>
      </c>
      <c r="H1256" t="s">
        <v>9</v>
      </c>
      <c r="I1256" t="s">
        <v>739</v>
      </c>
      <c r="J1256" t="s">
        <v>111</v>
      </c>
    </row>
    <row r="1257" spans="1:10">
      <c r="A1257">
        <v>51256</v>
      </c>
      <c r="B1257">
        <v>30729</v>
      </c>
      <c r="C1257" t="s">
        <v>266</v>
      </c>
      <c r="D1257">
        <v>2075</v>
      </c>
      <c r="E1257">
        <v>1004</v>
      </c>
      <c r="F1257">
        <v>1</v>
      </c>
      <c r="G1257" t="s">
        <v>1452</v>
      </c>
      <c r="H1257" t="s">
        <v>9</v>
      </c>
      <c r="I1257" t="s">
        <v>951</v>
      </c>
      <c r="J1257" t="s">
        <v>985</v>
      </c>
    </row>
    <row r="1258" spans="1:10">
      <c r="A1258">
        <v>51257</v>
      </c>
      <c r="B1258">
        <v>30729</v>
      </c>
      <c r="C1258" t="s">
        <v>220</v>
      </c>
      <c r="D1258">
        <v>2075</v>
      </c>
      <c r="E1258">
        <v>1010</v>
      </c>
      <c r="F1258">
        <v>1</v>
      </c>
      <c r="G1258" t="s">
        <v>1468</v>
      </c>
      <c r="H1258" t="s">
        <v>9</v>
      </c>
      <c r="I1258" t="s">
        <v>84</v>
      </c>
      <c r="J1258" t="s">
        <v>917</v>
      </c>
    </row>
    <row r="1259" spans="1:10">
      <c r="A1259">
        <v>51258</v>
      </c>
      <c r="B1259">
        <v>30730</v>
      </c>
      <c r="C1259" t="s">
        <v>289</v>
      </c>
      <c r="D1259">
        <v>2309</v>
      </c>
      <c r="E1259">
        <v>1010</v>
      </c>
      <c r="F1259">
        <v>1</v>
      </c>
      <c r="G1259" t="s">
        <v>1468</v>
      </c>
      <c r="H1259" t="s">
        <v>9</v>
      </c>
      <c r="I1259" t="s">
        <v>147</v>
      </c>
      <c r="J1259" t="s">
        <v>318</v>
      </c>
    </row>
    <row r="1260" spans="1:10">
      <c r="A1260">
        <v>51259</v>
      </c>
      <c r="B1260">
        <v>30731</v>
      </c>
      <c r="C1260" t="s">
        <v>779</v>
      </c>
      <c r="D1260">
        <v>2449</v>
      </c>
      <c r="E1260">
        <v>1001</v>
      </c>
      <c r="F1260">
        <v>1</v>
      </c>
      <c r="G1260" t="s">
        <v>1469</v>
      </c>
      <c r="H1260" t="s">
        <v>9</v>
      </c>
      <c r="I1260" t="s">
        <v>576</v>
      </c>
      <c r="J1260" t="s">
        <v>1093</v>
      </c>
    </row>
    <row r="1261" spans="1:10">
      <c r="A1261">
        <v>51260</v>
      </c>
      <c r="B1261">
        <v>30731</v>
      </c>
      <c r="C1261" t="s">
        <v>1241</v>
      </c>
      <c r="D1261">
        <v>2449</v>
      </c>
      <c r="E1261">
        <v>1016</v>
      </c>
      <c r="F1261">
        <v>1</v>
      </c>
      <c r="G1261" t="s">
        <v>1465</v>
      </c>
      <c r="H1261" t="s">
        <v>9</v>
      </c>
      <c r="I1261" t="s">
        <v>576</v>
      </c>
      <c r="J1261" t="s">
        <v>690</v>
      </c>
    </row>
    <row r="1262" spans="1:10">
      <c r="A1262">
        <v>51261</v>
      </c>
      <c r="B1262">
        <v>30732</v>
      </c>
      <c r="C1262" t="s">
        <v>330</v>
      </c>
      <c r="D1262">
        <v>2161</v>
      </c>
      <c r="E1262">
        <v>1005</v>
      </c>
      <c r="F1262">
        <v>2</v>
      </c>
      <c r="G1262" t="s">
        <v>1458</v>
      </c>
      <c r="H1262" t="s">
        <v>9</v>
      </c>
      <c r="I1262" t="s">
        <v>673</v>
      </c>
      <c r="J1262" t="s">
        <v>464</v>
      </c>
    </row>
    <row r="1263" spans="1:10">
      <c r="A1263">
        <v>51262</v>
      </c>
      <c r="B1263">
        <v>30733</v>
      </c>
      <c r="C1263" t="s">
        <v>409</v>
      </c>
      <c r="D1263">
        <v>2401</v>
      </c>
      <c r="E1263">
        <v>1010</v>
      </c>
      <c r="F1263">
        <v>3</v>
      </c>
      <c r="G1263" t="s">
        <v>1514</v>
      </c>
      <c r="H1263" t="s">
        <v>16</v>
      </c>
      <c r="I1263" t="s">
        <v>1421</v>
      </c>
      <c r="J1263" t="s">
        <v>1421</v>
      </c>
    </row>
    <row r="1264" spans="1:10">
      <c r="A1264">
        <v>51263</v>
      </c>
      <c r="B1264">
        <v>30734</v>
      </c>
      <c r="C1264" t="s">
        <v>391</v>
      </c>
      <c r="D1264">
        <v>2148</v>
      </c>
      <c r="E1264">
        <v>1012</v>
      </c>
      <c r="F1264">
        <v>1</v>
      </c>
      <c r="G1264" t="s">
        <v>1449</v>
      </c>
      <c r="H1264" t="s">
        <v>9</v>
      </c>
      <c r="I1264" t="s">
        <v>202</v>
      </c>
      <c r="J1264" t="s">
        <v>1242</v>
      </c>
    </row>
    <row r="1265" spans="1:10">
      <c r="A1265">
        <v>51264</v>
      </c>
      <c r="B1265">
        <v>30734</v>
      </c>
      <c r="C1265" t="s">
        <v>654</v>
      </c>
      <c r="D1265">
        <v>2148</v>
      </c>
      <c r="E1265">
        <v>1001</v>
      </c>
      <c r="F1265">
        <v>5</v>
      </c>
      <c r="G1265" t="s">
        <v>1534</v>
      </c>
      <c r="H1265" t="s">
        <v>9</v>
      </c>
      <c r="I1265" t="s">
        <v>182</v>
      </c>
      <c r="J1265" t="s">
        <v>885</v>
      </c>
    </row>
    <row r="1266" spans="1:10">
      <c r="A1266">
        <v>51265</v>
      </c>
      <c r="B1266">
        <v>30735</v>
      </c>
      <c r="C1266" t="s">
        <v>103</v>
      </c>
      <c r="D1266">
        <v>2567</v>
      </c>
      <c r="E1266">
        <v>1005</v>
      </c>
      <c r="F1266">
        <v>3</v>
      </c>
      <c r="G1266" t="s">
        <v>1498</v>
      </c>
      <c r="H1266" t="s">
        <v>12</v>
      </c>
      <c r="I1266" t="s">
        <v>1421</v>
      </c>
      <c r="J1266" t="s">
        <v>1421</v>
      </c>
    </row>
    <row r="1267" spans="1:10">
      <c r="A1267">
        <v>51266</v>
      </c>
      <c r="B1267">
        <v>30735</v>
      </c>
      <c r="C1267" t="s">
        <v>103</v>
      </c>
      <c r="D1267">
        <v>2567</v>
      </c>
      <c r="E1267">
        <v>1004</v>
      </c>
      <c r="F1267">
        <v>1</v>
      </c>
      <c r="G1267" t="s">
        <v>1452</v>
      </c>
      <c r="H1267" t="s">
        <v>12</v>
      </c>
      <c r="I1267" t="s">
        <v>1421</v>
      </c>
      <c r="J1267" t="s">
        <v>1421</v>
      </c>
    </row>
    <row r="1268" spans="1:10">
      <c r="A1268">
        <v>51267</v>
      </c>
      <c r="B1268">
        <v>30735</v>
      </c>
      <c r="C1268" t="s">
        <v>357</v>
      </c>
      <c r="D1268">
        <v>2567</v>
      </c>
      <c r="E1268">
        <v>1002</v>
      </c>
      <c r="F1268">
        <v>2</v>
      </c>
      <c r="G1268" t="s">
        <v>1482</v>
      </c>
      <c r="H1268" t="s">
        <v>12</v>
      </c>
      <c r="I1268" t="s">
        <v>1421</v>
      </c>
      <c r="J1268" t="s">
        <v>1421</v>
      </c>
    </row>
    <row r="1269" spans="1:10">
      <c r="A1269">
        <v>51268</v>
      </c>
      <c r="B1269">
        <v>30736</v>
      </c>
      <c r="C1269" t="s">
        <v>1018</v>
      </c>
      <c r="D1269">
        <v>2006</v>
      </c>
      <c r="E1269">
        <v>1013</v>
      </c>
      <c r="F1269">
        <v>1</v>
      </c>
      <c r="G1269" t="s">
        <v>1474</v>
      </c>
      <c r="H1269" t="s">
        <v>9</v>
      </c>
      <c r="I1269" t="s">
        <v>445</v>
      </c>
      <c r="J1269" t="s">
        <v>548</v>
      </c>
    </row>
    <row r="1270" spans="1:10">
      <c r="A1270">
        <v>51269</v>
      </c>
      <c r="B1270">
        <v>30736</v>
      </c>
      <c r="C1270" t="s">
        <v>1087</v>
      </c>
      <c r="D1270">
        <v>2006</v>
      </c>
      <c r="E1270">
        <v>1003</v>
      </c>
      <c r="F1270">
        <v>2</v>
      </c>
      <c r="G1270" t="s">
        <v>1464</v>
      </c>
      <c r="H1270" t="s">
        <v>9</v>
      </c>
      <c r="I1270" t="s">
        <v>591</v>
      </c>
      <c r="J1270" t="s">
        <v>445</v>
      </c>
    </row>
    <row r="1271" spans="1:10">
      <c r="A1271">
        <v>51270</v>
      </c>
      <c r="B1271">
        <v>30737</v>
      </c>
      <c r="C1271" t="s">
        <v>433</v>
      </c>
      <c r="D1271">
        <v>2313</v>
      </c>
      <c r="E1271">
        <v>1012</v>
      </c>
      <c r="F1271">
        <v>1</v>
      </c>
      <c r="G1271" t="s">
        <v>1449</v>
      </c>
      <c r="H1271" t="s">
        <v>9</v>
      </c>
      <c r="I1271" t="s">
        <v>1167</v>
      </c>
      <c r="J1271" t="s">
        <v>630</v>
      </c>
    </row>
    <row r="1272" spans="1:10">
      <c r="A1272">
        <v>51271</v>
      </c>
      <c r="B1272">
        <v>30737</v>
      </c>
      <c r="C1272" t="s">
        <v>221</v>
      </c>
      <c r="D1272">
        <v>2313</v>
      </c>
      <c r="E1272">
        <v>1007</v>
      </c>
      <c r="F1272">
        <v>4</v>
      </c>
      <c r="G1272" t="s">
        <v>1504</v>
      </c>
      <c r="H1272" t="s">
        <v>9</v>
      </c>
      <c r="I1272" t="s">
        <v>668</v>
      </c>
      <c r="J1272" t="s">
        <v>1165</v>
      </c>
    </row>
    <row r="1273" spans="1:10">
      <c r="A1273">
        <v>51272</v>
      </c>
      <c r="B1273">
        <v>30738</v>
      </c>
      <c r="C1273" t="s">
        <v>908</v>
      </c>
      <c r="D1273">
        <v>2423</v>
      </c>
      <c r="E1273">
        <v>1005</v>
      </c>
      <c r="F1273">
        <v>1</v>
      </c>
      <c r="G1273" t="s">
        <v>1456</v>
      </c>
      <c r="H1273" t="s">
        <v>12</v>
      </c>
      <c r="I1273" t="s">
        <v>1421</v>
      </c>
      <c r="J1273" t="s">
        <v>1421</v>
      </c>
    </row>
    <row r="1274" spans="1:10">
      <c r="A1274">
        <v>51273</v>
      </c>
      <c r="B1274">
        <v>30738</v>
      </c>
      <c r="C1274" t="s">
        <v>908</v>
      </c>
      <c r="D1274">
        <v>2423</v>
      </c>
      <c r="E1274">
        <v>1006</v>
      </c>
      <c r="F1274">
        <v>1</v>
      </c>
      <c r="G1274" t="s">
        <v>1459</v>
      </c>
      <c r="H1274" t="s">
        <v>12</v>
      </c>
      <c r="I1274" t="s">
        <v>1421</v>
      </c>
      <c r="J1274" t="s">
        <v>1421</v>
      </c>
    </row>
    <row r="1275" spans="1:10">
      <c r="A1275">
        <v>51274</v>
      </c>
      <c r="B1275">
        <v>30739</v>
      </c>
      <c r="C1275" t="s">
        <v>920</v>
      </c>
      <c r="D1275">
        <v>2189</v>
      </c>
      <c r="E1275">
        <v>1009</v>
      </c>
      <c r="F1275">
        <v>3</v>
      </c>
      <c r="G1275" t="s">
        <v>1461</v>
      </c>
      <c r="H1275" t="s">
        <v>9</v>
      </c>
      <c r="I1275" t="s">
        <v>1243</v>
      </c>
      <c r="J1275" t="s">
        <v>753</v>
      </c>
    </row>
    <row r="1276" spans="1:10">
      <c r="A1276">
        <v>51275</v>
      </c>
      <c r="B1276">
        <v>30740</v>
      </c>
      <c r="C1276" t="s">
        <v>319</v>
      </c>
      <c r="D1276">
        <v>2199</v>
      </c>
      <c r="E1276">
        <v>1002</v>
      </c>
      <c r="F1276">
        <v>1</v>
      </c>
      <c r="G1276" t="s">
        <v>1466</v>
      </c>
      <c r="H1276" t="s">
        <v>9</v>
      </c>
      <c r="I1276" t="s">
        <v>572</v>
      </c>
      <c r="J1276" t="s">
        <v>253</v>
      </c>
    </row>
    <row r="1277" spans="1:10">
      <c r="A1277">
        <v>51276</v>
      </c>
      <c r="B1277">
        <v>30740</v>
      </c>
      <c r="C1277" t="s">
        <v>319</v>
      </c>
      <c r="D1277">
        <v>2199</v>
      </c>
      <c r="E1277">
        <v>1015</v>
      </c>
      <c r="F1277">
        <v>3</v>
      </c>
      <c r="G1277" t="s">
        <v>1470</v>
      </c>
      <c r="H1277" t="s">
        <v>9</v>
      </c>
      <c r="I1277" t="s">
        <v>878</v>
      </c>
      <c r="J1277" t="s">
        <v>1150</v>
      </c>
    </row>
    <row r="1278" spans="1:10">
      <c r="A1278">
        <v>51277</v>
      </c>
      <c r="B1278">
        <v>30741</v>
      </c>
      <c r="C1278" t="s">
        <v>222</v>
      </c>
      <c r="D1278">
        <v>2563</v>
      </c>
      <c r="E1278">
        <v>1003</v>
      </c>
      <c r="F1278">
        <v>2</v>
      </c>
      <c r="G1278" t="s">
        <v>1464</v>
      </c>
      <c r="H1278" t="s">
        <v>9</v>
      </c>
      <c r="I1278" t="s">
        <v>525</v>
      </c>
      <c r="J1278" t="s">
        <v>432</v>
      </c>
    </row>
    <row r="1279" spans="1:10">
      <c r="A1279">
        <v>51278</v>
      </c>
      <c r="B1279">
        <v>30741</v>
      </c>
      <c r="C1279" t="s">
        <v>787</v>
      </c>
      <c r="D1279">
        <v>2563</v>
      </c>
      <c r="E1279">
        <v>1009</v>
      </c>
      <c r="F1279">
        <v>2</v>
      </c>
      <c r="G1279" t="s">
        <v>1479</v>
      </c>
      <c r="H1279" t="s">
        <v>9</v>
      </c>
      <c r="I1279" t="s">
        <v>127</v>
      </c>
      <c r="J1279" t="s">
        <v>1173</v>
      </c>
    </row>
    <row r="1280" spans="1:10">
      <c r="A1280">
        <v>51279</v>
      </c>
      <c r="B1280">
        <v>30742</v>
      </c>
      <c r="C1280" t="s">
        <v>480</v>
      </c>
      <c r="D1280">
        <v>2101</v>
      </c>
      <c r="E1280">
        <v>1016</v>
      </c>
      <c r="F1280">
        <v>1</v>
      </c>
      <c r="G1280" t="s">
        <v>1465</v>
      </c>
      <c r="H1280" t="s">
        <v>1462</v>
      </c>
      <c r="I1280" t="s">
        <v>398</v>
      </c>
      <c r="J1280" t="s">
        <v>602</v>
      </c>
    </row>
    <row r="1281" spans="1:10">
      <c r="A1281">
        <v>51280</v>
      </c>
      <c r="B1281">
        <v>30742</v>
      </c>
      <c r="C1281" t="s">
        <v>923</v>
      </c>
      <c r="D1281">
        <v>2101</v>
      </c>
      <c r="E1281">
        <v>1011</v>
      </c>
      <c r="F1281">
        <v>2</v>
      </c>
      <c r="G1281" t="s">
        <v>1487</v>
      </c>
      <c r="H1281" t="s">
        <v>9</v>
      </c>
      <c r="I1281" t="s">
        <v>1244</v>
      </c>
      <c r="J1281" t="s">
        <v>109</v>
      </c>
    </row>
    <row r="1282" spans="1:10">
      <c r="A1282">
        <v>51281</v>
      </c>
      <c r="B1282">
        <v>30743</v>
      </c>
      <c r="C1282" t="s">
        <v>286</v>
      </c>
      <c r="D1282">
        <v>2366</v>
      </c>
      <c r="E1282">
        <v>1008</v>
      </c>
      <c r="F1282">
        <v>2</v>
      </c>
      <c r="G1282" t="s">
        <v>1520</v>
      </c>
      <c r="H1282" t="s">
        <v>9</v>
      </c>
      <c r="I1282" t="s">
        <v>809</v>
      </c>
      <c r="J1282" t="s">
        <v>223</v>
      </c>
    </row>
    <row r="1283" spans="1:10">
      <c r="A1283">
        <v>51282</v>
      </c>
      <c r="B1283">
        <v>30743</v>
      </c>
      <c r="C1283" t="s">
        <v>1075</v>
      </c>
      <c r="D1283">
        <v>2366</v>
      </c>
      <c r="E1283">
        <v>1004</v>
      </c>
      <c r="F1283">
        <v>1</v>
      </c>
      <c r="G1283" t="s">
        <v>1452</v>
      </c>
      <c r="H1283" t="s">
        <v>9</v>
      </c>
      <c r="I1283" t="s">
        <v>1010</v>
      </c>
      <c r="J1283" t="s">
        <v>1245</v>
      </c>
    </row>
    <row r="1284" spans="1:10">
      <c r="A1284">
        <v>51283</v>
      </c>
      <c r="B1284">
        <v>30743</v>
      </c>
      <c r="C1284" t="s">
        <v>286</v>
      </c>
      <c r="D1284">
        <v>2366</v>
      </c>
      <c r="E1284">
        <v>1010</v>
      </c>
      <c r="F1284">
        <v>1</v>
      </c>
      <c r="G1284" t="s">
        <v>1468</v>
      </c>
      <c r="H1284" t="s">
        <v>9</v>
      </c>
      <c r="I1284" t="s">
        <v>671</v>
      </c>
      <c r="J1284" t="s">
        <v>248</v>
      </c>
    </row>
    <row r="1285" spans="1:10">
      <c r="A1285">
        <v>51284</v>
      </c>
      <c r="B1285">
        <v>30744</v>
      </c>
      <c r="C1285" t="s">
        <v>101</v>
      </c>
      <c r="D1285">
        <v>2072</v>
      </c>
      <c r="E1285">
        <v>1011</v>
      </c>
      <c r="F1285">
        <v>2</v>
      </c>
      <c r="G1285" t="s">
        <v>1487</v>
      </c>
      <c r="H1285" t="s">
        <v>12</v>
      </c>
      <c r="I1285" t="s">
        <v>1421</v>
      </c>
      <c r="J1285" t="s">
        <v>1421</v>
      </c>
    </row>
    <row r="1286" spans="1:10">
      <c r="A1286">
        <v>51285</v>
      </c>
      <c r="B1286">
        <v>30744</v>
      </c>
      <c r="C1286" t="s">
        <v>1140</v>
      </c>
      <c r="D1286">
        <v>2072</v>
      </c>
      <c r="E1286">
        <v>1016</v>
      </c>
      <c r="F1286">
        <v>1</v>
      </c>
      <c r="G1286" t="s">
        <v>1465</v>
      </c>
      <c r="H1286" t="s">
        <v>12</v>
      </c>
      <c r="I1286" t="s">
        <v>1421</v>
      </c>
      <c r="J1286" t="s">
        <v>1421</v>
      </c>
    </row>
    <row r="1287" spans="1:10">
      <c r="A1287">
        <v>51286</v>
      </c>
      <c r="B1287">
        <v>30745</v>
      </c>
      <c r="C1287" t="s">
        <v>1246</v>
      </c>
      <c r="D1287">
        <v>2462</v>
      </c>
      <c r="E1287">
        <v>1010</v>
      </c>
      <c r="F1287">
        <v>2</v>
      </c>
      <c r="G1287" t="s">
        <v>1483</v>
      </c>
      <c r="H1287" t="s">
        <v>9</v>
      </c>
      <c r="I1287" t="s">
        <v>1247</v>
      </c>
      <c r="J1287" t="s">
        <v>1048</v>
      </c>
    </row>
    <row r="1288" spans="1:10">
      <c r="A1288">
        <v>51287</v>
      </c>
      <c r="B1288">
        <v>30746</v>
      </c>
      <c r="C1288" t="s">
        <v>940</v>
      </c>
      <c r="D1288">
        <v>2599</v>
      </c>
      <c r="E1288">
        <v>1012</v>
      </c>
      <c r="F1288">
        <v>2</v>
      </c>
      <c r="G1288" t="s">
        <v>1450</v>
      </c>
      <c r="H1288" t="s">
        <v>9</v>
      </c>
      <c r="I1288" t="s">
        <v>815</v>
      </c>
      <c r="J1288" t="s">
        <v>492</v>
      </c>
    </row>
    <row r="1289" spans="1:10">
      <c r="A1289">
        <v>51288</v>
      </c>
      <c r="B1289">
        <v>30746</v>
      </c>
      <c r="C1289" t="s">
        <v>1248</v>
      </c>
      <c r="D1289">
        <v>2599</v>
      </c>
      <c r="E1289">
        <v>1011</v>
      </c>
      <c r="F1289">
        <v>4</v>
      </c>
      <c r="G1289" t="s">
        <v>1499</v>
      </c>
      <c r="H1289" t="s">
        <v>9</v>
      </c>
      <c r="I1289" t="s">
        <v>492</v>
      </c>
      <c r="J1289" t="s">
        <v>1249</v>
      </c>
    </row>
    <row r="1290" spans="1:10">
      <c r="A1290">
        <v>51289</v>
      </c>
      <c r="B1290">
        <v>30746</v>
      </c>
      <c r="C1290" t="s">
        <v>840</v>
      </c>
      <c r="D1290">
        <v>2599</v>
      </c>
      <c r="E1290">
        <v>1014</v>
      </c>
      <c r="F1290">
        <v>2</v>
      </c>
      <c r="G1290" t="s">
        <v>1475</v>
      </c>
      <c r="H1290" t="s">
        <v>9</v>
      </c>
      <c r="I1290" t="s">
        <v>492</v>
      </c>
      <c r="J1290" t="s">
        <v>1166</v>
      </c>
    </row>
    <row r="1291" spans="1:10">
      <c r="A1291">
        <v>51290</v>
      </c>
      <c r="B1291">
        <v>30746</v>
      </c>
      <c r="C1291" t="s">
        <v>940</v>
      </c>
      <c r="D1291">
        <v>2599</v>
      </c>
      <c r="E1291">
        <v>1006</v>
      </c>
      <c r="F1291">
        <v>1</v>
      </c>
      <c r="G1291" t="s">
        <v>1459</v>
      </c>
      <c r="H1291" t="s">
        <v>9</v>
      </c>
      <c r="I1291" t="s">
        <v>938</v>
      </c>
      <c r="J1291" t="s">
        <v>492</v>
      </c>
    </row>
    <row r="1292" spans="1:10">
      <c r="A1292">
        <v>51291</v>
      </c>
      <c r="B1292">
        <v>30747</v>
      </c>
      <c r="C1292" t="s">
        <v>497</v>
      </c>
      <c r="D1292">
        <v>2005</v>
      </c>
      <c r="E1292">
        <v>1008</v>
      </c>
      <c r="F1292">
        <v>1</v>
      </c>
      <c r="G1292" t="s">
        <v>1447</v>
      </c>
      <c r="H1292" t="s">
        <v>9</v>
      </c>
      <c r="I1292" t="s">
        <v>61</v>
      </c>
      <c r="J1292" t="s">
        <v>15</v>
      </c>
    </row>
    <row r="1293" spans="1:10">
      <c r="A1293">
        <v>51292</v>
      </c>
      <c r="B1293">
        <v>30747</v>
      </c>
      <c r="C1293" t="s">
        <v>494</v>
      </c>
      <c r="D1293">
        <v>2005</v>
      </c>
      <c r="E1293">
        <v>1014</v>
      </c>
      <c r="F1293">
        <v>1</v>
      </c>
      <c r="G1293" t="s">
        <v>1463</v>
      </c>
      <c r="H1293" t="s">
        <v>9</v>
      </c>
      <c r="I1293" t="s">
        <v>1250</v>
      </c>
      <c r="J1293" t="s">
        <v>959</v>
      </c>
    </row>
    <row r="1294" spans="1:10">
      <c r="A1294">
        <v>51293</v>
      </c>
      <c r="B1294">
        <v>30748</v>
      </c>
      <c r="C1294" t="s">
        <v>51</v>
      </c>
      <c r="D1294">
        <v>2284</v>
      </c>
      <c r="E1294">
        <v>1005</v>
      </c>
      <c r="F1294">
        <v>1</v>
      </c>
      <c r="G1294" t="s">
        <v>1456</v>
      </c>
      <c r="H1294" t="s">
        <v>16</v>
      </c>
      <c r="I1294" t="s">
        <v>1421</v>
      </c>
      <c r="J1294" t="s">
        <v>1421</v>
      </c>
    </row>
    <row r="1295" spans="1:10">
      <c r="A1295">
        <v>51294</v>
      </c>
      <c r="B1295">
        <v>30749</v>
      </c>
      <c r="C1295" t="s">
        <v>426</v>
      </c>
      <c r="D1295">
        <v>2340</v>
      </c>
      <c r="E1295">
        <v>1015</v>
      </c>
      <c r="F1295">
        <v>3</v>
      </c>
      <c r="G1295" t="s">
        <v>1470</v>
      </c>
      <c r="H1295" t="s">
        <v>12</v>
      </c>
      <c r="I1295" t="s">
        <v>1421</v>
      </c>
      <c r="J1295" t="s">
        <v>1421</v>
      </c>
    </row>
    <row r="1296" spans="1:10">
      <c r="A1296">
        <v>51295</v>
      </c>
      <c r="B1296">
        <v>30750</v>
      </c>
      <c r="C1296" t="s">
        <v>1251</v>
      </c>
      <c r="D1296">
        <v>2457</v>
      </c>
      <c r="E1296">
        <v>1010</v>
      </c>
      <c r="F1296">
        <v>1</v>
      </c>
      <c r="G1296" t="s">
        <v>1468</v>
      </c>
      <c r="H1296" t="s">
        <v>9</v>
      </c>
      <c r="I1296" t="s">
        <v>435</v>
      </c>
      <c r="J1296" t="s">
        <v>608</v>
      </c>
    </row>
    <row r="1297" spans="1:10">
      <c r="A1297">
        <v>51296</v>
      </c>
      <c r="B1297">
        <v>30751</v>
      </c>
      <c r="C1297" t="s">
        <v>533</v>
      </c>
      <c r="D1297">
        <v>2499</v>
      </c>
      <c r="E1297">
        <v>1006</v>
      </c>
      <c r="F1297">
        <v>2</v>
      </c>
      <c r="G1297" t="s">
        <v>1501</v>
      </c>
      <c r="H1297" t="s">
        <v>9</v>
      </c>
      <c r="I1297" t="s">
        <v>1195</v>
      </c>
      <c r="J1297" t="s">
        <v>769</v>
      </c>
    </row>
    <row r="1298" spans="1:10">
      <c r="A1298">
        <v>51297</v>
      </c>
      <c r="B1298">
        <v>30752</v>
      </c>
      <c r="C1298" t="s">
        <v>294</v>
      </c>
      <c r="D1298">
        <v>2084</v>
      </c>
      <c r="E1298">
        <v>1005</v>
      </c>
      <c r="F1298">
        <v>1</v>
      </c>
      <c r="G1298" t="s">
        <v>1456</v>
      </c>
      <c r="H1298" t="s">
        <v>16</v>
      </c>
      <c r="I1298" t="s">
        <v>1421</v>
      </c>
      <c r="J1298" t="s">
        <v>1421</v>
      </c>
    </row>
    <row r="1299" spans="1:10">
      <c r="A1299">
        <v>51298</v>
      </c>
      <c r="B1299">
        <v>30752</v>
      </c>
      <c r="C1299" t="s">
        <v>294</v>
      </c>
      <c r="D1299">
        <v>2084</v>
      </c>
      <c r="E1299">
        <v>1007</v>
      </c>
      <c r="F1299">
        <v>1</v>
      </c>
      <c r="G1299" t="s">
        <v>1453</v>
      </c>
      <c r="H1299" t="s">
        <v>16</v>
      </c>
      <c r="I1299" t="s">
        <v>1421</v>
      </c>
      <c r="J1299" t="s">
        <v>1421</v>
      </c>
    </row>
    <row r="1300" spans="1:10">
      <c r="A1300">
        <v>51299</v>
      </c>
      <c r="B1300">
        <v>30753</v>
      </c>
      <c r="C1300" t="s">
        <v>538</v>
      </c>
      <c r="D1300">
        <v>2079</v>
      </c>
      <c r="E1300">
        <v>1001</v>
      </c>
      <c r="F1300">
        <v>1</v>
      </c>
      <c r="G1300" t="s">
        <v>1469</v>
      </c>
      <c r="H1300" t="s">
        <v>9</v>
      </c>
      <c r="I1300" t="s">
        <v>21</v>
      </c>
      <c r="J1300" t="s">
        <v>395</v>
      </c>
    </row>
    <row r="1301" spans="1:10">
      <c r="A1301">
        <v>51300</v>
      </c>
      <c r="B1301">
        <v>30753</v>
      </c>
      <c r="C1301" t="s">
        <v>1198</v>
      </c>
      <c r="D1301">
        <v>2079</v>
      </c>
      <c r="E1301">
        <v>1001</v>
      </c>
      <c r="F1301">
        <v>1</v>
      </c>
      <c r="G1301" t="s">
        <v>1469</v>
      </c>
      <c r="H1301" t="s">
        <v>9</v>
      </c>
      <c r="I1301" t="s">
        <v>823</v>
      </c>
      <c r="J1301" t="s">
        <v>890</v>
      </c>
    </row>
    <row r="1302" spans="1:10">
      <c r="A1302">
        <v>51301</v>
      </c>
      <c r="B1302">
        <v>30753</v>
      </c>
      <c r="C1302" t="s">
        <v>822</v>
      </c>
      <c r="D1302">
        <v>2079</v>
      </c>
      <c r="E1302">
        <v>1013</v>
      </c>
      <c r="F1302">
        <v>1</v>
      </c>
      <c r="G1302" t="s">
        <v>1474</v>
      </c>
      <c r="H1302" t="s">
        <v>9</v>
      </c>
      <c r="I1302" t="s">
        <v>446</v>
      </c>
      <c r="J1302" t="s">
        <v>887</v>
      </c>
    </row>
    <row r="1303" spans="1:10">
      <c r="A1303">
        <v>51302</v>
      </c>
      <c r="B1303">
        <v>30754</v>
      </c>
      <c r="C1303" t="s">
        <v>435</v>
      </c>
      <c r="D1303">
        <v>2218</v>
      </c>
      <c r="E1303">
        <v>1009</v>
      </c>
      <c r="F1303">
        <v>3</v>
      </c>
      <c r="G1303" t="s">
        <v>1461</v>
      </c>
      <c r="H1303" t="s">
        <v>12</v>
      </c>
      <c r="I1303" t="s">
        <v>1421</v>
      </c>
      <c r="J1303" t="s">
        <v>1421</v>
      </c>
    </row>
    <row r="1304" spans="1:10">
      <c r="A1304">
        <v>51303</v>
      </c>
      <c r="B1304">
        <v>30755</v>
      </c>
      <c r="C1304" t="s">
        <v>814</v>
      </c>
      <c r="D1304">
        <v>2557</v>
      </c>
      <c r="E1304">
        <v>1016</v>
      </c>
      <c r="F1304">
        <v>1</v>
      </c>
      <c r="G1304" t="s">
        <v>1465</v>
      </c>
      <c r="H1304" t="s">
        <v>12</v>
      </c>
      <c r="I1304" t="s">
        <v>1421</v>
      </c>
      <c r="J1304" t="s">
        <v>1421</v>
      </c>
    </row>
    <row r="1305" spans="1:10">
      <c r="A1305">
        <v>51304</v>
      </c>
      <c r="B1305">
        <v>30755</v>
      </c>
      <c r="C1305" t="s">
        <v>913</v>
      </c>
      <c r="D1305">
        <v>2557</v>
      </c>
      <c r="E1305">
        <v>1005</v>
      </c>
      <c r="F1305">
        <v>1</v>
      </c>
      <c r="G1305" t="s">
        <v>1456</v>
      </c>
      <c r="H1305" t="s">
        <v>12</v>
      </c>
      <c r="I1305" t="s">
        <v>1421</v>
      </c>
      <c r="J1305" t="s">
        <v>1421</v>
      </c>
    </row>
    <row r="1306" spans="1:10">
      <c r="A1306">
        <v>51305</v>
      </c>
      <c r="B1306">
        <v>30755</v>
      </c>
      <c r="C1306" t="s">
        <v>144</v>
      </c>
      <c r="D1306">
        <v>2557</v>
      </c>
      <c r="E1306">
        <v>1012</v>
      </c>
      <c r="F1306">
        <v>1</v>
      </c>
      <c r="G1306" t="s">
        <v>1449</v>
      </c>
      <c r="H1306" t="s">
        <v>12</v>
      </c>
      <c r="I1306" t="s">
        <v>1421</v>
      </c>
      <c r="J1306" t="s">
        <v>1421</v>
      </c>
    </row>
    <row r="1307" spans="1:10">
      <c r="A1307">
        <v>51306</v>
      </c>
      <c r="B1307">
        <v>30756</v>
      </c>
      <c r="C1307" t="s">
        <v>403</v>
      </c>
      <c r="D1307">
        <v>2402</v>
      </c>
      <c r="E1307">
        <v>1010</v>
      </c>
      <c r="F1307">
        <v>1</v>
      </c>
      <c r="G1307" t="s">
        <v>1468</v>
      </c>
      <c r="H1307" t="s">
        <v>9</v>
      </c>
      <c r="I1307" t="s">
        <v>1218</v>
      </c>
      <c r="J1307" t="s">
        <v>529</v>
      </c>
    </row>
    <row r="1308" spans="1:10">
      <c r="A1308">
        <v>51307</v>
      </c>
      <c r="B1308">
        <v>30756</v>
      </c>
      <c r="C1308" t="s">
        <v>33</v>
      </c>
      <c r="D1308">
        <v>2402</v>
      </c>
      <c r="E1308">
        <v>1005</v>
      </c>
      <c r="F1308">
        <v>2</v>
      </c>
      <c r="G1308" t="s">
        <v>1458</v>
      </c>
      <c r="H1308" t="s">
        <v>9</v>
      </c>
      <c r="I1308" t="s">
        <v>645</v>
      </c>
      <c r="J1308" t="s">
        <v>31</v>
      </c>
    </row>
    <row r="1309" spans="1:10">
      <c r="A1309">
        <v>51308</v>
      </c>
      <c r="B1309">
        <v>30757</v>
      </c>
      <c r="C1309" t="s">
        <v>331</v>
      </c>
      <c r="D1309">
        <v>2476</v>
      </c>
      <c r="E1309">
        <v>1003</v>
      </c>
      <c r="F1309">
        <v>1</v>
      </c>
      <c r="G1309" t="s">
        <v>1471</v>
      </c>
      <c r="H1309" t="s">
        <v>9</v>
      </c>
      <c r="I1309" t="s">
        <v>419</v>
      </c>
      <c r="J1309" t="s">
        <v>494</v>
      </c>
    </row>
    <row r="1310" spans="1:10">
      <c r="A1310">
        <v>51309</v>
      </c>
      <c r="B1310">
        <v>30757</v>
      </c>
      <c r="C1310" t="s">
        <v>424</v>
      </c>
      <c r="D1310">
        <v>2476</v>
      </c>
      <c r="E1310">
        <v>1013</v>
      </c>
      <c r="F1310">
        <v>1</v>
      </c>
      <c r="G1310" t="s">
        <v>1474</v>
      </c>
      <c r="H1310" t="s">
        <v>9</v>
      </c>
      <c r="I1310" t="s">
        <v>544</v>
      </c>
      <c r="J1310" t="s">
        <v>494</v>
      </c>
    </row>
    <row r="1311" spans="1:10">
      <c r="A1311">
        <v>51310</v>
      </c>
      <c r="B1311">
        <v>30758</v>
      </c>
      <c r="C1311" t="s">
        <v>528</v>
      </c>
      <c r="D1311">
        <v>2373</v>
      </c>
      <c r="E1311">
        <v>1008</v>
      </c>
      <c r="F1311">
        <v>1</v>
      </c>
      <c r="G1311" t="s">
        <v>1447</v>
      </c>
      <c r="H1311" t="s">
        <v>9</v>
      </c>
      <c r="I1311" t="s">
        <v>568</v>
      </c>
      <c r="J1311" t="s">
        <v>556</v>
      </c>
    </row>
    <row r="1312" spans="1:10">
      <c r="A1312">
        <v>51311</v>
      </c>
      <c r="B1312">
        <v>30758</v>
      </c>
      <c r="C1312" t="s">
        <v>340</v>
      </c>
      <c r="D1312">
        <v>2373</v>
      </c>
      <c r="E1312">
        <v>1006</v>
      </c>
      <c r="F1312">
        <v>1</v>
      </c>
      <c r="G1312" t="s">
        <v>1459</v>
      </c>
      <c r="H1312" t="s">
        <v>9</v>
      </c>
      <c r="I1312" t="s">
        <v>568</v>
      </c>
      <c r="J1312" t="s">
        <v>682</v>
      </c>
    </row>
    <row r="1313" spans="1:10">
      <c r="A1313">
        <v>51312</v>
      </c>
      <c r="B1313">
        <v>30758</v>
      </c>
      <c r="C1313" t="s">
        <v>337</v>
      </c>
      <c r="D1313">
        <v>2373</v>
      </c>
      <c r="E1313">
        <v>1005</v>
      </c>
      <c r="F1313">
        <v>1</v>
      </c>
      <c r="G1313" t="s">
        <v>1456</v>
      </c>
      <c r="H1313" t="s">
        <v>9</v>
      </c>
      <c r="I1313" t="s">
        <v>877</v>
      </c>
      <c r="J1313" t="s">
        <v>395</v>
      </c>
    </row>
    <row r="1314" spans="1:10">
      <c r="A1314">
        <v>51313</v>
      </c>
      <c r="B1314">
        <v>30759</v>
      </c>
      <c r="C1314" t="s">
        <v>135</v>
      </c>
      <c r="D1314">
        <v>2457</v>
      </c>
      <c r="E1314">
        <v>1005</v>
      </c>
      <c r="F1314">
        <v>1</v>
      </c>
      <c r="G1314" t="s">
        <v>1456</v>
      </c>
      <c r="H1314" t="s">
        <v>9</v>
      </c>
      <c r="I1314" t="s">
        <v>151</v>
      </c>
      <c r="J1314" t="s">
        <v>338</v>
      </c>
    </row>
    <row r="1315" spans="1:10">
      <c r="A1315">
        <v>51314</v>
      </c>
      <c r="B1315">
        <v>30760</v>
      </c>
      <c r="C1315" t="s">
        <v>893</v>
      </c>
      <c r="D1315">
        <v>2496</v>
      </c>
      <c r="E1315">
        <v>1002</v>
      </c>
      <c r="F1315">
        <v>2</v>
      </c>
      <c r="G1315" t="s">
        <v>1482</v>
      </c>
      <c r="H1315" t="s">
        <v>12</v>
      </c>
      <c r="I1315" t="s">
        <v>1421</v>
      </c>
      <c r="J1315" t="s">
        <v>1421</v>
      </c>
    </row>
    <row r="1316" spans="1:10">
      <c r="A1316">
        <v>51315</v>
      </c>
      <c r="B1316">
        <v>30761</v>
      </c>
      <c r="C1316" t="s">
        <v>1144</v>
      </c>
      <c r="D1316">
        <v>2225</v>
      </c>
      <c r="E1316">
        <v>1008</v>
      </c>
      <c r="F1316">
        <v>2</v>
      </c>
      <c r="G1316" t="s">
        <v>1520</v>
      </c>
      <c r="H1316" t="s">
        <v>16</v>
      </c>
      <c r="I1316" t="s">
        <v>951</v>
      </c>
      <c r="J1316" t="s">
        <v>1421</v>
      </c>
    </row>
    <row r="1317" spans="1:10">
      <c r="A1317">
        <v>51316</v>
      </c>
      <c r="B1317">
        <v>30762</v>
      </c>
      <c r="C1317" t="s">
        <v>953</v>
      </c>
      <c r="D1317">
        <v>2379</v>
      </c>
      <c r="E1317">
        <v>1007</v>
      </c>
      <c r="F1317">
        <v>2</v>
      </c>
      <c r="G1317" t="s">
        <v>1455</v>
      </c>
      <c r="H1317" t="s">
        <v>1457</v>
      </c>
      <c r="I1317" t="s">
        <v>51</v>
      </c>
      <c r="J1317" t="s">
        <v>1176</v>
      </c>
    </row>
    <row r="1318" spans="1:10">
      <c r="A1318">
        <v>51317</v>
      </c>
      <c r="B1318">
        <v>30763</v>
      </c>
      <c r="C1318" t="s">
        <v>1186</v>
      </c>
      <c r="D1318">
        <v>2531</v>
      </c>
      <c r="E1318">
        <v>1012</v>
      </c>
      <c r="F1318">
        <v>1</v>
      </c>
      <c r="G1318" t="s">
        <v>1449</v>
      </c>
      <c r="H1318" t="s">
        <v>12</v>
      </c>
      <c r="I1318" t="s">
        <v>1421</v>
      </c>
      <c r="J1318" t="s">
        <v>1421</v>
      </c>
    </row>
    <row r="1319" spans="1:10">
      <c r="A1319">
        <v>51318</v>
      </c>
      <c r="B1319">
        <v>30764</v>
      </c>
      <c r="C1319" t="s">
        <v>1201</v>
      </c>
      <c r="D1319">
        <v>2398</v>
      </c>
      <c r="E1319">
        <v>1015</v>
      </c>
      <c r="F1319">
        <v>1</v>
      </c>
      <c r="G1319" t="s">
        <v>1478</v>
      </c>
      <c r="H1319" t="s">
        <v>9</v>
      </c>
      <c r="I1319" t="s">
        <v>1106</v>
      </c>
      <c r="J1319" t="s">
        <v>213</v>
      </c>
    </row>
    <row r="1320" spans="1:10">
      <c r="A1320">
        <v>51319</v>
      </c>
      <c r="B1320">
        <v>30764</v>
      </c>
      <c r="C1320" t="s">
        <v>1201</v>
      </c>
      <c r="D1320">
        <v>2398</v>
      </c>
      <c r="E1320">
        <v>1002</v>
      </c>
      <c r="F1320">
        <v>1</v>
      </c>
      <c r="G1320" t="s">
        <v>1466</v>
      </c>
      <c r="H1320" t="s">
        <v>9</v>
      </c>
      <c r="I1320" t="s">
        <v>983</v>
      </c>
      <c r="J1320" t="s">
        <v>84</v>
      </c>
    </row>
    <row r="1321" spans="1:10">
      <c r="A1321">
        <v>51320</v>
      </c>
      <c r="B1321">
        <v>30765</v>
      </c>
      <c r="C1321" t="s">
        <v>173</v>
      </c>
      <c r="D1321">
        <v>2041</v>
      </c>
      <c r="E1321">
        <v>1011</v>
      </c>
      <c r="F1321">
        <v>5</v>
      </c>
      <c r="G1321" t="s">
        <v>1516</v>
      </c>
      <c r="H1321" t="s">
        <v>11</v>
      </c>
      <c r="I1321" t="s">
        <v>533</v>
      </c>
      <c r="J1321" t="s">
        <v>137</v>
      </c>
    </row>
    <row r="1322" spans="1:10">
      <c r="A1322">
        <v>51321</v>
      </c>
      <c r="B1322">
        <v>30766</v>
      </c>
      <c r="C1322" t="s">
        <v>1069</v>
      </c>
      <c r="D1322">
        <v>2106</v>
      </c>
      <c r="E1322">
        <v>1009</v>
      </c>
      <c r="F1322">
        <v>4</v>
      </c>
      <c r="G1322" t="s">
        <v>1494</v>
      </c>
      <c r="H1322" t="s">
        <v>9</v>
      </c>
      <c r="I1322" t="s">
        <v>192</v>
      </c>
      <c r="J1322" t="s">
        <v>1112</v>
      </c>
    </row>
    <row r="1323" spans="1:10">
      <c r="A1323">
        <v>51322</v>
      </c>
      <c r="B1323">
        <v>30766</v>
      </c>
      <c r="C1323" t="s">
        <v>922</v>
      </c>
      <c r="D1323">
        <v>2106</v>
      </c>
      <c r="E1323">
        <v>1009</v>
      </c>
      <c r="F1323">
        <v>1</v>
      </c>
      <c r="G1323" t="s">
        <v>1473</v>
      </c>
      <c r="H1323" t="s">
        <v>9</v>
      </c>
      <c r="I1323" t="s">
        <v>192</v>
      </c>
      <c r="J1323" t="s">
        <v>661</v>
      </c>
    </row>
    <row r="1324" spans="1:10">
      <c r="A1324">
        <v>51323</v>
      </c>
      <c r="B1324">
        <v>30766</v>
      </c>
      <c r="C1324" t="s">
        <v>1069</v>
      </c>
      <c r="D1324">
        <v>2106</v>
      </c>
      <c r="E1324">
        <v>1006</v>
      </c>
      <c r="F1324">
        <v>1</v>
      </c>
      <c r="G1324" t="s">
        <v>1459</v>
      </c>
      <c r="H1324" t="s">
        <v>9</v>
      </c>
      <c r="I1324" t="s">
        <v>146</v>
      </c>
      <c r="J1324" t="s">
        <v>1112</v>
      </c>
    </row>
    <row r="1325" spans="1:10">
      <c r="A1325">
        <v>51324</v>
      </c>
      <c r="B1325">
        <v>30767</v>
      </c>
      <c r="C1325" t="s">
        <v>281</v>
      </c>
      <c r="D1325">
        <v>2386</v>
      </c>
      <c r="E1325">
        <v>1012</v>
      </c>
      <c r="F1325">
        <v>1</v>
      </c>
      <c r="G1325" t="s">
        <v>1449</v>
      </c>
      <c r="H1325" t="s">
        <v>9</v>
      </c>
      <c r="I1325" t="s">
        <v>114</v>
      </c>
      <c r="J1325" t="s">
        <v>1047</v>
      </c>
    </row>
    <row r="1326" spans="1:10">
      <c r="A1326">
        <v>51325</v>
      </c>
      <c r="B1326">
        <v>30768</v>
      </c>
      <c r="C1326" t="s">
        <v>549</v>
      </c>
      <c r="D1326">
        <v>2080</v>
      </c>
      <c r="E1326">
        <v>1013</v>
      </c>
      <c r="F1326">
        <v>1</v>
      </c>
      <c r="G1326" t="s">
        <v>1474</v>
      </c>
      <c r="H1326" t="s">
        <v>9</v>
      </c>
      <c r="I1326" t="s">
        <v>279</v>
      </c>
      <c r="J1326" t="s">
        <v>271</v>
      </c>
    </row>
    <row r="1327" spans="1:10">
      <c r="A1327">
        <v>51326</v>
      </c>
      <c r="B1327">
        <v>30769</v>
      </c>
      <c r="C1327" t="s">
        <v>299</v>
      </c>
      <c r="D1327">
        <v>2229</v>
      </c>
      <c r="E1327">
        <v>1012</v>
      </c>
      <c r="F1327">
        <v>3</v>
      </c>
      <c r="G1327" t="s">
        <v>1448</v>
      </c>
      <c r="H1327" t="s">
        <v>9</v>
      </c>
      <c r="I1327" t="s">
        <v>224</v>
      </c>
      <c r="J1327" t="s">
        <v>1252</v>
      </c>
    </row>
    <row r="1328" spans="1:10">
      <c r="A1328">
        <v>51327</v>
      </c>
      <c r="B1328">
        <v>30769</v>
      </c>
      <c r="C1328" t="s">
        <v>1109</v>
      </c>
      <c r="D1328">
        <v>2229</v>
      </c>
      <c r="E1328">
        <v>1012</v>
      </c>
      <c r="F1328">
        <v>2</v>
      </c>
      <c r="G1328" t="s">
        <v>1450</v>
      </c>
      <c r="H1328" t="s">
        <v>9</v>
      </c>
      <c r="I1328" t="s">
        <v>692</v>
      </c>
      <c r="J1328" t="s">
        <v>857</v>
      </c>
    </row>
    <row r="1329" spans="1:10">
      <c r="A1329">
        <v>51328</v>
      </c>
      <c r="B1329">
        <v>30770</v>
      </c>
      <c r="C1329" t="s">
        <v>776</v>
      </c>
      <c r="D1329">
        <v>2499</v>
      </c>
      <c r="E1329">
        <v>1001</v>
      </c>
      <c r="F1329">
        <v>1</v>
      </c>
      <c r="G1329" t="s">
        <v>1469</v>
      </c>
      <c r="H1329" t="s">
        <v>16</v>
      </c>
      <c r="I1329" t="s">
        <v>1421</v>
      </c>
      <c r="J1329" t="s">
        <v>1421</v>
      </c>
    </row>
    <row r="1330" spans="1:10">
      <c r="A1330">
        <v>51329</v>
      </c>
      <c r="B1330">
        <v>30771</v>
      </c>
      <c r="C1330" t="s">
        <v>334</v>
      </c>
      <c r="D1330">
        <v>2143</v>
      </c>
      <c r="E1330">
        <v>1008</v>
      </c>
      <c r="F1330">
        <v>1</v>
      </c>
      <c r="G1330" t="s">
        <v>1447</v>
      </c>
      <c r="H1330" t="s">
        <v>9</v>
      </c>
      <c r="I1330" t="s">
        <v>647</v>
      </c>
      <c r="J1330" t="s">
        <v>1021</v>
      </c>
    </row>
    <row r="1331" spans="1:10">
      <c r="A1331">
        <v>51330</v>
      </c>
      <c r="B1331">
        <v>30771</v>
      </c>
      <c r="C1331" t="s">
        <v>1218</v>
      </c>
      <c r="D1331">
        <v>2143</v>
      </c>
      <c r="E1331">
        <v>1003</v>
      </c>
      <c r="F1331">
        <v>3</v>
      </c>
      <c r="G1331" t="s">
        <v>1507</v>
      </c>
      <c r="H1331" t="s">
        <v>9</v>
      </c>
      <c r="I1331" t="s">
        <v>126</v>
      </c>
      <c r="J1331" t="s">
        <v>643</v>
      </c>
    </row>
    <row r="1332" spans="1:10">
      <c r="A1332">
        <v>51331</v>
      </c>
      <c r="B1332">
        <v>30772</v>
      </c>
      <c r="C1332" t="s">
        <v>385</v>
      </c>
      <c r="D1332">
        <v>2527</v>
      </c>
      <c r="E1332">
        <v>1007</v>
      </c>
      <c r="F1332">
        <v>3</v>
      </c>
      <c r="G1332" t="s">
        <v>1446</v>
      </c>
      <c r="H1332" t="s">
        <v>9</v>
      </c>
      <c r="I1332" t="s">
        <v>387</v>
      </c>
      <c r="J1332" t="s">
        <v>1253</v>
      </c>
    </row>
    <row r="1333" spans="1:10">
      <c r="A1333">
        <v>51332</v>
      </c>
      <c r="B1333">
        <v>30772</v>
      </c>
      <c r="C1333" t="s">
        <v>580</v>
      </c>
      <c r="D1333">
        <v>2527</v>
      </c>
      <c r="E1333">
        <v>1005</v>
      </c>
      <c r="F1333">
        <v>2</v>
      </c>
      <c r="G1333" t="s">
        <v>1458</v>
      </c>
      <c r="H1333" t="s">
        <v>9</v>
      </c>
      <c r="I1333" t="s">
        <v>383</v>
      </c>
      <c r="J1333" t="s">
        <v>969</v>
      </c>
    </row>
    <row r="1334" spans="1:10">
      <c r="A1334">
        <v>51333</v>
      </c>
      <c r="B1334">
        <v>30773</v>
      </c>
      <c r="C1334" t="s">
        <v>76</v>
      </c>
      <c r="D1334">
        <v>2192</v>
      </c>
      <c r="E1334">
        <v>1004</v>
      </c>
      <c r="F1334">
        <v>2</v>
      </c>
      <c r="G1334" t="s">
        <v>1476</v>
      </c>
      <c r="H1334" t="s">
        <v>9</v>
      </c>
      <c r="I1334" t="s">
        <v>827</v>
      </c>
      <c r="J1334" t="s">
        <v>163</v>
      </c>
    </row>
    <row r="1335" spans="1:10">
      <c r="A1335">
        <v>51334</v>
      </c>
      <c r="B1335">
        <v>30773</v>
      </c>
      <c r="C1335" t="s">
        <v>981</v>
      </c>
      <c r="D1335">
        <v>2192</v>
      </c>
      <c r="E1335">
        <v>1008</v>
      </c>
      <c r="F1335">
        <v>2</v>
      </c>
      <c r="G1335" t="s">
        <v>1520</v>
      </c>
      <c r="H1335" t="s">
        <v>9</v>
      </c>
      <c r="I1335" t="s">
        <v>830</v>
      </c>
      <c r="J1335" t="s">
        <v>1254</v>
      </c>
    </row>
    <row r="1336" spans="1:10">
      <c r="A1336">
        <v>51335</v>
      </c>
      <c r="B1336">
        <v>30773</v>
      </c>
      <c r="C1336" t="s">
        <v>1095</v>
      </c>
      <c r="D1336">
        <v>2192</v>
      </c>
      <c r="E1336">
        <v>1014</v>
      </c>
      <c r="F1336">
        <v>3</v>
      </c>
      <c r="G1336" t="s">
        <v>1505</v>
      </c>
      <c r="H1336" t="s">
        <v>9</v>
      </c>
      <c r="I1336" t="s">
        <v>156</v>
      </c>
      <c r="J1336" t="s">
        <v>832</v>
      </c>
    </row>
    <row r="1337" spans="1:10">
      <c r="A1337">
        <v>51336</v>
      </c>
      <c r="B1337">
        <v>30773</v>
      </c>
      <c r="C1337" t="s">
        <v>981</v>
      </c>
      <c r="D1337">
        <v>2192</v>
      </c>
      <c r="E1337">
        <v>1011</v>
      </c>
      <c r="F1337">
        <v>2</v>
      </c>
      <c r="G1337" t="s">
        <v>1487</v>
      </c>
      <c r="H1337" t="s">
        <v>9</v>
      </c>
      <c r="I1337" t="s">
        <v>997</v>
      </c>
      <c r="J1337" t="s">
        <v>1060</v>
      </c>
    </row>
    <row r="1338" spans="1:10">
      <c r="A1338">
        <v>51337</v>
      </c>
      <c r="B1338">
        <v>30774</v>
      </c>
      <c r="C1338" t="s">
        <v>1203</v>
      </c>
      <c r="D1338">
        <v>2117</v>
      </c>
      <c r="E1338">
        <v>1016</v>
      </c>
      <c r="F1338">
        <v>1</v>
      </c>
      <c r="G1338" t="s">
        <v>1465</v>
      </c>
      <c r="H1338" t="s">
        <v>9</v>
      </c>
      <c r="I1338" t="s">
        <v>78</v>
      </c>
      <c r="J1338" t="s">
        <v>1255</v>
      </c>
    </row>
    <row r="1339" spans="1:10">
      <c r="A1339">
        <v>51338</v>
      </c>
      <c r="B1339">
        <v>30775</v>
      </c>
      <c r="C1339" t="s">
        <v>19</v>
      </c>
      <c r="D1339">
        <v>2491</v>
      </c>
      <c r="E1339">
        <v>1006</v>
      </c>
      <c r="F1339">
        <v>2</v>
      </c>
      <c r="G1339" t="s">
        <v>1501</v>
      </c>
      <c r="H1339" t="s">
        <v>9</v>
      </c>
      <c r="I1339" t="s">
        <v>242</v>
      </c>
      <c r="J1339" t="s">
        <v>387</v>
      </c>
    </row>
    <row r="1340" spans="1:10">
      <c r="A1340">
        <v>51339</v>
      </c>
      <c r="B1340">
        <v>30776</v>
      </c>
      <c r="C1340" t="s">
        <v>1240</v>
      </c>
      <c r="D1340">
        <v>2421</v>
      </c>
      <c r="E1340">
        <v>1002</v>
      </c>
      <c r="F1340">
        <v>1</v>
      </c>
      <c r="G1340" t="s">
        <v>1466</v>
      </c>
      <c r="H1340" t="s">
        <v>9</v>
      </c>
      <c r="I1340" t="s">
        <v>1256</v>
      </c>
      <c r="J1340" t="s">
        <v>1131</v>
      </c>
    </row>
    <row r="1341" spans="1:10">
      <c r="A1341">
        <v>51340</v>
      </c>
      <c r="B1341">
        <v>30777</v>
      </c>
      <c r="C1341" t="s">
        <v>816</v>
      </c>
      <c r="D1341">
        <v>2131</v>
      </c>
      <c r="E1341">
        <v>1006</v>
      </c>
      <c r="F1341">
        <v>1</v>
      </c>
      <c r="G1341" t="s">
        <v>1459</v>
      </c>
      <c r="H1341" t="s">
        <v>9</v>
      </c>
      <c r="I1341" t="s">
        <v>1115</v>
      </c>
      <c r="J1341" t="s">
        <v>1216</v>
      </c>
    </row>
    <row r="1342" spans="1:10">
      <c r="A1342">
        <v>51341</v>
      </c>
      <c r="B1342">
        <v>30778</v>
      </c>
      <c r="C1342" t="s">
        <v>76</v>
      </c>
      <c r="D1342">
        <v>2138</v>
      </c>
      <c r="E1342">
        <v>1002</v>
      </c>
      <c r="F1342">
        <v>1</v>
      </c>
      <c r="G1342" t="s">
        <v>1466</v>
      </c>
      <c r="H1342" t="s">
        <v>9</v>
      </c>
      <c r="I1342" t="s">
        <v>162</v>
      </c>
      <c r="J1342" t="s">
        <v>1179</v>
      </c>
    </row>
    <row r="1343" spans="1:10">
      <c r="A1343">
        <v>51342</v>
      </c>
      <c r="B1343">
        <v>30779</v>
      </c>
      <c r="C1343" t="s">
        <v>708</v>
      </c>
      <c r="D1343">
        <v>2587</v>
      </c>
      <c r="E1343">
        <v>1006</v>
      </c>
      <c r="F1343">
        <v>1</v>
      </c>
      <c r="G1343" t="s">
        <v>1459</v>
      </c>
      <c r="H1343" t="s">
        <v>9</v>
      </c>
      <c r="I1343" t="s">
        <v>110</v>
      </c>
      <c r="J1343" t="s">
        <v>1257</v>
      </c>
    </row>
    <row r="1344" spans="1:10">
      <c r="A1344">
        <v>51343</v>
      </c>
      <c r="B1344">
        <v>30779</v>
      </c>
      <c r="C1344" t="s">
        <v>708</v>
      </c>
      <c r="D1344">
        <v>2587</v>
      </c>
      <c r="E1344">
        <v>1009</v>
      </c>
      <c r="F1344">
        <v>3</v>
      </c>
      <c r="G1344" t="s">
        <v>1461</v>
      </c>
      <c r="H1344" t="s">
        <v>9</v>
      </c>
      <c r="I1344" t="s">
        <v>1258</v>
      </c>
      <c r="J1344" t="s">
        <v>201</v>
      </c>
    </row>
    <row r="1345" spans="1:10">
      <c r="A1345">
        <v>51344</v>
      </c>
      <c r="B1345">
        <v>30779</v>
      </c>
      <c r="C1345" t="s">
        <v>901</v>
      </c>
      <c r="D1345">
        <v>2587</v>
      </c>
      <c r="E1345">
        <v>1006</v>
      </c>
      <c r="F1345">
        <v>2</v>
      </c>
      <c r="G1345" t="s">
        <v>1501</v>
      </c>
      <c r="H1345" t="s">
        <v>9</v>
      </c>
      <c r="I1345" t="s">
        <v>117</v>
      </c>
      <c r="J1345" t="s">
        <v>618</v>
      </c>
    </row>
    <row r="1346" spans="1:10">
      <c r="A1346">
        <v>51345</v>
      </c>
      <c r="B1346">
        <v>30780</v>
      </c>
      <c r="C1346" t="s">
        <v>52</v>
      </c>
      <c r="D1346">
        <v>2530</v>
      </c>
      <c r="E1346">
        <v>1001</v>
      </c>
      <c r="F1346">
        <v>1</v>
      </c>
      <c r="G1346" t="s">
        <v>1469</v>
      </c>
      <c r="H1346" t="s">
        <v>11</v>
      </c>
      <c r="I1346" t="s">
        <v>71</v>
      </c>
      <c r="J1346" t="s">
        <v>547</v>
      </c>
    </row>
    <row r="1347" spans="1:10">
      <c r="A1347">
        <v>51346</v>
      </c>
      <c r="B1347">
        <v>30781</v>
      </c>
      <c r="C1347" t="s">
        <v>352</v>
      </c>
      <c r="D1347">
        <v>2291</v>
      </c>
      <c r="E1347">
        <v>1007</v>
      </c>
      <c r="F1347">
        <v>1</v>
      </c>
      <c r="G1347" t="s">
        <v>1453</v>
      </c>
      <c r="H1347" t="s">
        <v>11</v>
      </c>
      <c r="I1347" t="s">
        <v>1005</v>
      </c>
      <c r="J1347" t="s">
        <v>144</v>
      </c>
    </row>
    <row r="1348" spans="1:10">
      <c r="A1348">
        <v>51347</v>
      </c>
      <c r="B1348">
        <v>30781</v>
      </c>
      <c r="C1348" t="s">
        <v>1259</v>
      </c>
      <c r="D1348">
        <v>2291</v>
      </c>
      <c r="E1348">
        <v>1015</v>
      </c>
      <c r="F1348">
        <v>1</v>
      </c>
      <c r="G1348" t="s">
        <v>1478</v>
      </c>
      <c r="H1348" t="s">
        <v>11</v>
      </c>
      <c r="I1348" t="s">
        <v>1005</v>
      </c>
      <c r="J1348" t="s">
        <v>90</v>
      </c>
    </row>
    <row r="1349" spans="1:10">
      <c r="A1349">
        <v>51348</v>
      </c>
      <c r="B1349">
        <v>30782</v>
      </c>
      <c r="C1349" t="s">
        <v>1098</v>
      </c>
      <c r="D1349">
        <v>2483</v>
      </c>
      <c r="E1349">
        <v>1006</v>
      </c>
      <c r="F1349">
        <v>3</v>
      </c>
      <c r="G1349" t="s">
        <v>1493</v>
      </c>
      <c r="H1349" t="s">
        <v>12</v>
      </c>
      <c r="I1349" t="s">
        <v>1421</v>
      </c>
      <c r="J1349" t="s">
        <v>1421</v>
      </c>
    </row>
    <row r="1350" spans="1:10">
      <c r="A1350">
        <v>51349</v>
      </c>
      <c r="B1350">
        <v>30782</v>
      </c>
      <c r="C1350" t="s">
        <v>799</v>
      </c>
      <c r="D1350">
        <v>2483</v>
      </c>
      <c r="E1350">
        <v>1008</v>
      </c>
      <c r="F1350">
        <v>1</v>
      </c>
      <c r="G1350" t="s">
        <v>1447</v>
      </c>
      <c r="H1350" t="s">
        <v>12</v>
      </c>
      <c r="I1350" t="s">
        <v>1421</v>
      </c>
      <c r="J1350" t="s">
        <v>1421</v>
      </c>
    </row>
    <row r="1351" spans="1:10">
      <c r="A1351">
        <v>51350</v>
      </c>
      <c r="B1351">
        <v>30783</v>
      </c>
      <c r="C1351" t="s">
        <v>415</v>
      </c>
      <c r="D1351">
        <v>2421</v>
      </c>
      <c r="E1351">
        <v>1006</v>
      </c>
      <c r="F1351">
        <v>1</v>
      </c>
      <c r="G1351" t="s">
        <v>1459</v>
      </c>
      <c r="H1351" t="s">
        <v>9</v>
      </c>
      <c r="I1351" t="s">
        <v>763</v>
      </c>
      <c r="J1351" t="s">
        <v>1009</v>
      </c>
    </row>
    <row r="1352" spans="1:10">
      <c r="A1352">
        <v>51351</v>
      </c>
      <c r="B1352">
        <v>30784</v>
      </c>
      <c r="C1352" t="s">
        <v>72</v>
      </c>
      <c r="D1352">
        <v>2524</v>
      </c>
      <c r="E1352">
        <v>1011</v>
      </c>
      <c r="F1352">
        <v>1</v>
      </c>
      <c r="G1352" t="s">
        <v>1472</v>
      </c>
      <c r="H1352" t="s">
        <v>9</v>
      </c>
      <c r="I1352" t="s">
        <v>98</v>
      </c>
      <c r="J1352" t="s">
        <v>245</v>
      </c>
    </row>
    <row r="1353" spans="1:10">
      <c r="A1353">
        <v>51352</v>
      </c>
      <c r="B1353">
        <v>30785</v>
      </c>
      <c r="C1353" t="s">
        <v>237</v>
      </c>
      <c r="D1353">
        <v>2465</v>
      </c>
      <c r="E1353">
        <v>1003</v>
      </c>
      <c r="F1353">
        <v>1</v>
      </c>
      <c r="G1353" t="s">
        <v>1471</v>
      </c>
      <c r="H1353" t="s">
        <v>9</v>
      </c>
      <c r="I1353" t="s">
        <v>500</v>
      </c>
      <c r="J1353" t="s">
        <v>976</v>
      </c>
    </row>
    <row r="1354" spans="1:10">
      <c r="A1354">
        <v>51353</v>
      </c>
      <c r="B1354">
        <v>30786</v>
      </c>
      <c r="C1354" t="s">
        <v>349</v>
      </c>
      <c r="D1354">
        <v>2236</v>
      </c>
      <c r="E1354">
        <v>1005</v>
      </c>
      <c r="F1354">
        <v>1</v>
      </c>
      <c r="G1354" t="s">
        <v>1456</v>
      </c>
      <c r="H1354" t="s">
        <v>9</v>
      </c>
      <c r="I1354" t="s">
        <v>376</v>
      </c>
      <c r="J1354" t="s">
        <v>456</v>
      </c>
    </row>
    <row r="1355" spans="1:10">
      <c r="A1355">
        <v>51354</v>
      </c>
      <c r="B1355">
        <v>30786</v>
      </c>
      <c r="C1355" t="s">
        <v>216</v>
      </c>
      <c r="D1355">
        <v>2236</v>
      </c>
      <c r="E1355">
        <v>1004</v>
      </c>
      <c r="F1355">
        <v>2</v>
      </c>
      <c r="G1355" t="s">
        <v>1476</v>
      </c>
      <c r="H1355" t="s">
        <v>9</v>
      </c>
      <c r="I1355" t="s">
        <v>1001</v>
      </c>
      <c r="J1355" t="s">
        <v>603</v>
      </c>
    </row>
    <row r="1356" spans="1:10">
      <c r="A1356">
        <v>51355</v>
      </c>
      <c r="B1356">
        <v>30787</v>
      </c>
      <c r="C1356" t="s">
        <v>370</v>
      </c>
      <c r="D1356">
        <v>2017</v>
      </c>
      <c r="E1356">
        <v>1014</v>
      </c>
      <c r="F1356">
        <v>1</v>
      </c>
      <c r="G1356" t="s">
        <v>1463</v>
      </c>
      <c r="H1356" t="s">
        <v>9</v>
      </c>
      <c r="I1356" t="s">
        <v>953</v>
      </c>
      <c r="J1356" t="s">
        <v>668</v>
      </c>
    </row>
    <row r="1357" spans="1:10">
      <c r="A1357">
        <v>51356</v>
      </c>
      <c r="B1357">
        <v>30787</v>
      </c>
      <c r="C1357" t="s">
        <v>370</v>
      </c>
      <c r="D1357">
        <v>2017</v>
      </c>
      <c r="E1357">
        <v>1005</v>
      </c>
      <c r="F1357">
        <v>1</v>
      </c>
      <c r="G1357" t="s">
        <v>1456</v>
      </c>
      <c r="H1357" t="s">
        <v>9</v>
      </c>
      <c r="I1357" t="s">
        <v>136</v>
      </c>
      <c r="J1357" t="s">
        <v>983</v>
      </c>
    </row>
    <row r="1358" spans="1:10">
      <c r="A1358">
        <v>51357</v>
      </c>
      <c r="B1358">
        <v>30788</v>
      </c>
      <c r="C1358" t="s">
        <v>690</v>
      </c>
      <c r="D1358">
        <v>2099</v>
      </c>
      <c r="E1358">
        <v>1002</v>
      </c>
      <c r="F1358">
        <v>3</v>
      </c>
      <c r="G1358" t="s">
        <v>1508</v>
      </c>
      <c r="H1358" t="s">
        <v>9</v>
      </c>
      <c r="I1358" t="s">
        <v>724</v>
      </c>
      <c r="J1358" t="s">
        <v>1222</v>
      </c>
    </row>
    <row r="1359" spans="1:10">
      <c r="A1359">
        <v>51358</v>
      </c>
      <c r="B1359">
        <v>30789</v>
      </c>
      <c r="C1359" t="s">
        <v>861</v>
      </c>
      <c r="D1359">
        <v>2545</v>
      </c>
      <c r="E1359">
        <v>1004</v>
      </c>
      <c r="F1359">
        <v>1</v>
      </c>
      <c r="G1359" t="s">
        <v>1452</v>
      </c>
      <c r="H1359" t="s">
        <v>9</v>
      </c>
      <c r="I1359" t="s">
        <v>1107</v>
      </c>
      <c r="J1359" t="s">
        <v>1252</v>
      </c>
    </row>
    <row r="1360" spans="1:10">
      <c r="A1360">
        <v>51359</v>
      </c>
      <c r="B1360">
        <v>30789</v>
      </c>
      <c r="C1360" t="s">
        <v>933</v>
      </c>
      <c r="D1360">
        <v>2545</v>
      </c>
      <c r="E1360">
        <v>1003</v>
      </c>
      <c r="F1360">
        <v>1</v>
      </c>
      <c r="G1360" t="s">
        <v>1471</v>
      </c>
      <c r="H1360" t="s">
        <v>9</v>
      </c>
      <c r="I1360" t="s">
        <v>859</v>
      </c>
      <c r="J1360" t="s">
        <v>872</v>
      </c>
    </row>
    <row r="1361" spans="1:10">
      <c r="A1361">
        <v>51360</v>
      </c>
      <c r="B1361">
        <v>30790</v>
      </c>
      <c r="C1361" t="s">
        <v>383</v>
      </c>
      <c r="D1361">
        <v>2494</v>
      </c>
      <c r="E1361">
        <v>1001</v>
      </c>
      <c r="F1361">
        <v>2</v>
      </c>
      <c r="G1361" t="s">
        <v>1460</v>
      </c>
      <c r="H1361" t="s">
        <v>9</v>
      </c>
      <c r="I1361" t="s">
        <v>601</v>
      </c>
      <c r="J1361" t="s">
        <v>96</v>
      </c>
    </row>
    <row r="1362" spans="1:10">
      <c r="A1362">
        <v>51361</v>
      </c>
      <c r="B1362">
        <v>30791</v>
      </c>
      <c r="C1362" t="s">
        <v>651</v>
      </c>
      <c r="D1362">
        <v>2442</v>
      </c>
      <c r="E1362">
        <v>1012</v>
      </c>
      <c r="F1362">
        <v>2</v>
      </c>
      <c r="G1362" t="s">
        <v>1450</v>
      </c>
      <c r="H1362" t="s">
        <v>9</v>
      </c>
      <c r="I1362" t="s">
        <v>694</v>
      </c>
      <c r="J1362" t="s">
        <v>828</v>
      </c>
    </row>
    <row r="1363" spans="1:10">
      <c r="A1363">
        <v>51362</v>
      </c>
      <c r="B1363">
        <v>30791</v>
      </c>
      <c r="C1363" t="s">
        <v>573</v>
      </c>
      <c r="D1363">
        <v>2442</v>
      </c>
      <c r="E1363">
        <v>1002</v>
      </c>
      <c r="F1363">
        <v>3</v>
      </c>
      <c r="G1363" t="s">
        <v>1508</v>
      </c>
      <c r="H1363" t="s">
        <v>9</v>
      </c>
      <c r="I1363" t="s">
        <v>451</v>
      </c>
      <c r="J1363" t="s">
        <v>76</v>
      </c>
    </row>
    <row r="1364" spans="1:10">
      <c r="A1364">
        <v>51363</v>
      </c>
      <c r="B1364">
        <v>30791</v>
      </c>
      <c r="C1364" t="s">
        <v>1117</v>
      </c>
      <c r="D1364">
        <v>2442</v>
      </c>
      <c r="E1364">
        <v>1014</v>
      </c>
      <c r="F1364">
        <v>2</v>
      </c>
      <c r="G1364" t="s">
        <v>1475</v>
      </c>
      <c r="H1364" t="s">
        <v>9</v>
      </c>
      <c r="I1364" t="s">
        <v>451</v>
      </c>
      <c r="J1364" t="s">
        <v>107</v>
      </c>
    </row>
    <row r="1365" spans="1:10">
      <c r="A1365">
        <v>51364</v>
      </c>
      <c r="B1365">
        <v>30791</v>
      </c>
      <c r="C1365" t="s">
        <v>573</v>
      </c>
      <c r="D1365">
        <v>2442</v>
      </c>
      <c r="E1365">
        <v>1008</v>
      </c>
      <c r="F1365">
        <v>1</v>
      </c>
      <c r="G1365" t="s">
        <v>1447</v>
      </c>
      <c r="H1365" t="s">
        <v>9</v>
      </c>
      <c r="I1365" t="s">
        <v>694</v>
      </c>
      <c r="J1365" t="s">
        <v>1260</v>
      </c>
    </row>
    <row r="1366" spans="1:10">
      <c r="A1366">
        <v>51365</v>
      </c>
      <c r="B1366">
        <v>30792</v>
      </c>
      <c r="C1366" t="s">
        <v>346</v>
      </c>
      <c r="D1366">
        <v>2494</v>
      </c>
      <c r="E1366">
        <v>1013</v>
      </c>
      <c r="F1366">
        <v>3</v>
      </c>
      <c r="G1366" t="s">
        <v>1490</v>
      </c>
      <c r="H1366" t="s">
        <v>16</v>
      </c>
      <c r="I1366" t="s">
        <v>1421</v>
      </c>
      <c r="J1366" t="s">
        <v>1421</v>
      </c>
    </row>
    <row r="1367" spans="1:10">
      <c r="A1367">
        <v>51366</v>
      </c>
      <c r="B1367">
        <v>30793</v>
      </c>
      <c r="C1367" t="s">
        <v>206</v>
      </c>
      <c r="D1367">
        <v>2590</v>
      </c>
      <c r="E1367">
        <v>1005</v>
      </c>
      <c r="F1367">
        <v>2</v>
      </c>
      <c r="G1367" t="s">
        <v>1458</v>
      </c>
      <c r="H1367" t="s">
        <v>9</v>
      </c>
      <c r="I1367" t="s">
        <v>248</v>
      </c>
      <c r="J1367" t="s">
        <v>636</v>
      </c>
    </row>
    <row r="1368" spans="1:10">
      <c r="A1368">
        <v>51367</v>
      </c>
      <c r="B1368">
        <v>30793</v>
      </c>
      <c r="C1368" t="s">
        <v>206</v>
      </c>
      <c r="D1368">
        <v>2590</v>
      </c>
      <c r="E1368">
        <v>1009</v>
      </c>
      <c r="F1368">
        <v>1</v>
      </c>
      <c r="G1368" t="s">
        <v>1473</v>
      </c>
      <c r="H1368" t="s">
        <v>9</v>
      </c>
      <c r="I1368" t="s">
        <v>1181</v>
      </c>
      <c r="J1368" t="s">
        <v>797</v>
      </c>
    </row>
    <row r="1369" spans="1:10">
      <c r="A1369">
        <v>51368</v>
      </c>
      <c r="B1369">
        <v>30793</v>
      </c>
      <c r="C1369" t="s">
        <v>476</v>
      </c>
      <c r="D1369">
        <v>2590</v>
      </c>
      <c r="E1369">
        <v>1016</v>
      </c>
      <c r="F1369">
        <v>2</v>
      </c>
      <c r="G1369" t="s">
        <v>1500</v>
      </c>
      <c r="H1369" t="s">
        <v>9</v>
      </c>
      <c r="I1369" t="s">
        <v>1031</v>
      </c>
      <c r="J1369" t="s">
        <v>682</v>
      </c>
    </row>
    <row r="1370" spans="1:10">
      <c r="A1370">
        <v>51369</v>
      </c>
      <c r="B1370">
        <v>30794</v>
      </c>
      <c r="C1370" t="s">
        <v>1025</v>
      </c>
      <c r="D1370">
        <v>2239</v>
      </c>
      <c r="E1370">
        <v>1003</v>
      </c>
      <c r="F1370">
        <v>1</v>
      </c>
      <c r="G1370" t="s">
        <v>1471</v>
      </c>
      <c r="H1370" t="s">
        <v>12</v>
      </c>
      <c r="I1370" t="s">
        <v>1421</v>
      </c>
      <c r="J1370" t="s">
        <v>1421</v>
      </c>
    </row>
    <row r="1371" spans="1:10">
      <c r="A1371">
        <v>51370</v>
      </c>
      <c r="B1371">
        <v>30794</v>
      </c>
      <c r="C1371" t="s">
        <v>455</v>
      </c>
      <c r="D1371">
        <v>2239</v>
      </c>
      <c r="E1371">
        <v>1010</v>
      </c>
      <c r="F1371">
        <v>1</v>
      </c>
      <c r="G1371" t="s">
        <v>1468</v>
      </c>
      <c r="H1371" t="s">
        <v>12</v>
      </c>
      <c r="I1371" t="s">
        <v>1421</v>
      </c>
      <c r="J1371" t="s">
        <v>1421</v>
      </c>
    </row>
    <row r="1372" spans="1:10">
      <c r="A1372">
        <v>51371</v>
      </c>
      <c r="B1372">
        <v>30794</v>
      </c>
      <c r="C1372" t="s">
        <v>1025</v>
      </c>
      <c r="D1372">
        <v>2239</v>
      </c>
      <c r="E1372">
        <v>1014</v>
      </c>
      <c r="F1372">
        <v>1</v>
      </c>
      <c r="G1372" t="s">
        <v>1463</v>
      </c>
      <c r="H1372" t="s">
        <v>12</v>
      </c>
      <c r="I1372" t="s">
        <v>1421</v>
      </c>
      <c r="J1372" t="s">
        <v>1421</v>
      </c>
    </row>
    <row r="1373" spans="1:10">
      <c r="A1373">
        <v>51372</v>
      </c>
      <c r="B1373">
        <v>30795</v>
      </c>
      <c r="C1373" t="s">
        <v>552</v>
      </c>
      <c r="D1373">
        <v>2264</v>
      </c>
      <c r="E1373">
        <v>1001</v>
      </c>
      <c r="F1373">
        <v>2</v>
      </c>
      <c r="G1373" t="s">
        <v>1460</v>
      </c>
      <c r="H1373" t="s">
        <v>9</v>
      </c>
      <c r="I1373" t="s">
        <v>72</v>
      </c>
      <c r="J1373" t="s">
        <v>1215</v>
      </c>
    </row>
    <row r="1374" spans="1:10">
      <c r="A1374">
        <v>51373</v>
      </c>
      <c r="B1374">
        <v>30796</v>
      </c>
      <c r="C1374" t="s">
        <v>17</v>
      </c>
      <c r="D1374">
        <v>2592</v>
      </c>
      <c r="E1374">
        <v>1001</v>
      </c>
      <c r="F1374">
        <v>1</v>
      </c>
      <c r="G1374" t="s">
        <v>1469</v>
      </c>
      <c r="H1374" t="s">
        <v>9</v>
      </c>
      <c r="I1374" t="s">
        <v>102</v>
      </c>
      <c r="J1374" t="s">
        <v>628</v>
      </c>
    </row>
    <row r="1375" spans="1:10">
      <c r="A1375">
        <v>51374</v>
      </c>
      <c r="B1375">
        <v>30797</v>
      </c>
      <c r="C1375" t="s">
        <v>1048</v>
      </c>
      <c r="D1375">
        <v>2385</v>
      </c>
      <c r="E1375">
        <v>1011</v>
      </c>
      <c r="F1375">
        <v>1</v>
      </c>
      <c r="G1375" t="s">
        <v>1472</v>
      </c>
      <c r="H1375" t="s">
        <v>9</v>
      </c>
      <c r="I1375" t="s">
        <v>1103</v>
      </c>
      <c r="J1375" t="s">
        <v>653</v>
      </c>
    </row>
    <row r="1376" spans="1:10">
      <c r="A1376">
        <v>51375</v>
      </c>
      <c r="B1376">
        <v>30798</v>
      </c>
      <c r="C1376" t="s">
        <v>482</v>
      </c>
      <c r="D1376">
        <v>2419</v>
      </c>
      <c r="E1376">
        <v>1005</v>
      </c>
      <c r="F1376">
        <v>3</v>
      </c>
      <c r="G1376" t="s">
        <v>1498</v>
      </c>
      <c r="H1376" t="s">
        <v>9</v>
      </c>
      <c r="I1376" t="s">
        <v>484</v>
      </c>
      <c r="J1376" t="s">
        <v>516</v>
      </c>
    </row>
    <row r="1377" spans="1:10">
      <c r="A1377">
        <v>51376</v>
      </c>
      <c r="B1377">
        <v>30799</v>
      </c>
      <c r="C1377" t="s">
        <v>225</v>
      </c>
      <c r="D1377">
        <v>2437</v>
      </c>
      <c r="E1377">
        <v>1009</v>
      </c>
      <c r="F1377">
        <v>1</v>
      </c>
      <c r="G1377" t="s">
        <v>1473</v>
      </c>
      <c r="H1377" t="s">
        <v>9</v>
      </c>
      <c r="I1377" t="s">
        <v>1024</v>
      </c>
      <c r="J1377" t="s">
        <v>1261</v>
      </c>
    </row>
    <row r="1378" spans="1:10">
      <c r="A1378">
        <v>51377</v>
      </c>
      <c r="B1378">
        <v>30800</v>
      </c>
      <c r="C1378" t="s">
        <v>1141</v>
      </c>
      <c r="D1378">
        <v>2268</v>
      </c>
      <c r="E1378">
        <v>1014</v>
      </c>
      <c r="F1378">
        <v>1</v>
      </c>
      <c r="G1378" t="s">
        <v>1463</v>
      </c>
      <c r="H1378" t="s">
        <v>16</v>
      </c>
      <c r="I1378" t="s">
        <v>1421</v>
      </c>
      <c r="J1378" t="s">
        <v>1421</v>
      </c>
    </row>
    <row r="1379" spans="1:10">
      <c r="A1379">
        <v>51378</v>
      </c>
      <c r="B1379">
        <v>30800</v>
      </c>
      <c r="C1379" t="s">
        <v>874</v>
      </c>
      <c r="D1379">
        <v>2268</v>
      </c>
      <c r="E1379">
        <v>1009</v>
      </c>
      <c r="F1379">
        <v>1</v>
      </c>
      <c r="G1379" t="s">
        <v>1473</v>
      </c>
      <c r="H1379" t="s">
        <v>16</v>
      </c>
      <c r="I1379" t="s">
        <v>1421</v>
      </c>
      <c r="J1379" t="s">
        <v>1421</v>
      </c>
    </row>
    <row r="1380" spans="1:10">
      <c r="A1380">
        <v>51379</v>
      </c>
      <c r="B1380">
        <v>30801</v>
      </c>
      <c r="C1380" t="s">
        <v>773</v>
      </c>
      <c r="D1380">
        <v>2407</v>
      </c>
      <c r="E1380">
        <v>1014</v>
      </c>
      <c r="F1380">
        <v>4</v>
      </c>
      <c r="G1380" t="s">
        <v>1518</v>
      </c>
      <c r="H1380" t="s">
        <v>9</v>
      </c>
      <c r="I1380" t="s">
        <v>1207</v>
      </c>
      <c r="J1380" t="s">
        <v>758</v>
      </c>
    </row>
    <row r="1381" spans="1:10">
      <c r="A1381">
        <v>51380</v>
      </c>
      <c r="B1381">
        <v>30802</v>
      </c>
      <c r="C1381" t="s">
        <v>729</v>
      </c>
      <c r="D1381">
        <v>2566</v>
      </c>
      <c r="E1381">
        <v>1016</v>
      </c>
      <c r="F1381">
        <v>1</v>
      </c>
      <c r="G1381" t="s">
        <v>1465</v>
      </c>
      <c r="H1381" t="s">
        <v>16</v>
      </c>
      <c r="I1381" t="s">
        <v>1262</v>
      </c>
      <c r="J1381" t="s">
        <v>1421</v>
      </c>
    </row>
    <row r="1382" spans="1:10">
      <c r="A1382">
        <v>51381</v>
      </c>
      <c r="B1382">
        <v>30802</v>
      </c>
      <c r="C1382" t="s">
        <v>477</v>
      </c>
      <c r="D1382">
        <v>2566</v>
      </c>
      <c r="E1382">
        <v>1016</v>
      </c>
      <c r="F1382">
        <v>1</v>
      </c>
      <c r="G1382" t="s">
        <v>1465</v>
      </c>
      <c r="H1382" t="s">
        <v>16</v>
      </c>
      <c r="I1382" t="s">
        <v>1421</v>
      </c>
      <c r="J1382" t="s">
        <v>1421</v>
      </c>
    </row>
    <row r="1383" spans="1:10">
      <c r="A1383">
        <v>51382</v>
      </c>
      <c r="B1383">
        <v>30802</v>
      </c>
      <c r="C1383" t="s">
        <v>477</v>
      </c>
      <c r="D1383">
        <v>2566</v>
      </c>
      <c r="E1383">
        <v>1010</v>
      </c>
      <c r="F1383">
        <v>1</v>
      </c>
      <c r="G1383" t="s">
        <v>1468</v>
      </c>
      <c r="H1383" t="s">
        <v>16</v>
      </c>
      <c r="I1383" t="s">
        <v>1421</v>
      </c>
      <c r="J1383" t="s">
        <v>1421</v>
      </c>
    </row>
    <row r="1384" spans="1:10">
      <c r="A1384">
        <v>51383</v>
      </c>
      <c r="B1384">
        <v>30802</v>
      </c>
      <c r="C1384" t="s">
        <v>439</v>
      </c>
      <c r="D1384">
        <v>2566</v>
      </c>
      <c r="E1384">
        <v>1013</v>
      </c>
      <c r="F1384">
        <v>2</v>
      </c>
      <c r="G1384" t="s">
        <v>1492</v>
      </c>
      <c r="H1384" t="s">
        <v>16</v>
      </c>
      <c r="I1384" t="s">
        <v>1421</v>
      </c>
      <c r="J1384" t="s">
        <v>1421</v>
      </c>
    </row>
    <row r="1385" spans="1:10">
      <c r="A1385">
        <v>51384</v>
      </c>
      <c r="B1385">
        <v>30803</v>
      </c>
      <c r="C1385" t="s">
        <v>711</v>
      </c>
      <c r="D1385">
        <v>2122</v>
      </c>
      <c r="E1385">
        <v>1015</v>
      </c>
      <c r="F1385">
        <v>1</v>
      </c>
      <c r="G1385" t="s">
        <v>1478</v>
      </c>
      <c r="H1385" t="s">
        <v>9</v>
      </c>
      <c r="I1385" t="s">
        <v>499</v>
      </c>
      <c r="J1385" t="s">
        <v>534</v>
      </c>
    </row>
    <row r="1386" spans="1:10">
      <c r="A1386">
        <v>51385</v>
      </c>
      <c r="B1386">
        <v>30804</v>
      </c>
      <c r="C1386" t="s">
        <v>336</v>
      </c>
      <c r="D1386">
        <v>2166</v>
      </c>
      <c r="E1386">
        <v>1013</v>
      </c>
      <c r="F1386">
        <v>4</v>
      </c>
      <c r="G1386" t="s">
        <v>1523</v>
      </c>
      <c r="H1386" t="s">
        <v>9</v>
      </c>
      <c r="I1386" t="s">
        <v>665</v>
      </c>
      <c r="J1386" t="s">
        <v>646</v>
      </c>
    </row>
    <row r="1387" spans="1:10">
      <c r="A1387">
        <v>51386</v>
      </c>
      <c r="B1387">
        <v>30804</v>
      </c>
      <c r="C1387" t="s">
        <v>1078</v>
      </c>
      <c r="D1387">
        <v>2166</v>
      </c>
      <c r="E1387">
        <v>1011</v>
      </c>
      <c r="F1387">
        <v>3</v>
      </c>
      <c r="G1387" t="s">
        <v>1454</v>
      </c>
      <c r="H1387" t="s">
        <v>9</v>
      </c>
      <c r="I1387" t="s">
        <v>69</v>
      </c>
      <c r="J1387" t="s">
        <v>1053</v>
      </c>
    </row>
    <row r="1388" spans="1:10">
      <c r="A1388">
        <v>51387</v>
      </c>
      <c r="B1388">
        <v>30804</v>
      </c>
      <c r="C1388" t="s">
        <v>336</v>
      </c>
      <c r="D1388">
        <v>2166</v>
      </c>
      <c r="E1388">
        <v>1002</v>
      </c>
      <c r="F1388">
        <v>1</v>
      </c>
      <c r="G1388" t="s">
        <v>1466</v>
      </c>
      <c r="H1388" t="s">
        <v>9</v>
      </c>
      <c r="I1388" t="s">
        <v>737</v>
      </c>
      <c r="J1388" t="s">
        <v>1053</v>
      </c>
    </row>
    <row r="1389" spans="1:10">
      <c r="A1389">
        <v>51388</v>
      </c>
      <c r="B1389">
        <v>30805</v>
      </c>
      <c r="C1389" t="s">
        <v>514</v>
      </c>
      <c r="D1389">
        <v>2165</v>
      </c>
      <c r="E1389">
        <v>1001</v>
      </c>
      <c r="F1389">
        <v>2</v>
      </c>
      <c r="G1389" t="s">
        <v>1460</v>
      </c>
      <c r="H1389" t="s">
        <v>9</v>
      </c>
      <c r="I1389" t="s">
        <v>191</v>
      </c>
      <c r="J1389" t="s">
        <v>166</v>
      </c>
    </row>
    <row r="1390" spans="1:10">
      <c r="A1390">
        <v>51389</v>
      </c>
      <c r="B1390">
        <v>30806</v>
      </c>
      <c r="C1390" t="s">
        <v>150</v>
      </c>
      <c r="D1390">
        <v>2094</v>
      </c>
      <c r="E1390">
        <v>1016</v>
      </c>
      <c r="F1390">
        <v>4</v>
      </c>
      <c r="G1390" t="s">
        <v>1522</v>
      </c>
      <c r="H1390" t="s">
        <v>16</v>
      </c>
      <c r="I1390" t="s">
        <v>1421</v>
      </c>
      <c r="J1390" t="s">
        <v>1421</v>
      </c>
    </row>
    <row r="1391" spans="1:10">
      <c r="A1391">
        <v>51390</v>
      </c>
      <c r="B1391">
        <v>30806</v>
      </c>
      <c r="C1391" t="s">
        <v>242</v>
      </c>
      <c r="D1391">
        <v>2094</v>
      </c>
      <c r="E1391">
        <v>1014</v>
      </c>
      <c r="F1391">
        <v>1</v>
      </c>
      <c r="G1391" t="s">
        <v>1463</v>
      </c>
      <c r="H1391" t="s">
        <v>16</v>
      </c>
      <c r="I1391" t="s">
        <v>37</v>
      </c>
      <c r="J1391" t="s">
        <v>1421</v>
      </c>
    </row>
    <row r="1392" spans="1:10">
      <c r="A1392">
        <v>51391</v>
      </c>
      <c r="B1392">
        <v>30806</v>
      </c>
      <c r="C1392" t="s">
        <v>242</v>
      </c>
      <c r="D1392">
        <v>2094</v>
      </c>
      <c r="E1392">
        <v>1009</v>
      </c>
      <c r="F1392">
        <v>1</v>
      </c>
      <c r="G1392" t="s">
        <v>1473</v>
      </c>
      <c r="H1392" t="s">
        <v>16</v>
      </c>
      <c r="I1392" t="s">
        <v>387</v>
      </c>
      <c r="J1392" t="s">
        <v>1421</v>
      </c>
    </row>
    <row r="1393" spans="1:10">
      <c r="A1393">
        <v>51392</v>
      </c>
      <c r="B1393">
        <v>30807</v>
      </c>
      <c r="C1393" t="s">
        <v>377</v>
      </c>
      <c r="D1393">
        <v>2082</v>
      </c>
      <c r="E1393">
        <v>1013</v>
      </c>
      <c r="F1393">
        <v>1</v>
      </c>
      <c r="G1393" t="s">
        <v>1474</v>
      </c>
      <c r="H1393" t="s">
        <v>9</v>
      </c>
      <c r="I1393" t="s">
        <v>1025</v>
      </c>
      <c r="J1393" t="s">
        <v>837</v>
      </c>
    </row>
    <row r="1394" spans="1:10">
      <c r="A1394">
        <v>51393</v>
      </c>
      <c r="B1394">
        <v>30807</v>
      </c>
      <c r="C1394" t="s">
        <v>453</v>
      </c>
      <c r="D1394">
        <v>2082</v>
      </c>
      <c r="E1394">
        <v>1013</v>
      </c>
      <c r="F1394">
        <v>2</v>
      </c>
      <c r="G1394" t="s">
        <v>1492</v>
      </c>
      <c r="H1394" t="s">
        <v>9</v>
      </c>
      <c r="I1394" t="s">
        <v>763</v>
      </c>
      <c r="J1394" t="s">
        <v>1263</v>
      </c>
    </row>
    <row r="1395" spans="1:10">
      <c r="A1395">
        <v>51394</v>
      </c>
      <c r="B1395">
        <v>30807</v>
      </c>
      <c r="C1395" t="s">
        <v>453</v>
      </c>
      <c r="D1395">
        <v>2082</v>
      </c>
      <c r="E1395">
        <v>1010</v>
      </c>
      <c r="F1395">
        <v>1</v>
      </c>
      <c r="G1395" t="s">
        <v>1468</v>
      </c>
      <c r="H1395" t="s">
        <v>9</v>
      </c>
      <c r="I1395" t="s">
        <v>1026</v>
      </c>
      <c r="J1395" t="s">
        <v>1057</v>
      </c>
    </row>
    <row r="1396" spans="1:10">
      <c r="A1396">
        <v>51395</v>
      </c>
      <c r="B1396">
        <v>30807</v>
      </c>
      <c r="C1396" t="s">
        <v>377</v>
      </c>
      <c r="D1396">
        <v>2082</v>
      </c>
      <c r="E1396">
        <v>1002</v>
      </c>
      <c r="F1396">
        <v>1</v>
      </c>
      <c r="G1396" t="s">
        <v>1466</v>
      </c>
      <c r="H1396" t="s">
        <v>9</v>
      </c>
      <c r="I1396" t="s">
        <v>712</v>
      </c>
      <c r="J1396" t="s">
        <v>837</v>
      </c>
    </row>
    <row r="1397" spans="1:10">
      <c r="A1397">
        <v>51396</v>
      </c>
      <c r="B1397">
        <v>30808</v>
      </c>
      <c r="C1397" t="s">
        <v>70</v>
      </c>
      <c r="D1397">
        <v>2180</v>
      </c>
      <c r="E1397">
        <v>1015</v>
      </c>
      <c r="F1397">
        <v>2</v>
      </c>
      <c r="G1397" t="s">
        <v>1488</v>
      </c>
      <c r="H1397" t="s">
        <v>9</v>
      </c>
      <c r="I1397" t="s">
        <v>863</v>
      </c>
      <c r="J1397" t="s">
        <v>989</v>
      </c>
    </row>
    <row r="1398" spans="1:10">
      <c r="A1398">
        <v>51397</v>
      </c>
      <c r="B1398">
        <v>30808</v>
      </c>
      <c r="C1398" t="s">
        <v>70</v>
      </c>
      <c r="D1398">
        <v>2180</v>
      </c>
      <c r="E1398">
        <v>1001</v>
      </c>
      <c r="F1398">
        <v>1</v>
      </c>
      <c r="G1398" t="s">
        <v>1469</v>
      </c>
      <c r="H1398" t="s">
        <v>9</v>
      </c>
      <c r="I1398" t="s">
        <v>67</v>
      </c>
      <c r="J1398" t="s">
        <v>184</v>
      </c>
    </row>
    <row r="1399" spans="1:10">
      <c r="A1399">
        <v>51398</v>
      </c>
      <c r="B1399">
        <v>30809</v>
      </c>
      <c r="C1399" t="s">
        <v>392</v>
      </c>
      <c r="D1399">
        <v>2207</v>
      </c>
      <c r="E1399">
        <v>1010</v>
      </c>
      <c r="F1399">
        <v>1</v>
      </c>
      <c r="G1399" t="s">
        <v>1468</v>
      </c>
      <c r="H1399" t="s">
        <v>16</v>
      </c>
      <c r="I1399" t="s">
        <v>580</v>
      </c>
      <c r="J1399" t="s">
        <v>1421</v>
      </c>
    </row>
    <row r="1400" spans="1:10">
      <c r="A1400">
        <v>51399</v>
      </c>
      <c r="B1400">
        <v>30810</v>
      </c>
      <c r="C1400" t="s">
        <v>293</v>
      </c>
      <c r="D1400">
        <v>2523</v>
      </c>
      <c r="E1400">
        <v>1008</v>
      </c>
      <c r="F1400">
        <v>1</v>
      </c>
      <c r="G1400" t="s">
        <v>1447</v>
      </c>
      <c r="H1400" t="s">
        <v>9</v>
      </c>
      <c r="I1400" t="s">
        <v>651</v>
      </c>
      <c r="J1400" t="s">
        <v>1095</v>
      </c>
    </row>
    <row r="1401" spans="1:10">
      <c r="A1401">
        <v>51400</v>
      </c>
      <c r="B1401">
        <v>30811</v>
      </c>
      <c r="C1401" t="s">
        <v>370</v>
      </c>
      <c r="D1401">
        <v>2174</v>
      </c>
      <c r="E1401">
        <v>1012</v>
      </c>
      <c r="F1401">
        <v>2</v>
      </c>
      <c r="G1401" t="s">
        <v>1450</v>
      </c>
      <c r="H1401" t="s">
        <v>9</v>
      </c>
      <c r="I1401" t="s">
        <v>666</v>
      </c>
      <c r="J1401" t="s">
        <v>1144</v>
      </c>
    </row>
    <row r="1402" spans="1:10">
      <c r="A1402">
        <v>51401</v>
      </c>
      <c r="B1402">
        <v>30811</v>
      </c>
      <c r="C1402" t="s">
        <v>370</v>
      </c>
      <c r="D1402">
        <v>2174</v>
      </c>
      <c r="E1402">
        <v>1008</v>
      </c>
      <c r="F1402">
        <v>1</v>
      </c>
      <c r="G1402" t="s">
        <v>1447</v>
      </c>
      <c r="H1402" t="s">
        <v>9</v>
      </c>
      <c r="I1402" t="s">
        <v>953</v>
      </c>
      <c r="J1402" t="s">
        <v>792</v>
      </c>
    </row>
    <row r="1403" spans="1:10">
      <c r="A1403">
        <v>51402</v>
      </c>
      <c r="B1403">
        <v>30811</v>
      </c>
      <c r="C1403" t="s">
        <v>370</v>
      </c>
      <c r="D1403">
        <v>2174</v>
      </c>
      <c r="E1403">
        <v>1001</v>
      </c>
      <c r="F1403">
        <v>1</v>
      </c>
      <c r="G1403" t="s">
        <v>1469</v>
      </c>
      <c r="H1403" t="s">
        <v>9</v>
      </c>
      <c r="I1403" t="s">
        <v>953</v>
      </c>
      <c r="J1403" t="s">
        <v>23</v>
      </c>
    </row>
    <row r="1404" spans="1:10">
      <c r="A1404">
        <v>51403</v>
      </c>
      <c r="B1404">
        <v>30812</v>
      </c>
      <c r="C1404" t="s">
        <v>427</v>
      </c>
      <c r="D1404">
        <v>2162</v>
      </c>
      <c r="E1404">
        <v>1009</v>
      </c>
      <c r="F1404">
        <v>1</v>
      </c>
      <c r="G1404" t="s">
        <v>1473</v>
      </c>
      <c r="H1404" t="s">
        <v>9</v>
      </c>
      <c r="I1404" t="s">
        <v>468</v>
      </c>
      <c r="J1404" t="s">
        <v>1234</v>
      </c>
    </row>
    <row r="1405" spans="1:10">
      <c r="A1405">
        <v>51404</v>
      </c>
      <c r="B1405">
        <v>30813</v>
      </c>
      <c r="C1405" t="s">
        <v>57</v>
      </c>
      <c r="D1405">
        <v>2410</v>
      </c>
      <c r="E1405">
        <v>1013</v>
      </c>
      <c r="F1405">
        <v>2</v>
      </c>
      <c r="G1405" t="s">
        <v>1492</v>
      </c>
      <c r="H1405" t="s">
        <v>9</v>
      </c>
      <c r="I1405" t="s">
        <v>248</v>
      </c>
      <c r="J1405" t="s">
        <v>731</v>
      </c>
    </row>
    <row r="1406" spans="1:10">
      <c r="A1406">
        <v>51405</v>
      </c>
      <c r="B1406">
        <v>30813</v>
      </c>
      <c r="C1406" t="s">
        <v>1163</v>
      </c>
      <c r="D1406">
        <v>2410</v>
      </c>
      <c r="E1406">
        <v>1013</v>
      </c>
      <c r="F1406">
        <v>1</v>
      </c>
      <c r="G1406" t="s">
        <v>1474</v>
      </c>
      <c r="H1406" t="s">
        <v>9</v>
      </c>
      <c r="I1406" t="s">
        <v>289</v>
      </c>
      <c r="J1406" t="s">
        <v>811</v>
      </c>
    </row>
    <row r="1407" spans="1:10">
      <c r="A1407">
        <v>51406</v>
      </c>
      <c r="B1407">
        <v>30813</v>
      </c>
      <c r="C1407" t="s">
        <v>57</v>
      </c>
      <c r="D1407">
        <v>2410</v>
      </c>
      <c r="E1407">
        <v>1007</v>
      </c>
      <c r="F1407">
        <v>2</v>
      </c>
      <c r="G1407" t="s">
        <v>1455</v>
      </c>
      <c r="H1407" t="s">
        <v>9</v>
      </c>
      <c r="I1407" t="s">
        <v>801</v>
      </c>
      <c r="J1407" t="s">
        <v>223</v>
      </c>
    </row>
    <row r="1408" spans="1:10">
      <c r="A1408">
        <v>51407</v>
      </c>
      <c r="B1408">
        <v>30814</v>
      </c>
      <c r="C1408" t="s">
        <v>494</v>
      </c>
      <c r="D1408">
        <v>2531</v>
      </c>
      <c r="E1408">
        <v>1003</v>
      </c>
      <c r="F1408">
        <v>1</v>
      </c>
      <c r="G1408" t="s">
        <v>1471</v>
      </c>
      <c r="H1408" t="s">
        <v>9</v>
      </c>
      <c r="I1408" t="s">
        <v>960</v>
      </c>
      <c r="J1408" t="s">
        <v>274</v>
      </c>
    </row>
    <row r="1409" spans="1:10">
      <c r="A1409">
        <v>51408</v>
      </c>
      <c r="B1409">
        <v>30815</v>
      </c>
      <c r="C1409" t="s">
        <v>346</v>
      </c>
      <c r="D1409">
        <v>2093</v>
      </c>
      <c r="E1409">
        <v>1012</v>
      </c>
      <c r="F1409">
        <v>2</v>
      </c>
      <c r="G1409" t="s">
        <v>1450</v>
      </c>
      <c r="H1409" t="s">
        <v>9</v>
      </c>
      <c r="I1409" t="s">
        <v>1264</v>
      </c>
      <c r="J1409" t="s">
        <v>993</v>
      </c>
    </row>
    <row r="1410" spans="1:10">
      <c r="A1410">
        <v>51409</v>
      </c>
      <c r="B1410">
        <v>30816</v>
      </c>
      <c r="C1410" t="s">
        <v>899</v>
      </c>
      <c r="D1410">
        <v>2356</v>
      </c>
      <c r="E1410">
        <v>1009</v>
      </c>
      <c r="F1410">
        <v>1</v>
      </c>
      <c r="G1410" t="s">
        <v>1473</v>
      </c>
      <c r="H1410" t="s">
        <v>11</v>
      </c>
      <c r="I1410" t="s">
        <v>539</v>
      </c>
      <c r="J1410" t="s">
        <v>873</v>
      </c>
    </row>
    <row r="1411" spans="1:10">
      <c r="A1411">
        <v>51410</v>
      </c>
      <c r="B1411">
        <v>30817</v>
      </c>
      <c r="C1411" t="s">
        <v>1265</v>
      </c>
      <c r="D1411">
        <v>2232</v>
      </c>
      <c r="E1411">
        <v>1007</v>
      </c>
      <c r="F1411">
        <v>2</v>
      </c>
      <c r="G1411" t="s">
        <v>1455</v>
      </c>
      <c r="H1411" t="s">
        <v>9</v>
      </c>
      <c r="I1411" t="s">
        <v>488</v>
      </c>
      <c r="J1411" t="s">
        <v>473</v>
      </c>
    </row>
    <row r="1412" spans="1:10">
      <c r="A1412">
        <v>51411</v>
      </c>
      <c r="B1412">
        <v>30818</v>
      </c>
      <c r="C1412" t="s">
        <v>32</v>
      </c>
      <c r="D1412">
        <v>2466</v>
      </c>
      <c r="E1412">
        <v>1001</v>
      </c>
      <c r="F1412">
        <v>2</v>
      </c>
      <c r="G1412" t="s">
        <v>1460</v>
      </c>
      <c r="H1412" t="s">
        <v>12</v>
      </c>
      <c r="I1412" t="s">
        <v>1421</v>
      </c>
      <c r="J1412" t="s">
        <v>1421</v>
      </c>
    </row>
    <row r="1413" spans="1:10">
      <c r="A1413">
        <v>51412</v>
      </c>
      <c r="B1413">
        <v>30818</v>
      </c>
      <c r="C1413" t="s">
        <v>334</v>
      </c>
      <c r="D1413">
        <v>2466</v>
      </c>
      <c r="E1413">
        <v>1009</v>
      </c>
      <c r="F1413">
        <v>2</v>
      </c>
      <c r="G1413" t="s">
        <v>1479</v>
      </c>
      <c r="H1413" t="s">
        <v>12</v>
      </c>
      <c r="I1413" t="s">
        <v>1421</v>
      </c>
      <c r="J1413" t="s">
        <v>1421</v>
      </c>
    </row>
    <row r="1414" spans="1:10">
      <c r="A1414">
        <v>51413</v>
      </c>
      <c r="B1414">
        <v>30819</v>
      </c>
      <c r="C1414" t="s">
        <v>896</v>
      </c>
      <c r="D1414">
        <v>2180</v>
      </c>
      <c r="E1414">
        <v>1004</v>
      </c>
      <c r="F1414">
        <v>1</v>
      </c>
      <c r="G1414" t="s">
        <v>1452</v>
      </c>
      <c r="H1414" t="s">
        <v>9</v>
      </c>
      <c r="I1414" t="s">
        <v>980</v>
      </c>
      <c r="J1414" t="s">
        <v>382</v>
      </c>
    </row>
    <row r="1415" spans="1:10">
      <c r="A1415">
        <v>51414</v>
      </c>
      <c r="B1415">
        <v>30819</v>
      </c>
      <c r="C1415" t="s">
        <v>865</v>
      </c>
      <c r="D1415">
        <v>2180</v>
      </c>
      <c r="E1415">
        <v>1003</v>
      </c>
      <c r="F1415">
        <v>2</v>
      </c>
      <c r="G1415" t="s">
        <v>1464</v>
      </c>
      <c r="H1415" t="s">
        <v>9</v>
      </c>
      <c r="I1415" t="s">
        <v>302</v>
      </c>
      <c r="J1415" t="s">
        <v>500</v>
      </c>
    </row>
    <row r="1416" spans="1:10">
      <c r="A1416">
        <v>51415</v>
      </c>
      <c r="B1416">
        <v>30819</v>
      </c>
      <c r="C1416" t="s">
        <v>865</v>
      </c>
      <c r="D1416">
        <v>2180</v>
      </c>
      <c r="E1416">
        <v>1010</v>
      </c>
      <c r="F1416">
        <v>1</v>
      </c>
      <c r="G1416" t="s">
        <v>1468</v>
      </c>
      <c r="H1416" t="s">
        <v>9</v>
      </c>
      <c r="I1416" t="s">
        <v>1266</v>
      </c>
      <c r="J1416" t="s">
        <v>711</v>
      </c>
    </row>
    <row r="1417" spans="1:10">
      <c r="A1417">
        <v>51416</v>
      </c>
      <c r="B1417">
        <v>30819</v>
      </c>
      <c r="C1417" t="s">
        <v>187</v>
      </c>
      <c r="D1417">
        <v>2180</v>
      </c>
      <c r="E1417">
        <v>1011</v>
      </c>
      <c r="F1417">
        <v>1</v>
      </c>
      <c r="G1417" t="s">
        <v>1472</v>
      </c>
      <c r="H1417" t="s">
        <v>9</v>
      </c>
      <c r="I1417" t="s">
        <v>140</v>
      </c>
      <c r="J1417" t="s">
        <v>304</v>
      </c>
    </row>
    <row r="1418" spans="1:10">
      <c r="A1418">
        <v>51417</v>
      </c>
      <c r="B1418">
        <v>30820</v>
      </c>
      <c r="C1418" t="s">
        <v>441</v>
      </c>
      <c r="D1418">
        <v>2120</v>
      </c>
      <c r="E1418">
        <v>1009</v>
      </c>
      <c r="F1418">
        <v>2</v>
      </c>
      <c r="G1418" t="s">
        <v>1479</v>
      </c>
      <c r="H1418" t="s">
        <v>16</v>
      </c>
      <c r="I1418" t="s">
        <v>1421</v>
      </c>
      <c r="J1418" t="s">
        <v>1421</v>
      </c>
    </row>
    <row r="1419" spans="1:10">
      <c r="A1419">
        <v>51418</v>
      </c>
      <c r="B1419">
        <v>30821</v>
      </c>
      <c r="C1419" t="s">
        <v>421</v>
      </c>
      <c r="D1419">
        <v>2589</v>
      </c>
      <c r="E1419">
        <v>1015</v>
      </c>
      <c r="F1419">
        <v>1</v>
      </c>
      <c r="G1419" t="s">
        <v>1478</v>
      </c>
      <c r="H1419" t="s">
        <v>9</v>
      </c>
      <c r="I1419" t="s">
        <v>461</v>
      </c>
      <c r="J1419" t="s">
        <v>335</v>
      </c>
    </row>
    <row r="1420" spans="1:10">
      <c r="A1420">
        <v>51419</v>
      </c>
      <c r="B1420">
        <v>30821</v>
      </c>
      <c r="C1420" t="s">
        <v>966</v>
      </c>
      <c r="D1420">
        <v>2589</v>
      </c>
      <c r="E1420">
        <v>1013</v>
      </c>
      <c r="F1420">
        <v>1</v>
      </c>
      <c r="G1420" t="s">
        <v>1474</v>
      </c>
      <c r="H1420" t="s">
        <v>9</v>
      </c>
      <c r="I1420" t="s">
        <v>697</v>
      </c>
      <c r="J1420" t="s">
        <v>664</v>
      </c>
    </row>
    <row r="1421" spans="1:10">
      <c r="A1421">
        <v>51420</v>
      </c>
      <c r="B1421">
        <v>30821</v>
      </c>
      <c r="C1421" t="s">
        <v>966</v>
      </c>
      <c r="D1421">
        <v>2589</v>
      </c>
      <c r="E1421">
        <v>1016</v>
      </c>
      <c r="F1421">
        <v>1</v>
      </c>
      <c r="G1421" t="s">
        <v>1465</v>
      </c>
      <c r="H1421" t="s">
        <v>9</v>
      </c>
      <c r="I1421" t="s">
        <v>825</v>
      </c>
      <c r="J1421" t="s">
        <v>839</v>
      </c>
    </row>
    <row r="1422" spans="1:10">
      <c r="A1422">
        <v>51421</v>
      </c>
      <c r="B1422">
        <v>30822</v>
      </c>
      <c r="C1422" t="s">
        <v>969</v>
      </c>
      <c r="D1422">
        <v>2250</v>
      </c>
      <c r="E1422">
        <v>1015</v>
      </c>
      <c r="F1422">
        <v>4</v>
      </c>
      <c r="G1422" t="s">
        <v>1521</v>
      </c>
      <c r="H1422" t="s">
        <v>9</v>
      </c>
      <c r="I1422" t="s">
        <v>471</v>
      </c>
      <c r="J1422" t="s">
        <v>962</v>
      </c>
    </row>
    <row r="1423" spans="1:10">
      <c r="A1423">
        <v>51422</v>
      </c>
      <c r="B1423">
        <v>30823</v>
      </c>
      <c r="C1423" t="s">
        <v>611</v>
      </c>
      <c r="D1423">
        <v>2472</v>
      </c>
      <c r="E1423">
        <v>1001</v>
      </c>
      <c r="F1423">
        <v>2</v>
      </c>
      <c r="G1423" t="s">
        <v>1460</v>
      </c>
      <c r="H1423" t="s">
        <v>12</v>
      </c>
      <c r="I1423" t="s">
        <v>1421</v>
      </c>
      <c r="J1423" t="s">
        <v>1421</v>
      </c>
    </row>
    <row r="1424" spans="1:10">
      <c r="A1424">
        <v>51423</v>
      </c>
      <c r="B1424">
        <v>30824</v>
      </c>
      <c r="C1424" t="s">
        <v>787</v>
      </c>
      <c r="D1424">
        <v>2494</v>
      </c>
      <c r="E1424">
        <v>1003</v>
      </c>
      <c r="F1424">
        <v>1</v>
      </c>
      <c r="G1424" t="s">
        <v>1471</v>
      </c>
      <c r="H1424" t="s">
        <v>9</v>
      </c>
      <c r="I1424" t="s">
        <v>466</v>
      </c>
      <c r="J1424" t="s">
        <v>1267</v>
      </c>
    </row>
    <row r="1425" spans="1:10">
      <c r="A1425">
        <v>51424</v>
      </c>
      <c r="B1425">
        <v>30825</v>
      </c>
      <c r="C1425" t="s">
        <v>676</v>
      </c>
      <c r="D1425">
        <v>2392</v>
      </c>
      <c r="E1425">
        <v>1008</v>
      </c>
      <c r="F1425">
        <v>5</v>
      </c>
      <c r="G1425" t="s">
        <v>1502</v>
      </c>
      <c r="H1425" t="s">
        <v>9</v>
      </c>
      <c r="I1425" t="s">
        <v>439</v>
      </c>
      <c r="J1425" t="s">
        <v>1117</v>
      </c>
    </row>
    <row r="1426" spans="1:10">
      <c r="A1426">
        <v>51425</v>
      </c>
      <c r="B1426">
        <v>30826</v>
      </c>
      <c r="C1426" t="s">
        <v>1084</v>
      </c>
      <c r="D1426">
        <v>2236</v>
      </c>
      <c r="E1426">
        <v>1014</v>
      </c>
      <c r="F1426">
        <v>4</v>
      </c>
      <c r="G1426" t="s">
        <v>1518</v>
      </c>
      <c r="H1426" t="s">
        <v>16</v>
      </c>
      <c r="I1426" t="s">
        <v>1421</v>
      </c>
      <c r="J1426" t="s">
        <v>1421</v>
      </c>
    </row>
    <row r="1427" spans="1:10">
      <c r="A1427">
        <v>51426</v>
      </c>
      <c r="B1427">
        <v>30827</v>
      </c>
      <c r="C1427" t="s">
        <v>808</v>
      </c>
      <c r="D1427">
        <v>2529</v>
      </c>
      <c r="E1427">
        <v>1009</v>
      </c>
      <c r="F1427">
        <v>2</v>
      </c>
      <c r="G1427" t="s">
        <v>1479</v>
      </c>
      <c r="H1427" t="s">
        <v>9</v>
      </c>
      <c r="I1427" t="s">
        <v>1163</v>
      </c>
      <c r="J1427" t="s">
        <v>676</v>
      </c>
    </row>
    <row r="1428" spans="1:10">
      <c r="A1428">
        <v>51427</v>
      </c>
      <c r="B1428">
        <v>30828</v>
      </c>
      <c r="C1428" t="s">
        <v>990</v>
      </c>
      <c r="D1428">
        <v>2255</v>
      </c>
      <c r="E1428">
        <v>1013</v>
      </c>
      <c r="F1428">
        <v>1</v>
      </c>
      <c r="G1428" t="s">
        <v>1474</v>
      </c>
      <c r="H1428" t="s">
        <v>9</v>
      </c>
      <c r="I1428" t="s">
        <v>991</v>
      </c>
      <c r="J1428" t="s">
        <v>1044</v>
      </c>
    </row>
    <row r="1429" spans="1:10">
      <c r="A1429">
        <v>51428</v>
      </c>
      <c r="B1429">
        <v>30828</v>
      </c>
      <c r="C1429" t="s">
        <v>947</v>
      </c>
      <c r="D1429">
        <v>2255</v>
      </c>
      <c r="E1429">
        <v>1011</v>
      </c>
      <c r="F1429">
        <v>1</v>
      </c>
      <c r="G1429" t="s">
        <v>1472</v>
      </c>
      <c r="H1429" t="s">
        <v>9</v>
      </c>
      <c r="I1429" t="s">
        <v>452</v>
      </c>
      <c r="J1429" t="s">
        <v>752</v>
      </c>
    </row>
    <row r="1430" spans="1:10">
      <c r="A1430">
        <v>51429</v>
      </c>
      <c r="B1430">
        <v>30829</v>
      </c>
      <c r="C1430" t="s">
        <v>866</v>
      </c>
      <c r="D1430">
        <v>2078</v>
      </c>
      <c r="E1430">
        <v>1006</v>
      </c>
      <c r="F1430">
        <v>1</v>
      </c>
      <c r="G1430" t="s">
        <v>1459</v>
      </c>
      <c r="H1430" t="s">
        <v>9</v>
      </c>
      <c r="I1430" t="s">
        <v>500</v>
      </c>
      <c r="J1430" t="s">
        <v>408</v>
      </c>
    </row>
    <row r="1431" spans="1:10">
      <c r="A1431">
        <v>51430</v>
      </c>
      <c r="B1431">
        <v>30829</v>
      </c>
      <c r="C1431" t="s">
        <v>361</v>
      </c>
      <c r="D1431">
        <v>2078</v>
      </c>
      <c r="E1431">
        <v>1016</v>
      </c>
      <c r="F1431">
        <v>2</v>
      </c>
      <c r="G1431" t="s">
        <v>1500</v>
      </c>
      <c r="H1431" t="s">
        <v>9</v>
      </c>
      <c r="I1431" t="s">
        <v>711</v>
      </c>
      <c r="J1431" t="s">
        <v>843</v>
      </c>
    </row>
    <row r="1432" spans="1:10">
      <c r="A1432">
        <v>51431</v>
      </c>
      <c r="B1432">
        <v>30829</v>
      </c>
      <c r="C1432" t="s">
        <v>1204</v>
      </c>
      <c r="D1432">
        <v>2078</v>
      </c>
      <c r="E1432">
        <v>1011</v>
      </c>
      <c r="F1432">
        <v>1</v>
      </c>
      <c r="G1432" t="s">
        <v>1472</v>
      </c>
      <c r="H1432" t="s">
        <v>9</v>
      </c>
      <c r="I1432" t="s">
        <v>439</v>
      </c>
      <c r="J1432" t="s">
        <v>519</v>
      </c>
    </row>
    <row r="1433" spans="1:10">
      <c r="A1433">
        <v>51432</v>
      </c>
      <c r="B1433">
        <v>30830</v>
      </c>
      <c r="C1433" t="s">
        <v>413</v>
      </c>
      <c r="D1433">
        <v>2363</v>
      </c>
      <c r="E1433">
        <v>1009</v>
      </c>
      <c r="F1433">
        <v>1</v>
      </c>
      <c r="G1433" t="s">
        <v>1473</v>
      </c>
      <c r="H1433" t="s">
        <v>9</v>
      </c>
      <c r="I1433" t="s">
        <v>453</v>
      </c>
      <c r="J1433" t="s">
        <v>373</v>
      </c>
    </row>
    <row r="1434" spans="1:10">
      <c r="A1434">
        <v>51433</v>
      </c>
      <c r="B1434">
        <v>30830</v>
      </c>
      <c r="C1434" t="s">
        <v>413</v>
      </c>
      <c r="D1434">
        <v>2363</v>
      </c>
      <c r="E1434">
        <v>1006</v>
      </c>
      <c r="F1434">
        <v>1</v>
      </c>
      <c r="G1434" t="s">
        <v>1459</v>
      </c>
      <c r="H1434" t="s">
        <v>9</v>
      </c>
      <c r="I1434" t="s">
        <v>763</v>
      </c>
      <c r="J1434" t="s">
        <v>375</v>
      </c>
    </row>
    <row r="1435" spans="1:10">
      <c r="A1435">
        <v>51434</v>
      </c>
      <c r="B1435">
        <v>30831</v>
      </c>
      <c r="C1435" t="s">
        <v>1252</v>
      </c>
      <c r="D1435">
        <v>2195</v>
      </c>
      <c r="E1435">
        <v>1007</v>
      </c>
      <c r="F1435">
        <v>2</v>
      </c>
      <c r="G1435" t="s">
        <v>1455</v>
      </c>
      <c r="H1435" t="s">
        <v>9</v>
      </c>
      <c r="I1435" t="s">
        <v>427</v>
      </c>
      <c r="J1435" t="s">
        <v>246</v>
      </c>
    </row>
    <row r="1436" spans="1:10">
      <c r="A1436">
        <v>51435</v>
      </c>
      <c r="B1436">
        <v>30831</v>
      </c>
      <c r="C1436" t="s">
        <v>1252</v>
      </c>
      <c r="D1436">
        <v>2195</v>
      </c>
      <c r="E1436">
        <v>1008</v>
      </c>
      <c r="F1436">
        <v>1</v>
      </c>
      <c r="G1436" t="s">
        <v>1447</v>
      </c>
      <c r="H1436" t="s">
        <v>9</v>
      </c>
      <c r="I1436" t="s">
        <v>468</v>
      </c>
      <c r="J1436" t="s">
        <v>874</v>
      </c>
    </row>
    <row r="1437" spans="1:10">
      <c r="A1437">
        <v>51436</v>
      </c>
      <c r="B1437">
        <v>30831</v>
      </c>
      <c r="C1437" t="s">
        <v>1239</v>
      </c>
      <c r="D1437">
        <v>2195</v>
      </c>
      <c r="E1437">
        <v>1008</v>
      </c>
      <c r="F1437">
        <v>3</v>
      </c>
      <c r="G1437" t="s">
        <v>1491</v>
      </c>
      <c r="H1437" t="s">
        <v>9</v>
      </c>
      <c r="I1437" t="s">
        <v>460</v>
      </c>
      <c r="J1437" t="s">
        <v>491</v>
      </c>
    </row>
    <row r="1438" spans="1:10">
      <c r="A1438">
        <v>51437</v>
      </c>
      <c r="B1438">
        <v>30832</v>
      </c>
      <c r="C1438" t="s">
        <v>1128</v>
      </c>
      <c r="D1438">
        <v>2272</v>
      </c>
      <c r="E1438">
        <v>1007</v>
      </c>
      <c r="F1438">
        <v>3</v>
      </c>
      <c r="G1438" t="s">
        <v>1446</v>
      </c>
      <c r="H1438" t="s">
        <v>9</v>
      </c>
      <c r="I1438" t="s">
        <v>226</v>
      </c>
      <c r="J1438" t="s">
        <v>227</v>
      </c>
    </row>
    <row r="1439" spans="1:10">
      <c r="A1439">
        <v>51438</v>
      </c>
      <c r="B1439">
        <v>30832</v>
      </c>
      <c r="C1439" t="s">
        <v>1185</v>
      </c>
      <c r="D1439">
        <v>2272</v>
      </c>
      <c r="E1439">
        <v>1008</v>
      </c>
      <c r="F1439">
        <v>1</v>
      </c>
      <c r="G1439" t="s">
        <v>1447</v>
      </c>
      <c r="H1439" t="s">
        <v>9</v>
      </c>
      <c r="I1439" t="s">
        <v>208</v>
      </c>
      <c r="J1439" t="s">
        <v>947</v>
      </c>
    </row>
    <row r="1440" spans="1:10">
      <c r="A1440">
        <v>51439</v>
      </c>
      <c r="B1440">
        <v>30833</v>
      </c>
      <c r="C1440" t="s">
        <v>1218</v>
      </c>
      <c r="D1440">
        <v>2365</v>
      </c>
      <c r="E1440">
        <v>1004</v>
      </c>
      <c r="F1440">
        <v>1</v>
      </c>
      <c r="G1440" t="s">
        <v>1452</v>
      </c>
      <c r="H1440" t="s">
        <v>9</v>
      </c>
      <c r="I1440" t="s">
        <v>1020</v>
      </c>
      <c r="J1440" t="s">
        <v>643</v>
      </c>
    </row>
    <row r="1441" spans="1:10">
      <c r="A1441">
        <v>51440</v>
      </c>
      <c r="B1441">
        <v>30834</v>
      </c>
      <c r="C1441" t="s">
        <v>1056</v>
      </c>
      <c r="D1441">
        <v>2123</v>
      </c>
      <c r="E1441">
        <v>1016</v>
      </c>
      <c r="F1441">
        <v>2</v>
      </c>
      <c r="G1441" t="s">
        <v>1500</v>
      </c>
      <c r="H1441" t="s">
        <v>12</v>
      </c>
      <c r="I1441" t="s">
        <v>1421</v>
      </c>
      <c r="J1441" t="s">
        <v>1421</v>
      </c>
    </row>
    <row r="1442" spans="1:10">
      <c r="A1442">
        <v>51441</v>
      </c>
      <c r="B1442">
        <v>30834</v>
      </c>
      <c r="C1442" t="s">
        <v>973</v>
      </c>
      <c r="D1442">
        <v>2123</v>
      </c>
      <c r="E1442">
        <v>1001</v>
      </c>
      <c r="F1442">
        <v>1</v>
      </c>
      <c r="G1442" t="s">
        <v>1469</v>
      </c>
      <c r="H1442" t="s">
        <v>12</v>
      </c>
      <c r="I1442" t="s">
        <v>1421</v>
      </c>
      <c r="J1442" t="s">
        <v>1421</v>
      </c>
    </row>
    <row r="1443" spans="1:10">
      <c r="A1443">
        <v>51442</v>
      </c>
      <c r="B1443">
        <v>30835</v>
      </c>
      <c r="C1443" t="s">
        <v>1268</v>
      </c>
      <c r="D1443">
        <v>2555</v>
      </c>
      <c r="E1443">
        <v>1016</v>
      </c>
      <c r="F1443">
        <v>1</v>
      </c>
      <c r="G1443" t="s">
        <v>1465</v>
      </c>
      <c r="H1443" t="s">
        <v>11</v>
      </c>
      <c r="I1443" t="s">
        <v>325</v>
      </c>
      <c r="J1443" t="s">
        <v>1166</v>
      </c>
    </row>
    <row r="1444" spans="1:10">
      <c r="A1444">
        <v>51443</v>
      </c>
      <c r="B1444">
        <v>30835</v>
      </c>
      <c r="C1444" t="s">
        <v>1268</v>
      </c>
      <c r="D1444">
        <v>2555</v>
      </c>
      <c r="E1444">
        <v>1012</v>
      </c>
      <c r="F1444">
        <v>1</v>
      </c>
      <c r="G1444" t="s">
        <v>1449</v>
      </c>
      <c r="H1444" t="s">
        <v>11</v>
      </c>
      <c r="I1444" t="s">
        <v>771</v>
      </c>
      <c r="J1444" t="s">
        <v>556</v>
      </c>
    </row>
    <row r="1445" spans="1:10">
      <c r="A1445">
        <v>51444</v>
      </c>
      <c r="B1445">
        <v>30835</v>
      </c>
      <c r="C1445" t="s">
        <v>842</v>
      </c>
      <c r="D1445">
        <v>2555</v>
      </c>
      <c r="E1445">
        <v>1011</v>
      </c>
      <c r="F1445">
        <v>1</v>
      </c>
      <c r="G1445" t="s">
        <v>1472</v>
      </c>
      <c r="H1445" t="s">
        <v>11</v>
      </c>
      <c r="I1445" t="s">
        <v>324</v>
      </c>
      <c r="J1445" t="s">
        <v>1269</v>
      </c>
    </row>
    <row r="1446" spans="1:10">
      <c r="A1446">
        <v>51445</v>
      </c>
      <c r="B1446">
        <v>30836</v>
      </c>
      <c r="C1446" t="s">
        <v>84</v>
      </c>
      <c r="D1446">
        <v>2505</v>
      </c>
      <c r="E1446">
        <v>1009</v>
      </c>
      <c r="F1446">
        <v>3</v>
      </c>
      <c r="G1446" t="s">
        <v>1461</v>
      </c>
      <c r="H1446" t="s">
        <v>12</v>
      </c>
      <c r="I1446" t="s">
        <v>1421</v>
      </c>
      <c r="J1446" t="s">
        <v>1421</v>
      </c>
    </row>
    <row r="1447" spans="1:10">
      <c r="A1447">
        <v>51446</v>
      </c>
      <c r="B1447">
        <v>30837</v>
      </c>
      <c r="C1447" t="s">
        <v>272</v>
      </c>
      <c r="D1447">
        <v>2503</v>
      </c>
      <c r="E1447">
        <v>1009</v>
      </c>
      <c r="F1447">
        <v>1</v>
      </c>
      <c r="G1447" t="s">
        <v>1473</v>
      </c>
      <c r="H1447" t="s">
        <v>9</v>
      </c>
      <c r="I1447" t="s">
        <v>438</v>
      </c>
      <c r="J1447" t="s">
        <v>1270</v>
      </c>
    </row>
    <row r="1448" spans="1:10">
      <c r="A1448">
        <v>51447</v>
      </c>
      <c r="B1448">
        <v>30837</v>
      </c>
      <c r="C1448" t="s">
        <v>53</v>
      </c>
      <c r="D1448">
        <v>2503</v>
      </c>
      <c r="E1448">
        <v>1013</v>
      </c>
      <c r="F1448">
        <v>1</v>
      </c>
      <c r="G1448" t="s">
        <v>1474</v>
      </c>
      <c r="H1448" t="s">
        <v>9</v>
      </c>
      <c r="I1448" t="s">
        <v>1188</v>
      </c>
      <c r="J1448" t="s">
        <v>270</v>
      </c>
    </row>
    <row r="1449" spans="1:10">
      <c r="A1449">
        <v>51448</v>
      </c>
      <c r="B1449">
        <v>30838</v>
      </c>
      <c r="C1449" t="s">
        <v>421</v>
      </c>
      <c r="D1449">
        <v>2228</v>
      </c>
      <c r="E1449">
        <v>1005</v>
      </c>
      <c r="F1449">
        <v>2</v>
      </c>
      <c r="G1449" t="s">
        <v>1458</v>
      </c>
      <c r="H1449" t="s">
        <v>9</v>
      </c>
      <c r="I1449" t="s">
        <v>825</v>
      </c>
      <c r="J1449" t="s">
        <v>1218</v>
      </c>
    </row>
    <row r="1450" spans="1:10">
      <c r="A1450">
        <v>51449</v>
      </c>
      <c r="B1450">
        <v>30839</v>
      </c>
      <c r="C1450" t="s">
        <v>51</v>
      </c>
      <c r="D1450">
        <v>2056</v>
      </c>
      <c r="E1450">
        <v>1014</v>
      </c>
      <c r="F1450">
        <v>1</v>
      </c>
      <c r="G1450" t="s">
        <v>1463</v>
      </c>
      <c r="H1450" t="s">
        <v>9</v>
      </c>
      <c r="I1450" t="s">
        <v>102</v>
      </c>
      <c r="J1450" t="s">
        <v>631</v>
      </c>
    </row>
    <row r="1451" spans="1:10">
      <c r="A1451">
        <v>51450</v>
      </c>
      <c r="B1451">
        <v>30840</v>
      </c>
      <c r="C1451" t="s">
        <v>321</v>
      </c>
      <c r="D1451">
        <v>2490</v>
      </c>
      <c r="E1451">
        <v>1002</v>
      </c>
      <c r="G1451" t="s">
        <v>1466</v>
      </c>
      <c r="H1451" t="s">
        <v>12</v>
      </c>
      <c r="I1451" t="s">
        <v>1421</v>
      </c>
      <c r="J1451" t="s">
        <v>1421</v>
      </c>
    </row>
    <row r="1452" spans="1:10">
      <c r="A1452">
        <v>51451</v>
      </c>
      <c r="B1452">
        <v>30840</v>
      </c>
      <c r="C1452" t="s">
        <v>252</v>
      </c>
      <c r="D1452">
        <v>2490</v>
      </c>
      <c r="E1452">
        <v>1012</v>
      </c>
      <c r="F1452">
        <v>3</v>
      </c>
      <c r="G1452" t="s">
        <v>1448</v>
      </c>
      <c r="H1452" t="s">
        <v>12</v>
      </c>
      <c r="I1452" t="s">
        <v>1421</v>
      </c>
      <c r="J1452" t="s">
        <v>1421</v>
      </c>
    </row>
    <row r="1453" spans="1:10">
      <c r="A1453">
        <v>51452</v>
      </c>
      <c r="B1453">
        <v>30841</v>
      </c>
      <c r="C1453" t="s">
        <v>528</v>
      </c>
      <c r="D1453">
        <v>2404</v>
      </c>
      <c r="E1453">
        <v>1006</v>
      </c>
      <c r="F1453">
        <v>3</v>
      </c>
      <c r="G1453" t="s">
        <v>1493</v>
      </c>
      <c r="H1453" t="s">
        <v>12</v>
      </c>
      <c r="I1453" t="s">
        <v>1421</v>
      </c>
      <c r="J1453" t="s">
        <v>1421</v>
      </c>
    </row>
    <row r="1454" spans="1:10">
      <c r="A1454">
        <v>51453</v>
      </c>
      <c r="B1454">
        <v>30842</v>
      </c>
      <c r="C1454" t="s">
        <v>1150</v>
      </c>
      <c r="D1454">
        <v>2469</v>
      </c>
      <c r="E1454">
        <v>1015</v>
      </c>
      <c r="F1454">
        <v>1</v>
      </c>
      <c r="G1454" t="s">
        <v>1478</v>
      </c>
      <c r="H1454" t="s">
        <v>11</v>
      </c>
      <c r="I1454" t="s">
        <v>1179</v>
      </c>
      <c r="J1454" t="s">
        <v>212</v>
      </c>
    </row>
    <row r="1455" spans="1:10">
      <c r="A1455">
        <v>51454</v>
      </c>
      <c r="B1455">
        <v>30843</v>
      </c>
      <c r="C1455" t="s">
        <v>926</v>
      </c>
      <c r="D1455">
        <v>2324</v>
      </c>
      <c r="E1455">
        <v>1001</v>
      </c>
      <c r="F1455">
        <v>1</v>
      </c>
      <c r="G1455" t="s">
        <v>1469</v>
      </c>
      <c r="H1455" t="s">
        <v>9</v>
      </c>
      <c r="I1455" t="s">
        <v>243</v>
      </c>
      <c r="J1455" t="s">
        <v>977</v>
      </c>
    </row>
    <row r="1456" spans="1:10">
      <c r="A1456">
        <v>51455</v>
      </c>
      <c r="B1456">
        <v>30843</v>
      </c>
      <c r="C1456" t="s">
        <v>240</v>
      </c>
      <c r="D1456">
        <v>2324</v>
      </c>
      <c r="E1456">
        <v>1007</v>
      </c>
      <c r="F1456">
        <v>5</v>
      </c>
      <c r="G1456" t="s">
        <v>1510</v>
      </c>
      <c r="H1456" t="s">
        <v>9</v>
      </c>
      <c r="I1456" t="s">
        <v>109</v>
      </c>
      <c r="J1456" t="s">
        <v>1264</v>
      </c>
    </row>
    <row r="1457" spans="1:10">
      <c r="A1457">
        <v>51456</v>
      </c>
      <c r="B1457">
        <v>30844</v>
      </c>
      <c r="C1457" t="s">
        <v>837</v>
      </c>
      <c r="D1457">
        <v>2389</v>
      </c>
      <c r="E1457">
        <v>1011</v>
      </c>
      <c r="F1457">
        <v>1</v>
      </c>
      <c r="G1457" t="s">
        <v>1472</v>
      </c>
      <c r="H1457" t="s">
        <v>9</v>
      </c>
      <c r="I1457" t="s">
        <v>349</v>
      </c>
      <c r="J1457" t="s">
        <v>62</v>
      </c>
    </row>
    <row r="1458" spans="1:10">
      <c r="A1458">
        <v>51457</v>
      </c>
      <c r="B1458">
        <v>30845</v>
      </c>
      <c r="C1458" t="s">
        <v>557</v>
      </c>
      <c r="D1458">
        <v>2371</v>
      </c>
      <c r="E1458">
        <v>1009</v>
      </c>
      <c r="F1458">
        <v>1</v>
      </c>
      <c r="G1458" t="s">
        <v>1473</v>
      </c>
      <c r="H1458" t="s">
        <v>9</v>
      </c>
      <c r="I1458" t="s">
        <v>1202</v>
      </c>
      <c r="J1458" t="s">
        <v>169</v>
      </c>
    </row>
    <row r="1459" spans="1:10">
      <c r="A1459">
        <v>51458</v>
      </c>
      <c r="B1459">
        <v>30845</v>
      </c>
      <c r="C1459" t="s">
        <v>414</v>
      </c>
      <c r="D1459">
        <v>2371</v>
      </c>
      <c r="E1459">
        <v>1006</v>
      </c>
      <c r="F1459">
        <v>1</v>
      </c>
      <c r="G1459" t="s">
        <v>1459</v>
      </c>
      <c r="H1459" t="s">
        <v>9</v>
      </c>
      <c r="I1459" t="s">
        <v>207</v>
      </c>
      <c r="J1459" t="s">
        <v>60</v>
      </c>
    </row>
    <row r="1460" spans="1:10">
      <c r="A1460">
        <v>51459</v>
      </c>
      <c r="B1460">
        <v>30846</v>
      </c>
      <c r="C1460" t="s">
        <v>771</v>
      </c>
      <c r="D1460">
        <v>2562</v>
      </c>
      <c r="E1460">
        <v>1009</v>
      </c>
      <c r="F1460">
        <v>1</v>
      </c>
      <c r="G1460" t="s">
        <v>1473</v>
      </c>
      <c r="H1460" t="s">
        <v>9</v>
      </c>
      <c r="I1460" t="s">
        <v>1166</v>
      </c>
      <c r="J1460" t="s">
        <v>869</v>
      </c>
    </row>
    <row r="1461" spans="1:10">
      <c r="A1461">
        <v>51460</v>
      </c>
      <c r="B1461">
        <v>30847</v>
      </c>
      <c r="C1461" t="s">
        <v>106</v>
      </c>
      <c r="D1461">
        <v>2483</v>
      </c>
      <c r="E1461">
        <v>1011</v>
      </c>
      <c r="F1461">
        <v>1</v>
      </c>
      <c r="G1461" t="s">
        <v>1472</v>
      </c>
      <c r="H1461" t="s">
        <v>1467</v>
      </c>
      <c r="I1461" t="s">
        <v>579</v>
      </c>
      <c r="J1461" t="s">
        <v>438</v>
      </c>
    </row>
    <row r="1462" spans="1:10">
      <c r="A1462">
        <v>51461</v>
      </c>
      <c r="B1462">
        <v>30848</v>
      </c>
      <c r="C1462" t="s">
        <v>172</v>
      </c>
      <c r="D1462">
        <v>2375</v>
      </c>
      <c r="E1462">
        <v>1014</v>
      </c>
      <c r="F1462">
        <v>1</v>
      </c>
      <c r="G1462" t="s">
        <v>1463</v>
      </c>
      <c r="H1462" t="s">
        <v>9</v>
      </c>
      <c r="I1462" t="s">
        <v>1271</v>
      </c>
      <c r="J1462" t="s">
        <v>997</v>
      </c>
    </row>
    <row r="1463" spans="1:10">
      <c r="A1463">
        <v>51462</v>
      </c>
      <c r="B1463">
        <v>30849</v>
      </c>
      <c r="C1463" t="s">
        <v>272</v>
      </c>
      <c r="D1463">
        <v>2216</v>
      </c>
      <c r="E1463">
        <v>1012</v>
      </c>
      <c r="F1463">
        <v>2</v>
      </c>
      <c r="G1463" t="s">
        <v>1450</v>
      </c>
      <c r="H1463" t="s">
        <v>9</v>
      </c>
      <c r="I1463" t="s">
        <v>505</v>
      </c>
      <c r="J1463" t="s">
        <v>930</v>
      </c>
    </row>
    <row r="1464" spans="1:10">
      <c r="A1464">
        <v>51463</v>
      </c>
      <c r="B1464">
        <v>30850</v>
      </c>
      <c r="C1464" t="s">
        <v>1204</v>
      </c>
      <c r="D1464">
        <v>2374</v>
      </c>
      <c r="E1464">
        <v>1009</v>
      </c>
      <c r="F1464">
        <v>2</v>
      </c>
      <c r="G1464" t="s">
        <v>1479</v>
      </c>
      <c r="H1464" t="s">
        <v>16</v>
      </c>
      <c r="I1464" t="s">
        <v>1421</v>
      </c>
      <c r="J1464" t="s">
        <v>1421</v>
      </c>
    </row>
    <row r="1465" spans="1:10">
      <c r="A1465">
        <v>51464</v>
      </c>
      <c r="B1465">
        <v>30851</v>
      </c>
      <c r="C1465" t="s">
        <v>830</v>
      </c>
      <c r="D1465">
        <v>2586</v>
      </c>
      <c r="E1465">
        <v>1008</v>
      </c>
      <c r="F1465">
        <v>1</v>
      </c>
      <c r="G1465" t="s">
        <v>1447</v>
      </c>
      <c r="H1465" t="s">
        <v>9</v>
      </c>
      <c r="I1465" t="s">
        <v>982</v>
      </c>
      <c r="J1465" t="s">
        <v>131</v>
      </c>
    </row>
    <row r="1466" spans="1:10">
      <c r="A1466">
        <v>51465</v>
      </c>
      <c r="B1466">
        <v>30852</v>
      </c>
      <c r="C1466" t="s">
        <v>1254</v>
      </c>
      <c r="D1466">
        <v>2103</v>
      </c>
      <c r="E1466">
        <v>1008</v>
      </c>
      <c r="F1466">
        <v>5</v>
      </c>
      <c r="G1466" t="s">
        <v>1502</v>
      </c>
      <c r="H1466" t="s">
        <v>9</v>
      </c>
      <c r="I1466" t="s">
        <v>821</v>
      </c>
      <c r="J1466" t="s">
        <v>318</v>
      </c>
    </row>
    <row r="1467" spans="1:10">
      <c r="A1467">
        <v>51466</v>
      </c>
      <c r="B1467">
        <v>30853</v>
      </c>
      <c r="C1467" t="s">
        <v>1128</v>
      </c>
      <c r="D1467">
        <v>2569</v>
      </c>
      <c r="E1467">
        <v>1013</v>
      </c>
      <c r="F1467">
        <v>1</v>
      </c>
      <c r="G1467" t="s">
        <v>1474</v>
      </c>
      <c r="H1467" t="s">
        <v>9</v>
      </c>
      <c r="I1467" t="s">
        <v>901</v>
      </c>
      <c r="J1467" t="s">
        <v>907</v>
      </c>
    </row>
    <row r="1468" spans="1:10">
      <c r="A1468">
        <v>51467</v>
      </c>
      <c r="B1468">
        <v>30854</v>
      </c>
      <c r="C1468" t="s">
        <v>338</v>
      </c>
      <c r="D1468">
        <v>2201</v>
      </c>
      <c r="E1468">
        <v>1005</v>
      </c>
      <c r="F1468">
        <v>1</v>
      </c>
      <c r="G1468" t="s">
        <v>1456</v>
      </c>
      <c r="H1468" t="s">
        <v>9</v>
      </c>
      <c r="I1468" t="s">
        <v>652</v>
      </c>
      <c r="J1468" t="s">
        <v>682</v>
      </c>
    </row>
    <row r="1469" spans="1:10">
      <c r="A1469">
        <v>51468</v>
      </c>
      <c r="B1469">
        <v>30855</v>
      </c>
      <c r="C1469" t="s">
        <v>984</v>
      </c>
      <c r="D1469">
        <v>2485</v>
      </c>
      <c r="E1469">
        <v>1006</v>
      </c>
      <c r="F1469">
        <v>1</v>
      </c>
      <c r="G1469" t="s">
        <v>1459</v>
      </c>
      <c r="H1469" t="s">
        <v>16</v>
      </c>
      <c r="I1469" t="s">
        <v>1421</v>
      </c>
      <c r="J1469" t="s">
        <v>1421</v>
      </c>
    </row>
    <row r="1470" spans="1:10">
      <c r="A1470">
        <v>51469</v>
      </c>
      <c r="B1470">
        <v>30856</v>
      </c>
      <c r="C1470" t="s">
        <v>1170</v>
      </c>
      <c r="D1470">
        <v>2138</v>
      </c>
      <c r="E1470">
        <v>1011</v>
      </c>
      <c r="F1470">
        <v>1</v>
      </c>
      <c r="G1470" t="s">
        <v>1472</v>
      </c>
      <c r="H1470" t="s">
        <v>11</v>
      </c>
      <c r="I1470" t="s">
        <v>1105</v>
      </c>
      <c r="J1470" t="s">
        <v>768</v>
      </c>
    </row>
    <row r="1471" spans="1:10">
      <c r="A1471">
        <v>51470</v>
      </c>
      <c r="B1471">
        <v>30856</v>
      </c>
      <c r="C1471" t="s">
        <v>1243</v>
      </c>
      <c r="D1471">
        <v>2138</v>
      </c>
      <c r="E1471">
        <v>1016</v>
      </c>
      <c r="F1471">
        <v>1</v>
      </c>
      <c r="G1471" t="s">
        <v>1465</v>
      </c>
      <c r="H1471" t="s">
        <v>11</v>
      </c>
      <c r="I1471" t="s">
        <v>939</v>
      </c>
      <c r="J1471" t="s">
        <v>492</v>
      </c>
    </row>
    <row r="1472" spans="1:10">
      <c r="A1472">
        <v>51471</v>
      </c>
      <c r="B1472">
        <v>30857</v>
      </c>
      <c r="C1472" t="s">
        <v>525</v>
      </c>
      <c r="D1472">
        <v>2308</v>
      </c>
      <c r="E1472">
        <v>1002</v>
      </c>
      <c r="F1472">
        <v>1</v>
      </c>
      <c r="G1472" t="s">
        <v>1466</v>
      </c>
      <c r="H1472" t="s">
        <v>9</v>
      </c>
      <c r="I1472" t="s">
        <v>18</v>
      </c>
      <c r="J1472" t="s">
        <v>1024</v>
      </c>
    </row>
    <row r="1473" spans="1:10">
      <c r="A1473">
        <v>51472</v>
      </c>
      <c r="B1473">
        <v>30858</v>
      </c>
      <c r="C1473" t="s">
        <v>1030</v>
      </c>
      <c r="D1473">
        <v>2408</v>
      </c>
      <c r="E1473">
        <v>1006</v>
      </c>
      <c r="F1473">
        <v>1</v>
      </c>
      <c r="G1473" t="s">
        <v>1459</v>
      </c>
      <c r="H1473" t="s">
        <v>9</v>
      </c>
      <c r="I1473" t="s">
        <v>1272</v>
      </c>
      <c r="J1473" t="s">
        <v>319</v>
      </c>
    </row>
    <row r="1474" spans="1:10">
      <c r="A1474">
        <v>51473</v>
      </c>
      <c r="B1474">
        <v>30858</v>
      </c>
      <c r="C1474" t="s">
        <v>292</v>
      </c>
      <c r="D1474">
        <v>2408</v>
      </c>
      <c r="E1474">
        <v>1002</v>
      </c>
      <c r="F1474">
        <v>4</v>
      </c>
      <c r="G1474" t="s">
        <v>1451</v>
      </c>
      <c r="H1474" t="s">
        <v>9</v>
      </c>
      <c r="I1474" t="s">
        <v>439</v>
      </c>
      <c r="J1474" t="s">
        <v>1272</v>
      </c>
    </row>
    <row r="1475" spans="1:10">
      <c r="A1475">
        <v>51474</v>
      </c>
      <c r="B1475">
        <v>30859</v>
      </c>
      <c r="C1475" t="s">
        <v>1107</v>
      </c>
      <c r="D1475">
        <v>2221</v>
      </c>
      <c r="E1475">
        <v>1016</v>
      </c>
      <c r="F1475">
        <v>1</v>
      </c>
      <c r="G1475" t="s">
        <v>1465</v>
      </c>
      <c r="H1475" t="s">
        <v>16</v>
      </c>
      <c r="I1475" t="s">
        <v>1421</v>
      </c>
      <c r="J1475" t="s">
        <v>1421</v>
      </c>
    </row>
    <row r="1476" spans="1:10">
      <c r="A1476">
        <v>51475</v>
      </c>
      <c r="B1476">
        <v>30859</v>
      </c>
      <c r="C1476" t="s">
        <v>898</v>
      </c>
      <c r="D1476">
        <v>2221</v>
      </c>
      <c r="E1476">
        <v>1004</v>
      </c>
      <c r="F1476">
        <v>1</v>
      </c>
      <c r="G1476" t="s">
        <v>1452</v>
      </c>
      <c r="H1476" t="s">
        <v>16</v>
      </c>
      <c r="I1476" t="s">
        <v>1421</v>
      </c>
      <c r="J1476" t="s">
        <v>1421</v>
      </c>
    </row>
    <row r="1477" spans="1:10">
      <c r="A1477">
        <v>51476</v>
      </c>
      <c r="B1477">
        <v>30860</v>
      </c>
      <c r="C1477" t="s">
        <v>525</v>
      </c>
      <c r="D1477">
        <v>2343</v>
      </c>
      <c r="E1477">
        <v>1012</v>
      </c>
      <c r="F1477">
        <v>2</v>
      </c>
      <c r="G1477" t="s">
        <v>1450</v>
      </c>
      <c r="H1477" t="s">
        <v>9</v>
      </c>
      <c r="I1477" t="s">
        <v>1029</v>
      </c>
      <c r="J1477" t="s">
        <v>1134</v>
      </c>
    </row>
    <row r="1478" spans="1:10">
      <c r="A1478">
        <v>51477</v>
      </c>
      <c r="B1478">
        <v>30861</v>
      </c>
      <c r="C1478" t="s">
        <v>1273</v>
      </c>
      <c r="D1478">
        <v>2574</v>
      </c>
      <c r="E1478">
        <v>1009</v>
      </c>
      <c r="F1478">
        <v>3</v>
      </c>
      <c r="G1478" t="s">
        <v>1461</v>
      </c>
      <c r="H1478" t="s">
        <v>9</v>
      </c>
      <c r="I1478" t="s">
        <v>82</v>
      </c>
      <c r="J1478" t="s">
        <v>1274</v>
      </c>
    </row>
    <row r="1479" spans="1:10">
      <c r="A1479">
        <v>51478</v>
      </c>
      <c r="B1479">
        <v>30862</v>
      </c>
      <c r="C1479" t="s">
        <v>264</v>
      </c>
      <c r="D1479">
        <v>2353</v>
      </c>
      <c r="E1479">
        <v>1004</v>
      </c>
      <c r="F1479">
        <v>2</v>
      </c>
      <c r="G1479" t="s">
        <v>1476</v>
      </c>
      <c r="H1479" t="s">
        <v>9</v>
      </c>
      <c r="I1479" t="s">
        <v>983</v>
      </c>
      <c r="J1479" t="s">
        <v>219</v>
      </c>
    </row>
    <row r="1480" spans="1:10">
      <c r="A1480">
        <v>51479</v>
      </c>
      <c r="B1480">
        <v>30862</v>
      </c>
      <c r="C1480" t="s">
        <v>817</v>
      </c>
      <c r="D1480">
        <v>2353</v>
      </c>
      <c r="E1480">
        <v>1012</v>
      </c>
      <c r="F1480">
        <v>1</v>
      </c>
      <c r="G1480" t="s">
        <v>1449</v>
      </c>
      <c r="H1480" t="s">
        <v>9</v>
      </c>
      <c r="I1480" t="s">
        <v>102</v>
      </c>
      <c r="J1480" t="s">
        <v>84</v>
      </c>
    </row>
    <row r="1481" spans="1:10">
      <c r="A1481">
        <v>51480</v>
      </c>
      <c r="B1481">
        <v>30862</v>
      </c>
      <c r="C1481" t="s">
        <v>264</v>
      </c>
      <c r="D1481">
        <v>2353</v>
      </c>
      <c r="E1481">
        <v>1007</v>
      </c>
      <c r="F1481">
        <v>1</v>
      </c>
      <c r="G1481" t="s">
        <v>1453</v>
      </c>
      <c r="H1481" t="s">
        <v>9</v>
      </c>
      <c r="I1481" t="s">
        <v>51</v>
      </c>
      <c r="J1481" t="s">
        <v>344</v>
      </c>
    </row>
    <row r="1482" spans="1:10">
      <c r="A1482">
        <v>51481</v>
      </c>
      <c r="B1482">
        <v>30863</v>
      </c>
      <c r="C1482" t="s">
        <v>380</v>
      </c>
      <c r="D1482">
        <v>2591</v>
      </c>
      <c r="E1482">
        <v>1006</v>
      </c>
      <c r="F1482">
        <v>1</v>
      </c>
      <c r="G1482" t="s">
        <v>1459</v>
      </c>
      <c r="H1482" t="s">
        <v>9</v>
      </c>
      <c r="I1482" t="s">
        <v>359</v>
      </c>
      <c r="J1482" t="s">
        <v>247</v>
      </c>
    </row>
    <row r="1483" spans="1:10">
      <c r="A1483">
        <v>51482</v>
      </c>
      <c r="B1483">
        <v>30863</v>
      </c>
      <c r="C1483" t="s">
        <v>962</v>
      </c>
      <c r="D1483">
        <v>2591</v>
      </c>
      <c r="E1483">
        <v>1010</v>
      </c>
      <c r="F1483">
        <v>1</v>
      </c>
      <c r="G1483" t="s">
        <v>1468</v>
      </c>
      <c r="H1483" t="s">
        <v>9</v>
      </c>
      <c r="I1483" t="s">
        <v>371</v>
      </c>
      <c r="J1483" t="s">
        <v>1194</v>
      </c>
    </row>
    <row r="1484" spans="1:10">
      <c r="A1484">
        <v>51483</v>
      </c>
      <c r="B1484">
        <v>30864</v>
      </c>
      <c r="C1484" t="s">
        <v>470</v>
      </c>
      <c r="D1484">
        <v>2364</v>
      </c>
      <c r="E1484">
        <v>1016</v>
      </c>
      <c r="F1484">
        <v>3</v>
      </c>
      <c r="G1484" t="s">
        <v>1484</v>
      </c>
      <c r="H1484" t="s">
        <v>9</v>
      </c>
      <c r="I1484" t="s">
        <v>1200</v>
      </c>
      <c r="J1484" t="s">
        <v>139</v>
      </c>
    </row>
    <row r="1485" spans="1:10">
      <c r="A1485">
        <v>51484</v>
      </c>
      <c r="B1485">
        <v>30865</v>
      </c>
      <c r="C1485" t="s">
        <v>1269</v>
      </c>
      <c r="D1485">
        <v>2458</v>
      </c>
      <c r="E1485">
        <v>1013</v>
      </c>
      <c r="F1485">
        <v>4</v>
      </c>
      <c r="G1485" t="s">
        <v>1523</v>
      </c>
      <c r="H1485" t="s">
        <v>12</v>
      </c>
      <c r="I1485" t="s">
        <v>1421</v>
      </c>
      <c r="J1485" t="s">
        <v>1421</v>
      </c>
    </row>
    <row r="1486" spans="1:10">
      <c r="A1486">
        <v>51485</v>
      </c>
      <c r="B1486">
        <v>30866</v>
      </c>
      <c r="C1486" t="s">
        <v>406</v>
      </c>
      <c r="D1486">
        <v>2294</v>
      </c>
      <c r="E1486">
        <v>1005</v>
      </c>
      <c r="F1486">
        <v>1</v>
      </c>
      <c r="G1486" t="s">
        <v>1456</v>
      </c>
      <c r="H1486" t="s">
        <v>9</v>
      </c>
      <c r="I1486" t="s">
        <v>1022</v>
      </c>
      <c r="J1486" t="s">
        <v>400</v>
      </c>
    </row>
    <row r="1487" spans="1:10">
      <c r="A1487">
        <v>51486</v>
      </c>
      <c r="B1487">
        <v>30867</v>
      </c>
      <c r="C1487" t="s">
        <v>1003</v>
      </c>
      <c r="D1487">
        <v>2172</v>
      </c>
      <c r="E1487">
        <v>1011</v>
      </c>
      <c r="F1487">
        <v>2</v>
      </c>
      <c r="G1487" t="s">
        <v>1487</v>
      </c>
      <c r="H1487" t="s">
        <v>9</v>
      </c>
      <c r="I1487" t="s">
        <v>569</v>
      </c>
      <c r="J1487" t="s">
        <v>1275</v>
      </c>
    </row>
    <row r="1488" spans="1:10">
      <c r="A1488">
        <v>51487</v>
      </c>
      <c r="B1488">
        <v>30868</v>
      </c>
      <c r="C1488" t="s">
        <v>428</v>
      </c>
      <c r="D1488">
        <v>2432</v>
      </c>
      <c r="E1488">
        <v>1013</v>
      </c>
      <c r="F1488">
        <v>1</v>
      </c>
      <c r="G1488" t="s">
        <v>1474</v>
      </c>
      <c r="H1488" t="s">
        <v>9</v>
      </c>
      <c r="I1488" t="s">
        <v>1125</v>
      </c>
      <c r="J1488" t="s">
        <v>38</v>
      </c>
    </row>
    <row r="1489" spans="1:10">
      <c r="A1489">
        <v>51488</v>
      </c>
      <c r="B1489">
        <v>30868</v>
      </c>
      <c r="C1489" t="s">
        <v>428</v>
      </c>
      <c r="D1489">
        <v>2432</v>
      </c>
      <c r="E1489">
        <v>1003</v>
      </c>
      <c r="F1489">
        <v>3</v>
      </c>
      <c r="G1489" t="s">
        <v>1507</v>
      </c>
      <c r="H1489" t="s">
        <v>9</v>
      </c>
      <c r="I1489" t="s">
        <v>1096</v>
      </c>
      <c r="J1489" t="s">
        <v>90</v>
      </c>
    </row>
    <row r="1490" spans="1:10">
      <c r="A1490">
        <v>51489</v>
      </c>
      <c r="B1490">
        <v>30869</v>
      </c>
      <c r="C1490" t="s">
        <v>651</v>
      </c>
      <c r="D1490">
        <v>2082</v>
      </c>
      <c r="E1490">
        <v>1008</v>
      </c>
      <c r="F1490">
        <v>1</v>
      </c>
      <c r="G1490" t="s">
        <v>1447</v>
      </c>
      <c r="H1490" t="s">
        <v>9</v>
      </c>
      <c r="I1490" t="s">
        <v>406</v>
      </c>
      <c r="J1490" t="s">
        <v>1213</v>
      </c>
    </row>
    <row r="1491" spans="1:10">
      <c r="A1491">
        <v>51490</v>
      </c>
      <c r="B1491">
        <v>30869</v>
      </c>
      <c r="C1491" t="s">
        <v>573</v>
      </c>
      <c r="D1491">
        <v>2082</v>
      </c>
      <c r="E1491">
        <v>1011</v>
      </c>
      <c r="F1491">
        <v>4</v>
      </c>
      <c r="G1491" t="s">
        <v>1499</v>
      </c>
      <c r="H1491" t="s">
        <v>9</v>
      </c>
      <c r="I1491" t="s">
        <v>694</v>
      </c>
      <c r="J1491" t="s">
        <v>963</v>
      </c>
    </row>
    <row r="1492" spans="1:10">
      <c r="A1492">
        <v>51491</v>
      </c>
      <c r="B1492">
        <v>30869</v>
      </c>
      <c r="C1492" t="s">
        <v>1117</v>
      </c>
      <c r="D1492">
        <v>2082</v>
      </c>
      <c r="E1492">
        <v>1011</v>
      </c>
      <c r="F1492">
        <v>1</v>
      </c>
      <c r="G1492" t="s">
        <v>1472</v>
      </c>
      <c r="H1492" t="s">
        <v>9</v>
      </c>
      <c r="I1492" t="s">
        <v>694</v>
      </c>
      <c r="J1492" t="s">
        <v>852</v>
      </c>
    </row>
    <row r="1493" spans="1:10">
      <c r="A1493">
        <v>51492</v>
      </c>
      <c r="B1493">
        <v>30869</v>
      </c>
      <c r="C1493" t="s">
        <v>573</v>
      </c>
      <c r="D1493">
        <v>2082</v>
      </c>
      <c r="E1493">
        <v>1010</v>
      </c>
      <c r="F1493">
        <v>1</v>
      </c>
      <c r="G1493" t="s">
        <v>1468</v>
      </c>
      <c r="H1493" t="s">
        <v>9</v>
      </c>
      <c r="I1493" t="s">
        <v>575</v>
      </c>
      <c r="J1493" t="s">
        <v>172</v>
      </c>
    </row>
    <row r="1494" spans="1:10">
      <c r="A1494">
        <v>51493</v>
      </c>
      <c r="B1494">
        <v>30870</v>
      </c>
      <c r="C1494" t="s">
        <v>687</v>
      </c>
      <c r="D1494">
        <v>2274</v>
      </c>
      <c r="E1494">
        <v>1013</v>
      </c>
      <c r="F1494">
        <v>2</v>
      </c>
      <c r="G1494" t="s">
        <v>1492</v>
      </c>
      <c r="H1494" t="s">
        <v>9</v>
      </c>
      <c r="I1494" t="s">
        <v>607</v>
      </c>
      <c r="J1494" t="s">
        <v>1176</v>
      </c>
    </row>
    <row r="1495" spans="1:10">
      <c r="A1495">
        <v>51494</v>
      </c>
      <c r="B1495">
        <v>30871</v>
      </c>
      <c r="C1495" t="s">
        <v>810</v>
      </c>
      <c r="D1495">
        <v>2278</v>
      </c>
      <c r="E1495">
        <v>1012</v>
      </c>
      <c r="F1495">
        <v>2</v>
      </c>
      <c r="G1495" t="s">
        <v>1450</v>
      </c>
      <c r="H1495" t="s">
        <v>12</v>
      </c>
      <c r="I1495" t="s">
        <v>1421</v>
      </c>
      <c r="J1495" t="s">
        <v>1421</v>
      </c>
    </row>
    <row r="1496" spans="1:10">
      <c r="A1496">
        <v>51495</v>
      </c>
      <c r="B1496">
        <v>30872</v>
      </c>
      <c r="C1496" t="s">
        <v>570</v>
      </c>
      <c r="D1496">
        <v>2534</v>
      </c>
      <c r="E1496">
        <v>1014</v>
      </c>
      <c r="F1496">
        <v>1</v>
      </c>
      <c r="G1496" t="s">
        <v>1463</v>
      </c>
      <c r="H1496" t="s">
        <v>11</v>
      </c>
      <c r="I1496" t="s">
        <v>1117</v>
      </c>
      <c r="J1496" t="s">
        <v>406</v>
      </c>
    </row>
    <row r="1497" spans="1:10">
      <c r="A1497">
        <v>51496</v>
      </c>
      <c r="B1497">
        <v>30873</v>
      </c>
      <c r="C1497" t="s">
        <v>629</v>
      </c>
      <c r="D1497">
        <v>2172</v>
      </c>
      <c r="E1497">
        <v>1001</v>
      </c>
      <c r="F1497">
        <v>1</v>
      </c>
      <c r="G1497" t="s">
        <v>1469</v>
      </c>
      <c r="H1497" t="s">
        <v>9</v>
      </c>
      <c r="I1497" t="s">
        <v>220</v>
      </c>
      <c r="J1497" t="s">
        <v>834</v>
      </c>
    </row>
    <row r="1498" spans="1:10">
      <c r="A1498">
        <v>51497</v>
      </c>
      <c r="B1498">
        <v>30873</v>
      </c>
      <c r="C1498" t="s">
        <v>1165</v>
      </c>
      <c r="D1498">
        <v>2172</v>
      </c>
      <c r="E1498">
        <v>1005</v>
      </c>
      <c r="F1498">
        <v>1</v>
      </c>
      <c r="G1498" t="s">
        <v>1456</v>
      </c>
      <c r="H1498" t="s">
        <v>9</v>
      </c>
      <c r="I1498" t="s">
        <v>1000</v>
      </c>
      <c r="J1498" t="s">
        <v>219</v>
      </c>
    </row>
    <row r="1499" spans="1:10">
      <c r="A1499">
        <v>51498</v>
      </c>
      <c r="B1499">
        <v>30874</v>
      </c>
      <c r="C1499" t="s">
        <v>111</v>
      </c>
      <c r="D1499">
        <v>2241</v>
      </c>
      <c r="E1499">
        <v>1003</v>
      </c>
      <c r="F1499">
        <v>2</v>
      </c>
      <c r="G1499" t="s">
        <v>1464</v>
      </c>
      <c r="H1499" t="s">
        <v>9</v>
      </c>
      <c r="I1499" t="s">
        <v>300</v>
      </c>
      <c r="J1499" t="s">
        <v>943</v>
      </c>
    </row>
    <row r="1500" spans="1:10">
      <c r="A1500">
        <v>51499</v>
      </c>
      <c r="B1500">
        <v>30875</v>
      </c>
      <c r="C1500" t="s">
        <v>767</v>
      </c>
      <c r="D1500">
        <v>2216</v>
      </c>
      <c r="E1500">
        <v>1004</v>
      </c>
      <c r="F1500">
        <v>1</v>
      </c>
      <c r="G1500" t="s">
        <v>1452</v>
      </c>
      <c r="H1500" t="s">
        <v>9</v>
      </c>
      <c r="I1500" t="s">
        <v>123</v>
      </c>
      <c r="J1500" t="s">
        <v>957</v>
      </c>
    </row>
    <row r="1501" spans="1:10">
      <c r="A1501">
        <v>51500</v>
      </c>
      <c r="B1501">
        <v>30875</v>
      </c>
      <c r="C1501" t="s">
        <v>767</v>
      </c>
      <c r="D1501">
        <v>2216</v>
      </c>
      <c r="E1501">
        <v>1004</v>
      </c>
      <c r="F1501">
        <v>1</v>
      </c>
      <c r="G1501" t="s">
        <v>1452</v>
      </c>
      <c r="H1501" t="s">
        <v>9</v>
      </c>
      <c r="I1501" t="s">
        <v>492</v>
      </c>
      <c r="J1501" t="s">
        <v>325</v>
      </c>
    </row>
    <row r="1502" spans="1:10">
      <c r="A1502">
        <v>51501</v>
      </c>
      <c r="B1502">
        <v>30875</v>
      </c>
      <c r="C1502" t="s">
        <v>767</v>
      </c>
      <c r="D1502">
        <v>2216</v>
      </c>
      <c r="E1502">
        <v>1003</v>
      </c>
      <c r="F1502">
        <v>1</v>
      </c>
      <c r="G1502" t="s">
        <v>1471</v>
      </c>
      <c r="H1502" t="s">
        <v>9</v>
      </c>
      <c r="I1502" t="s">
        <v>937</v>
      </c>
      <c r="J1502" t="s">
        <v>325</v>
      </c>
    </row>
    <row r="1503" spans="1:10">
      <c r="A1503">
        <v>51502</v>
      </c>
      <c r="B1503">
        <v>30876</v>
      </c>
      <c r="C1503" t="s">
        <v>1013</v>
      </c>
      <c r="D1503">
        <v>2485</v>
      </c>
      <c r="E1503">
        <v>1001</v>
      </c>
      <c r="F1503">
        <v>1</v>
      </c>
      <c r="G1503" t="s">
        <v>1469</v>
      </c>
      <c r="H1503" t="s">
        <v>9</v>
      </c>
      <c r="I1503" t="s">
        <v>783</v>
      </c>
      <c r="J1503" t="s">
        <v>706</v>
      </c>
    </row>
    <row r="1504" spans="1:10">
      <c r="A1504">
        <v>51503</v>
      </c>
      <c r="B1504">
        <v>30876</v>
      </c>
      <c r="C1504" t="s">
        <v>1108</v>
      </c>
      <c r="D1504">
        <v>2485</v>
      </c>
      <c r="E1504">
        <v>1013</v>
      </c>
      <c r="F1504">
        <v>1</v>
      </c>
      <c r="G1504" t="s">
        <v>1474</v>
      </c>
      <c r="H1504" t="s">
        <v>9</v>
      </c>
      <c r="I1504" t="s">
        <v>784</v>
      </c>
      <c r="J1504" t="s">
        <v>360</v>
      </c>
    </row>
    <row r="1505" spans="1:10">
      <c r="A1505">
        <v>51504</v>
      </c>
      <c r="B1505">
        <v>30876</v>
      </c>
      <c r="C1505" t="s">
        <v>1108</v>
      </c>
      <c r="D1505">
        <v>2485</v>
      </c>
      <c r="E1505">
        <v>1003</v>
      </c>
      <c r="F1505">
        <v>2</v>
      </c>
      <c r="G1505" t="s">
        <v>1464</v>
      </c>
      <c r="H1505" t="s">
        <v>9</v>
      </c>
      <c r="I1505" t="s">
        <v>358</v>
      </c>
      <c r="J1505" t="s">
        <v>136</v>
      </c>
    </row>
    <row r="1506" spans="1:10">
      <c r="A1506">
        <v>51505</v>
      </c>
      <c r="B1506">
        <v>30877</v>
      </c>
      <c r="C1506" t="s">
        <v>424</v>
      </c>
      <c r="D1506">
        <v>2107</v>
      </c>
      <c r="E1506">
        <v>1005</v>
      </c>
      <c r="F1506">
        <v>2</v>
      </c>
      <c r="G1506" t="s">
        <v>1458</v>
      </c>
      <c r="H1506" t="s">
        <v>9</v>
      </c>
      <c r="I1506" t="s">
        <v>1013</v>
      </c>
      <c r="J1506" t="s">
        <v>88</v>
      </c>
    </row>
    <row r="1507" spans="1:10">
      <c r="A1507">
        <v>51506</v>
      </c>
      <c r="B1507">
        <v>30878</v>
      </c>
      <c r="C1507" t="s">
        <v>20</v>
      </c>
      <c r="D1507">
        <v>2087</v>
      </c>
      <c r="E1507">
        <v>1013</v>
      </c>
      <c r="F1507">
        <v>3</v>
      </c>
      <c r="G1507" t="s">
        <v>1490</v>
      </c>
      <c r="H1507" t="s">
        <v>9</v>
      </c>
      <c r="I1507" t="s">
        <v>975</v>
      </c>
      <c r="J1507" t="s">
        <v>1276</v>
      </c>
    </row>
    <row r="1508" spans="1:10">
      <c r="A1508">
        <v>51507</v>
      </c>
      <c r="B1508">
        <v>30879</v>
      </c>
      <c r="C1508" t="s">
        <v>1277</v>
      </c>
      <c r="D1508">
        <v>2317</v>
      </c>
      <c r="E1508">
        <v>1010</v>
      </c>
      <c r="F1508">
        <v>3</v>
      </c>
      <c r="G1508" t="s">
        <v>1514</v>
      </c>
      <c r="H1508" t="s">
        <v>9</v>
      </c>
      <c r="I1508" t="s">
        <v>1278</v>
      </c>
      <c r="J1508" t="s">
        <v>276</v>
      </c>
    </row>
    <row r="1509" spans="1:10">
      <c r="A1509">
        <v>51508</v>
      </c>
      <c r="B1509">
        <v>30879</v>
      </c>
      <c r="C1509" t="s">
        <v>62</v>
      </c>
      <c r="D1509">
        <v>2317</v>
      </c>
      <c r="E1509">
        <v>1015</v>
      </c>
      <c r="F1509">
        <v>1</v>
      </c>
      <c r="G1509" t="s">
        <v>1478</v>
      </c>
      <c r="H1509" t="s">
        <v>9</v>
      </c>
      <c r="I1509" t="s">
        <v>352</v>
      </c>
      <c r="J1509" t="s">
        <v>277</v>
      </c>
    </row>
    <row r="1510" spans="1:10">
      <c r="A1510">
        <v>51509</v>
      </c>
      <c r="B1510">
        <v>30880</v>
      </c>
      <c r="C1510" t="s">
        <v>951</v>
      </c>
      <c r="D1510">
        <v>2130</v>
      </c>
      <c r="E1510">
        <v>1006</v>
      </c>
      <c r="F1510">
        <v>1</v>
      </c>
      <c r="G1510" t="s">
        <v>1459</v>
      </c>
      <c r="H1510" t="s">
        <v>9</v>
      </c>
      <c r="I1510" t="s">
        <v>916</v>
      </c>
      <c r="J1510" t="s">
        <v>928</v>
      </c>
    </row>
    <row r="1511" spans="1:10">
      <c r="A1511">
        <v>51510</v>
      </c>
      <c r="B1511">
        <v>30880</v>
      </c>
      <c r="C1511" t="s">
        <v>915</v>
      </c>
      <c r="D1511">
        <v>2130</v>
      </c>
      <c r="E1511">
        <v>1001</v>
      </c>
      <c r="F1511">
        <v>1</v>
      </c>
      <c r="G1511" t="s">
        <v>1469</v>
      </c>
      <c r="H1511" t="s">
        <v>9</v>
      </c>
      <c r="I1511" t="s">
        <v>633</v>
      </c>
      <c r="J1511" t="s">
        <v>660</v>
      </c>
    </row>
    <row r="1512" spans="1:10">
      <c r="A1512">
        <v>51511</v>
      </c>
      <c r="B1512">
        <v>30881</v>
      </c>
      <c r="C1512" t="s">
        <v>739</v>
      </c>
      <c r="D1512">
        <v>2036</v>
      </c>
      <c r="E1512">
        <v>1011</v>
      </c>
      <c r="F1512">
        <v>1</v>
      </c>
      <c r="G1512" t="s">
        <v>1472</v>
      </c>
      <c r="H1512" t="s">
        <v>1462</v>
      </c>
      <c r="I1512" t="s">
        <v>298</v>
      </c>
      <c r="J1512" t="s">
        <v>555</v>
      </c>
    </row>
    <row r="1513" spans="1:10">
      <c r="A1513">
        <v>51512</v>
      </c>
      <c r="B1513">
        <v>30882</v>
      </c>
      <c r="C1513" t="s">
        <v>836</v>
      </c>
      <c r="D1513">
        <v>2488</v>
      </c>
      <c r="E1513">
        <v>1009</v>
      </c>
      <c r="F1513">
        <v>3</v>
      </c>
      <c r="G1513" t="s">
        <v>1461</v>
      </c>
      <c r="H1513" t="s">
        <v>9</v>
      </c>
      <c r="I1513" t="s">
        <v>91</v>
      </c>
      <c r="J1513" t="s">
        <v>1259</v>
      </c>
    </row>
    <row r="1514" spans="1:10">
      <c r="A1514">
        <v>51513</v>
      </c>
      <c r="B1514">
        <v>30882</v>
      </c>
      <c r="C1514" t="s">
        <v>836</v>
      </c>
      <c r="D1514">
        <v>2488</v>
      </c>
      <c r="E1514">
        <v>1015</v>
      </c>
      <c r="F1514">
        <v>5</v>
      </c>
      <c r="G1514" t="s">
        <v>1509</v>
      </c>
      <c r="H1514" t="s">
        <v>9</v>
      </c>
      <c r="I1514" t="s">
        <v>649</v>
      </c>
      <c r="J1514" t="s">
        <v>507</v>
      </c>
    </row>
    <row r="1515" spans="1:10">
      <c r="A1515">
        <v>51514</v>
      </c>
      <c r="B1515">
        <v>30883</v>
      </c>
      <c r="C1515" t="s">
        <v>658</v>
      </c>
      <c r="D1515">
        <v>2139</v>
      </c>
      <c r="E1515">
        <v>1006</v>
      </c>
      <c r="F1515">
        <v>2</v>
      </c>
      <c r="G1515" t="s">
        <v>1501</v>
      </c>
      <c r="H1515" t="s">
        <v>11</v>
      </c>
      <c r="I1515" t="s">
        <v>1102</v>
      </c>
      <c r="J1515" t="s">
        <v>864</v>
      </c>
    </row>
    <row r="1516" spans="1:10">
      <c r="A1516">
        <v>51515</v>
      </c>
      <c r="B1516">
        <v>30884</v>
      </c>
      <c r="C1516" t="s">
        <v>616</v>
      </c>
      <c r="D1516">
        <v>2468</v>
      </c>
      <c r="E1516">
        <v>1014</v>
      </c>
      <c r="F1516">
        <v>2</v>
      </c>
      <c r="G1516" t="s">
        <v>1475</v>
      </c>
      <c r="H1516" t="s">
        <v>9</v>
      </c>
      <c r="I1516" t="s">
        <v>617</v>
      </c>
      <c r="J1516" t="s">
        <v>881</v>
      </c>
    </row>
    <row r="1517" spans="1:10">
      <c r="A1517">
        <v>51516</v>
      </c>
      <c r="B1517">
        <v>30884</v>
      </c>
      <c r="C1517" t="s">
        <v>616</v>
      </c>
      <c r="D1517">
        <v>2468</v>
      </c>
      <c r="E1517">
        <v>1010</v>
      </c>
      <c r="F1517">
        <v>1</v>
      </c>
      <c r="G1517" t="s">
        <v>1468</v>
      </c>
      <c r="H1517" t="s">
        <v>9</v>
      </c>
      <c r="I1517" t="s">
        <v>617</v>
      </c>
      <c r="J1517" t="s">
        <v>377</v>
      </c>
    </row>
    <row r="1518" spans="1:10">
      <c r="A1518">
        <v>51517</v>
      </c>
      <c r="B1518">
        <v>30885</v>
      </c>
      <c r="C1518" t="s">
        <v>1107</v>
      </c>
      <c r="D1518">
        <v>2356</v>
      </c>
      <c r="E1518">
        <v>1008</v>
      </c>
      <c r="F1518">
        <v>3</v>
      </c>
      <c r="G1518" t="s">
        <v>1491</v>
      </c>
      <c r="H1518" t="s">
        <v>9</v>
      </c>
      <c r="I1518" t="s">
        <v>799</v>
      </c>
      <c r="J1518" t="s">
        <v>903</v>
      </c>
    </row>
    <row r="1519" spans="1:10">
      <c r="A1519">
        <v>51518</v>
      </c>
      <c r="B1519">
        <v>30886</v>
      </c>
      <c r="C1519" t="s">
        <v>191</v>
      </c>
      <c r="D1519">
        <v>2092</v>
      </c>
      <c r="E1519">
        <v>1012</v>
      </c>
      <c r="F1519">
        <v>1</v>
      </c>
      <c r="G1519" t="s">
        <v>1449</v>
      </c>
      <c r="H1519" t="s">
        <v>9</v>
      </c>
      <c r="I1519" t="s">
        <v>597</v>
      </c>
      <c r="J1519" t="s">
        <v>1050</v>
      </c>
    </row>
    <row r="1520" spans="1:10">
      <c r="A1520">
        <v>51519</v>
      </c>
      <c r="B1520">
        <v>30886</v>
      </c>
      <c r="C1520" t="s">
        <v>191</v>
      </c>
      <c r="D1520">
        <v>2092</v>
      </c>
      <c r="E1520">
        <v>1014</v>
      </c>
      <c r="F1520">
        <v>1</v>
      </c>
      <c r="G1520" t="s">
        <v>1463</v>
      </c>
      <c r="H1520" t="s">
        <v>9</v>
      </c>
      <c r="I1520" t="s">
        <v>597</v>
      </c>
      <c r="J1520" t="s">
        <v>750</v>
      </c>
    </row>
    <row r="1521" spans="1:10">
      <c r="A1521">
        <v>51520</v>
      </c>
      <c r="B1521">
        <v>30887</v>
      </c>
      <c r="C1521" t="s">
        <v>427</v>
      </c>
      <c r="D1521">
        <v>2267</v>
      </c>
      <c r="E1521">
        <v>1001</v>
      </c>
      <c r="F1521">
        <v>1</v>
      </c>
      <c r="G1521" t="s">
        <v>1469</v>
      </c>
      <c r="H1521" t="s">
        <v>9</v>
      </c>
      <c r="I1521" t="s">
        <v>1182</v>
      </c>
      <c r="J1521" t="s">
        <v>971</v>
      </c>
    </row>
    <row r="1522" spans="1:10">
      <c r="A1522">
        <v>51521</v>
      </c>
      <c r="B1522">
        <v>30888</v>
      </c>
      <c r="C1522" t="s">
        <v>1153</v>
      </c>
      <c r="D1522">
        <v>2001</v>
      </c>
      <c r="E1522">
        <v>1005</v>
      </c>
      <c r="F1522">
        <v>1</v>
      </c>
      <c r="G1522" t="s">
        <v>1456</v>
      </c>
      <c r="H1522" t="s">
        <v>9</v>
      </c>
      <c r="I1522" t="s">
        <v>1263</v>
      </c>
      <c r="J1522" t="s">
        <v>1279</v>
      </c>
    </row>
    <row r="1523" spans="1:10">
      <c r="A1523">
        <v>51522</v>
      </c>
      <c r="B1523">
        <v>30889</v>
      </c>
      <c r="C1523" t="s">
        <v>328</v>
      </c>
      <c r="D1523">
        <v>2353</v>
      </c>
      <c r="E1523">
        <v>1001</v>
      </c>
      <c r="F1523">
        <v>1</v>
      </c>
      <c r="G1523" t="s">
        <v>1469</v>
      </c>
      <c r="H1523" t="s">
        <v>9</v>
      </c>
      <c r="I1523" t="s">
        <v>726</v>
      </c>
      <c r="J1523" t="s">
        <v>971</v>
      </c>
    </row>
    <row r="1524" spans="1:10">
      <c r="A1524">
        <v>51523</v>
      </c>
      <c r="B1524">
        <v>30890</v>
      </c>
      <c r="C1524" t="s">
        <v>1157</v>
      </c>
      <c r="D1524">
        <v>2504</v>
      </c>
      <c r="E1524">
        <v>1016</v>
      </c>
      <c r="F1524">
        <v>3</v>
      </c>
      <c r="G1524" t="s">
        <v>1484</v>
      </c>
      <c r="H1524" t="s">
        <v>11</v>
      </c>
      <c r="I1524" t="s">
        <v>967</v>
      </c>
      <c r="J1524" t="s">
        <v>1119</v>
      </c>
    </row>
    <row r="1525" spans="1:10">
      <c r="A1525">
        <v>51524</v>
      </c>
      <c r="B1525">
        <v>30891</v>
      </c>
      <c r="C1525" t="s">
        <v>626</v>
      </c>
      <c r="D1525">
        <v>2307</v>
      </c>
      <c r="E1525">
        <v>1014</v>
      </c>
      <c r="F1525">
        <v>1</v>
      </c>
      <c r="G1525" t="s">
        <v>1463</v>
      </c>
      <c r="H1525" t="s">
        <v>9</v>
      </c>
      <c r="I1525" t="s">
        <v>971</v>
      </c>
      <c r="J1525" t="s">
        <v>1280</v>
      </c>
    </row>
    <row r="1526" spans="1:10">
      <c r="A1526">
        <v>51525</v>
      </c>
      <c r="B1526">
        <v>30892</v>
      </c>
      <c r="C1526" t="s">
        <v>950</v>
      </c>
      <c r="D1526">
        <v>2300</v>
      </c>
      <c r="E1526">
        <v>1001</v>
      </c>
      <c r="F1526">
        <v>1</v>
      </c>
      <c r="G1526" t="s">
        <v>1469</v>
      </c>
      <c r="H1526" t="s">
        <v>9</v>
      </c>
      <c r="I1526" t="s">
        <v>32</v>
      </c>
      <c r="J1526" t="s">
        <v>31</v>
      </c>
    </row>
    <row r="1527" spans="1:10">
      <c r="A1527">
        <v>51526</v>
      </c>
      <c r="B1527">
        <v>30892</v>
      </c>
      <c r="C1527" t="s">
        <v>396</v>
      </c>
      <c r="D1527">
        <v>2300</v>
      </c>
      <c r="E1527">
        <v>1012</v>
      </c>
      <c r="F1527">
        <v>1</v>
      </c>
      <c r="G1527" t="s">
        <v>1449</v>
      </c>
      <c r="H1527" t="s">
        <v>9</v>
      </c>
      <c r="I1527" t="s">
        <v>504</v>
      </c>
      <c r="J1527" t="s">
        <v>1078</v>
      </c>
    </row>
    <row r="1528" spans="1:10">
      <c r="A1528">
        <v>51527</v>
      </c>
      <c r="B1528">
        <v>30892</v>
      </c>
      <c r="C1528" t="s">
        <v>403</v>
      </c>
      <c r="D1528">
        <v>2300</v>
      </c>
      <c r="E1528">
        <v>1007</v>
      </c>
      <c r="F1528">
        <v>1</v>
      </c>
      <c r="G1528" t="s">
        <v>1453</v>
      </c>
      <c r="H1528" t="s">
        <v>9</v>
      </c>
      <c r="I1528" t="s">
        <v>335</v>
      </c>
      <c r="J1528" t="s">
        <v>530</v>
      </c>
    </row>
    <row r="1529" spans="1:10">
      <c r="A1529">
        <v>51528</v>
      </c>
      <c r="B1529">
        <v>30893</v>
      </c>
      <c r="C1529" t="s">
        <v>401</v>
      </c>
      <c r="D1529">
        <v>2422</v>
      </c>
      <c r="E1529">
        <v>1014</v>
      </c>
      <c r="F1529">
        <v>2</v>
      </c>
      <c r="G1529" t="s">
        <v>1475</v>
      </c>
      <c r="H1529" t="s">
        <v>12</v>
      </c>
      <c r="I1529" t="s">
        <v>1421</v>
      </c>
      <c r="J1529" t="s">
        <v>1421</v>
      </c>
    </row>
    <row r="1530" spans="1:10">
      <c r="A1530">
        <v>51529</v>
      </c>
      <c r="B1530">
        <v>30893</v>
      </c>
      <c r="C1530" t="s">
        <v>1223</v>
      </c>
      <c r="D1530">
        <v>2422</v>
      </c>
      <c r="E1530">
        <v>1013</v>
      </c>
      <c r="F1530">
        <v>5</v>
      </c>
      <c r="G1530" t="s">
        <v>1535</v>
      </c>
      <c r="H1530" t="s">
        <v>12</v>
      </c>
      <c r="I1530" t="s">
        <v>1421</v>
      </c>
      <c r="J1530" t="s">
        <v>1421</v>
      </c>
    </row>
    <row r="1531" spans="1:10">
      <c r="A1531">
        <v>51530</v>
      </c>
      <c r="B1531">
        <v>30893</v>
      </c>
      <c r="C1531" t="s">
        <v>401</v>
      </c>
      <c r="D1531">
        <v>2422</v>
      </c>
      <c r="E1531">
        <v>1008</v>
      </c>
      <c r="F1531">
        <v>1</v>
      </c>
      <c r="G1531" t="s">
        <v>1447</v>
      </c>
      <c r="H1531" t="s">
        <v>228</v>
      </c>
      <c r="I1531" t="s">
        <v>1421</v>
      </c>
      <c r="J1531" t="s">
        <v>1421</v>
      </c>
    </row>
    <row r="1532" spans="1:10">
      <c r="A1532">
        <v>51531</v>
      </c>
      <c r="B1532">
        <v>30893</v>
      </c>
      <c r="C1532" t="s">
        <v>1223</v>
      </c>
      <c r="D1532">
        <v>2422</v>
      </c>
      <c r="E1532">
        <v>1006</v>
      </c>
      <c r="F1532">
        <v>2</v>
      </c>
      <c r="G1532" t="s">
        <v>1501</v>
      </c>
      <c r="H1532" t="s">
        <v>12</v>
      </c>
      <c r="I1532" t="s">
        <v>1421</v>
      </c>
      <c r="J1532" t="s">
        <v>1421</v>
      </c>
    </row>
    <row r="1533" spans="1:10">
      <c r="A1533">
        <v>51532</v>
      </c>
      <c r="B1533">
        <v>30894</v>
      </c>
      <c r="C1533" t="s">
        <v>675</v>
      </c>
      <c r="D1533">
        <v>2400</v>
      </c>
      <c r="E1533">
        <v>1008</v>
      </c>
      <c r="F1533">
        <v>2</v>
      </c>
      <c r="G1533" t="s">
        <v>1520</v>
      </c>
      <c r="H1533" t="s">
        <v>16</v>
      </c>
      <c r="I1533" t="s">
        <v>1421</v>
      </c>
      <c r="J1533" t="s">
        <v>1421</v>
      </c>
    </row>
    <row r="1534" spans="1:10">
      <c r="A1534">
        <v>51533</v>
      </c>
      <c r="B1534">
        <v>30894</v>
      </c>
      <c r="C1534" t="s">
        <v>1281</v>
      </c>
      <c r="D1534">
        <v>2400</v>
      </c>
      <c r="E1534">
        <v>1014</v>
      </c>
      <c r="F1534">
        <v>5</v>
      </c>
      <c r="G1534" t="s">
        <v>1527</v>
      </c>
      <c r="H1534" t="s">
        <v>16</v>
      </c>
      <c r="I1534" t="s">
        <v>1421</v>
      </c>
      <c r="J1534" t="s">
        <v>1421</v>
      </c>
    </row>
    <row r="1535" spans="1:10">
      <c r="A1535">
        <v>51534</v>
      </c>
      <c r="B1535">
        <v>30895</v>
      </c>
      <c r="C1535" t="s">
        <v>1057</v>
      </c>
      <c r="D1535">
        <v>2530</v>
      </c>
      <c r="E1535">
        <v>1009</v>
      </c>
      <c r="F1535">
        <v>2</v>
      </c>
      <c r="G1535" t="s">
        <v>1479</v>
      </c>
      <c r="H1535" t="s">
        <v>16</v>
      </c>
      <c r="I1535" t="s">
        <v>1421</v>
      </c>
      <c r="J1535" t="s">
        <v>1421</v>
      </c>
    </row>
    <row r="1536" spans="1:10">
      <c r="A1536">
        <v>51535</v>
      </c>
      <c r="B1536">
        <v>30895</v>
      </c>
      <c r="C1536" t="s">
        <v>880</v>
      </c>
      <c r="D1536">
        <v>2530</v>
      </c>
      <c r="E1536">
        <v>1009</v>
      </c>
      <c r="F1536">
        <v>1</v>
      </c>
      <c r="G1536" t="s">
        <v>1473</v>
      </c>
      <c r="H1536" t="s">
        <v>16</v>
      </c>
      <c r="I1536" t="s">
        <v>1421</v>
      </c>
      <c r="J1536" t="s">
        <v>1421</v>
      </c>
    </row>
    <row r="1537" spans="1:10">
      <c r="A1537">
        <v>51536</v>
      </c>
      <c r="B1537">
        <v>30895</v>
      </c>
      <c r="C1537" t="s">
        <v>880</v>
      </c>
      <c r="D1537">
        <v>2530</v>
      </c>
      <c r="E1537">
        <v>1003</v>
      </c>
      <c r="F1537">
        <v>2</v>
      </c>
      <c r="G1537" t="s">
        <v>1464</v>
      </c>
      <c r="H1537" t="s">
        <v>16</v>
      </c>
      <c r="I1537" t="s">
        <v>247</v>
      </c>
      <c r="J1537" t="s">
        <v>1421</v>
      </c>
    </row>
    <row r="1538" spans="1:10">
      <c r="A1538">
        <v>51537</v>
      </c>
      <c r="B1538">
        <v>30896</v>
      </c>
      <c r="C1538" t="s">
        <v>558</v>
      </c>
      <c r="D1538">
        <v>2297</v>
      </c>
      <c r="E1538">
        <v>1015</v>
      </c>
      <c r="F1538">
        <v>2</v>
      </c>
      <c r="G1538" t="s">
        <v>1488</v>
      </c>
      <c r="H1538" t="s">
        <v>9</v>
      </c>
      <c r="I1538" t="s">
        <v>1282</v>
      </c>
      <c r="J1538" t="s">
        <v>941</v>
      </c>
    </row>
    <row r="1539" spans="1:10">
      <c r="A1539">
        <v>51538</v>
      </c>
      <c r="B1539">
        <v>30896</v>
      </c>
      <c r="C1539" t="s">
        <v>799</v>
      </c>
      <c r="D1539">
        <v>2297</v>
      </c>
      <c r="E1539">
        <v>1015</v>
      </c>
      <c r="F1539">
        <v>1</v>
      </c>
      <c r="G1539" t="s">
        <v>1478</v>
      </c>
      <c r="H1539" t="s">
        <v>9</v>
      </c>
      <c r="I1539" t="s">
        <v>621</v>
      </c>
      <c r="J1539" t="s">
        <v>739</v>
      </c>
    </row>
    <row r="1540" spans="1:10">
      <c r="A1540">
        <v>51539</v>
      </c>
      <c r="B1540">
        <v>30896</v>
      </c>
      <c r="C1540" t="s">
        <v>556</v>
      </c>
      <c r="D1540">
        <v>2297</v>
      </c>
      <c r="E1540">
        <v>1009</v>
      </c>
      <c r="F1540">
        <v>1</v>
      </c>
      <c r="G1540" t="s">
        <v>1473</v>
      </c>
      <c r="H1540" t="s">
        <v>9</v>
      </c>
      <c r="I1540" t="s">
        <v>462</v>
      </c>
      <c r="J1540" t="s">
        <v>622</v>
      </c>
    </row>
    <row r="1541" spans="1:10">
      <c r="A1541">
        <v>51540</v>
      </c>
      <c r="B1541">
        <v>30897</v>
      </c>
      <c r="C1541" t="s">
        <v>303</v>
      </c>
      <c r="D1541">
        <v>2504</v>
      </c>
      <c r="E1541">
        <v>1001</v>
      </c>
      <c r="F1541">
        <v>1</v>
      </c>
      <c r="G1541" t="s">
        <v>1469</v>
      </c>
      <c r="H1541" t="s">
        <v>9</v>
      </c>
      <c r="I1541" t="s">
        <v>361</v>
      </c>
      <c r="J1541" t="s">
        <v>523</v>
      </c>
    </row>
    <row r="1542" spans="1:10">
      <c r="A1542">
        <v>51541</v>
      </c>
      <c r="B1542">
        <v>30897</v>
      </c>
      <c r="C1542" t="s">
        <v>27</v>
      </c>
      <c r="D1542">
        <v>2504</v>
      </c>
      <c r="E1542">
        <v>1005</v>
      </c>
      <c r="F1542">
        <v>1</v>
      </c>
      <c r="G1542" t="s">
        <v>1456</v>
      </c>
      <c r="H1542" t="s">
        <v>9</v>
      </c>
      <c r="I1542" t="s">
        <v>710</v>
      </c>
      <c r="J1542" t="s">
        <v>239</v>
      </c>
    </row>
    <row r="1543" spans="1:10">
      <c r="A1543">
        <v>51542</v>
      </c>
      <c r="B1543">
        <v>30898</v>
      </c>
      <c r="C1543" t="s">
        <v>1026</v>
      </c>
      <c r="D1543">
        <v>2051</v>
      </c>
      <c r="E1543">
        <v>1001</v>
      </c>
      <c r="F1543">
        <v>1</v>
      </c>
      <c r="G1543" t="s">
        <v>1469</v>
      </c>
      <c r="H1543" t="s">
        <v>11</v>
      </c>
      <c r="I1543" t="s">
        <v>1057</v>
      </c>
      <c r="J1543" t="s">
        <v>91</v>
      </c>
    </row>
    <row r="1544" spans="1:10">
      <c r="A1544">
        <v>51543</v>
      </c>
      <c r="B1544">
        <v>30898</v>
      </c>
      <c r="C1544" t="s">
        <v>714</v>
      </c>
      <c r="D1544">
        <v>2051</v>
      </c>
      <c r="E1544">
        <v>1006</v>
      </c>
      <c r="F1544">
        <v>1</v>
      </c>
      <c r="G1544" t="s">
        <v>1459</v>
      </c>
      <c r="H1544" t="s">
        <v>1524</v>
      </c>
      <c r="I1544" t="s">
        <v>1057</v>
      </c>
      <c r="J1544" t="s">
        <v>455</v>
      </c>
    </row>
    <row r="1545" spans="1:10">
      <c r="A1545">
        <v>51544</v>
      </c>
      <c r="B1545">
        <v>30898</v>
      </c>
      <c r="C1545" t="s">
        <v>1026</v>
      </c>
      <c r="D1545">
        <v>2051</v>
      </c>
      <c r="E1545">
        <v>1004</v>
      </c>
      <c r="F1545">
        <v>1</v>
      </c>
      <c r="G1545" t="s">
        <v>1452</v>
      </c>
      <c r="H1545" t="s">
        <v>11</v>
      </c>
      <c r="I1545" t="s">
        <v>384</v>
      </c>
      <c r="J1545" t="s">
        <v>1283</v>
      </c>
    </row>
    <row r="1546" spans="1:10">
      <c r="A1546">
        <v>51545</v>
      </c>
      <c r="B1546">
        <v>30899</v>
      </c>
      <c r="C1546" t="s">
        <v>796</v>
      </c>
      <c r="D1546">
        <v>2289</v>
      </c>
      <c r="E1546">
        <v>1015</v>
      </c>
      <c r="F1546">
        <v>2</v>
      </c>
      <c r="G1546" t="s">
        <v>1488</v>
      </c>
      <c r="H1546" t="s">
        <v>9</v>
      </c>
      <c r="I1546" t="s">
        <v>480</v>
      </c>
      <c r="J1546" t="s">
        <v>925</v>
      </c>
    </row>
    <row r="1547" spans="1:10">
      <c r="A1547">
        <v>51546</v>
      </c>
      <c r="B1547">
        <v>30899</v>
      </c>
      <c r="C1547" t="s">
        <v>46</v>
      </c>
      <c r="D1547">
        <v>2289</v>
      </c>
      <c r="E1547">
        <v>1001</v>
      </c>
      <c r="F1547">
        <v>1</v>
      </c>
      <c r="G1547" t="s">
        <v>1469</v>
      </c>
      <c r="H1547" t="s">
        <v>9</v>
      </c>
      <c r="I1547" t="s">
        <v>175</v>
      </c>
      <c r="J1547" t="s">
        <v>1284</v>
      </c>
    </row>
    <row r="1548" spans="1:10">
      <c r="A1548">
        <v>51547</v>
      </c>
      <c r="B1548">
        <v>30900</v>
      </c>
      <c r="C1548" t="s">
        <v>43</v>
      </c>
      <c r="D1548">
        <v>2239</v>
      </c>
      <c r="E1548">
        <v>1001</v>
      </c>
      <c r="F1548">
        <v>1</v>
      </c>
      <c r="G1548" t="s">
        <v>1469</v>
      </c>
      <c r="H1548" t="s">
        <v>9</v>
      </c>
      <c r="I1548" t="s">
        <v>410</v>
      </c>
      <c r="J1548" t="s">
        <v>670</v>
      </c>
    </row>
    <row r="1549" spans="1:10">
      <c r="A1549">
        <v>51548</v>
      </c>
      <c r="B1549">
        <v>30900</v>
      </c>
      <c r="C1549" t="s">
        <v>669</v>
      </c>
      <c r="D1549">
        <v>2239</v>
      </c>
      <c r="E1549">
        <v>1016</v>
      </c>
      <c r="F1549">
        <v>1</v>
      </c>
      <c r="G1549" t="s">
        <v>1465</v>
      </c>
      <c r="H1549" t="s">
        <v>9</v>
      </c>
      <c r="I1549" t="s">
        <v>670</v>
      </c>
      <c r="J1549" t="s">
        <v>1115</v>
      </c>
    </row>
    <row r="1550" spans="1:10">
      <c r="A1550">
        <v>51549</v>
      </c>
      <c r="B1550">
        <v>30901</v>
      </c>
      <c r="C1550" t="s">
        <v>467</v>
      </c>
      <c r="D1550">
        <v>2223</v>
      </c>
      <c r="E1550">
        <v>1010</v>
      </c>
      <c r="F1550">
        <v>2</v>
      </c>
      <c r="G1550" t="s">
        <v>1483</v>
      </c>
      <c r="H1550" t="s">
        <v>9</v>
      </c>
      <c r="I1550" t="s">
        <v>15</v>
      </c>
      <c r="J1550" t="s">
        <v>1192</v>
      </c>
    </row>
    <row r="1551" spans="1:10">
      <c r="A1551">
        <v>51550</v>
      </c>
      <c r="B1551">
        <v>30902</v>
      </c>
      <c r="C1551" t="s">
        <v>575</v>
      </c>
      <c r="D1551">
        <v>2511</v>
      </c>
      <c r="E1551">
        <v>1015</v>
      </c>
      <c r="F1551">
        <v>1</v>
      </c>
      <c r="G1551" t="s">
        <v>1478</v>
      </c>
      <c r="H1551" t="s">
        <v>11</v>
      </c>
      <c r="I1551" t="s">
        <v>1260</v>
      </c>
      <c r="J1551" t="s">
        <v>830</v>
      </c>
    </row>
    <row r="1552" spans="1:10">
      <c r="A1552">
        <v>51551</v>
      </c>
      <c r="B1552">
        <v>30902</v>
      </c>
      <c r="C1552" t="s">
        <v>321</v>
      </c>
      <c r="D1552">
        <v>2511</v>
      </c>
      <c r="E1552">
        <v>1002</v>
      </c>
      <c r="F1552">
        <v>1</v>
      </c>
      <c r="G1552" t="s">
        <v>1466</v>
      </c>
      <c r="H1552" t="s">
        <v>11</v>
      </c>
      <c r="I1552" t="s">
        <v>730</v>
      </c>
      <c r="J1552" t="s">
        <v>852</v>
      </c>
    </row>
    <row r="1553" spans="1:10">
      <c r="A1553">
        <v>51552</v>
      </c>
      <c r="B1553">
        <v>30903</v>
      </c>
      <c r="C1553" t="s">
        <v>806</v>
      </c>
      <c r="D1553">
        <v>2339</v>
      </c>
      <c r="E1553">
        <v>1005</v>
      </c>
      <c r="F1553">
        <v>3</v>
      </c>
      <c r="G1553" t="s">
        <v>1498</v>
      </c>
      <c r="H1553" t="s">
        <v>9</v>
      </c>
      <c r="I1553" t="s">
        <v>1245</v>
      </c>
      <c r="J1553" t="s">
        <v>1076</v>
      </c>
    </row>
    <row r="1554" spans="1:10">
      <c r="A1554">
        <v>51553</v>
      </c>
      <c r="B1554">
        <v>30904</v>
      </c>
      <c r="C1554" t="s">
        <v>901</v>
      </c>
      <c r="D1554">
        <v>2058</v>
      </c>
      <c r="E1554">
        <v>1013</v>
      </c>
      <c r="F1554">
        <v>1</v>
      </c>
      <c r="G1554" t="s">
        <v>1474</v>
      </c>
      <c r="H1554" t="s">
        <v>9</v>
      </c>
      <c r="I1554" t="s">
        <v>142</v>
      </c>
      <c r="J1554" t="s">
        <v>990</v>
      </c>
    </row>
    <row r="1555" spans="1:10">
      <c r="A1555">
        <v>51554</v>
      </c>
      <c r="B1555">
        <v>30904</v>
      </c>
      <c r="C1555" t="s">
        <v>700</v>
      </c>
      <c r="D1555">
        <v>2058</v>
      </c>
      <c r="E1555">
        <v>1003</v>
      </c>
      <c r="F1555">
        <v>1</v>
      </c>
      <c r="G1555" t="s">
        <v>1471</v>
      </c>
      <c r="H1555" t="s">
        <v>9</v>
      </c>
      <c r="I1555" t="s">
        <v>1285</v>
      </c>
      <c r="J1555" t="s">
        <v>83</v>
      </c>
    </row>
    <row r="1556" spans="1:10">
      <c r="A1556">
        <v>51555</v>
      </c>
      <c r="B1556">
        <v>30905</v>
      </c>
      <c r="C1556" t="s">
        <v>553</v>
      </c>
      <c r="D1556">
        <v>2557</v>
      </c>
      <c r="E1556">
        <v>1007</v>
      </c>
      <c r="F1556">
        <v>1</v>
      </c>
      <c r="G1556" t="s">
        <v>1453</v>
      </c>
      <c r="H1556" t="s">
        <v>9</v>
      </c>
      <c r="I1556" t="s">
        <v>379</v>
      </c>
      <c r="J1556" t="s">
        <v>669</v>
      </c>
    </row>
    <row r="1557" spans="1:10">
      <c r="A1557">
        <v>51556</v>
      </c>
      <c r="B1557">
        <v>30905</v>
      </c>
      <c r="C1557" t="s">
        <v>487</v>
      </c>
      <c r="D1557">
        <v>2557</v>
      </c>
      <c r="E1557">
        <v>1009</v>
      </c>
      <c r="F1557">
        <v>1</v>
      </c>
      <c r="G1557" t="s">
        <v>1473</v>
      </c>
      <c r="H1557" t="s">
        <v>9</v>
      </c>
      <c r="I1557" t="s">
        <v>1138</v>
      </c>
      <c r="J1557" t="s">
        <v>1115</v>
      </c>
    </row>
    <row r="1558" spans="1:10">
      <c r="A1558">
        <v>51557</v>
      </c>
      <c r="B1558">
        <v>30906</v>
      </c>
      <c r="C1558" t="s">
        <v>532</v>
      </c>
      <c r="D1558">
        <v>2391</v>
      </c>
      <c r="E1558">
        <v>1004</v>
      </c>
      <c r="F1558">
        <v>2</v>
      </c>
      <c r="G1558" t="s">
        <v>1476</v>
      </c>
      <c r="H1558" t="s">
        <v>16</v>
      </c>
      <c r="I1558" t="s">
        <v>1421</v>
      </c>
      <c r="J1558" t="s">
        <v>1421</v>
      </c>
    </row>
    <row r="1559" spans="1:10">
      <c r="A1559">
        <v>51558</v>
      </c>
      <c r="B1559">
        <v>30906</v>
      </c>
      <c r="C1559" t="s">
        <v>130</v>
      </c>
      <c r="D1559">
        <v>2391</v>
      </c>
      <c r="E1559">
        <v>1008</v>
      </c>
      <c r="F1559">
        <v>3</v>
      </c>
      <c r="G1559" t="s">
        <v>1491</v>
      </c>
      <c r="H1559" t="s">
        <v>16</v>
      </c>
      <c r="I1559" t="s">
        <v>1421</v>
      </c>
      <c r="J1559" t="s">
        <v>1421</v>
      </c>
    </row>
    <row r="1560" spans="1:10">
      <c r="A1560">
        <v>51559</v>
      </c>
      <c r="B1560">
        <v>30907</v>
      </c>
      <c r="C1560" t="s">
        <v>1121</v>
      </c>
      <c r="D1560">
        <v>2454</v>
      </c>
      <c r="E1560">
        <v>1002</v>
      </c>
      <c r="F1560">
        <v>1</v>
      </c>
      <c r="G1560" t="s">
        <v>1466</v>
      </c>
      <c r="H1560" t="s">
        <v>9</v>
      </c>
      <c r="I1560" t="s">
        <v>494</v>
      </c>
      <c r="J1560" t="s">
        <v>493</v>
      </c>
    </row>
    <row r="1561" spans="1:10">
      <c r="A1561">
        <v>51560</v>
      </c>
      <c r="B1561">
        <v>30908</v>
      </c>
      <c r="C1561" t="s">
        <v>861</v>
      </c>
      <c r="D1561">
        <v>2204</v>
      </c>
      <c r="E1561">
        <v>1004</v>
      </c>
      <c r="F1561">
        <v>1</v>
      </c>
      <c r="G1561" t="s">
        <v>1452</v>
      </c>
      <c r="H1561" t="s">
        <v>9</v>
      </c>
      <c r="I1561" t="s">
        <v>934</v>
      </c>
      <c r="J1561" t="s">
        <v>1141</v>
      </c>
    </row>
    <row r="1562" spans="1:10">
      <c r="A1562">
        <v>51561</v>
      </c>
      <c r="B1562">
        <v>30908</v>
      </c>
      <c r="C1562" t="s">
        <v>856</v>
      </c>
      <c r="D1562">
        <v>2204</v>
      </c>
      <c r="E1562">
        <v>1007</v>
      </c>
      <c r="F1562">
        <v>2</v>
      </c>
      <c r="G1562" t="s">
        <v>1455</v>
      </c>
      <c r="H1562" t="s">
        <v>9</v>
      </c>
      <c r="I1562" t="s">
        <v>859</v>
      </c>
      <c r="J1562" t="s">
        <v>872</v>
      </c>
    </row>
    <row r="1563" spans="1:10">
      <c r="A1563">
        <v>51562</v>
      </c>
      <c r="B1563">
        <v>30908</v>
      </c>
      <c r="C1563" t="s">
        <v>858</v>
      </c>
      <c r="D1563">
        <v>2204</v>
      </c>
      <c r="E1563">
        <v>1016</v>
      </c>
      <c r="F1563">
        <v>1</v>
      </c>
      <c r="G1563" t="s">
        <v>1465</v>
      </c>
      <c r="H1563" t="s">
        <v>9</v>
      </c>
      <c r="I1563" t="s">
        <v>1286</v>
      </c>
      <c r="J1563" t="s">
        <v>873</v>
      </c>
    </row>
    <row r="1564" spans="1:10">
      <c r="A1564">
        <v>51563</v>
      </c>
      <c r="B1564">
        <v>30909</v>
      </c>
      <c r="C1564" t="s">
        <v>367</v>
      </c>
      <c r="D1564">
        <v>2399</v>
      </c>
      <c r="E1564">
        <v>1010</v>
      </c>
      <c r="F1564">
        <v>3</v>
      </c>
      <c r="G1564" t="s">
        <v>1514</v>
      </c>
      <c r="H1564" t="s">
        <v>9</v>
      </c>
      <c r="I1564" t="s">
        <v>172</v>
      </c>
      <c r="J1564" t="s">
        <v>108</v>
      </c>
    </row>
    <row r="1565" spans="1:10">
      <c r="A1565">
        <v>51564</v>
      </c>
      <c r="B1565">
        <v>30909</v>
      </c>
      <c r="C1565" t="s">
        <v>367</v>
      </c>
      <c r="D1565">
        <v>2399</v>
      </c>
      <c r="E1565">
        <v>1011</v>
      </c>
      <c r="F1565">
        <v>1</v>
      </c>
      <c r="G1565" t="s">
        <v>1472</v>
      </c>
      <c r="H1565" t="s">
        <v>9</v>
      </c>
      <c r="I1565" t="s">
        <v>730</v>
      </c>
      <c r="J1565" t="s">
        <v>997</v>
      </c>
    </row>
    <row r="1566" spans="1:10">
      <c r="A1566">
        <v>51565</v>
      </c>
      <c r="B1566">
        <v>30910</v>
      </c>
      <c r="C1566" t="s">
        <v>754</v>
      </c>
      <c r="D1566">
        <v>2163</v>
      </c>
      <c r="E1566">
        <v>1002</v>
      </c>
      <c r="F1566">
        <v>4</v>
      </c>
      <c r="G1566" t="s">
        <v>1451</v>
      </c>
      <c r="H1566" t="s">
        <v>9</v>
      </c>
      <c r="I1566" t="s">
        <v>872</v>
      </c>
      <c r="J1566" t="s">
        <v>1002</v>
      </c>
    </row>
    <row r="1567" spans="1:10">
      <c r="A1567">
        <v>51566</v>
      </c>
      <c r="B1567">
        <v>30911</v>
      </c>
      <c r="C1567" t="s">
        <v>901</v>
      </c>
      <c r="D1567">
        <v>2563</v>
      </c>
      <c r="E1567">
        <v>1009</v>
      </c>
      <c r="F1567">
        <v>3</v>
      </c>
      <c r="G1567" t="s">
        <v>1461</v>
      </c>
      <c r="H1567" t="s">
        <v>9</v>
      </c>
      <c r="I1567" t="s">
        <v>1285</v>
      </c>
      <c r="J1567" t="s">
        <v>717</v>
      </c>
    </row>
    <row r="1568" spans="1:10">
      <c r="A1568">
        <v>51567</v>
      </c>
      <c r="B1568">
        <v>30912</v>
      </c>
      <c r="C1568" t="s">
        <v>66</v>
      </c>
      <c r="D1568">
        <v>2493</v>
      </c>
      <c r="E1568">
        <v>1007</v>
      </c>
      <c r="F1568">
        <v>3</v>
      </c>
      <c r="G1568" t="s">
        <v>1446</v>
      </c>
      <c r="H1568" t="s">
        <v>9</v>
      </c>
      <c r="I1568" t="s">
        <v>564</v>
      </c>
      <c r="J1568" t="s">
        <v>41</v>
      </c>
    </row>
    <row r="1569" spans="1:10">
      <c r="A1569">
        <v>51568</v>
      </c>
      <c r="B1569">
        <v>30913</v>
      </c>
      <c r="C1569" t="s">
        <v>221</v>
      </c>
      <c r="D1569">
        <v>2370</v>
      </c>
      <c r="E1569">
        <v>1007</v>
      </c>
      <c r="F1569">
        <v>5</v>
      </c>
      <c r="G1569" t="s">
        <v>1510</v>
      </c>
      <c r="H1569" t="s">
        <v>12</v>
      </c>
      <c r="I1569" t="s">
        <v>1421</v>
      </c>
      <c r="J1569" t="s">
        <v>1421</v>
      </c>
    </row>
    <row r="1570" spans="1:10">
      <c r="A1570">
        <v>51569</v>
      </c>
      <c r="B1570">
        <v>30913</v>
      </c>
      <c r="C1570" t="s">
        <v>433</v>
      </c>
      <c r="D1570">
        <v>2370</v>
      </c>
      <c r="E1570">
        <v>1004</v>
      </c>
      <c r="F1570">
        <v>1</v>
      </c>
      <c r="G1570" t="s">
        <v>1452</v>
      </c>
      <c r="H1570" t="s">
        <v>12</v>
      </c>
      <c r="I1570" t="s">
        <v>1421</v>
      </c>
      <c r="J1570" t="s">
        <v>1421</v>
      </c>
    </row>
    <row r="1571" spans="1:10">
      <c r="A1571">
        <v>51570</v>
      </c>
      <c r="B1571">
        <v>30914</v>
      </c>
      <c r="C1571" t="s">
        <v>1287</v>
      </c>
      <c r="D1571">
        <v>2242</v>
      </c>
      <c r="E1571">
        <v>1011</v>
      </c>
      <c r="F1571">
        <v>1</v>
      </c>
      <c r="G1571" t="s">
        <v>1472</v>
      </c>
      <c r="H1571" t="s">
        <v>1462</v>
      </c>
      <c r="I1571" t="s">
        <v>288</v>
      </c>
      <c r="J1571" t="s">
        <v>1245</v>
      </c>
    </row>
    <row r="1572" spans="1:10">
      <c r="A1572">
        <v>51571</v>
      </c>
      <c r="B1572">
        <v>30914</v>
      </c>
      <c r="C1572" t="s">
        <v>746</v>
      </c>
      <c r="D1572">
        <v>2242</v>
      </c>
      <c r="E1572">
        <v>1001</v>
      </c>
      <c r="F1572">
        <v>1</v>
      </c>
      <c r="G1572" t="s">
        <v>1469</v>
      </c>
      <c r="H1572" t="s">
        <v>9</v>
      </c>
      <c r="I1572" t="s">
        <v>464</v>
      </c>
      <c r="J1572" t="s">
        <v>1147</v>
      </c>
    </row>
    <row r="1573" spans="1:10">
      <c r="A1573">
        <v>51572</v>
      </c>
      <c r="B1573">
        <v>30914</v>
      </c>
      <c r="C1573" t="s">
        <v>138</v>
      </c>
      <c r="D1573">
        <v>2242</v>
      </c>
      <c r="E1573">
        <v>1006</v>
      </c>
      <c r="F1573">
        <v>1</v>
      </c>
      <c r="G1573" t="s">
        <v>1459</v>
      </c>
      <c r="H1573" t="s">
        <v>9</v>
      </c>
      <c r="I1573" t="s">
        <v>288</v>
      </c>
      <c r="J1573" t="s">
        <v>806</v>
      </c>
    </row>
    <row r="1574" spans="1:10">
      <c r="A1574">
        <v>51573</v>
      </c>
      <c r="B1574">
        <v>30915</v>
      </c>
      <c r="C1574" t="s">
        <v>218</v>
      </c>
      <c r="D1574">
        <v>2283</v>
      </c>
      <c r="E1574">
        <v>1013</v>
      </c>
      <c r="F1574">
        <v>1</v>
      </c>
      <c r="G1574" t="s">
        <v>1474</v>
      </c>
      <c r="H1574" t="s">
        <v>9</v>
      </c>
      <c r="I1574" t="s">
        <v>596</v>
      </c>
      <c r="J1574" t="s">
        <v>1288</v>
      </c>
    </row>
    <row r="1575" spans="1:10">
      <c r="A1575">
        <v>51574</v>
      </c>
      <c r="B1575">
        <v>30916</v>
      </c>
      <c r="C1575" t="s">
        <v>357</v>
      </c>
      <c r="D1575">
        <v>2249</v>
      </c>
      <c r="E1575">
        <v>1002</v>
      </c>
      <c r="F1575">
        <v>1</v>
      </c>
      <c r="G1575" t="s">
        <v>1466</v>
      </c>
      <c r="H1575" t="s">
        <v>68</v>
      </c>
      <c r="I1575" t="s">
        <v>195</v>
      </c>
      <c r="J1575" t="s">
        <v>789</v>
      </c>
    </row>
    <row r="1576" spans="1:10">
      <c r="A1576">
        <v>51575</v>
      </c>
      <c r="B1576">
        <v>30916</v>
      </c>
      <c r="C1576" t="s">
        <v>357</v>
      </c>
      <c r="D1576">
        <v>2249</v>
      </c>
      <c r="E1576">
        <v>1016</v>
      </c>
      <c r="F1576">
        <v>1</v>
      </c>
      <c r="G1576" t="s">
        <v>1465</v>
      </c>
      <c r="H1576" t="s">
        <v>9</v>
      </c>
      <c r="I1576" t="s">
        <v>687</v>
      </c>
      <c r="J1576" t="s">
        <v>229</v>
      </c>
    </row>
    <row r="1577" spans="1:10">
      <c r="A1577">
        <v>51576</v>
      </c>
      <c r="B1577">
        <v>30916</v>
      </c>
      <c r="C1577" t="s">
        <v>357</v>
      </c>
      <c r="D1577">
        <v>2249</v>
      </c>
      <c r="E1577">
        <v>1005</v>
      </c>
      <c r="F1577">
        <v>2</v>
      </c>
      <c r="G1577" t="s">
        <v>1458</v>
      </c>
      <c r="H1577" t="s">
        <v>9</v>
      </c>
      <c r="I1577" t="s">
        <v>1289</v>
      </c>
      <c r="J1577" t="s">
        <v>17</v>
      </c>
    </row>
    <row r="1578" spans="1:10">
      <c r="A1578">
        <v>51577</v>
      </c>
      <c r="B1578">
        <v>30917</v>
      </c>
      <c r="C1578" t="s">
        <v>882</v>
      </c>
      <c r="D1578">
        <v>2381</v>
      </c>
      <c r="E1578">
        <v>1008</v>
      </c>
      <c r="F1578">
        <v>1</v>
      </c>
      <c r="G1578" t="s">
        <v>1447</v>
      </c>
      <c r="H1578" t="s">
        <v>16</v>
      </c>
      <c r="I1578" t="s">
        <v>279</v>
      </c>
      <c r="J1578" t="s">
        <v>1421</v>
      </c>
    </row>
    <row r="1579" spans="1:10">
      <c r="A1579">
        <v>51578</v>
      </c>
      <c r="B1579">
        <v>30918</v>
      </c>
      <c r="C1579" t="s">
        <v>595</v>
      </c>
      <c r="D1579">
        <v>2094</v>
      </c>
      <c r="E1579">
        <v>1011</v>
      </c>
      <c r="F1579">
        <v>1</v>
      </c>
      <c r="G1579" t="s">
        <v>1472</v>
      </c>
      <c r="H1579" t="s">
        <v>9</v>
      </c>
      <c r="I1579" t="s">
        <v>268</v>
      </c>
      <c r="J1579" t="s">
        <v>733</v>
      </c>
    </row>
    <row r="1580" spans="1:10">
      <c r="A1580">
        <v>51579</v>
      </c>
      <c r="B1580">
        <v>30918</v>
      </c>
      <c r="C1580" t="s">
        <v>461</v>
      </c>
      <c r="D1580">
        <v>2094</v>
      </c>
      <c r="E1580">
        <v>1002</v>
      </c>
      <c r="F1580">
        <v>2</v>
      </c>
      <c r="G1580" t="s">
        <v>1482</v>
      </c>
      <c r="H1580" t="s">
        <v>9</v>
      </c>
      <c r="I1580" t="s">
        <v>463</v>
      </c>
      <c r="J1580" t="s">
        <v>796</v>
      </c>
    </row>
    <row r="1581" spans="1:10">
      <c r="A1581">
        <v>51580</v>
      </c>
      <c r="B1581">
        <v>30918</v>
      </c>
      <c r="C1581" t="s">
        <v>595</v>
      </c>
      <c r="D1581">
        <v>2094</v>
      </c>
      <c r="E1581">
        <v>1002</v>
      </c>
      <c r="F1581">
        <v>2</v>
      </c>
      <c r="G1581" t="s">
        <v>1482</v>
      </c>
      <c r="H1581" t="s">
        <v>9</v>
      </c>
      <c r="I1581" t="s">
        <v>1269</v>
      </c>
      <c r="J1581" t="s">
        <v>1083</v>
      </c>
    </row>
    <row r="1582" spans="1:10">
      <c r="A1582">
        <v>51581</v>
      </c>
      <c r="B1582">
        <v>30919</v>
      </c>
      <c r="C1582" t="s">
        <v>279</v>
      </c>
      <c r="D1582">
        <v>2365</v>
      </c>
      <c r="E1582">
        <v>1004</v>
      </c>
      <c r="F1582">
        <v>1</v>
      </c>
      <c r="G1582" t="s">
        <v>1452</v>
      </c>
      <c r="H1582" t="s">
        <v>9</v>
      </c>
      <c r="I1582" t="s">
        <v>395</v>
      </c>
      <c r="J1582" t="s">
        <v>33</v>
      </c>
    </row>
    <row r="1583" spans="1:10">
      <c r="A1583">
        <v>51582</v>
      </c>
      <c r="B1583">
        <v>30919</v>
      </c>
      <c r="C1583" t="s">
        <v>311</v>
      </c>
      <c r="D1583">
        <v>2365</v>
      </c>
      <c r="E1583">
        <v>1005</v>
      </c>
      <c r="F1583">
        <v>1</v>
      </c>
      <c r="G1583" t="s">
        <v>1456</v>
      </c>
      <c r="H1583" t="s">
        <v>9</v>
      </c>
      <c r="I1583" t="s">
        <v>550</v>
      </c>
      <c r="J1583" t="s">
        <v>966</v>
      </c>
    </row>
    <row r="1584" spans="1:10">
      <c r="A1584">
        <v>51583</v>
      </c>
      <c r="B1584">
        <v>30919</v>
      </c>
      <c r="C1584" t="s">
        <v>547</v>
      </c>
      <c r="D1584">
        <v>2365</v>
      </c>
      <c r="E1584">
        <v>1016</v>
      </c>
      <c r="F1584">
        <v>1</v>
      </c>
      <c r="G1584" t="s">
        <v>1465</v>
      </c>
      <c r="H1584" t="s">
        <v>9</v>
      </c>
      <c r="I1584" t="s">
        <v>551</v>
      </c>
      <c r="J1584" t="s">
        <v>611</v>
      </c>
    </row>
    <row r="1585" spans="1:10">
      <c r="A1585">
        <v>51584</v>
      </c>
      <c r="B1585">
        <v>30919</v>
      </c>
      <c r="C1585" t="s">
        <v>394</v>
      </c>
      <c r="D1585">
        <v>2365</v>
      </c>
      <c r="E1585">
        <v>1008</v>
      </c>
      <c r="F1585">
        <v>2</v>
      </c>
      <c r="G1585" t="s">
        <v>1520</v>
      </c>
      <c r="H1585" t="s">
        <v>9</v>
      </c>
      <c r="I1585" t="s">
        <v>591</v>
      </c>
      <c r="J1585" t="s">
        <v>968</v>
      </c>
    </row>
    <row r="1586" spans="1:10">
      <c r="A1586">
        <v>51585</v>
      </c>
      <c r="B1586">
        <v>30920</v>
      </c>
      <c r="C1586" t="s">
        <v>1056</v>
      </c>
      <c r="D1586">
        <v>2325</v>
      </c>
      <c r="E1586">
        <v>1012</v>
      </c>
      <c r="F1586">
        <v>1</v>
      </c>
      <c r="G1586" t="s">
        <v>1449</v>
      </c>
      <c r="H1586" t="s">
        <v>11</v>
      </c>
      <c r="I1586" t="s">
        <v>557</v>
      </c>
      <c r="J1586" t="s">
        <v>958</v>
      </c>
    </row>
    <row r="1587" spans="1:10">
      <c r="A1587">
        <v>51586</v>
      </c>
      <c r="B1587">
        <v>30920</v>
      </c>
      <c r="C1587" t="s">
        <v>971</v>
      </c>
      <c r="D1587">
        <v>2325</v>
      </c>
      <c r="E1587">
        <v>1015</v>
      </c>
      <c r="F1587">
        <v>1</v>
      </c>
      <c r="G1587" t="s">
        <v>1478</v>
      </c>
      <c r="H1587" t="s">
        <v>11</v>
      </c>
      <c r="I1587" t="s">
        <v>420</v>
      </c>
      <c r="J1587" t="s">
        <v>59</v>
      </c>
    </row>
    <row r="1588" spans="1:10">
      <c r="A1588">
        <v>51587</v>
      </c>
      <c r="B1588">
        <v>30921</v>
      </c>
      <c r="C1588" t="s">
        <v>1036</v>
      </c>
      <c r="D1588">
        <v>2198</v>
      </c>
      <c r="E1588">
        <v>1013</v>
      </c>
      <c r="F1588">
        <v>3</v>
      </c>
      <c r="G1588" t="s">
        <v>1490</v>
      </c>
      <c r="H1588" t="s">
        <v>9</v>
      </c>
      <c r="I1588" t="s">
        <v>145</v>
      </c>
      <c r="J1588" t="s">
        <v>732</v>
      </c>
    </row>
    <row r="1589" spans="1:10">
      <c r="A1589">
        <v>51588</v>
      </c>
      <c r="B1589">
        <v>30921</v>
      </c>
      <c r="C1589" t="s">
        <v>490</v>
      </c>
      <c r="D1589">
        <v>2198</v>
      </c>
      <c r="E1589">
        <v>1012</v>
      </c>
      <c r="F1589">
        <v>3</v>
      </c>
      <c r="G1589" t="s">
        <v>1448</v>
      </c>
      <c r="H1589" t="s">
        <v>9</v>
      </c>
      <c r="I1589" t="s">
        <v>920</v>
      </c>
      <c r="J1589" t="s">
        <v>957</v>
      </c>
    </row>
    <row r="1590" spans="1:10">
      <c r="A1590">
        <v>51589</v>
      </c>
      <c r="B1590">
        <v>30922</v>
      </c>
      <c r="C1590" t="s">
        <v>524</v>
      </c>
      <c r="D1590">
        <v>2138</v>
      </c>
      <c r="E1590">
        <v>1002</v>
      </c>
      <c r="F1590">
        <v>1</v>
      </c>
      <c r="G1590" t="s">
        <v>1466</v>
      </c>
      <c r="H1590" t="s">
        <v>9</v>
      </c>
      <c r="I1590" t="s">
        <v>20</v>
      </c>
      <c r="J1590" t="s">
        <v>1074</v>
      </c>
    </row>
    <row r="1591" spans="1:10">
      <c r="A1591">
        <v>51590</v>
      </c>
      <c r="B1591">
        <v>30922</v>
      </c>
      <c r="C1591" t="s">
        <v>524</v>
      </c>
      <c r="D1591">
        <v>2138</v>
      </c>
      <c r="E1591">
        <v>1016</v>
      </c>
      <c r="F1591">
        <v>1</v>
      </c>
      <c r="G1591" t="s">
        <v>1465</v>
      </c>
      <c r="H1591" t="s">
        <v>9</v>
      </c>
      <c r="I1591" t="s">
        <v>1191</v>
      </c>
      <c r="J1591" t="s">
        <v>1073</v>
      </c>
    </row>
    <row r="1592" spans="1:10">
      <c r="A1592">
        <v>51591</v>
      </c>
      <c r="B1592">
        <v>30923</v>
      </c>
      <c r="C1592" t="s">
        <v>1007</v>
      </c>
      <c r="D1592">
        <v>2449</v>
      </c>
      <c r="E1592">
        <v>1016</v>
      </c>
      <c r="F1592">
        <v>4</v>
      </c>
      <c r="G1592" t="s">
        <v>1522</v>
      </c>
      <c r="H1592" t="s">
        <v>9</v>
      </c>
      <c r="I1592" t="s">
        <v>728</v>
      </c>
      <c r="J1592" t="s">
        <v>174</v>
      </c>
    </row>
    <row r="1593" spans="1:10">
      <c r="A1593">
        <v>51592</v>
      </c>
      <c r="B1593">
        <v>30923</v>
      </c>
      <c r="C1593" t="s">
        <v>726</v>
      </c>
      <c r="D1593">
        <v>2449</v>
      </c>
      <c r="E1593">
        <v>1007</v>
      </c>
      <c r="F1593">
        <v>4</v>
      </c>
      <c r="G1593" t="s">
        <v>1504</v>
      </c>
      <c r="H1593" t="s">
        <v>1495</v>
      </c>
      <c r="I1593" t="s">
        <v>1093</v>
      </c>
      <c r="J1593" t="s">
        <v>870</v>
      </c>
    </row>
    <row r="1594" spans="1:10">
      <c r="A1594">
        <v>51593</v>
      </c>
      <c r="B1594">
        <v>30923</v>
      </c>
      <c r="C1594" t="s">
        <v>726</v>
      </c>
      <c r="D1594">
        <v>2449</v>
      </c>
      <c r="E1594">
        <v>1006</v>
      </c>
      <c r="F1594">
        <v>1</v>
      </c>
      <c r="G1594" t="s">
        <v>1459</v>
      </c>
      <c r="H1594" t="s">
        <v>9</v>
      </c>
      <c r="I1594" t="s">
        <v>1135</v>
      </c>
      <c r="J1594" t="s">
        <v>580</v>
      </c>
    </row>
    <row r="1595" spans="1:10">
      <c r="A1595">
        <v>51594</v>
      </c>
      <c r="B1595">
        <v>30924</v>
      </c>
      <c r="C1595" t="s">
        <v>535</v>
      </c>
      <c r="D1595">
        <v>2557</v>
      </c>
      <c r="E1595">
        <v>1015</v>
      </c>
      <c r="G1595" t="s">
        <v>1478</v>
      </c>
      <c r="H1595" t="s">
        <v>9</v>
      </c>
      <c r="I1595" t="s">
        <v>470</v>
      </c>
      <c r="J1595" t="s">
        <v>659</v>
      </c>
    </row>
    <row r="1596" spans="1:10">
      <c r="A1596">
        <v>51595</v>
      </c>
      <c r="B1596">
        <v>30925</v>
      </c>
      <c r="C1596" t="s">
        <v>786</v>
      </c>
      <c r="D1596">
        <v>2282</v>
      </c>
      <c r="E1596">
        <v>1006</v>
      </c>
      <c r="F1596">
        <v>1</v>
      </c>
      <c r="G1596" t="s">
        <v>1459</v>
      </c>
      <c r="H1596" t="s">
        <v>12</v>
      </c>
      <c r="I1596" t="s">
        <v>1421</v>
      </c>
      <c r="J1596" t="s">
        <v>1421</v>
      </c>
    </row>
    <row r="1597" spans="1:10">
      <c r="A1597">
        <v>51596</v>
      </c>
      <c r="B1597">
        <v>30925</v>
      </c>
      <c r="C1597" t="s">
        <v>786</v>
      </c>
      <c r="D1597">
        <v>2282</v>
      </c>
      <c r="E1597">
        <v>1003</v>
      </c>
      <c r="F1597">
        <v>1</v>
      </c>
      <c r="G1597" t="s">
        <v>1471</v>
      </c>
      <c r="H1597" t="s">
        <v>12</v>
      </c>
      <c r="I1597" t="s">
        <v>1421</v>
      </c>
      <c r="J1597" t="s">
        <v>1421</v>
      </c>
    </row>
    <row r="1598" spans="1:10">
      <c r="A1598">
        <v>51597</v>
      </c>
      <c r="B1598">
        <v>30925</v>
      </c>
      <c r="C1598" t="s">
        <v>817</v>
      </c>
      <c r="D1598">
        <v>2282</v>
      </c>
      <c r="E1598">
        <v>1005</v>
      </c>
      <c r="F1598">
        <v>1</v>
      </c>
      <c r="G1598" t="s">
        <v>1456</v>
      </c>
      <c r="H1598" t="s">
        <v>12</v>
      </c>
      <c r="I1598" t="s">
        <v>1421</v>
      </c>
      <c r="J1598" t="s">
        <v>1421</v>
      </c>
    </row>
    <row r="1599" spans="1:10">
      <c r="A1599">
        <v>51598</v>
      </c>
      <c r="B1599">
        <v>30926</v>
      </c>
      <c r="C1599" t="s">
        <v>872</v>
      </c>
      <c r="D1599">
        <v>2461</v>
      </c>
      <c r="E1599">
        <v>1009</v>
      </c>
      <c r="F1599">
        <v>2</v>
      </c>
      <c r="G1599" t="s">
        <v>1479</v>
      </c>
      <c r="H1599" t="s">
        <v>9</v>
      </c>
      <c r="I1599" t="s">
        <v>1182</v>
      </c>
      <c r="J1599" t="s">
        <v>526</v>
      </c>
    </row>
    <row r="1600" spans="1:10">
      <c r="A1600">
        <v>51599</v>
      </c>
      <c r="B1600">
        <v>30927</v>
      </c>
      <c r="C1600" t="s">
        <v>143</v>
      </c>
      <c r="D1600">
        <v>2555</v>
      </c>
      <c r="E1600">
        <v>1001</v>
      </c>
      <c r="F1600">
        <v>1</v>
      </c>
      <c r="G1600" t="s">
        <v>1469</v>
      </c>
      <c r="H1600" t="s">
        <v>9</v>
      </c>
      <c r="I1600" t="s">
        <v>1090</v>
      </c>
      <c r="J1600" t="s">
        <v>910</v>
      </c>
    </row>
    <row r="1601" spans="1:10">
      <c r="A1601">
        <v>51600</v>
      </c>
      <c r="B1601">
        <v>30927</v>
      </c>
      <c r="C1601" t="s">
        <v>436</v>
      </c>
      <c r="D1601">
        <v>2555</v>
      </c>
      <c r="E1601">
        <v>1013</v>
      </c>
      <c r="F1601">
        <v>1</v>
      </c>
      <c r="G1601" t="s">
        <v>1474</v>
      </c>
      <c r="H1601" t="s">
        <v>9</v>
      </c>
      <c r="I1601" t="s">
        <v>904</v>
      </c>
      <c r="J1601" t="s">
        <v>1290</v>
      </c>
    </row>
    <row r="1602" spans="1:10">
      <c r="A1602">
        <v>51601</v>
      </c>
      <c r="B1602">
        <v>30927</v>
      </c>
      <c r="C1602" t="s">
        <v>911</v>
      </c>
      <c r="D1602">
        <v>2555</v>
      </c>
      <c r="E1602">
        <v>1006</v>
      </c>
      <c r="F1602">
        <v>2</v>
      </c>
      <c r="G1602" t="s">
        <v>1501</v>
      </c>
      <c r="H1602" t="s">
        <v>9</v>
      </c>
      <c r="I1602" t="s">
        <v>1291</v>
      </c>
      <c r="J1602" t="s">
        <v>1292</v>
      </c>
    </row>
    <row r="1603" spans="1:10">
      <c r="A1603">
        <v>51602</v>
      </c>
      <c r="B1603">
        <v>30928</v>
      </c>
      <c r="C1603" t="s">
        <v>871</v>
      </c>
      <c r="D1603">
        <v>2020</v>
      </c>
      <c r="E1603">
        <v>1012</v>
      </c>
      <c r="F1603">
        <v>2</v>
      </c>
      <c r="G1603" t="s">
        <v>1450</v>
      </c>
      <c r="H1603" t="s">
        <v>9</v>
      </c>
      <c r="I1603" t="s">
        <v>1160</v>
      </c>
      <c r="J1603" t="s">
        <v>382</v>
      </c>
    </row>
    <row r="1604" spans="1:10">
      <c r="A1604">
        <v>51603</v>
      </c>
      <c r="B1604">
        <v>30928</v>
      </c>
      <c r="C1604" t="s">
        <v>1293</v>
      </c>
      <c r="D1604">
        <v>2020</v>
      </c>
      <c r="E1604">
        <v>1008</v>
      </c>
      <c r="F1604">
        <v>1</v>
      </c>
      <c r="G1604" t="s">
        <v>1447</v>
      </c>
      <c r="H1604" t="s">
        <v>9</v>
      </c>
      <c r="I1604" t="s">
        <v>848</v>
      </c>
      <c r="J1604" t="s">
        <v>1266</v>
      </c>
    </row>
    <row r="1605" spans="1:10">
      <c r="A1605">
        <v>51604</v>
      </c>
      <c r="B1605">
        <v>30928</v>
      </c>
      <c r="C1605" t="s">
        <v>186</v>
      </c>
      <c r="D1605">
        <v>2020</v>
      </c>
      <c r="E1605">
        <v>1011</v>
      </c>
      <c r="F1605">
        <v>2</v>
      </c>
      <c r="G1605" t="s">
        <v>1487</v>
      </c>
      <c r="H1605" t="s">
        <v>9</v>
      </c>
      <c r="I1605" t="s">
        <v>848</v>
      </c>
      <c r="J1605" t="s">
        <v>895</v>
      </c>
    </row>
    <row r="1606" spans="1:10">
      <c r="A1606">
        <v>51605</v>
      </c>
      <c r="B1606">
        <v>30929</v>
      </c>
      <c r="C1606" t="s">
        <v>1019</v>
      </c>
      <c r="D1606">
        <v>2065</v>
      </c>
      <c r="E1606">
        <v>1013</v>
      </c>
      <c r="F1606">
        <v>4</v>
      </c>
      <c r="G1606" t="s">
        <v>1523</v>
      </c>
      <c r="H1606" t="s">
        <v>9</v>
      </c>
      <c r="I1606" t="s">
        <v>245</v>
      </c>
      <c r="J1606" t="s">
        <v>370</v>
      </c>
    </row>
    <row r="1607" spans="1:10">
      <c r="A1607">
        <v>51606</v>
      </c>
      <c r="B1607">
        <v>30929</v>
      </c>
      <c r="C1607" t="s">
        <v>367</v>
      </c>
      <c r="D1607">
        <v>2065</v>
      </c>
      <c r="E1607">
        <v>1007</v>
      </c>
      <c r="F1607">
        <v>1</v>
      </c>
      <c r="G1607" t="s">
        <v>1453</v>
      </c>
      <c r="H1607" t="s">
        <v>9</v>
      </c>
      <c r="I1607" t="s">
        <v>281</v>
      </c>
      <c r="J1607" t="s">
        <v>961</v>
      </c>
    </row>
    <row r="1608" spans="1:10">
      <c r="A1608">
        <v>51607</v>
      </c>
      <c r="B1608">
        <v>30930</v>
      </c>
      <c r="C1608" t="s">
        <v>170</v>
      </c>
      <c r="D1608">
        <v>2537</v>
      </c>
      <c r="E1608">
        <v>1005</v>
      </c>
      <c r="F1608">
        <v>1</v>
      </c>
      <c r="G1608" t="s">
        <v>1456</v>
      </c>
      <c r="H1608" t="s">
        <v>9</v>
      </c>
      <c r="I1608" t="s">
        <v>122</v>
      </c>
      <c r="J1608" t="s">
        <v>771</v>
      </c>
    </row>
    <row r="1609" spans="1:10">
      <c r="A1609">
        <v>51608</v>
      </c>
      <c r="B1609">
        <v>30930</v>
      </c>
      <c r="C1609" t="s">
        <v>323</v>
      </c>
      <c r="D1609">
        <v>2537</v>
      </c>
      <c r="E1609">
        <v>1010</v>
      </c>
      <c r="F1609">
        <v>1</v>
      </c>
      <c r="G1609" t="s">
        <v>1468</v>
      </c>
      <c r="H1609" t="s">
        <v>9</v>
      </c>
      <c r="I1609" t="s">
        <v>1207</v>
      </c>
      <c r="J1609" t="s">
        <v>137</v>
      </c>
    </row>
    <row r="1610" spans="1:10">
      <c r="A1610">
        <v>51609</v>
      </c>
      <c r="B1610">
        <v>30931</v>
      </c>
      <c r="C1610" t="s">
        <v>1225</v>
      </c>
      <c r="D1610">
        <v>2331</v>
      </c>
      <c r="E1610">
        <v>1011</v>
      </c>
      <c r="F1610">
        <v>2</v>
      </c>
      <c r="G1610" t="s">
        <v>1487</v>
      </c>
      <c r="H1610" t="s">
        <v>9</v>
      </c>
      <c r="I1610" t="s">
        <v>250</v>
      </c>
      <c r="J1610" t="s">
        <v>933</v>
      </c>
    </row>
    <row r="1611" spans="1:10">
      <c r="A1611">
        <v>51610</v>
      </c>
      <c r="B1611">
        <v>30932</v>
      </c>
      <c r="C1611" t="s">
        <v>731</v>
      </c>
      <c r="D1611">
        <v>2114</v>
      </c>
      <c r="E1611">
        <v>1003</v>
      </c>
      <c r="F1611">
        <v>1</v>
      </c>
      <c r="G1611" t="s">
        <v>1471</v>
      </c>
      <c r="H1611" t="s">
        <v>9</v>
      </c>
      <c r="I1611" t="s">
        <v>316</v>
      </c>
      <c r="J1611" t="s">
        <v>1214</v>
      </c>
    </row>
    <row r="1612" spans="1:10">
      <c r="A1612">
        <v>51611</v>
      </c>
      <c r="B1612">
        <v>30932</v>
      </c>
      <c r="C1612" t="s">
        <v>811</v>
      </c>
      <c r="D1612">
        <v>2114</v>
      </c>
      <c r="E1612">
        <v>1002</v>
      </c>
      <c r="F1612">
        <v>1</v>
      </c>
      <c r="G1612" t="s">
        <v>1466</v>
      </c>
      <c r="H1612" t="s">
        <v>9</v>
      </c>
      <c r="I1612" t="s">
        <v>858</v>
      </c>
      <c r="J1612" t="s">
        <v>730</v>
      </c>
    </row>
    <row r="1613" spans="1:10">
      <c r="A1613">
        <v>51612</v>
      </c>
      <c r="B1613">
        <v>30933</v>
      </c>
      <c r="C1613" t="s">
        <v>706</v>
      </c>
      <c r="D1613">
        <v>2133</v>
      </c>
      <c r="E1613">
        <v>1002</v>
      </c>
      <c r="F1613">
        <v>1</v>
      </c>
      <c r="G1613" t="s">
        <v>1421</v>
      </c>
      <c r="H1613" t="s">
        <v>9</v>
      </c>
      <c r="I1613" t="s">
        <v>356</v>
      </c>
      <c r="J1613" t="s">
        <v>195</v>
      </c>
    </row>
    <row r="1614" spans="1:10">
      <c r="A1614">
        <v>51613</v>
      </c>
      <c r="B1614">
        <v>30934</v>
      </c>
      <c r="C1614" t="s">
        <v>1208</v>
      </c>
      <c r="D1614">
        <v>2207</v>
      </c>
      <c r="E1614">
        <v>1007</v>
      </c>
      <c r="F1614">
        <v>1</v>
      </c>
      <c r="G1614" t="s">
        <v>1453</v>
      </c>
      <c r="H1614" t="s">
        <v>9</v>
      </c>
      <c r="I1614" t="s">
        <v>984</v>
      </c>
      <c r="J1614" t="s">
        <v>660</v>
      </c>
    </row>
    <row r="1615" spans="1:10">
      <c r="A1615">
        <v>51614</v>
      </c>
      <c r="B1615">
        <v>30934</v>
      </c>
      <c r="C1615" t="s">
        <v>664</v>
      </c>
      <c r="D1615">
        <v>2207</v>
      </c>
      <c r="E1615">
        <v>1004</v>
      </c>
      <c r="F1615">
        <v>2</v>
      </c>
      <c r="G1615" t="s">
        <v>1476</v>
      </c>
      <c r="H1615" t="s">
        <v>9</v>
      </c>
      <c r="I1615" t="s">
        <v>1275</v>
      </c>
      <c r="J1615" t="s">
        <v>308</v>
      </c>
    </row>
    <row r="1616" spans="1:10">
      <c r="A1616">
        <v>51615</v>
      </c>
      <c r="B1616">
        <v>30934</v>
      </c>
      <c r="C1616" t="s">
        <v>402</v>
      </c>
      <c r="D1616">
        <v>2207</v>
      </c>
      <c r="E1616">
        <v>1002</v>
      </c>
      <c r="F1616">
        <v>1</v>
      </c>
      <c r="G1616" t="s">
        <v>1466</v>
      </c>
      <c r="H1616" t="s">
        <v>1457</v>
      </c>
      <c r="I1616" t="s">
        <v>1294</v>
      </c>
      <c r="J1616" t="s">
        <v>1068</v>
      </c>
    </row>
    <row r="1617" spans="1:10">
      <c r="A1617">
        <v>51616</v>
      </c>
      <c r="B1617">
        <v>30935</v>
      </c>
      <c r="C1617" t="s">
        <v>423</v>
      </c>
      <c r="D1617">
        <v>2585</v>
      </c>
      <c r="E1617">
        <v>1013</v>
      </c>
      <c r="F1617">
        <v>1</v>
      </c>
      <c r="G1617" t="s">
        <v>1474</v>
      </c>
      <c r="H1617" t="s">
        <v>9</v>
      </c>
      <c r="I1617" t="s">
        <v>825</v>
      </c>
      <c r="J1617" t="s">
        <v>335</v>
      </c>
    </row>
    <row r="1618" spans="1:10">
      <c r="A1618">
        <v>51617</v>
      </c>
      <c r="B1618">
        <v>30935</v>
      </c>
      <c r="C1618" t="s">
        <v>966</v>
      </c>
      <c r="D1618">
        <v>2585</v>
      </c>
      <c r="E1618">
        <v>1016</v>
      </c>
      <c r="F1618">
        <v>1</v>
      </c>
      <c r="G1618" t="s">
        <v>1465</v>
      </c>
      <c r="H1618" t="s">
        <v>9</v>
      </c>
      <c r="I1618" t="s">
        <v>875</v>
      </c>
      <c r="J1618" t="s">
        <v>1218</v>
      </c>
    </row>
    <row r="1619" spans="1:10">
      <c r="A1619">
        <v>51618</v>
      </c>
      <c r="B1619">
        <v>30936</v>
      </c>
      <c r="C1619" t="s">
        <v>613</v>
      </c>
      <c r="D1619">
        <v>2539</v>
      </c>
      <c r="E1619">
        <v>1009</v>
      </c>
      <c r="F1619">
        <v>2</v>
      </c>
      <c r="G1619" t="s">
        <v>1479</v>
      </c>
      <c r="H1619" t="s">
        <v>9</v>
      </c>
      <c r="I1619" t="s">
        <v>1115</v>
      </c>
      <c r="J1619" t="s">
        <v>42</v>
      </c>
    </row>
    <row r="1620" spans="1:10">
      <c r="A1620">
        <v>51619</v>
      </c>
      <c r="B1620">
        <v>30937</v>
      </c>
      <c r="C1620" t="s">
        <v>373</v>
      </c>
      <c r="D1620">
        <v>2051</v>
      </c>
      <c r="E1620">
        <v>1003</v>
      </c>
      <c r="F1620">
        <v>1</v>
      </c>
      <c r="G1620" t="s">
        <v>1471</v>
      </c>
      <c r="H1620" t="s">
        <v>9</v>
      </c>
      <c r="I1620" t="s">
        <v>42</v>
      </c>
      <c r="J1620" t="s">
        <v>344</v>
      </c>
    </row>
    <row r="1621" spans="1:10">
      <c r="A1621">
        <v>51620</v>
      </c>
      <c r="B1621">
        <v>30938</v>
      </c>
      <c r="C1621" t="s">
        <v>22</v>
      </c>
      <c r="D1621">
        <v>2014</v>
      </c>
      <c r="E1621">
        <v>1007</v>
      </c>
      <c r="F1621">
        <v>3</v>
      </c>
      <c r="G1621" t="s">
        <v>1446</v>
      </c>
      <c r="H1621" t="s">
        <v>12</v>
      </c>
      <c r="I1621" t="s">
        <v>1421</v>
      </c>
      <c r="J1621" t="s">
        <v>1421</v>
      </c>
    </row>
    <row r="1622" spans="1:10">
      <c r="A1622">
        <v>51621</v>
      </c>
      <c r="B1622">
        <v>30938</v>
      </c>
      <c r="C1622" t="s">
        <v>767</v>
      </c>
      <c r="D1622">
        <v>2014</v>
      </c>
      <c r="E1622">
        <v>1016</v>
      </c>
      <c r="G1622" t="s">
        <v>1465</v>
      </c>
      <c r="H1622" t="s">
        <v>12</v>
      </c>
      <c r="I1622" t="s">
        <v>1421</v>
      </c>
      <c r="J1622" t="s">
        <v>1421</v>
      </c>
    </row>
    <row r="1623" spans="1:10">
      <c r="A1623">
        <v>51622</v>
      </c>
      <c r="B1623">
        <v>30939</v>
      </c>
      <c r="C1623" t="s">
        <v>24</v>
      </c>
      <c r="D1623">
        <v>2082</v>
      </c>
      <c r="E1623">
        <v>1002</v>
      </c>
      <c r="F1623">
        <v>1</v>
      </c>
      <c r="G1623" t="s">
        <v>1466</v>
      </c>
      <c r="H1623" t="s">
        <v>9</v>
      </c>
      <c r="I1623" t="s">
        <v>554</v>
      </c>
      <c r="J1623" t="s">
        <v>105</v>
      </c>
    </row>
    <row r="1624" spans="1:10">
      <c r="A1624">
        <v>51623</v>
      </c>
      <c r="B1624">
        <v>30940</v>
      </c>
      <c r="C1624" t="s">
        <v>1230</v>
      </c>
      <c r="D1624">
        <v>2370</v>
      </c>
      <c r="E1624">
        <v>1014</v>
      </c>
      <c r="F1624">
        <v>1</v>
      </c>
      <c r="G1624" t="s">
        <v>1463</v>
      </c>
      <c r="H1624" t="s">
        <v>9</v>
      </c>
      <c r="I1624" t="s">
        <v>885</v>
      </c>
      <c r="J1624" t="s">
        <v>895</v>
      </c>
    </row>
    <row r="1625" spans="1:10">
      <c r="A1625">
        <v>51624</v>
      </c>
      <c r="B1625">
        <v>30940</v>
      </c>
      <c r="C1625" t="s">
        <v>1230</v>
      </c>
      <c r="D1625">
        <v>2370</v>
      </c>
      <c r="E1625">
        <v>1012</v>
      </c>
      <c r="F1625">
        <v>2</v>
      </c>
      <c r="G1625" t="s">
        <v>1450</v>
      </c>
      <c r="H1625" t="s">
        <v>9</v>
      </c>
      <c r="I1625" t="s">
        <v>214</v>
      </c>
      <c r="J1625" t="s">
        <v>305</v>
      </c>
    </row>
    <row r="1626" spans="1:10">
      <c r="A1626">
        <v>51625</v>
      </c>
      <c r="B1626">
        <v>30941</v>
      </c>
      <c r="C1626" t="s">
        <v>384</v>
      </c>
      <c r="D1626">
        <v>2060</v>
      </c>
      <c r="E1626">
        <v>1009</v>
      </c>
      <c r="F1626">
        <v>1</v>
      </c>
      <c r="G1626" t="s">
        <v>1473</v>
      </c>
      <c r="H1626" t="s">
        <v>16</v>
      </c>
      <c r="I1626" t="s">
        <v>1421</v>
      </c>
      <c r="J1626" t="s">
        <v>1421</v>
      </c>
    </row>
    <row r="1627" spans="1:10">
      <c r="A1627">
        <v>51626</v>
      </c>
      <c r="B1627">
        <v>30942</v>
      </c>
      <c r="C1627" t="s">
        <v>392</v>
      </c>
      <c r="D1627">
        <v>2073</v>
      </c>
      <c r="E1627">
        <v>1003</v>
      </c>
      <c r="F1627">
        <v>1</v>
      </c>
      <c r="G1627" t="s">
        <v>1471</v>
      </c>
      <c r="H1627" t="s">
        <v>16</v>
      </c>
      <c r="I1627" t="s">
        <v>1421</v>
      </c>
      <c r="J1627" t="s">
        <v>1421</v>
      </c>
    </row>
    <row r="1628" spans="1:10">
      <c r="A1628">
        <v>51627</v>
      </c>
      <c r="B1628">
        <v>30943</v>
      </c>
      <c r="C1628" t="s">
        <v>331</v>
      </c>
      <c r="D1628">
        <v>2532</v>
      </c>
      <c r="E1628">
        <v>1008</v>
      </c>
      <c r="F1628">
        <v>2</v>
      </c>
      <c r="G1628" t="s">
        <v>1520</v>
      </c>
      <c r="H1628" t="s">
        <v>68</v>
      </c>
      <c r="I1628" t="s">
        <v>1056</v>
      </c>
      <c r="J1628" t="s">
        <v>974</v>
      </c>
    </row>
    <row r="1629" spans="1:10">
      <c r="A1629">
        <v>51628</v>
      </c>
      <c r="B1629">
        <v>30944</v>
      </c>
      <c r="C1629" t="s">
        <v>301</v>
      </c>
      <c r="D1629">
        <v>2545</v>
      </c>
      <c r="E1629">
        <v>1007</v>
      </c>
      <c r="F1629">
        <v>1</v>
      </c>
      <c r="G1629" t="s">
        <v>1453</v>
      </c>
      <c r="H1629" t="s">
        <v>9</v>
      </c>
      <c r="I1629" t="s">
        <v>943</v>
      </c>
      <c r="J1629" t="s">
        <v>693</v>
      </c>
    </row>
    <row r="1630" spans="1:10">
      <c r="A1630">
        <v>51629</v>
      </c>
      <c r="B1630">
        <v>30945</v>
      </c>
      <c r="C1630" t="s">
        <v>335</v>
      </c>
      <c r="D1630">
        <v>2539</v>
      </c>
      <c r="E1630">
        <v>1006</v>
      </c>
      <c r="F1630">
        <v>3</v>
      </c>
      <c r="G1630" t="s">
        <v>1493</v>
      </c>
      <c r="H1630" t="s">
        <v>9</v>
      </c>
      <c r="I1630" t="s">
        <v>645</v>
      </c>
      <c r="J1630" t="s">
        <v>1053</v>
      </c>
    </row>
    <row r="1631" spans="1:10">
      <c r="A1631">
        <v>51630</v>
      </c>
      <c r="B1631">
        <v>30946</v>
      </c>
      <c r="C1631" t="s">
        <v>213</v>
      </c>
      <c r="D1631">
        <v>2572</v>
      </c>
      <c r="E1631">
        <v>1014</v>
      </c>
      <c r="F1631">
        <v>1</v>
      </c>
      <c r="G1631" t="s">
        <v>1463</v>
      </c>
      <c r="H1631" t="s">
        <v>9</v>
      </c>
      <c r="I1631" t="s">
        <v>722</v>
      </c>
      <c r="J1631" t="s">
        <v>1229</v>
      </c>
    </row>
    <row r="1632" spans="1:10">
      <c r="A1632">
        <v>51631</v>
      </c>
      <c r="B1632">
        <v>30947</v>
      </c>
      <c r="C1632" t="s">
        <v>262</v>
      </c>
      <c r="D1632">
        <v>2109</v>
      </c>
      <c r="E1632">
        <v>1012</v>
      </c>
      <c r="F1632">
        <v>1</v>
      </c>
      <c r="G1632" t="s">
        <v>1449</v>
      </c>
      <c r="H1632" t="s">
        <v>16</v>
      </c>
      <c r="I1632" t="s">
        <v>1421</v>
      </c>
      <c r="J1632" t="s">
        <v>1421</v>
      </c>
    </row>
    <row r="1633" spans="1:10">
      <c r="A1633">
        <v>51632</v>
      </c>
      <c r="B1633">
        <v>30948</v>
      </c>
      <c r="C1633" t="s">
        <v>951</v>
      </c>
      <c r="D1633">
        <v>2438</v>
      </c>
      <c r="E1633">
        <v>1006</v>
      </c>
      <c r="F1633">
        <v>1</v>
      </c>
      <c r="G1633" t="s">
        <v>1459</v>
      </c>
      <c r="H1633" t="s">
        <v>12</v>
      </c>
      <c r="I1633" t="s">
        <v>1421</v>
      </c>
      <c r="J1633" t="s">
        <v>1421</v>
      </c>
    </row>
    <row r="1634" spans="1:10">
      <c r="A1634">
        <v>51633</v>
      </c>
      <c r="B1634">
        <v>30949</v>
      </c>
      <c r="C1634" t="s">
        <v>698</v>
      </c>
      <c r="D1634">
        <v>2185</v>
      </c>
      <c r="E1634">
        <v>1011</v>
      </c>
      <c r="F1634">
        <v>3</v>
      </c>
      <c r="G1634" t="s">
        <v>1454</v>
      </c>
      <c r="H1634" t="s">
        <v>9</v>
      </c>
      <c r="I1634" t="s">
        <v>413</v>
      </c>
      <c r="J1634" t="s">
        <v>735</v>
      </c>
    </row>
    <row r="1635" spans="1:10">
      <c r="A1635">
        <v>51634</v>
      </c>
      <c r="B1635">
        <v>30949</v>
      </c>
      <c r="C1635" t="s">
        <v>664</v>
      </c>
      <c r="D1635">
        <v>2185</v>
      </c>
      <c r="E1635">
        <v>1006</v>
      </c>
      <c r="F1635">
        <v>1</v>
      </c>
      <c r="G1635" t="s">
        <v>1459</v>
      </c>
      <c r="H1635" t="s">
        <v>9</v>
      </c>
      <c r="I1635" t="s">
        <v>774</v>
      </c>
      <c r="J1635" t="s">
        <v>333</v>
      </c>
    </row>
    <row r="1636" spans="1:10">
      <c r="A1636">
        <v>51635</v>
      </c>
      <c r="B1636">
        <v>30949</v>
      </c>
      <c r="C1636" t="s">
        <v>402</v>
      </c>
      <c r="D1636">
        <v>2185</v>
      </c>
      <c r="E1636">
        <v>1015</v>
      </c>
      <c r="F1636">
        <v>1</v>
      </c>
      <c r="G1636" t="s">
        <v>1478</v>
      </c>
      <c r="H1636" t="s">
        <v>9</v>
      </c>
      <c r="I1636" t="s">
        <v>396</v>
      </c>
      <c r="J1636" t="s">
        <v>504</v>
      </c>
    </row>
    <row r="1637" spans="1:10">
      <c r="A1637">
        <v>51636</v>
      </c>
      <c r="B1637">
        <v>30950</v>
      </c>
      <c r="C1637" t="s">
        <v>1191</v>
      </c>
      <c r="D1637">
        <v>2361</v>
      </c>
      <c r="E1637">
        <v>1011</v>
      </c>
      <c r="F1637">
        <v>3</v>
      </c>
      <c r="G1637" t="s">
        <v>1454</v>
      </c>
      <c r="H1637" t="s">
        <v>12</v>
      </c>
      <c r="I1637" t="s">
        <v>1421</v>
      </c>
      <c r="J1637" t="s">
        <v>1421</v>
      </c>
    </row>
    <row r="1638" spans="1:10">
      <c r="A1638">
        <v>51637</v>
      </c>
      <c r="B1638">
        <v>30951</v>
      </c>
      <c r="C1638" t="s">
        <v>467</v>
      </c>
      <c r="D1638">
        <v>2381</v>
      </c>
      <c r="E1638">
        <v>1014</v>
      </c>
      <c r="F1638">
        <v>2</v>
      </c>
      <c r="G1638" t="s">
        <v>1475</v>
      </c>
      <c r="H1638" t="s">
        <v>9</v>
      </c>
      <c r="I1638" t="s">
        <v>1037</v>
      </c>
      <c r="J1638" t="s">
        <v>1295</v>
      </c>
    </row>
    <row r="1639" spans="1:10">
      <c r="A1639">
        <v>51638</v>
      </c>
      <c r="B1639">
        <v>30951</v>
      </c>
      <c r="C1639" t="s">
        <v>18</v>
      </c>
      <c r="D1639">
        <v>2381</v>
      </c>
      <c r="E1639">
        <v>1011</v>
      </c>
      <c r="F1639">
        <v>1</v>
      </c>
      <c r="G1639" t="s">
        <v>1472</v>
      </c>
      <c r="H1639" t="s">
        <v>9</v>
      </c>
      <c r="I1639" t="s">
        <v>1296</v>
      </c>
      <c r="J1639" t="s">
        <v>1297</v>
      </c>
    </row>
    <row r="1640" spans="1:10">
      <c r="A1640">
        <v>51639</v>
      </c>
      <c r="B1640">
        <v>30952</v>
      </c>
      <c r="C1640" t="s">
        <v>476</v>
      </c>
      <c r="D1640">
        <v>2247</v>
      </c>
      <c r="E1640">
        <v>1007</v>
      </c>
      <c r="F1640">
        <v>1</v>
      </c>
      <c r="G1640" t="s">
        <v>1453</v>
      </c>
      <c r="H1640" t="s">
        <v>9</v>
      </c>
      <c r="I1640" t="s">
        <v>1181</v>
      </c>
      <c r="J1640" t="s">
        <v>570</v>
      </c>
    </row>
    <row r="1641" spans="1:10">
      <c r="A1641">
        <v>51640</v>
      </c>
      <c r="B1641">
        <v>30952</v>
      </c>
      <c r="C1641" t="s">
        <v>1146</v>
      </c>
      <c r="D1641">
        <v>2247</v>
      </c>
      <c r="E1641">
        <v>1013</v>
      </c>
      <c r="F1641">
        <v>1</v>
      </c>
      <c r="G1641" t="s">
        <v>1474</v>
      </c>
      <c r="H1641" t="s">
        <v>9</v>
      </c>
      <c r="I1641" t="s">
        <v>944</v>
      </c>
      <c r="J1641" t="s">
        <v>811</v>
      </c>
    </row>
    <row r="1642" spans="1:10">
      <c r="A1642">
        <v>51641</v>
      </c>
      <c r="B1642">
        <v>30953</v>
      </c>
      <c r="C1642" t="s">
        <v>1034</v>
      </c>
      <c r="D1642">
        <v>2564</v>
      </c>
      <c r="E1642">
        <v>1009</v>
      </c>
      <c r="F1642">
        <v>1</v>
      </c>
      <c r="G1642" t="s">
        <v>1473</v>
      </c>
      <c r="H1642" t="s">
        <v>12</v>
      </c>
      <c r="I1642" t="s">
        <v>1421</v>
      </c>
      <c r="J1642" t="s">
        <v>1421</v>
      </c>
    </row>
    <row r="1643" spans="1:10">
      <c r="A1643">
        <v>51642</v>
      </c>
      <c r="B1643">
        <v>30953</v>
      </c>
      <c r="C1643" t="s">
        <v>469</v>
      </c>
      <c r="D1643">
        <v>2564</v>
      </c>
      <c r="E1643">
        <v>1012</v>
      </c>
      <c r="F1643">
        <v>1</v>
      </c>
      <c r="G1643" t="s">
        <v>1449</v>
      </c>
      <c r="H1643" t="s">
        <v>12</v>
      </c>
      <c r="I1643" t="s">
        <v>1421</v>
      </c>
      <c r="J1643" t="s">
        <v>1421</v>
      </c>
    </row>
    <row r="1644" spans="1:10">
      <c r="A1644">
        <v>51643</v>
      </c>
      <c r="B1644">
        <v>30953</v>
      </c>
      <c r="C1644" t="s">
        <v>469</v>
      </c>
      <c r="D1644">
        <v>2564</v>
      </c>
      <c r="E1644">
        <v>1015</v>
      </c>
      <c r="F1644">
        <v>1</v>
      </c>
      <c r="G1644" t="s">
        <v>1478</v>
      </c>
      <c r="H1644" t="s">
        <v>12</v>
      </c>
      <c r="I1644" t="s">
        <v>1421</v>
      </c>
      <c r="J1644" t="s">
        <v>1421</v>
      </c>
    </row>
    <row r="1645" spans="1:10">
      <c r="A1645">
        <v>51644</v>
      </c>
      <c r="B1645">
        <v>30953</v>
      </c>
      <c r="C1645" t="s">
        <v>1275</v>
      </c>
      <c r="D1645">
        <v>2564</v>
      </c>
      <c r="E1645">
        <v>1015</v>
      </c>
      <c r="F1645">
        <v>2</v>
      </c>
      <c r="G1645" t="s">
        <v>1488</v>
      </c>
      <c r="H1645" t="s">
        <v>12</v>
      </c>
      <c r="I1645" t="s">
        <v>1421</v>
      </c>
      <c r="J1645" t="s">
        <v>1421</v>
      </c>
    </row>
    <row r="1646" spans="1:10">
      <c r="A1646">
        <v>51645</v>
      </c>
      <c r="B1646">
        <v>30954</v>
      </c>
      <c r="C1646" t="s">
        <v>738</v>
      </c>
      <c r="D1646">
        <v>2407</v>
      </c>
      <c r="E1646">
        <v>1002</v>
      </c>
      <c r="F1646">
        <v>1</v>
      </c>
      <c r="G1646" t="s">
        <v>1466</v>
      </c>
      <c r="H1646" t="s">
        <v>9</v>
      </c>
      <c r="I1646" t="s">
        <v>877</v>
      </c>
      <c r="J1646" t="s">
        <v>622</v>
      </c>
    </row>
    <row r="1647" spans="1:10">
      <c r="A1647">
        <v>51646</v>
      </c>
      <c r="B1647">
        <v>30954</v>
      </c>
      <c r="C1647" t="s">
        <v>342</v>
      </c>
      <c r="D1647">
        <v>2407</v>
      </c>
      <c r="E1647">
        <v>1010</v>
      </c>
      <c r="F1647">
        <v>1</v>
      </c>
      <c r="G1647" t="s">
        <v>1468</v>
      </c>
      <c r="H1647" t="s">
        <v>1495</v>
      </c>
      <c r="I1647" t="s">
        <v>736</v>
      </c>
      <c r="J1647" t="s">
        <v>462</v>
      </c>
    </row>
    <row r="1648" spans="1:10">
      <c r="A1648">
        <v>51647</v>
      </c>
      <c r="B1648">
        <v>30954</v>
      </c>
      <c r="C1648" t="s">
        <v>1221</v>
      </c>
      <c r="D1648">
        <v>2407</v>
      </c>
      <c r="E1648">
        <v>1001</v>
      </c>
      <c r="F1648">
        <v>1</v>
      </c>
      <c r="G1648" t="s">
        <v>1469</v>
      </c>
      <c r="H1648" t="s">
        <v>9</v>
      </c>
      <c r="I1648" t="s">
        <v>1209</v>
      </c>
      <c r="J1648" t="s">
        <v>268</v>
      </c>
    </row>
    <row r="1649" spans="1:10">
      <c r="A1649">
        <v>51648</v>
      </c>
      <c r="B1649">
        <v>30954</v>
      </c>
      <c r="C1649" t="s">
        <v>1221</v>
      </c>
      <c r="D1649">
        <v>2407</v>
      </c>
      <c r="E1649">
        <v>1005</v>
      </c>
      <c r="F1649">
        <v>2</v>
      </c>
      <c r="G1649" t="s">
        <v>1458</v>
      </c>
      <c r="H1649" t="s">
        <v>9</v>
      </c>
      <c r="I1649" t="s">
        <v>542</v>
      </c>
      <c r="J1649" t="s">
        <v>1240</v>
      </c>
    </row>
    <row r="1650" spans="1:10">
      <c r="A1650">
        <v>51649</v>
      </c>
      <c r="B1650">
        <v>30955</v>
      </c>
      <c r="C1650" t="s">
        <v>701</v>
      </c>
      <c r="D1650">
        <v>2310</v>
      </c>
      <c r="E1650">
        <v>1008</v>
      </c>
      <c r="F1650">
        <v>4</v>
      </c>
      <c r="G1650" t="s">
        <v>1503</v>
      </c>
      <c r="H1650" t="s">
        <v>9</v>
      </c>
      <c r="I1650" t="s">
        <v>946</v>
      </c>
      <c r="J1650" t="s">
        <v>1298</v>
      </c>
    </row>
    <row r="1651" spans="1:10">
      <c r="A1651">
        <v>51650</v>
      </c>
      <c r="B1651">
        <v>30955</v>
      </c>
      <c r="C1651" t="s">
        <v>227</v>
      </c>
      <c r="D1651">
        <v>2310</v>
      </c>
      <c r="E1651">
        <v>1007</v>
      </c>
      <c r="F1651">
        <v>2</v>
      </c>
      <c r="G1651" t="s">
        <v>1455</v>
      </c>
      <c r="H1651" t="s">
        <v>9</v>
      </c>
      <c r="I1651" t="s">
        <v>1299</v>
      </c>
      <c r="J1651" t="s">
        <v>1026</v>
      </c>
    </row>
    <row r="1652" spans="1:10">
      <c r="A1652">
        <v>51651</v>
      </c>
      <c r="B1652">
        <v>30955</v>
      </c>
      <c r="C1652" t="s">
        <v>1186</v>
      </c>
      <c r="D1652">
        <v>2310</v>
      </c>
      <c r="E1652">
        <v>1011</v>
      </c>
      <c r="F1652">
        <v>1</v>
      </c>
      <c r="G1652" t="s">
        <v>1472</v>
      </c>
      <c r="H1652" t="s">
        <v>1457</v>
      </c>
      <c r="I1652" t="s">
        <v>158</v>
      </c>
      <c r="J1652" t="s">
        <v>835</v>
      </c>
    </row>
    <row r="1653" spans="1:10">
      <c r="A1653">
        <v>51652</v>
      </c>
      <c r="B1653">
        <v>30956</v>
      </c>
      <c r="C1653" t="s">
        <v>709</v>
      </c>
      <c r="D1653">
        <v>2023</v>
      </c>
      <c r="E1653">
        <v>1009</v>
      </c>
      <c r="F1653">
        <v>2</v>
      </c>
      <c r="G1653" t="s">
        <v>1479</v>
      </c>
      <c r="H1653" t="s">
        <v>16</v>
      </c>
      <c r="I1653" t="s">
        <v>1421</v>
      </c>
      <c r="J1653" t="s">
        <v>1421</v>
      </c>
    </row>
    <row r="1654" spans="1:10">
      <c r="A1654">
        <v>51653</v>
      </c>
      <c r="B1654">
        <v>30957</v>
      </c>
      <c r="C1654" t="s">
        <v>1076</v>
      </c>
      <c r="D1654">
        <v>2524</v>
      </c>
      <c r="E1654">
        <v>1005</v>
      </c>
      <c r="F1654">
        <v>1</v>
      </c>
      <c r="G1654" t="s">
        <v>1456</v>
      </c>
      <c r="H1654" t="s">
        <v>9</v>
      </c>
      <c r="I1654" t="s">
        <v>572</v>
      </c>
      <c r="J1654" t="s">
        <v>832</v>
      </c>
    </row>
    <row r="1655" spans="1:10">
      <c r="A1655">
        <v>51654</v>
      </c>
      <c r="B1655">
        <v>30958</v>
      </c>
      <c r="C1655" t="s">
        <v>1015</v>
      </c>
      <c r="D1655">
        <v>2097</v>
      </c>
      <c r="E1655">
        <v>1012</v>
      </c>
      <c r="F1655">
        <v>5</v>
      </c>
      <c r="G1655" t="s">
        <v>1511</v>
      </c>
      <c r="H1655" t="s">
        <v>9</v>
      </c>
      <c r="I1655" t="s">
        <v>207</v>
      </c>
      <c r="J1655" t="s">
        <v>545</v>
      </c>
    </row>
    <row r="1656" spans="1:10">
      <c r="A1656">
        <v>51655</v>
      </c>
      <c r="B1656">
        <v>30958</v>
      </c>
      <c r="C1656" t="s">
        <v>743</v>
      </c>
      <c r="D1656">
        <v>2097</v>
      </c>
      <c r="E1656">
        <v>1005</v>
      </c>
      <c r="F1656">
        <v>1</v>
      </c>
      <c r="G1656" t="s">
        <v>1456</v>
      </c>
      <c r="H1656" t="s">
        <v>9</v>
      </c>
      <c r="I1656" t="s">
        <v>557</v>
      </c>
      <c r="J1656" t="s">
        <v>559</v>
      </c>
    </row>
    <row r="1657" spans="1:10">
      <c r="A1657">
        <v>51656</v>
      </c>
      <c r="B1657">
        <v>30958</v>
      </c>
      <c r="C1657" t="s">
        <v>420</v>
      </c>
      <c r="D1657">
        <v>2097</v>
      </c>
      <c r="E1657">
        <v>1005</v>
      </c>
      <c r="F1657">
        <v>1</v>
      </c>
      <c r="G1657" t="s">
        <v>1456</v>
      </c>
      <c r="H1657" t="s">
        <v>9</v>
      </c>
      <c r="I1657" t="s">
        <v>557</v>
      </c>
      <c r="J1657" t="s">
        <v>986</v>
      </c>
    </row>
    <row r="1658" spans="1:10">
      <c r="A1658">
        <v>51657</v>
      </c>
      <c r="B1658">
        <v>30959</v>
      </c>
      <c r="C1658" t="s">
        <v>831</v>
      </c>
      <c r="D1658">
        <v>2272</v>
      </c>
      <c r="E1658">
        <v>1008</v>
      </c>
      <c r="F1658">
        <v>1</v>
      </c>
      <c r="G1658" t="s">
        <v>1447</v>
      </c>
      <c r="H1658" t="s">
        <v>9</v>
      </c>
      <c r="I1658" t="s">
        <v>1123</v>
      </c>
      <c r="J1658" t="s">
        <v>71</v>
      </c>
    </row>
    <row r="1659" spans="1:10">
      <c r="A1659">
        <v>51658</v>
      </c>
      <c r="B1659">
        <v>30959</v>
      </c>
      <c r="C1659" t="s">
        <v>828</v>
      </c>
      <c r="D1659">
        <v>2272</v>
      </c>
      <c r="E1659">
        <v>1008</v>
      </c>
      <c r="F1659">
        <v>2</v>
      </c>
      <c r="G1659" t="s">
        <v>1520</v>
      </c>
      <c r="H1659" t="s">
        <v>9</v>
      </c>
      <c r="I1659" t="s">
        <v>1060</v>
      </c>
      <c r="J1659" t="s">
        <v>749</v>
      </c>
    </row>
    <row r="1660" spans="1:10">
      <c r="A1660">
        <v>51659</v>
      </c>
      <c r="B1660">
        <v>30960</v>
      </c>
      <c r="C1660" t="s">
        <v>1300</v>
      </c>
      <c r="D1660">
        <v>2263</v>
      </c>
      <c r="E1660">
        <v>1003</v>
      </c>
      <c r="F1660">
        <v>1</v>
      </c>
      <c r="G1660" t="s">
        <v>1471</v>
      </c>
      <c r="H1660" t="s">
        <v>16</v>
      </c>
      <c r="I1660" t="s">
        <v>1421</v>
      </c>
      <c r="J1660" t="s">
        <v>1421</v>
      </c>
    </row>
    <row r="1661" spans="1:10">
      <c r="A1661">
        <v>51660</v>
      </c>
      <c r="B1661">
        <v>30961</v>
      </c>
      <c r="C1661" t="s">
        <v>221</v>
      </c>
      <c r="D1661">
        <v>2583</v>
      </c>
      <c r="E1661">
        <v>1003</v>
      </c>
      <c r="F1661">
        <v>2</v>
      </c>
      <c r="G1661" t="s">
        <v>1464</v>
      </c>
      <c r="H1661" t="s">
        <v>12</v>
      </c>
      <c r="I1661" t="s">
        <v>1421</v>
      </c>
      <c r="J1661" t="s">
        <v>1421</v>
      </c>
    </row>
    <row r="1662" spans="1:10">
      <c r="A1662">
        <v>51661</v>
      </c>
      <c r="B1662">
        <v>30962</v>
      </c>
      <c r="C1662" t="s">
        <v>1084</v>
      </c>
      <c r="D1662">
        <v>2333</v>
      </c>
      <c r="E1662">
        <v>1006</v>
      </c>
      <c r="F1662">
        <v>2</v>
      </c>
      <c r="G1662" t="s">
        <v>1501</v>
      </c>
      <c r="H1662" t="s">
        <v>16</v>
      </c>
      <c r="I1662" t="s">
        <v>1421</v>
      </c>
      <c r="J1662" t="s">
        <v>1421</v>
      </c>
    </row>
    <row r="1663" spans="1:10">
      <c r="A1663">
        <v>51662</v>
      </c>
      <c r="B1663">
        <v>30963</v>
      </c>
      <c r="C1663" t="s">
        <v>359</v>
      </c>
      <c r="D1663">
        <v>2591</v>
      </c>
      <c r="E1663">
        <v>1004</v>
      </c>
      <c r="F1663">
        <v>1</v>
      </c>
      <c r="G1663" t="s">
        <v>1452</v>
      </c>
      <c r="H1663" t="s">
        <v>16</v>
      </c>
      <c r="I1663" t="s">
        <v>1421</v>
      </c>
      <c r="J1663" t="s">
        <v>1421</v>
      </c>
    </row>
    <row r="1664" spans="1:10">
      <c r="A1664">
        <v>51663</v>
      </c>
      <c r="B1664">
        <v>30963</v>
      </c>
      <c r="C1664" t="s">
        <v>371</v>
      </c>
      <c r="D1664">
        <v>2591</v>
      </c>
      <c r="E1664">
        <v>1010</v>
      </c>
      <c r="F1664">
        <v>1</v>
      </c>
      <c r="G1664" t="s">
        <v>1468</v>
      </c>
      <c r="H1664" t="s">
        <v>16</v>
      </c>
      <c r="I1664" t="s">
        <v>195</v>
      </c>
      <c r="J1664" t="s">
        <v>1421</v>
      </c>
    </row>
    <row r="1665" spans="1:10">
      <c r="A1665">
        <v>51664</v>
      </c>
      <c r="B1665">
        <v>30963</v>
      </c>
      <c r="C1665" t="s">
        <v>706</v>
      </c>
      <c r="D1665">
        <v>2591</v>
      </c>
      <c r="E1665">
        <v>1013</v>
      </c>
      <c r="F1665">
        <v>1</v>
      </c>
      <c r="G1665" t="s">
        <v>1474</v>
      </c>
      <c r="H1665" t="s">
        <v>16</v>
      </c>
      <c r="I1665" t="s">
        <v>360</v>
      </c>
      <c r="J1665" t="s">
        <v>1421</v>
      </c>
    </row>
    <row r="1666" spans="1:10">
      <c r="A1666">
        <v>51665</v>
      </c>
      <c r="B1666">
        <v>30964</v>
      </c>
      <c r="C1666" t="s">
        <v>872</v>
      </c>
      <c r="D1666">
        <v>2058</v>
      </c>
      <c r="E1666">
        <v>1011</v>
      </c>
      <c r="F1666">
        <v>2</v>
      </c>
      <c r="G1666" t="s">
        <v>1487</v>
      </c>
      <c r="H1666" t="s">
        <v>12</v>
      </c>
      <c r="I1666" t="s">
        <v>1421</v>
      </c>
      <c r="J1666" t="s">
        <v>1421</v>
      </c>
    </row>
    <row r="1667" spans="1:10">
      <c r="A1667">
        <v>51666</v>
      </c>
      <c r="B1667">
        <v>30965</v>
      </c>
      <c r="C1667" t="s">
        <v>1159</v>
      </c>
      <c r="D1667">
        <v>2357</v>
      </c>
      <c r="E1667">
        <v>1014</v>
      </c>
      <c r="F1667">
        <v>1</v>
      </c>
      <c r="G1667" t="s">
        <v>1463</v>
      </c>
      <c r="H1667" t="s">
        <v>12</v>
      </c>
      <c r="I1667" t="s">
        <v>1421</v>
      </c>
      <c r="J1667" t="s">
        <v>1421</v>
      </c>
    </row>
    <row r="1668" spans="1:10">
      <c r="A1668">
        <v>51667</v>
      </c>
      <c r="B1668">
        <v>30966</v>
      </c>
      <c r="C1668" t="s">
        <v>1301</v>
      </c>
      <c r="D1668">
        <v>2427</v>
      </c>
      <c r="E1668">
        <v>1004</v>
      </c>
      <c r="F1668">
        <v>3</v>
      </c>
      <c r="G1668" t="s">
        <v>1481</v>
      </c>
      <c r="H1668" t="s">
        <v>12</v>
      </c>
      <c r="I1668" t="s">
        <v>1421</v>
      </c>
      <c r="J1668" t="s">
        <v>1421</v>
      </c>
    </row>
    <row r="1669" spans="1:10">
      <c r="A1669">
        <v>51668</v>
      </c>
      <c r="B1669">
        <v>30966</v>
      </c>
      <c r="C1669" t="s">
        <v>1301</v>
      </c>
      <c r="D1669">
        <v>2427</v>
      </c>
      <c r="E1669">
        <v>1008</v>
      </c>
      <c r="F1669">
        <v>2</v>
      </c>
      <c r="G1669" t="s">
        <v>1520</v>
      </c>
      <c r="H1669" t="s">
        <v>12</v>
      </c>
      <c r="I1669" t="s">
        <v>1421</v>
      </c>
      <c r="J1669" t="s">
        <v>1421</v>
      </c>
    </row>
    <row r="1670" spans="1:10">
      <c r="A1670">
        <v>51669</v>
      </c>
      <c r="B1670">
        <v>30967</v>
      </c>
      <c r="C1670" t="s">
        <v>991</v>
      </c>
      <c r="D1670">
        <v>2012</v>
      </c>
      <c r="E1670">
        <v>1013</v>
      </c>
      <c r="F1670">
        <v>2</v>
      </c>
      <c r="G1670" t="s">
        <v>1492</v>
      </c>
      <c r="H1670" t="s">
        <v>9</v>
      </c>
      <c r="I1670" t="s">
        <v>94</v>
      </c>
      <c r="J1670" t="s">
        <v>1116</v>
      </c>
    </row>
    <row r="1671" spans="1:10">
      <c r="A1671">
        <v>51670</v>
      </c>
      <c r="B1671">
        <v>30967</v>
      </c>
      <c r="C1671" t="s">
        <v>870</v>
      </c>
      <c r="D1671">
        <v>2012</v>
      </c>
      <c r="E1671">
        <v>1002</v>
      </c>
      <c r="F1671">
        <v>1</v>
      </c>
      <c r="G1671" t="s">
        <v>1466</v>
      </c>
      <c r="H1671" t="s">
        <v>9</v>
      </c>
      <c r="I1671" t="s">
        <v>1094</v>
      </c>
      <c r="J1671" t="s">
        <v>718</v>
      </c>
    </row>
    <row r="1672" spans="1:10">
      <c r="A1672">
        <v>51671</v>
      </c>
      <c r="B1672">
        <v>30968</v>
      </c>
      <c r="C1672" t="s">
        <v>355</v>
      </c>
      <c r="D1672">
        <v>2313</v>
      </c>
      <c r="E1672">
        <v>1011</v>
      </c>
      <c r="F1672">
        <v>2</v>
      </c>
      <c r="G1672" t="s">
        <v>1487</v>
      </c>
      <c r="H1672" t="s">
        <v>9</v>
      </c>
      <c r="I1672" t="s">
        <v>793</v>
      </c>
      <c r="J1672" t="s">
        <v>953</v>
      </c>
    </row>
    <row r="1673" spans="1:10">
      <c r="A1673">
        <v>51672</v>
      </c>
      <c r="B1673">
        <v>30969</v>
      </c>
      <c r="C1673" t="s">
        <v>770</v>
      </c>
      <c r="D1673">
        <v>2553</v>
      </c>
      <c r="E1673">
        <v>1011</v>
      </c>
      <c r="F1673">
        <v>2</v>
      </c>
      <c r="G1673" t="s">
        <v>1487</v>
      </c>
      <c r="H1673" t="s">
        <v>9</v>
      </c>
      <c r="I1673" t="s">
        <v>1097</v>
      </c>
      <c r="J1673" t="s">
        <v>1108</v>
      </c>
    </row>
    <row r="1674" spans="1:10">
      <c r="A1674">
        <v>51673</v>
      </c>
      <c r="B1674">
        <v>30970</v>
      </c>
      <c r="C1674" t="s">
        <v>709</v>
      </c>
      <c r="D1674">
        <v>2515</v>
      </c>
      <c r="E1674">
        <v>1005</v>
      </c>
      <c r="F1674">
        <v>1</v>
      </c>
      <c r="G1674" t="s">
        <v>1456</v>
      </c>
      <c r="H1674" t="s">
        <v>9</v>
      </c>
      <c r="I1674" t="s">
        <v>192</v>
      </c>
      <c r="J1674" t="s">
        <v>181</v>
      </c>
    </row>
    <row r="1675" spans="1:10">
      <c r="A1675">
        <v>51674</v>
      </c>
      <c r="B1675">
        <v>30971</v>
      </c>
      <c r="C1675" t="s">
        <v>317</v>
      </c>
      <c r="D1675">
        <v>2052</v>
      </c>
      <c r="E1675">
        <v>1013</v>
      </c>
      <c r="F1675">
        <v>1</v>
      </c>
      <c r="G1675" t="s">
        <v>1474</v>
      </c>
      <c r="H1675" t="s">
        <v>9</v>
      </c>
      <c r="I1675" t="s">
        <v>252</v>
      </c>
      <c r="J1675" t="s">
        <v>172</v>
      </c>
    </row>
    <row r="1676" spans="1:10">
      <c r="A1676">
        <v>51675</v>
      </c>
      <c r="B1676">
        <v>30971</v>
      </c>
      <c r="C1676" t="s">
        <v>406</v>
      </c>
      <c r="D1676">
        <v>2052</v>
      </c>
      <c r="E1676">
        <v>1015</v>
      </c>
      <c r="F1676">
        <v>1</v>
      </c>
      <c r="G1676" t="s">
        <v>1478</v>
      </c>
      <c r="H1676" t="s">
        <v>9</v>
      </c>
      <c r="I1676" t="s">
        <v>451</v>
      </c>
      <c r="J1676" t="s">
        <v>1179</v>
      </c>
    </row>
    <row r="1677" spans="1:10">
      <c r="A1677">
        <v>51676</v>
      </c>
      <c r="B1677">
        <v>30971</v>
      </c>
      <c r="C1677" t="s">
        <v>406</v>
      </c>
      <c r="D1677">
        <v>2052</v>
      </c>
      <c r="E1677">
        <v>1003</v>
      </c>
      <c r="F1677">
        <v>1</v>
      </c>
      <c r="G1677" t="s">
        <v>1471</v>
      </c>
      <c r="H1677" t="s">
        <v>9</v>
      </c>
      <c r="I1677" t="s">
        <v>172</v>
      </c>
      <c r="J1677" t="s">
        <v>829</v>
      </c>
    </row>
    <row r="1678" spans="1:10">
      <c r="A1678">
        <v>51677</v>
      </c>
      <c r="B1678">
        <v>30971</v>
      </c>
      <c r="C1678" t="s">
        <v>406</v>
      </c>
      <c r="D1678">
        <v>2052</v>
      </c>
      <c r="E1678">
        <v>1008</v>
      </c>
      <c r="F1678">
        <v>1</v>
      </c>
      <c r="G1678" t="s">
        <v>1447</v>
      </c>
      <c r="H1678" t="s">
        <v>9</v>
      </c>
      <c r="I1678" t="s">
        <v>879</v>
      </c>
      <c r="J1678" t="s">
        <v>981</v>
      </c>
    </row>
    <row r="1679" spans="1:10">
      <c r="A1679">
        <v>51678</v>
      </c>
      <c r="B1679">
        <v>30972</v>
      </c>
      <c r="C1679" t="s">
        <v>187</v>
      </c>
      <c r="D1679">
        <v>2443</v>
      </c>
      <c r="E1679">
        <v>1013</v>
      </c>
      <c r="F1679">
        <v>1</v>
      </c>
      <c r="G1679" t="s">
        <v>1474</v>
      </c>
      <c r="H1679" t="s">
        <v>9</v>
      </c>
      <c r="I1679" t="s">
        <v>1085</v>
      </c>
      <c r="J1679" t="s">
        <v>500</v>
      </c>
    </row>
    <row r="1680" spans="1:10">
      <c r="A1680">
        <v>51679</v>
      </c>
      <c r="B1680">
        <v>30972</v>
      </c>
      <c r="C1680" t="s">
        <v>865</v>
      </c>
      <c r="D1680">
        <v>2443</v>
      </c>
      <c r="E1680">
        <v>1005</v>
      </c>
      <c r="F1680">
        <v>1</v>
      </c>
      <c r="G1680" t="s">
        <v>1456</v>
      </c>
      <c r="H1680" t="s">
        <v>9</v>
      </c>
      <c r="I1680" t="s">
        <v>766</v>
      </c>
      <c r="J1680" t="s">
        <v>678</v>
      </c>
    </row>
    <row r="1681" spans="1:10">
      <c r="A1681">
        <v>51680</v>
      </c>
      <c r="B1681">
        <v>30973</v>
      </c>
      <c r="C1681" t="s">
        <v>663</v>
      </c>
      <c r="D1681">
        <v>2136</v>
      </c>
      <c r="E1681">
        <v>1016</v>
      </c>
      <c r="F1681">
        <v>1</v>
      </c>
      <c r="G1681" t="s">
        <v>1465</v>
      </c>
      <c r="H1681" t="s">
        <v>9</v>
      </c>
      <c r="I1681" t="s">
        <v>139</v>
      </c>
      <c r="J1681" t="s">
        <v>1185</v>
      </c>
    </row>
    <row r="1682" spans="1:10">
      <c r="A1682">
        <v>51681</v>
      </c>
      <c r="B1682">
        <v>30973</v>
      </c>
      <c r="C1682" t="s">
        <v>308</v>
      </c>
      <c r="D1682">
        <v>2136</v>
      </c>
      <c r="E1682">
        <v>1002</v>
      </c>
      <c r="F1682">
        <v>5</v>
      </c>
      <c r="G1682" t="s">
        <v>1526</v>
      </c>
      <c r="H1682" t="s">
        <v>9</v>
      </c>
      <c r="I1682" t="s">
        <v>1069</v>
      </c>
      <c r="J1682" t="s">
        <v>1227</v>
      </c>
    </row>
    <row r="1683" spans="1:10">
      <c r="A1683">
        <v>51682</v>
      </c>
      <c r="B1683">
        <v>30974</v>
      </c>
      <c r="C1683" t="s">
        <v>890</v>
      </c>
      <c r="D1683">
        <v>2562</v>
      </c>
      <c r="E1683">
        <v>1003</v>
      </c>
      <c r="F1683">
        <v>3</v>
      </c>
      <c r="G1683" t="s">
        <v>1507</v>
      </c>
      <c r="H1683" t="s">
        <v>9</v>
      </c>
      <c r="I1683" t="s">
        <v>749</v>
      </c>
      <c r="J1683" t="s">
        <v>547</v>
      </c>
    </row>
    <row r="1684" spans="1:10">
      <c r="A1684">
        <v>51683</v>
      </c>
      <c r="B1684">
        <v>30975</v>
      </c>
      <c r="C1684" t="s">
        <v>787</v>
      </c>
      <c r="D1684">
        <v>2409</v>
      </c>
      <c r="E1684">
        <v>1005</v>
      </c>
      <c r="F1684">
        <v>1</v>
      </c>
      <c r="G1684" t="s">
        <v>1456</v>
      </c>
      <c r="H1684" t="s">
        <v>9</v>
      </c>
      <c r="I1684" t="s">
        <v>467</v>
      </c>
      <c r="J1684" t="s">
        <v>1119</v>
      </c>
    </row>
    <row r="1685" spans="1:10">
      <c r="A1685">
        <v>51684</v>
      </c>
      <c r="B1685">
        <v>30975</v>
      </c>
      <c r="C1685" t="s">
        <v>1255</v>
      </c>
      <c r="D1685">
        <v>2409</v>
      </c>
      <c r="E1685">
        <v>1005</v>
      </c>
      <c r="F1685">
        <v>1</v>
      </c>
      <c r="G1685" t="s">
        <v>1456</v>
      </c>
      <c r="H1685" t="s">
        <v>9</v>
      </c>
      <c r="I1685" t="s">
        <v>1074</v>
      </c>
      <c r="J1685" t="s">
        <v>976</v>
      </c>
    </row>
    <row r="1686" spans="1:10">
      <c r="A1686">
        <v>51685</v>
      </c>
      <c r="B1686">
        <v>30976</v>
      </c>
      <c r="C1686" t="s">
        <v>31</v>
      </c>
      <c r="D1686">
        <v>2493</v>
      </c>
      <c r="E1686">
        <v>1016</v>
      </c>
      <c r="F1686">
        <v>1</v>
      </c>
      <c r="G1686" t="s">
        <v>1465</v>
      </c>
      <c r="H1686" t="s">
        <v>9</v>
      </c>
      <c r="I1686" t="s">
        <v>646</v>
      </c>
      <c r="J1686" t="s">
        <v>35</v>
      </c>
    </row>
    <row r="1687" spans="1:10">
      <c r="A1687">
        <v>51686</v>
      </c>
      <c r="B1687">
        <v>30976</v>
      </c>
      <c r="C1687" t="s">
        <v>638</v>
      </c>
      <c r="D1687">
        <v>2493</v>
      </c>
      <c r="E1687">
        <v>1013</v>
      </c>
      <c r="F1687">
        <v>3</v>
      </c>
      <c r="G1687" t="s">
        <v>1490</v>
      </c>
      <c r="H1687" t="s">
        <v>1495</v>
      </c>
      <c r="I1687" t="s">
        <v>646</v>
      </c>
      <c r="J1687" t="s">
        <v>177</v>
      </c>
    </row>
    <row r="1688" spans="1:10">
      <c r="A1688">
        <v>51687</v>
      </c>
      <c r="B1688">
        <v>30976</v>
      </c>
      <c r="C1688" t="s">
        <v>638</v>
      </c>
      <c r="D1688">
        <v>2493</v>
      </c>
      <c r="E1688">
        <v>1007</v>
      </c>
      <c r="F1688">
        <v>3</v>
      </c>
      <c r="G1688" t="s">
        <v>1446</v>
      </c>
      <c r="H1688" t="s">
        <v>9</v>
      </c>
      <c r="I1688" t="s">
        <v>178</v>
      </c>
      <c r="J1688" t="s">
        <v>838</v>
      </c>
    </row>
    <row r="1689" spans="1:10">
      <c r="A1689">
        <v>51688</v>
      </c>
      <c r="B1689">
        <v>30977</v>
      </c>
      <c r="C1689" t="s">
        <v>916</v>
      </c>
      <c r="D1689">
        <v>2575</v>
      </c>
      <c r="E1689">
        <v>1008</v>
      </c>
      <c r="F1689">
        <v>2</v>
      </c>
      <c r="G1689" t="s">
        <v>1520</v>
      </c>
      <c r="H1689" t="s">
        <v>9</v>
      </c>
      <c r="I1689" t="s">
        <v>535</v>
      </c>
      <c r="J1689" t="s">
        <v>703</v>
      </c>
    </row>
    <row r="1690" spans="1:10">
      <c r="A1690">
        <v>51689</v>
      </c>
      <c r="B1690">
        <v>30978</v>
      </c>
      <c r="C1690" t="s">
        <v>136</v>
      </c>
      <c r="D1690">
        <v>2249</v>
      </c>
      <c r="E1690">
        <v>1014</v>
      </c>
      <c r="F1690">
        <v>5</v>
      </c>
      <c r="G1690" t="s">
        <v>1527</v>
      </c>
      <c r="H1690" t="s">
        <v>68</v>
      </c>
      <c r="I1690" t="s">
        <v>372</v>
      </c>
      <c r="J1690" t="s">
        <v>1302</v>
      </c>
    </row>
    <row r="1691" spans="1:10">
      <c r="A1691">
        <v>51690</v>
      </c>
      <c r="B1691">
        <v>30978</v>
      </c>
      <c r="C1691" t="s">
        <v>687</v>
      </c>
      <c r="D1691">
        <v>2249</v>
      </c>
      <c r="E1691">
        <v>1011</v>
      </c>
      <c r="F1691">
        <v>2</v>
      </c>
      <c r="G1691" t="s">
        <v>1487</v>
      </c>
      <c r="H1691" t="s">
        <v>9</v>
      </c>
      <c r="I1691" t="s">
        <v>433</v>
      </c>
      <c r="J1691" t="s">
        <v>128</v>
      </c>
    </row>
    <row r="1692" spans="1:10">
      <c r="A1692">
        <v>51691</v>
      </c>
      <c r="B1692">
        <v>30978</v>
      </c>
      <c r="C1692" t="s">
        <v>687</v>
      </c>
      <c r="D1692">
        <v>2249</v>
      </c>
      <c r="E1692">
        <v>1003</v>
      </c>
      <c r="F1692">
        <v>3</v>
      </c>
      <c r="G1692" t="s">
        <v>1507</v>
      </c>
      <c r="H1692" t="s">
        <v>9</v>
      </c>
      <c r="I1692" t="s">
        <v>953</v>
      </c>
      <c r="J1692" t="s">
        <v>1122</v>
      </c>
    </row>
    <row r="1693" spans="1:10">
      <c r="A1693">
        <v>51692</v>
      </c>
      <c r="B1693">
        <v>30979</v>
      </c>
      <c r="C1693" t="s">
        <v>1117</v>
      </c>
      <c r="D1693">
        <v>2116</v>
      </c>
      <c r="E1693">
        <v>1014</v>
      </c>
      <c r="F1693">
        <v>1</v>
      </c>
      <c r="G1693" t="s">
        <v>1463</v>
      </c>
      <c r="H1693" t="s">
        <v>9</v>
      </c>
      <c r="I1693" t="s">
        <v>730</v>
      </c>
      <c r="J1693" t="s">
        <v>1254</v>
      </c>
    </row>
    <row r="1694" spans="1:10">
      <c r="A1694">
        <v>51693</v>
      </c>
      <c r="B1694">
        <v>30980</v>
      </c>
      <c r="C1694" t="s">
        <v>257</v>
      </c>
      <c r="D1694">
        <v>2375</v>
      </c>
      <c r="E1694">
        <v>1011</v>
      </c>
      <c r="F1694">
        <v>1</v>
      </c>
      <c r="G1694" t="s">
        <v>1472</v>
      </c>
      <c r="H1694" t="s">
        <v>9</v>
      </c>
      <c r="I1694" t="s">
        <v>553</v>
      </c>
      <c r="J1694" t="s">
        <v>1022</v>
      </c>
    </row>
    <row r="1695" spans="1:10">
      <c r="A1695">
        <v>51694</v>
      </c>
      <c r="B1695">
        <v>30981</v>
      </c>
      <c r="C1695" t="s">
        <v>1069</v>
      </c>
      <c r="D1695">
        <v>2353</v>
      </c>
      <c r="E1695">
        <v>1001</v>
      </c>
      <c r="F1695">
        <v>1</v>
      </c>
      <c r="G1695" t="s">
        <v>1469</v>
      </c>
      <c r="H1695" t="s">
        <v>9</v>
      </c>
      <c r="I1695" t="s">
        <v>309</v>
      </c>
      <c r="J1695" t="s">
        <v>146</v>
      </c>
    </row>
    <row r="1696" spans="1:10">
      <c r="A1696">
        <v>51695</v>
      </c>
      <c r="B1696">
        <v>30982</v>
      </c>
      <c r="C1696" t="s">
        <v>1109</v>
      </c>
      <c r="D1696">
        <v>2313</v>
      </c>
      <c r="E1696">
        <v>1012</v>
      </c>
      <c r="F1696">
        <v>4</v>
      </c>
      <c r="G1696" t="s">
        <v>1485</v>
      </c>
      <c r="H1696" t="s">
        <v>9</v>
      </c>
      <c r="I1696" t="s">
        <v>1237</v>
      </c>
      <c r="J1696" t="s">
        <v>427</v>
      </c>
    </row>
    <row r="1697" spans="1:10">
      <c r="A1697">
        <v>51696</v>
      </c>
      <c r="B1697">
        <v>30982</v>
      </c>
      <c r="C1697" t="s">
        <v>261</v>
      </c>
      <c r="D1697">
        <v>2313</v>
      </c>
      <c r="E1697">
        <v>1015</v>
      </c>
      <c r="F1697">
        <v>2</v>
      </c>
      <c r="G1697" t="s">
        <v>1488</v>
      </c>
      <c r="H1697" t="s">
        <v>9</v>
      </c>
      <c r="I1697" t="s">
        <v>1197</v>
      </c>
      <c r="J1697" t="s">
        <v>968</v>
      </c>
    </row>
    <row r="1698" spans="1:10">
      <c r="A1698">
        <v>51697</v>
      </c>
      <c r="B1698">
        <v>30983</v>
      </c>
      <c r="C1698" t="s">
        <v>98</v>
      </c>
      <c r="D1698">
        <v>2150</v>
      </c>
      <c r="E1698">
        <v>1008</v>
      </c>
      <c r="F1698">
        <v>1</v>
      </c>
      <c r="G1698" t="s">
        <v>1447</v>
      </c>
      <c r="H1698" t="s">
        <v>9</v>
      </c>
      <c r="I1698" t="s">
        <v>728</v>
      </c>
      <c r="J1698" t="s">
        <v>380</v>
      </c>
    </row>
    <row r="1699" spans="1:10">
      <c r="A1699">
        <v>51698</v>
      </c>
      <c r="B1699">
        <v>30983</v>
      </c>
      <c r="C1699" t="s">
        <v>410</v>
      </c>
      <c r="D1699">
        <v>2150</v>
      </c>
      <c r="E1699">
        <v>1007</v>
      </c>
      <c r="F1699">
        <v>4</v>
      </c>
      <c r="G1699" t="s">
        <v>1504</v>
      </c>
      <c r="H1699" t="s">
        <v>9</v>
      </c>
      <c r="I1699" t="s">
        <v>670</v>
      </c>
      <c r="J1699" t="s">
        <v>406</v>
      </c>
    </row>
    <row r="1700" spans="1:10">
      <c r="A1700">
        <v>51699</v>
      </c>
      <c r="B1700">
        <v>30983</v>
      </c>
      <c r="C1700" t="s">
        <v>405</v>
      </c>
      <c r="D1700">
        <v>2150</v>
      </c>
      <c r="E1700">
        <v>1012</v>
      </c>
      <c r="F1700">
        <v>1</v>
      </c>
      <c r="G1700" t="s">
        <v>1449</v>
      </c>
      <c r="H1700" t="s">
        <v>9</v>
      </c>
      <c r="I1700" t="s">
        <v>406</v>
      </c>
      <c r="J1700" t="s">
        <v>407</v>
      </c>
    </row>
    <row r="1701" spans="1:10">
      <c r="A1701">
        <v>51700</v>
      </c>
      <c r="B1701">
        <v>30984</v>
      </c>
      <c r="C1701" t="s">
        <v>271</v>
      </c>
      <c r="D1701">
        <v>2160</v>
      </c>
      <c r="E1701">
        <v>1003</v>
      </c>
      <c r="F1701">
        <v>1</v>
      </c>
      <c r="G1701" t="s">
        <v>1471</v>
      </c>
      <c r="H1701" t="s">
        <v>9</v>
      </c>
      <c r="I1701" t="s">
        <v>460</v>
      </c>
      <c r="J1701" t="s">
        <v>1153</v>
      </c>
    </row>
    <row r="1702" spans="1:10">
      <c r="A1702">
        <v>51701</v>
      </c>
      <c r="B1702">
        <v>30985</v>
      </c>
      <c r="C1702" t="s">
        <v>1024</v>
      </c>
      <c r="D1702">
        <v>2116</v>
      </c>
      <c r="E1702">
        <v>1008</v>
      </c>
      <c r="F1702">
        <v>1</v>
      </c>
      <c r="G1702" t="s">
        <v>1447</v>
      </c>
      <c r="H1702" t="s">
        <v>9</v>
      </c>
      <c r="I1702" t="s">
        <v>976</v>
      </c>
      <c r="J1702" t="s">
        <v>619</v>
      </c>
    </row>
    <row r="1703" spans="1:10">
      <c r="A1703">
        <v>51702</v>
      </c>
      <c r="B1703">
        <v>30985</v>
      </c>
      <c r="C1703" t="s">
        <v>562</v>
      </c>
      <c r="D1703">
        <v>2116</v>
      </c>
      <c r="E1703">
        <v>1005</v>
      </c>
      <c r="F1703">
        <v>1</v>
      </c>
      <c r="G1703" t="s">
        <v>1456</v>
      </c>
      <c r="H1703" t="s">
        <v>9</v>
      </c>
      <c r="I1703" t="s">
        <v>1295</v>
      </c>
      <c r="J1703" t="s">
        <v>733</v>
      </c>
    </row>
    <row r="1704" spans="1:10">
      <c r="A1704">
        <v>51703</v>
      </c>
      <c r="B1704">
        <v>30986</v>
      </c>
      <c r="C1704" t="s">
        <v>384</v>
      </c>
      <c r="D1704">
        <v>2295</v>
      </c>
      <c r="E1704">
        <v>1004</v>
      </c>
      <c r="F1704">
        <v>3</v>
      </c>
      <c r="G1704" t="s">
        <v>1481</v>
      </c>
      <c r="H1704" t="s">
        <v>9</v>
      </c>
      <c r="I1704" t="s">
        <v>707</v>
      </c>
      <c r="J1704" t="s">
        <v>89</v>
      </c>
    </row>
    <row r="1705" spans="1:10">
      <c r="A1705">
        <v>51704</v>
      </c>
      <c r="B1705">
        <v>30986</v>
      </c>
      <c r="C1705" t="s">
        <v>348</v>
      </c>
      <c r="D1705">
        <v>2295</v>
      </c>
      <c r="E1705">
        <v>1010</v>
      </c>
      <c r="F1705">
        <v>2</v>
      </c>
      <c r="G1705" t="s">
        <v>1483</v>
      </c>
      <c r="H1705" t="s">
        <v>9</v>
      </c>
      <c r="I1705" t="s">
        <v>247</v>
      </c>
      <c r="J1705" t="s">
        <v>1303</v>
      </c>
    </row>
    <row r="1706" spans="1:10">
      <c r="A1706">
        <v>51705</v>
      </c>
      <c r="B1706">
        <v>30987</v>
      </c>
      <c r="C1706" t="s">
        <v>1069</v>
      </c>
      <c r="D1706">
        <v>2461</v>
      </c>
      <c r="E1706">
        <v>1011</v>
      </c>
      <c r="F1706">
        <v>1</v>
      </c>
      <c r="G1706" t="s">
        <v>1472</v>
      </c>
      <c r="H1706" t="s">
        <v>9</v>
      </c>
      <c r="I1706" t="s">
        <v>902</v>
      </c>
      <c r="J1706" t="s">
        <v>1046</v>
      </c>
    </row>
    <row r="1707" spans="1:10">
      <c r="A1707">
        <v>51706</v>
      </c>
      <c r="B1707">
        <v>30988</v>
      </c>
      <c r="C1707" t="s">
        <v>613</v>
      </c>
      <c r="D1707">
        <v>2215</v>
      </c>
      <c r="E1707">
        <v>1007</v>
      </c>
      <c r="F1707">
        <v>1</v>
      </c>
      <c r="G1707" t="s">
        <v>1453</v>
      </c>
      <c r="H1707" t="s">
        <v>9</v>
      </c>
      <c r="I1707" t="s">
        <v>611</v>
      </c>
      <c r="J1707" t="s">
        <v>876</v>
      </c>
    </row>
    <row r="1708" spans="1:10">
      <c r="A1708">
        <v>51707</v>
      </c>
      <c r="B1708">
        <v>30989</v>
      </c>
      <c r="C1708" t="s">
        <v>513</v>
      </c>
      <c r="D1708">
        <v>2209</v>
      </c>
      <c r="E1708">
        <v>1009</v>
      </c>
      <c r="F1708">
        <v>1</v>
      </c>
      <c r="G1708" t="s">
        <v>1473</v>
      </c>
      <c r="H1708" t="s">
        <v>9</v>
      </c>
      <c r="I1708" t="s">
        <v>684</v>
      </c>
      <c r="J1708" t="s">
        <v>73</v>
      </c>
    </row>
    <row r="1709" spans="1:10">
      <c r="A1709">
        <v>51708</v>
      </c>
      <c r="B1709">
        <v>30990</v>
      </c>
      <c r="C1709" t="s">
        <v>1153</v>
      </c>
      <c r="D1709">
        <v>2562</v>
      </c>
      <c r="E1709">
        <v>1005</v>
      </c>
      <c r="F1709">
        <v>1</v>
      </c>
      <c r="G1709" t="s">
        <v>1456</v>
      </c>
      <c r="H1709" t="s">
        <v>9</v>
      </c>
      <c r="I1709" t="s">
        <v>985</v>
      </c>
      <c r="J1709" t="s">
        <v>1280</v>
      </c>
    </row>
    <row r="1710" spans="1:10">
      <c r="A1710">
        <v>51709</v>
      </c>
      <c r="B1710">
        <v>30991</v>
      </c>
      <c r="C1710" t="s">
        <v>863</v>
      </c>
      <c r="D1710">
        <v>2019</v>
      </c>
      <c r="E1710">
        <v>1002</v>
      </c>
      <c r="F1710">
        <v>1</v>
      </c>
      <c r="G1710" t="s">
        <v>1466</v>
      </c>
      <c r="H1710" t="s">
        <v>9</v>
      </c>
      <c r="I1710" t="s">
        <v>1287</v>
      </c>
      <c r="J1710" t="s">
        <v>671</v>
      </c>
    </row>
    <row r="1711" spans="1:10">
      <c r="A1711">
        <v>51710</v>
      </c>
      <c r="B1711">
        <v>30992</v>
      </c>
      <c r="C1711" t="s">
        <v>613</v>
      </c>
      <c r="D1711">
        <v>2262</v>
      </c>
      <c r="E1711">
        <v>1010</v>
      </c>
      <c r="F1711">
        <v>3</v>
      </c>
      <c r="G1711" t="s">
        <v>1514</v>
      </c>
      <c r="H1711" t="s">
        <v>9</v>
      </c>
      <c r="I1711" t="s">
        <v>664</v>
      </c>
      <c r="J1711" t="s">
        <v>1218</v>
      </c>
    </row>
    <row r="1712" spans="1:10">
      <c r="A1712">
        <v>51711</v>
      </c>
      <c r="B1712">
        <v>30992</v>
      </c>
      <c r="C1712" t="s">
        <v>697</v>
      </c>
      <c r="D1712">
        <v>2262</v>
      </c>
      <c r="E1712">
        <v>1007</v>
      </c>
      <c r="F1712">
        <v>1</v>
      </c>
      <c r="G1712" t="s">
        <v>1453</v>
      </c>
      <c r="H1712" t="s">
        <v>9</v>
      </c>
      <c r="I1712" t="s">
        <v>396</v>
      </c>
      <c r="J1712" t="s">
        <v>167</v>
      </c>
    </row>
    <row r="1713" spans="1:10">
      <c r="A1713">
        <v>51712</v>
      </c>
      <c r="B1713">
        <v>30992</v>
      </c>
      <c r="C1713" t="s">
        <v>613</v>
      </c>
      <c r="D1713">
        <v>2262</v>
      </c>
      <c r="E1713">
        <v>1009</v>
      </c>
      <c r="F1713">
        <v>3</v>
      </c>
      <c r="G1713" t="s">
        <v>1461</v>
      </c>
      <c r="H1713" t="s">
        <v>9</v>
      </c>
      <c r="I1713" t="s">
        <v>413</v>
      </c>
      <c r="J1713" t="s">
        <v>530</v>
      </c>
    </row>
    <row r="1714" spans="1:10">
      <c r="A1714">
        <v>51713</v>
      </c>
      <c r="B1714">
        <v>30992</v>
      </c>
      <c r="C1714" t="s">
        <v>613</v>
      </c>
      <c r="D1714">
        <v>2262</v>
      </c>
      <c r="E1714">
        <v>1002</v>
      </c>
      <c r="F1714">
        <v>1</v>
      </c>
      <c r="G1714" t="s">
        <v>1466</v>
      </c>
      <c r="H1714" t="s">
        <v>9</v>
      </c>
      <c r="I1714" t="s">
        <v>950</v>
      </c>
      <c r="J1714" t="s">
        <v>30</v>
      </c>
    </row>
    <row r="1715" spans="1:10">
      <c r="A1715">
        <v>51714</v>
      </c>
      <c r="B1715">
        <v>30993</v>
      </c>
      <c r="C1715" t="s">
        <v>993</v>
      </c>
      <c r="D1715">
        <v>2477</v>
      </c>
      <c r="E1715">
        <v>1001</v>
      </c>
      <c r="F1715">
        <v>3</v>
      </c>
      <c r="G1715" t="s">
        <v>1515</v>
      </c>
      <c r="H1715" t="s">
        <v>9</v>
      </c>
      <c r="I1715" t="s">
        <v>383</v>
      </c>
      <c r="J1715" t="s">
        <v>886</v>
      </c>
    </row>
    <row r="1716" spans="1:10">
      <c r="A1716">
        <v>51715</v>
      </c>
      <c r="B1716">
        <v>30993</v>
      </c>
      <c r="C1716" t="s">
        <v>37</v>
      </c>
      <c r="D1716">
        <v>2477</v>
      </c>
      <c r="E1716">
        <v>1003</v>
      </c>
      <c r="F1716">
        <v>1</v>
      </c>
      <c r="G1716" t="s">
        <v>1471</v>
      </c>
      <c r="H1716" t="s">
        <v>9</v>
      </c>
      <c r="I1716" t="s">
        <v>385</v>
      </c>
      <c r="J1716" t="s">
        <v>994</v>
      </c>
    </row>
    <row r="1717" spans="1:10">
      <c r="A1717">
        <v>51716</v>
      </c>
      <c r="B1717">
        <v>30993</v>
      </c>
      <c r="C1717" t="s">
        <v>312</v>
      </c>
      <c r="D1717">
        <v>2477</v>
      </c>
      <c r="E1717">
        <v>1013</v>
      </c>
      <c r="F1717">
        <v>2</v>
      </c>
      <c r="G1717" t="s">
        <v>1492</v>
      </c>
      <c r="H1717" t="s">
        <v>9</v>
      </c>
      <c r="I1717" t="s">
        <v>854</v>
      </c>
      <c r="J1717" t="s">
        <v>1304</v>
      </c>
    </row>
    <row r="1718" spans="1:10">
      <c r="A1718">
        <v>51717</v>
      </c>
      <c r="B1718">
        <v>30994</v>
      </c>
      <c r="C1718" t="s">
        <v>991</v>
      </c>
      <c r="D1718">
        <v>2278</v>
      </c>
      <c r="E1718">
        <v>1012</v>
      </c>
      <c r="F1718">
        <v>1</v>
      </c>
      <c r="G1718" t="s">
        <v>1449</v>
      </c>
      <c r="H1718" t="s">
        <v>9</v>
      </c>
      <c r="I1718" t="s">
        <v>1008</v>
      </c>
      <c r="J1718" t="s">
        <v>378</v>
      </c>
    </row>
    <row r="1719" spans="1:10">
      <c r="A1719">
        <v>51718</v>
      </c>
      <c r="B1719">
        <v>30995</v>
      </c>
      <c r="C1719" t="s">
        <v>239</v>
      </c>
      <c r="D1719">
        <v>2111</v>
      </c>
      <c r="E1719">
        <v>1013</v>
      </c>
      <c r="F1719">
        <v>1</v>
      </c>
      <c r="G1719" t="s">
        <v>1474</v>
      </c>
      <c r="H1719" t="s">
        <v>9</v>
      </c>
      <c r="I1719" t="s">
        <v>673</v>
      </c>
      <c r="J1719" t="s">
        <v>134</v>
      </c>
    </row>
    <row r="1720" spans="1:10">
      <c r="A1720">
        <v>51719</v>
      </c>
      <c r="B1720">
        <v>30995</v>
      </c>
      <c r="C1720" t="s">
        <v>284</v>
      </c>
      <c r="D1720">
        <v>2111</v>
      </c>
      <c r="E1720">
        <v>1008</v>
      </c>
      <c r="F1720">
        <v>1</v>
      </c>
      <c r="G1720" t="s">
        <v>1447</v>
      </c>
      <c r="H1720" t="s">
        <v>9</v>
      </c>
      <c r="I1720" t="s">
        <v>430</v>
      </c>
      <c r="J1720" t="s">
        <v>429</v>
      </c>
    </row>
    <row r="1721" spans="1:10">
      <c r="A1721">
        <v>51720</v>
      </c>
      <c r="B1721">
        <v>30995</v>
      </c>
      <c r="C1721" t="s">
        <v>432</v>
      </c>
      <c r="D1721">
        <v>2111</v>
      </c>
      <c r="E1721">
        <v>1013</v>
      </c>
      <c r="F1721">
        <v>1</v>
      </c>
      <c r="G1721" t="s">
        <v>1474</v>
      </c>
      <c r="H1721" t="s">
        <v>9</v>
      </c>
      <c r="I1721" t="s">
        <v>285</v>
      </c>
      <c r="J1721" t="s">
        <v>1010</v>
      </c>
    </row>
    <row r="1722" spans="1:10">
      <c r="A1722">
        <v>51721</v>
      </c>
      <c r="B1722">
        <v>30996</v>
      </c>
      <c r="C1722" t="s">
        <v>44</v>
      </c>
      <c r="D1722">
        <v>2521</v>
      </c>
      <c r="E1722">
        <v>1004</v>
      </c>
      <c r="F1722">
        <v>2</v>
      </c>
      <c r="G1722" t="s">
        <v>1476</v>
      </c>
      <c r="H1722" t="s">
        <v>1524</v>
      </c>
      <c r="I1722" t="s">
        <v>655</v>
      </c>
      <c r="J1722" t="s">
        <v>1305</v>
      </c>
    </row>
    <row r="1723" spans="1:10">
      <c r="A1723">
        <v>51722</v>
      </c>
      <c r="B1723">
        <v>30997</v>
      </c>
      <c r="C1723" t="s">
        <v>1222</v>
      </c>
      <c r="D1723">
        <v>2324</v>
      </c>
      <c r="E1723">
        <v>1003</v>
      </c>
      <c r="F1723">
        <v>1</v>
      </c>
      <c r="G1723" t="s">
        <v>1471</v>
      </c>
      <c r="H1723" t="s">
        <v>9</v>
      </c>
      <c r="I1723" t="s">
        <v>658</v>
      </c>
      <c r="J1723" t="s">
        <v>864</v>
      </c>
    </row>
    <row r="1724" spans="1:10">
      <c r="A1724">
        <v>51723</v>
      </c>
      <c r="B1724">
        <v>30998</v>
      </c>
      <c r="C1724" t="s">
        <v>309</v>
      </c>
      <c r="D1724">
        <v>2191</v>
      </c>
      <c r="E1724">
        <v>1015</v>
      </c>
      <c r="F1724">
        <v>1</v>
      </c>
      <c r="G1724" t="s">
        <v>1478</v>
      </c>
      <c r="H1724" t="s">
        <v>1457</v>
      </c>
      <c r="I1724" t="s">
        <v>112</v>
      </c>
      <c r="J1724" t="s">
        <v>155</v>
      </c>
    </row>
    <row r="1725" spans="1:10">
      <c r="A1725">
        <v>51724</v>
      </c>
      <c r="B1725">
        <v>30998</v>
      </c>
      <c r="C1725" t="s">
        <v>309</v>
      </c>
      <c r="D1725">
        <v>2191</v>
      </c>
      <c r="E1725">
        <v>1001</v>
      </c>
      <c r="F1725">
        <v>2</v>
      </c>
      <c r="G1725" t="s">
        <v>1460</v>
      </c>
      <c r="H1725" t="s">
        <v>9</v>
      </c>
      <c r="I1725" t="s">
        <v>1046</v>
      </c>
      <c r="J1725" t="s">
        <v>617</v>
      </c>
    </row>
    <row r="1726" spans="1:10">
      <c r="A1726">
        <v>51725</v>
      </c>
      <c r="B1726">
        <v>30998</v>
      </c>
      <c r="C1726" t="s">
        <v>900</v>
      </c>
      <c r="D1726">
        <v>2191</v>
      </c>
      <c r="E1726">
        <v>1002</v>
      </c>
      <c r="F1726">
        <v>1</v>
      </c>
      <c r="G1726" t="s">
        <v>1466</v>
      </c>
      <c r="H1726" t="s">
        <v>9</v>
      </c>
      <c r="I1726" t="s">
        <v>1063</v>
      </c>
      <c r="J1726" t="s">
        <v>1226</v>
      </c>
    </row>
    <row r="1727" spans="1:10">
      <c r="A1727">
        <v>51726</v>
      </c>
      <c r="B1727">
        <v>30999</v>
      </c>
      <c r="C1727" t="s">
        <v>950</v>
      </c>
      <c r="D1727">
        <v>2254</v>
      </c>
      <c r="E1727">
        <v>1010</v>
      </c>
      <c r="F1727">
        <v>2</v>
      </c>
      <c r="G1727" t="s">
        <v>1483</v>
      </c>
      <c r="H1727" t="s">
        <v>12</v>
      </c>
      <c r="I1727" t="s">
        <v>1421</v>
      </c>
      <c r="J1727" t="s">
        <v>1421</v>
      </c>
    </row>
    <row r="1728" spans="1:10">
      <c r="A1728">
        <v>51727</v>
      </c>
      <c r="B1728">
        <v>30999</v>
      </c>
      <c r="C1728" t="s">
        <v>396</v>
      </c>
      <c r="D1728">
        <v>2254</v>
      </c>
      <c r="E1728">
        <v>1011</v>
      </c>
      <c r="F1728">
        <v>1</v>
      </c>
      <c r="G1728" t="s">
        <v>1472</v>
      </c>
      <c r="H1728" t="s">
        <v>12</v>
      </c>
      <c r="I1728" t="s">
        <v>1421</v>
      </c>
      <c r="J1728" t="s">
        <v>1421</v>
      </c>
    </row>
    <row r="1729" spans="1:10">
      <c r="A1729">
        <v>51728</v>
      </c>
      <c r="B1729">
        <v>30999</v>
      </c>
      <c r="C1729" t="s">
        <v>396</v>
      </c>
      <c r="D1729">
        <v>2254</v>
      </c>
      <c r="E1729">
        <v>1016</v>
      </c>
      <c r="F1729">
        <v>1</v>
      </c>
      <c r="G1729" t="s">
        <v>1465</v>
      </c>
      <c r="H1729" t="s">
        <v>12</v>
      </c>
      <c r="I1729" t="s">
        <v>1421</v>
      </c>
      <c r="J1729" t="s">
        <v>1421</v>
      </c>
    </row>
    <row r="1730" spans="1:10">
      <c r="A1730">
        <v>51729</v>
      </c>
      <c r="B1730">
        <v>31000</v>
      </c>
      <c r="C1730" t="s">
        <v>198</v>
      </c>
      <c r="D1730">
        <v>2403</v>
      </c>
      <c r="E1730">
        <v>1001</v>
      </c>
      <c r="F1730">
        <v>3</v>
      </c>
      <c r="G1730" t="s">
        <v>1515</v>
      </c>
      <c r="H1730" t="s">
        <v>9</v>
      </c>
      <c r="I1730" t="s">
        <v>1281</v>
      </c>
      <c r="J1730" t="s">
        <v>173</v>
      </c>
    </row>
    <row r="1731" spans="1:10">
      <c r="A1731">
        <v>51730</v>
      </c>
      <c r="B1731">
        <v>31000</v>
      </c>
      <c r="C1731" t="s">
        <v>198</v>
      </c>
      <c r="D1731">
        <v>2403</v>
      </c>
      <c r="E1731">
        <v>1012</v>
      </c>
      <c r="F1731">
        <v>2</v>
      </c>
      <c r="G1731" t="s">
        <v>1450</v>
      </c>
      <c r="H1731" t="s">
        <v>9</v>
      </c>
      <c r="I1731" t="s">
        <v>675</v>
      </c>
      <c r="J1731" t="s">
        <v>732</v>
      </c>
    </row>
    <row r="1732" spans="1:10">
      <c r="A1732">
        <v>51731</v>
      </c>
      <c r="B1732">
        <v>31001</v>
      </c>
      <c r="C1732" t="s">
        <v>1272</v>
      </c>
      <c r="D1732">
        <v>2361</v>
      </c>
      <c r="E1732">
        <v>1010</v>
      </c>
      <c r="F1732">
        <v>2</v>
      </c>
      <c r="G1732" t="s">
        <v>1483</v>
      </c>
      <c r="H1732" t="s">
        <v>9</v>
      </c>
      <c r="I1732" t="s">
        <v>682</v>
      </c>
      <c r="J1732" t="s">
        <v>406</v>
      </c>
    </row>
    <row r="1733" spans="1:10">
      <c r="A1733">
        <v>51732</v>
      </c>
      <c r="B1733">
        <v>31001</v>
      </c>
      <c r="C1733" t="s">
        <v>811</v>
      </c>
      <c r="D1733">
        <v>2361</v>
      </c>
      <c r="E1733">
        <v>1008</v>
      </c>
      <c r="F1733">
        <v>1</v>
      </c>
      <c r="G1733" t="s">
        <v>1447</v>
      </c>
      <c r="H1733" t="s">
        <v>9</v>
      </c>
      <c r="I1733" t="s">
        <v>858</v>
      </c>
      <c r="J1733" t="s">
        <v>574</v>
      </c>
    </row>
    <row r="1734" spans="1:10">
      <c r="A1734">
        <v>51733</v>
      </c>
      <c r="B1734">
        <v>31002</v>
      </c>
      <c r="C1734" t="s">
        <v>1003</v>
      </c>
      <c r="D1734">
        <v>2514</v>
      </c>
      <c r="E1734">
        <v>1002</v>
      </c>
      <c r="F1734">
        <v>1</v>
      </c>
      <c r="G1734" t="s">
        <v>1466</v>
      </c>
      <c r="H1734" t="s">
        <v>1457</v>
      </c>
      <c r="I1734" t="s">
        <v>621</v>
      </c>
      <c r="J1734" t="s">
        <v>1275</v>
      </c>
    </row>
    <row r="1735" spans="1:10">
      <c r="A1735">
        <v>51734</v>
      </c>
      <c r="B1735">
        <v>31003</v>
      </c>
      <c r="C1735" t="s">
        <v>45</v>
      </c>
      <c r="D1735">
        <v>2264</v>
      </c>
      <c r="E1735">
        <v>1001</v>
      </c>
      <c r="F1735">
        <v>1</v>
      </c>
      <c r="G1735" t="s">
        <v>1469</v>
      </c>
      <c r="H1735" t="s">
        <v>12</v>
      </c>
      <c r="I1735" t="s">
        <v>1421</v>
      </c>
      <c r="J1735" t="s">
        <v>1421</v>
      </c>
    </row>
    <row r="1736" spans="1:10">
      <c r="A1736">
        <v>51735</v>
      </c>
      <c r="B1736">
        <v>31004</v>
      </c>
      <c r="C1736" t="s">
        <v>361</v>
      </c>
      <c r="D1736">
        <v>2569</v>
      </c>
      <c r="E1736">
        <v>1008</v>
      </c>
      <c r="F1736">
        <v>2</v>
      </c>
      <c r="G1736" t="s">
        <v>1520</v>
      </c>
      <c r="H1736" t="s">
        <v>11</v>
      </c>
      <c r="I1736" t="s">
        <v>499</v>
      </c>
      <c r="J1736" t="s">
        <v>502</v>
      </c>
    </row>
    <row r="1737" spans="1:10">
      <c r="A1737">
        <v>51736</v>
      </c>
      <c r="B1737">
        <v>31005</v>
      </c>
      <c r="C1737" t="s">
        <v>445</v>
      </c>
      <c r="D1737">
        <v>2156</v>
      </c>
      <c r="E1737">
        <v>1013</v>
      </c>
      <c r="F1737">
        <v>1</v>
      </c>
      <c r="G1737" t="s">
        <v>1474</v>
      </c>
      <c r="H1737" t="s">
        <v>9</v>
      </c>
      <c r="I1737" t="s">
        <v>612</v>
      </c>
      <c r="J1737" t="s">
        <v>271</v>
      </c>
    </row>
    <row r="1738" spans="1:10">
      <c r="A1738">
        <v>51737</v>
      </c>
      <c r="B1738">
        <v>31005</v>
      </c>
      <c r="C1738" t="s">
        <v>968</v>
      </c>
      <c r="D1738">
        <v>2156</v>
      </c>
      <c r="E1738">
        <v>1005</v>
      </c>
      <c r="F1738">
        <v>1</v>
      </c>
      <c r="G1738" t="s">
        <v>1456</v>
      </c>
      <c r="H1738" t="s">
        <v>9</v>
      </c>
      <c r="I1738" t="s">
        <v>423</v>
      </c>
      <c r="J1738" t="s">
        <v>611</v>
      </c>
    </row>
    <row r="1739" spans="1:10">
      <c r="A1739">
        <v>51738</v>
      </c>
      <c r="B1739">
        <v>31005</v>
      </c>
      <c r="C1739" t="s">
        <v>859</v>
      </c>
      <c r="D1739">
        <v>2156</v>
      </c>
      <c r="E1739">
        <v>1003</v>
      </c>
      <c r="F1739">
        <v>1</v>
      </c>
      <c r="G1739" t="s">
        <v>1471</v>
      </c>
      <c r="H1739" t="s">
        <v>9</v>
      </c>
      <c r="I1739" t="s">
        <v>610</v>
      </c>
      <c r="J1739" t="s">
        <v>413</v>
      </c>
    </row>
    <row r="1740" spans="1:10">
      <c r="A1740">
        <v>51739</v>
      </c>
      <c r="B1740">
        <v>31006</v>
      </c>
      <c r="C1740" t="s">
        <v>801</v>
      </c>
      <c r="D1740">
        <v>2392</v>
      </c>
      <c r="E1740">
        <v>1008</v>
      </c>
      <c r="F1740">
        <v>1</v>
      </c>
      <c r="G1740" t="s">
        <v>1447</v>
      </c>
      <c r="H1740" t="s">
        <v>9</v>
      </c>
      <c r="I1740" t="s">
        <v>1181</v>
      </c>
      <c r="J1740" t="s">
        <v>477</v>
      </c>
    </row>
    <row r="1741" spans="1:10">
      <c r="A1741">
        <v>51740</v>
      </c>
      <c r="B1741">
        <v>31007</v>
      </c>
      <c r="C1741" t="s">
        <v>1303</v>
      </c>
      <c r="D1741">
        <v>2428</v>
      </c>
      <c r="E1741">
        <v>1005</v>
      </c>
      <c r="F1741">
        <v>1</v>
      </c>
      <c r="G1741" t="s">
        <v>1456</v>
      </c>
      <c r="H1741" t="s">
        <v>9</v>
      </c>
      <c r="I1741" t="s">
        <v>1278</v>
      </c>
      <c r="J1741" t="s">
        <v>143</v>
      </c>
    </row>
    <row r="1742" spans="1:10">
      <c r="A1742">
        <v>51741</v>
      </c>
      <c r="B1742">
        <v>31008</v>
      </c>
      <c r="C1742" t="s">
        <v>983</v>
      </c>
      <c r="D1742">
        <v>2437</v>
      </c>
      <c r="E1742">
        <v>1011</v>
      </c>
      <c r="F1742">
        <v>2</v>
      </c>
      <c r="G1742" t="s">
        <v>1487</v>
      </c>
      <c r="H1742" t="s">
        <v>11</v>
      </c>
      <c r="I1742" t="s">
        <v>45</v>
      </c>
      <c r="J1742" t="s">
        <v>778</v>
      </c>
    </row>
    <row r="1743" spans="1:10">
      <c r="A1743">
        <v>51742</v>
      </c>
      <c r="B1743">
        <v>31009</v>
      </c>
      <c r="C1743" t="s">
        <v>292</v>
      </c>
      <c r="D1743">
        <v>2460</v>
      </c>
      <c r="E1743">
        <v>1007</v>
      </c>
      <c r="F1743">
        <v>1</v>
      </c>
      <c r="G1743" t="s">
        <v>1453</v>
      </c>
      <c r="H1743" t="s">
        <v>9</v>
      </c>
      <c r="I1743" t="s">
        <v>779</v>
      </c>
      <c r="J1743" t="s">
        <v>878</v>
      </c>
    </row>
    <row r="1744" spans="1:10">
      <c r="A1744">
        <v>51743</v>
      </c>
      <c r="B1744">
        <v>31009</v>
      </c>
      <c r="C1744" t="s">
        <v>1245</v>
      </c>
      <c r="D1744">
        <v>2460</v>
      </c>
      <c r="E1744">
        <v>1005</v>
      </c>
      <c r="F1744">
        <v>3</v>
      </c>
      <c r="G1744" t="s">
        <v>1498</v>
      </c>
      <c r="H1744" t="s">
        <v>9</v>
      </c>
      <c r="I1744" t="s">
        <v>389</v>
      </c>
      <c r="J1744" t="s">
        <v>682</v>
      </c>
    </row>
    <row r="1745" spans="1:10">
      <c r="A1745">
        <v>51744</v>
      </c>
      <c r="B1745">
        <v>31009</v>
      </c>
      <c r="C1745" t="s">
        <v>1030</v>
      </c>
      <c r="D1745">
        <v>2460</v>
      </c>
      <c r="E1745">
        <v>1007</v>
      </c>
      <c r="F1745">
        <v>2</v>
      </c>
      <c r="G1745" t="s">
        <v>1455</v>
      </c>
      <c r="H1745" t="s">
        <v>9</v>
      </c>
      <c r="I1745" t="s">
        <v>1272</v>
      </c>
      <c r="J1745" t="s">
        <v>478</v>
      </c>
    </row>
    <row r="1746" spans="1:10">
      <c r="A1746">
        <v>51745</v>
      </c>
      <c r="B1746">
        <v>31010</v>
      </c>
      <c r="C1746" t="s">
        <v>1293</v>
      </c>
      <c r="D1746">
        <v>2142</v>
      </c>
      <c r="E1746">
        <v>1005</v>
      </c>
      <c r="F1746">
        <v>2</v>
      </c>
      <c r="G1746" t="s">
        <v>1458</v>
      </c>
      <c r="H1746" t="s">
        <v>9</v>
      </c>
      <c r="I1746" t="s">
        <v>47</v>
      </c>
      <c r="J1746" t="s">
        <v>849</v>
      </c>
    </row>
    <row r="1747" spans="1:10">
      <c r="A1747">
        <v>51746</v>
      </c>
      <c r="B1747">
        <v>31011</v>
      </c>
      <c r="C1747" t="s">
        <v>771</v>
      </c>
      <c r="D1747">
        <v>2441</v>
      </c>
      <c r="E1747">
        <v>1005</v>
      </c>
      <c r="F1747">
        <v>1</v>
      </c>
      <c r="G1747" t="s">
        <v>1456</v>
      </c>
      <c r="H1747" t="s">
        <v>11</v>
      </c>
      <c r="I1747" t="s">
        <v>562</v>
      </c>
      <c r="J1747" t="s">
        <v>1222</v>
      </c>
    </row>
    <row r="1748" spans="1:10">
      <c r="A1748">
        <v>51747</v>
      </c>
      <c r="B1748">
        <v>31011</v>
      </c>
      <c r="C1748" t="s">
        <v>1007</v>
      </c>
      <c r="D1748">
        <v>2441</v>
      </c>
      <c r="E1748">
        <v>1006</v>
      </c>
      <c r="F1748">
        <v>1</v>
      </c>
      <c r="G1748" t="s">
        <v>1459</v>
      </c>
      <c r="H1748" t="s">
        <v>11</v>
      </c>
      <c r="I1748" t="s">
        <v>562</v>
      </c>
      <c r="J1748" t="s">
        <v>94</v>
      </c>
    </row>
    <row r="1749" spans="1:10">
      <c r="A1749">
        <v>51748</v>
      </c>
      <c r="B1749">
        <v>31012</v>
      </c>
      <c r="C1749" t="s">
        <v>490</v>
      </c>
      <c r="D1749">
        <v>2326</v>
      </c>
      <c r="E1749">
        <v>1004</v>
      </c>
      <c r="F1749">
        <v>3</v>
      </c>
      <c r="G1749" t="s">
        <v>1481</v>
      </c>
      <c r="H1749" t="s">
        <v>9</v>
      </c>
      <c r="I1749" t="s">
        <v>145</v>
      </c>
      <c r="J1749" t="s">
        <v>1143</v>
      </c>
    </row>
    <row r="1750" spans="1:10">
      <c r="A1750">
        <v>51749</v>
      </c>
      <c r="B1750">
        <v>31012</v>
      </c>
      <c r="C1750" t="s">
        <v>1036</v>
      </c>
      <c r="D1750">
        <v>2326</v>
      </c>
      <c r="E1750">
        <v>1006</v>
      </c>
      <c r="F1750">
        <v>1</v>
      </c>
      <c r="G1750" t="s">
        <v>1459</v>
      </c>
      <c r="H1750" t="s">
        <v>9</v>
      </c>
      <c r="I1750" t="s">
        <v>1169</v>
      </c>
      <c r="J1750" t="s">
        <v>1105</v>
      </c>
    </row>
    <row r="1751" spans="1:10">
      <c r="A1751">
        <v>51750</v>
      </c>
      <c r="B1751">
        <v>31013</v>
      </c>
      <c r="C1751" t="s">
        <v>724</v>
      </c>
      <c r="D1751">
        <v>2326</v>
      </c>
      <c r="E1751">
        <v>1005</v>
      </c>
      <c r="F1751">
        <v>4</v>
      </c>
      <c r="G1751" t="s">
        <v>1480</v>
      </c>
      <c r="H1751" t="s">
        <v>16</v>
      </c>
      <c r="I1751" t="s">
        <v>1421</v>
      </c>
      <c r="J1751" t="s">
        <v>1421</v>
      </c>
    </row>
    <row r="1752" spans="1:10">
      <c r="A1752">
        <v>51751</v>
      </c>
      <c r="B1752">
        <v>31014</v>
      </c>
      <c r="C1752" t="s">
        <v>298</v>
      </c>
      <c r="D1752">
        <v>2327</v>
      </c>
      <c r="E1752">
        <v>1014</v>
      </c>
      <c r="F1752">
        <v>1</v>
      </c>
      <c r="G1752" t="s">
        <v>1463</v>
      </c>
      <c r="H1752" t="s">
        <v>199</v>
      </c>
      <c r="I1752" t="s">
        <v>1421</v>
      </c>
      <c r="J1752" t="s">
        <v>1421</v>
      </c>
    </row>
    <row r="1753" spans="1:10">
      <c r="A1753">
        <v>51752</v>
      </c>
      <c r="B1753">
        <v>31014</v>
      </c>
      <c r="C1753" t="s">
        <v>26</v>
      </c>
      <c r="D1753">
        <v>2327</v>
      </c>
      <c r="E1753">
        <v>1014</v>
      </c>
      <c r="F1753">
        <v>5</v>
      </c>
      <c r="G1753" t="s">
        <v>1527</v>
      </c>
      <c r="H1753" t="s">
        <v>12</v>
      </c>
      <c r="I1753" t="s">
        <v>1421</v>
      </c>
      <c r="J1753" t="s">
        <v>1421</v>
      </c>
    </row>
    <row r="1754" spans="1:10">
      <c r="A1754">
        <v>51753</v>
      </c>
      <c r="B1754">
        <v>31015</v>
      </c>
      <c r="C1754" t="s">
        <v>1237</v>
      </c>
      <c r="D1754">
        <v>2311</v>
      </c>
      <c r="E1754">
        <v>1009</v>
      </c>
      <c r="F1754">
        <v>1</v>
      </c>
      <c r="G1754" t="s">
        <v>1473</v>
      </c>
      <c r="H1754" t="s">
        <v>9</v>
      </c>
      <c r="I1754" t="s">
        <v>1225</v>
      </c>
      <c r="J1754" t="s">
        <v>873</v>
      </c>
    </row>
    <row r="1755" spans="1:10">
      <c r="A1755">
        <v>51754</v>
      </c>
      <c r="B1755">
        <v>31015</v>
      </c>
      <c r="C1755" t="s">
        <v>204</v>
      </c>
      <c r="D1755">
        <v>2311</v>
      </c>
      <c r="E1755">
        <v>1005</v>
      </c>
      <c r="F1755">
        <v>4</v>
      </c>
      <c r="G1755" t="s">
        <v>1480</v>
      </c>
      <c r="H1755" t="s">
        <v>9</v>
      </c>
      <c r="I1755" t="s">
        <v>1110</v>
      </c>
      <c r="J1755" t="s">
        <v>251</v>
      </c>
    </row>
    <row r="1756" spans="1:10">
      <c r="A1756">
        <v>51755</v>
      </c>
      <c r="B1756">
        <v>31015</v>
      </c>
      <c r="C1756" t="s">
        <v>204</v>
      </c>
      <c r="D1756">
        <v>2311</v>
      </c>
      <c r="E1756">
        <v>1007</v>
      </c>
      <c r="F1756">
        <v>1</v>
      </c>
      <c r="G1756" t="s">
        <v>1453</v>
      </c>
      <c r="H1756" t="s">
        <v>9</v>
      </c>
      <c r="I1756" t="s">
        <v>249</v>
      </c>
      <c r="J1756" t="s">
        <v>1252</v>
      </c>
    </row>
    <row r="1757" spans="1:10">
      <c r="A1757">
        <v>51756</v>
      </c>
      <c r="B1757">
        <v>31016</v>
      </c>
      <c r="C1757" t="s">
        <v>992</v>
      </c>
      <c r="D1757">
        <v>2110</v>
      </c>
      <c r="E1757">
        <v>1001</v>
      </c>
      <c r="F1757">
        <v>1</v>
      </c>
      <c r="G1757" t="s">
        <v>1469</v>
      </c>
      <c r="H1757" t="s">
        <v>9</v>
      </c>
      <c r="I1757" t="s">
        <v>403</v>
      </c>
      <c r="J1757" t="s">
        <v>1020</v>
      </c>
    </row>
    <row r="1758" spans="1:10">
      <c r="A1758">
        <v>51757</v>
      </c>
      <c r="B1758">
        <v>31016</v>
      </c>
      <c r="C1758" t="s">
        <v>548</v>
      </c>
      <c r="D1758">
        <v>2110</v>
      </c>
      <c r="E1758">
        <v>1009</v>
      </c>
      <c r="F1758">
        <v>2</v>
      </c>
      <c r="G1758" t="s">
        <v>1479</v>
      </c>
      <c r="H1758" t="s">
        <v>9</v>
      </c>
      <c r="I1758" t="s">
        <v>698</v>
      </c>
      <c r="J1758" t="s">
        <v>699</v>
      </c>
    </row>
    <row r="1759" spans="1:10">
      <c r="A1759">
        <v>51758</v>
      </c>
      <c r="B1759">
        <v>31017</v>
      </c>
      <c r="C1759" t="s">
        <v>591</v>
      </c>
      <c r="D1759">
        <v>2581</v>
      </c>
      <c r="E1759">
        <v>1008</v>
      </c>
      <c r="F1759">
        <v>1</v>
      </c>
      <c r="G1759" t="s">
        <v>1447</v>
      </c>
      <c r="H1759" t="s">
        <v>9</v>
      </c>
      <c r="I1759" t="s">
        <v>423</v>
      </c>
      <c r="J1759" t="s">
        <v>1078</v>
      </c>
    </row>
    <row r="1760" spans="1:10">
      <c r="A1760">
        <v>51759</v>
      </c>
      <c r="B1760">
        <v>31018</v>
      </c>
      <c r="C1760" t="s">
        <v>389</v>
      </c>
      <c r="D1760">
        <v>2237</v>
      </c>
      <c r="E1760">
        <v>1012</v>
      </c>
      <c r="F1760">
        <v>1</v>
      </c>
      <c r="G1760" t="s">
        <v>1449</v>
      </c>
      <c r="H1760" t="s">
        <v>9</v>
      </c>
      <c r="I1760" t="s">
        <v>362</v>
      </c>
      <c r="J1760" t="s">
        <v>390</v>
      </c>
    </row>
    <row r="1761" spans="1:10">
      <c r="A1761">
        <v>51760</v>
      </c>
      <c r="B1761">
        <v>31019</v>
      </c>
      <c r="C1761" t="s">
        <v>406</v>
      </c>
      <c r="D1761">
        <v>2082</v>
      </c>
      <c r="E1761">
        <v>1016</v>
      </c>
      <c r="F1761">
        <v>1</v>
      </c>
      <c r="G1761" t="s">
        <v>1465</v>
      </c>
      <c r="H1761" t="s">
        <v>9</v>
      </c>
      <c r="I1761" t="s">
        <v>409</v>
      </c>
      <c r="J1761" t="s">
        <v>359</v>
      </c>
    </row>
    <row r="1762" spans="1:10">
      <c r="A1762">
        <v>51761</v>
      </c>
      <c r="B1762">
        <v>31019</v>
      </c>
      <c r="C1762" t="s">
        <v>367</v>
      </c>
      <c r="D1762">
        <v>2082</v>
      </c>
      <c r="E1762">
        <v>1005</v>
      </c>
      <c r="F1762">
        <v>3</v>
      </c>
      <c r="G1762" t="s">
        <v>1498</v>
      </c>
      <c r="H1762" t="s">
        <v>9</v>
      </c>
      <c r="I1762" t="s">
        <v>1081</v>
      </c>
      <c r="J1762" t="s">
        <v>380</v>
      </c>
    </row>
    <row r="1763" spans="1:10">
      <c r="A1763">
        <v>51762</v>
      </c>
      <c r="B1763">
        <v>31020</v>
      </c>
      <c r="C1763" t="s">
        <v>794</v>
      </c>
      <c r="D1763">
        <v>2515</v>
      </c>
      <c r="E1763">
        <v>1016</v>
      </c>
      <c r="F1763">
        <v>3</v>
      </c>
      <c r="G1763" t="s">
        <v>1484</v>
      </c>
      <c r="H1763" t="s">
        <v>16</v>
      </c>
      <c r="I1763" t="s">
        <v>1421</v>
      </c>
      <c r="J1763" t="s">
        <v>1421</v>
      </c>
    </row>
    <row r="1764" spans="1:10">
      <c r="A1764">
        <v>51763</v>
      </c>
      <c r="B1764">
        <v>31020</v>
      </c>
      <c r="C1764" t="s">
        <v>794</v>
      </c>
      <c r="D1764">
        <v>2515</v>
      </c>
      <c r="E1764">
        <v>1012</v>
      </c>
      <c r="F1764">
        <v>1</v>
      </c>
      <c r="G1764" t="s">
        <v>1449</v>
      </c>
      <c r="H1764" t="s">
        <v>16</v>
      </c>
      <c r="I1764" t="s">
        <v>254</v>
      </c>
      <c r="J1764" t="s">
        <v>1421</v>
      </c>
    </row>
    <row r="1765" spans="1:10">
      <c r="A1765">
        <v>51764</v>
      </c>
      <c r="B1765">
        <v>31020</v>
      </c>
      <c r="C1765" t="s">
        <v>976</v>
      </c>
      <c r="D1765">
        <v>2515</v>
      </c>
      <c r="E1765">
        <v>1013</v>
      </c>
      <c r="F1765">
        <v>1</v>
      </c>
      <c r="G1765" t="s">
        <v>1474</v>
      </c>
      <c r="H1765" t="s">
        <v>16</v>
      </c>
      <c r="I1765" t="s">
        <v>1421</v>
      </c>
      <c r="J1765" t="s">
        <v>1421</v>
      </c>
    </row>
    <row r="1766" spans="1:10">
      <c r="A1766">
        <v>51765</v>
      </c>
      <c r="B1766">
        <v>31020</v>
      </c>
      <c r="C1766" t="s">
        <v>794</v>
      </c>
      <c r="D1766">
        <v>2515</v>
      </c>
      <c r="E1766">
        <v>1005</v>
      </c>
      <c r="F1766">
        <v>2</v>
      </c>
      <c r="G1766" t="s">
        <v>1458</v>
      </c>
      <c r="H1766" t="s">
        <v>16</v>
      </c>
      <c r="I1766" t="s">
        <v>1297</v>
      </c>
      <c r="J1766" t="s">
        <v>1421</v>
      </c>
    </row>
    <row r="1767" spans="1:10">
      <c r="A1767">
        <v>51766</v>
      </c>
      <c r="B1767">
        <v>31021</v>
      </c>
      <c r="C1767" t="s">
        <v>1243</v>
      </c>
      <c r="D1767">
        <v>2232</v>
      </c>
      <c r="E1767">
        <v>1001</v>
      </c>
      <c r="F1767">
        <v>1</v>
      </c>
      <c r="G1767" t="s">
        <v>1469</v>
      </c>
      <c r="H1767" t="s">
        <v>9</v>
      </c>
      <c r="I1767" t="s">
        <v>1281</v>
      </c>
      <c r="J1767" t="s">
        <v>757</v>
      </c>
    </row>
    <row r="1768" spans="1:10">
      <c r="A1768">
        <v>51767</v>
      </c>
      <c r="B1768">
        <v>31022</v>
      </c>
      <c r="C1768" t="s">
        <v>1132</v>
      </c>
      <c r="D1768">
        <v>2277</v>
      </c>
      <c r="E1768">
        <v>1008</v>
      </c>
      <c r="F1768">
        <v>1</v>
      </c>
      <c r="G1768" t="s">
        <v>1447</v>
      </c>
      <c r="H1768" t="s">
        <v>11</v>
      </c>
      <c r="I1768" t="s">
        <v>456</v>
      </c>
      <c r="J1768" t="s">
        <v>1259</v>
      </c>
    </row>
    <row r="1769" spans="1:10">
      <c r="A1769">
        <v>51768</v>
      </c>
      <c r="B1769">
        <v>31023</v>
      </c>
      <c r="C1769" t="s">
        <v>714</v>
      </c>
      <c r="D1769">
        <v>2208</v>
      </c>
      <c r="E1769">
        <v>1003</v>
      </c>
      <c r="F1769">
        <v>2</v>
      </c>
      <c r="G1769" t="s">
        <v>1464</v>
      </c>
      <c r="H1769" t="s">
        <v>9</v>
      </c>
      <c r="I1769" t="s">
        <v>1141</v>
      </c>
      <c r="J1769" t="s">
        <v>322</v>
      </c>
    </row>
    <row r="1770" spans="1:10">
      <c r="A1770">
        <v>51769</v>
      </c>
      <c r="B1770">
        <v>31023</v>
      </c>
      <c r="C1770" t="s">
        <v>715</v>
      </c>
      <c r="D1770">
        <v>2208</v>
      </c>
      <c r="E1770">
        <v>1006</v>
      </c>
      <c r="F1770">
        <v>1</v>
      </c>
      <c r="G1770" t="s">
        <v>1459</v>
      </c>
      <c r="H1770" t="s">
        <v>9</v>
      </c>
      <c r="I1770" t="s">
        <v>874</v>
      </c>
      <c r="J1770" t="s">
        <v>840</v>
      </c>
    </row>
    <row r="1771" spans="1:10">
      <c r="A1771">
        <v>51770</v>
      </c>
      <c r="B1771">
        <v>31023</v>
      </c>
      <c r="C1771" t="s">
        <v>712</v>
      </c>
      <c r="D1771">
        <v>2208</v>
      </c>
      <c r="E1771">
        <v>1015</v>
      </c>
      <c r="F1771">
        <v>1</v>
      </c>
      <c r="G1771" t="s">
        <v>1478</v>
      </c>
      <c r="H1771" t="s">
        <v>9</v>
      </c>
      <c r="I1771" t="s">
        <v>713</v>
      </c>
      <c r="J1771" t="s">
        <v>532</v>
      </c>
    </row>
    <row r="1772" spans="1:10">
      <c r="A1772">
        <v>51771</v>
      </c>
      <c r="B1772">
        <v>31024</v>
      </c>
      <c r="C1772" t="s">
        <v>23</v>
      </c>
      <c r="D1772">
        <v>2502</v>
      </c>
      <c r="E1772">
        <v>1015</v>
      </c>
      <c r="F1772">
        <v>1</v>
      </c>
      <c r="G1772" t="s">
        <v>1478</v>
      </c>
      <c r="H1772" t="s">
        <v>9</v>
      </c>
      <c r="I1772" t="s">
        <v>834</v>
      </c>
      <c r="J1772" t="s">
        <v>575</v>
      </c>
    </row>
    <row r="1773" spans="1:10">
      <c r="A1773">
        <v>51772</v>
      </c>
      <c r="B1773">
        <v>31024</v>
      </c>
      <c r="C1773" t="s">
        <v>632</v>
      </c>
      <c r="D1773">
        <v>2502</v>
      </c>
      <c r="E1773">
        <v>1008</v>
      </c>
      <c r="F1773">
        <v>1</v>
      </c>
      <c r="G1773" t="s">
        <v>1447</v>
      </c>
      <c r="H1773" t="s">
        <v>9</v>
      </c>
      <c r="I1773" t="s">
        <v>1144</v>
      </c>
      <c r="J1773" t="s">
        <v>365</v>
      </c>
    </row>
    <row r="1774" spans="1:10">
      <c r="A1774">
        <v>51773</v>
      </c>
      <c r="B1774">
        <v>31025</v>
      </c>
      <c r="C1774" t="s">
        <v>908</v>
      </c>
      <c r="D1774">
        <v>2438</v>
      </c>
      <c r="E1774">
        <v>1002</v>
      </c>
      <c r="F1774">
        <v>1</v>
      </c>
      <c r="G1774" t="s">
        <v>1466</v>
      </c>
      <c r="H1774" t="s">
        <v>9</v>
      </c>
      <c r="I1774" t="s">
        <v>1117</v>
      </c>
      <c r="J1774" t="s">
        <v>781</v>
      </c>
    </row>
    <row r="1775" spans="1:10">
      <c r="A1775">
        <v>51774</v>
      </c>
      <c r="B1775">
        <v>31025</v>
      </c>
      <c r="C1775" t="s">
        <v>293</v>
      </c>
      <c r="D1775">
        <v>2438</v>
      </c>
      <c r="E1775">
        <v>1013</v>
      </c>
      <c r="F1775">
        <v>1</v>
      </c>
      <c r="G1775" t="s">
        <v>1474</v>
      </c>
      <c r="H1775" t="s">
        <v>9</v>
      </c>
      <c r="I1775" t="s">
        <v>317</v>
      </c>
      <c r="J1775" t="s">
        <v>321</v>
      </c>
    </row>
    <row r="1776" spans="1:10">
      <c r="A1776">
        <v>51775</v>
      </c>
      <c r="B1776">
        <v>31026</v>
      </c>
      <c r="C1776" t="s">
        <v>392</v>
      </c>
      <c r="D1776">
        <v>2321</v>
      </c>
      <c r="E1776">
        <v>1002</v>
      </c>
      <c r="F1776">
        <v>1</v>
      </c>
      <c r="G1776" t="s">
        <v>1466</v>
      </c>
      <c r="H1776" t="s">
        <v>9</v>
      </c>
      <c r="I1776" t="s">
        <v>930</v>
      </c>
      <c r="J1776" t="s">
        <v>182</v>
      </c>
    </row>
    <row r="1777" spans="1:10">
      <c r="A1777">
        <v>51776</v>
      </c>
      <c r="B1777">
        <v>31027</v>
      </c>
      <c r="C1777" t="s">
        <v>1257</v>
      </c>
      <c r="D1777">
        <v>2534</v>
      </c>
      <c r="E1777">
        <v>1015</v>
      </c>
      <c r="F1777">
        <v>1</v>
      </c>
      <c r="G1777" t="s">
        <v>1478</v>
      </c>
      <c r="H1777" t="s">
        <v>9</v>
      </c>
      <c r="I1777" t="s">
        <v>949</v>
      </c>
      <c r="J1777" t="s">
        <v>694</v>
      </c>
    </row>
    <row r="1778" spans="1:10">
      <c r="A1778">
        <v>51777</v>
      </c>
      <c r="B1778">
        <v>31027</v>
      </c>
      <c r="C1778" t="s">
        <v>1080</v>
      </c>
      <c r="D1778">
        <v>2534</v>
      </c>
      <c r="E1778">
        <v>1002</v>
      </c>
      <c r="F1778">
        <v>2</v>
      </c>
      <c r="G1778" t="s">
        <v>1482</v>
      </c>
      <c r="H1778" t="s">
        <v>9</v>
      </c>
      <c r="I1778" t="s">
        <v>618</v>
      </c>
      <c r="J1778" t="s">
        <v>1025</v>
      </c>
    </row>
    <row r="1779" spans="1:10">
      <c r="A1779">
        <v>51778</v>
      </c>
      <c r="B1779">
        <v>31028</v>
      </c>
      <c r="C1779" t="s">
        <v>1084</v>
      </c>
      <c r="D1779">
        <v>2252</v>
      </c>
      <c r="E1779">
        <v>1013</v>
      </c>
      <c r="F1779">
        <v>1</v>
      </c>
      <c r="G1779" t="s">
        <v>1474</v>
      </c>
      <c r="H1779" t="s">
        <v>9</v>
      </c>
      <c r="I1779" t="s">
        <v>933</v>
      </c>
      <c r="J1779" t="s">
        <v>251</v>
      </c>
    </row>
    <row r="1780" spans="1:10">
      <c r="A1780">
        <v>51779</v>
      </c>
      <c r="B1780">
        <v>31029</v>
      </c>
      <c r="C1780" t="s">
        <v>1208</v>
      </c>
      <c r="D1780">
        <v>2041</v>
      </c>
      <c r="E1780">
        <v>1002</v>
      </c>
      <c r="F1780">
        <v>2</v>
      </c>
      <c r="G1780" t="s">
        <v>1482</v>
      </c>
      <c r="H1780" t="s">
        <v>9</v>
      </c>
      <c r="I1780" t="s">
        <v>1229</v>
      </c>
      <c r="J1780" t="s">
        <v>366</v>
      </c>
    </row>
    <row r="1781" spans="1:10">
      <c r="A1781">
        <v>51780</v>
      </c>
      <c r="B1781">
        <v>31029</v>
      </c>
      <c r="C1781" t="s">
        <v>664</v>
      </c>
      <c r="D1781">
        <v>2041</v>
      </c>
      <c r="E1781">
        <v>1007</v>
      </c>
      <c r="F1781">
        <v>2</v>
      </c>
      <c r="G1781" t="s">
        <v>1455</v>
      </c>
      <c r="H1781" t="s">
        <v>68</v>
      </c>
      <c r="I1781" t="s">
        <v>469</v>
      </c>
      <c r="J1781" t="s">
        <v>709</v>
      </c>
    </row>
    <row r="1782" spans="1:10">
      <c r="A1782">
        <v>51781</v>
      </c>
      <c r="B1782">
        <v>31029</v>
      </c>
      <c r="C1782" t="s">
        <v>402</v>
      </c>
      <c r="D1782">
        <v>2041</v>
      </c>
      <c r="E1782">
        <v>1010</v>
      </c>
      <c r="F1782">
        <v>1</v>
      </c>
      <c r="G1782" t="s">
        <v>1468</v>
      </c>
      <c r="H1782" t="s">
        <v>9</v>
      </c>
      <c r="I1782" t="s">
        <v>420</v>
      </c>
      <c r="J1782" t="s">
        <v>139</v>
      </c>
    </row>
    <row r="1783" spans="1:10">
      <c r="A1783">
        <v>51782</v>
      </c>
      <c r="B1783">
        <v>31030</v>
      </c>
      <c r="C1783" t="s">
        <v>1176</v>
      </c>
      <c r="D1783">
        <v>2451</v>
      </c>
      <c r="E1783">
        <v>1010</v>
      </c>
      <c r="F1783">
        <v>1</v>
      </c>
      <c r="G1783" t="s">
        <v>1468</v>
      </c>
      <c r="H1783" t="s">
        <v>9</v>
      </c>
      <c r="I1783" t="s">
        <v>884</v>
      </c>
      <c r="J1783" t="s">
        <v>511</v>
      </c>
    </row>
    <row r="1784" spans="1:10">
      <c r="A1784">
        <v>51783</v>
      </c>
      <c r="B1784">
        <v>31031</v>
      </c>
      <c r="C1784" t="s">
        <v>1168</v>
      </c>
      <c r="D1784">
        <v>2293</v>
      </c>
      <c r="E1784">
        <v>1014</v>
      </c>
      <c r="F1784">
        <v>1</v>
      </c>
      <c r="G1784" t="s">
        <v>1463</v>
      </c>
      <c r="H1784" t="s">
        <v>9</v>
      </c>
      <c r="I1784" t="s">
        <v>1176</v>
      </c>
      <c r="J1784" t="s">
        <v>1294</v>
      </c>
    </row>
    <row r="1785" spans="1:10">
      <c r="A1785">
        <v>51784</v>
      </c>
      <c r="B1785">
        <v>31031</v>
      </c>
      <c r="C1785" t="s">
        <v>1168</v>
      </c>
      <c r="D1785">
        <v>2293</v>
      </c>
      <c r="E1785">
        <v>1010</v>
      </c>
      <c r="F1785">
        <v>1</v>
      </c>
      <c r="G1785" t="s">
        <v>1468</v>
      </c>
      <c r="H1785" t="s">
        <v>9</v>
      </c>
      <c r="I1785" t="s">
        <v>1176</v>
      </c>
      <c r="J1785" t="s">
        <v>722</v>
      </c>
    </row>
    <row r="1786" spans="1:10">
      <c r="A1786">
        <v>51785</v>
      </c>
      <c r="B1786">
        <v>31031</v>
      </c>
      <c r="C1786" t="s">
        <v>219</v>
      </c>
      <c r="D1786">
        <v>2293</v>
      </c>
      <c r="E1786">
        <v>1002</v>
      </c>
      <c r="F1786">
        <v>1</v>
      </c>
      <c r="G1786" t="s">
        <v>1466</v>
      </c>
      <c r="H1786" t="s">
        <v>9</v>
      </c>
      <c r="I1786" t="s">
        <v>915</v>
      </c>
      <c r="J1786" t="s">
        <v>894</v>
      </c>
    </row>
    <row r="1787" spans="1:10">
      <c r="A1787">
        <v>51786</v>
      </c>
      <c r="B1787">
        <v>31032</v>
      </c>
      <c r="C1787" t="s">
        <v>99</v>
      </c>
      <c r="D1787">
        <v>2530</v>
      </c>
      <c r="E1787">
        <v>1015</v>
      </c>
      <c r="F1787">
        <v>1</v>
      </c>
      <c r="G1787" t="s">
        <v>1478</v>
      </c>
      <c r="H1787" t="s">
        <v>12</v>
      </c>
      <c r="I1787" t="s">
        <v>1421</v>
      </c>
      <c r="J1787" t="s">
        <v>1421</v>
      </c>
    </row>
    <row r="1788" spans="1:10">
      <c r="A1788">
        <v>51787</v>
      </c>
      <c r="B1788">
        <v>31032</v>
      </c>
      <c r="C1788" t="s">
        <v>671</v>
      </c>
      <c r="D1788">
        <v>2530</v>
      </c>
      <c r="E1788">
        <v>1015</v>
      </c>
      <c r="F1788">
        <v>2</v>
      </c>
      <c r="G1788" t="s">
        <v>1488</v>
      </c>
      <c r="H1788" t="s">
        <v>12</v>
      </c>
      <c r="I1788" t="s">
        <v>1421</v>
      </c>
      <c r="J1788" t="s">
        <v>1421</v>
      </c>
    </row>
    <row r="1789" spans="1:10">
      <c r="A1789">
        <v>51788</v>
      </c>
      <c r="B1789">
        <v>31033</v>
      </c>
      <c r="C1789" t="s">
        <v>1094</v>
      </c>
      <c r="D1789">
        <v>2093</v>
      </c>
      <c r="E1789">
        <v>1004</v>
      </c>
      <c r="F1789">
        <v>2</v>
      </c>
      <c r="G1789" t="s">
        <v>1476</v>
      </c>
      <c r="H1789" t="s">
        <v>9</v>
      </c>
      <c r="I1789" t="s">
        <v>94</v>
      </c>
      <c r="J1789" t="s">
        <v>230</v>
      </c>
    </row>
    <row r="1790" spans="1:10">
      <c r="A1790">
        <v>51789</v>
      </c>
      <c r="B1790">
        <v>31033</v>
      </c>
      <c r="C1790" t="s">
        <v>44</v>
      </c>
      <c r="D1790">
        <v>2093</v>
      </c>
      <c r="E1790">
        <v>1006</v>
      </c>
      <c r="F1790">
        <v>1</v>
      </c>
      <c r="G1790" t="s">
        <v>1459</v>
      </c>
      <c r="H1790" t="s">
        <v>9</v>
      </c>
      <c r="I1790" t="s">
        <v>94</v>
      </c>
      <c r="J1790" t="s">
        <v>1220</v>
      </c>
    </row>
    <row r="1791" spans="1:10">
      <c r="A1791">
        <v>51790</v>
      </c>
      <c r="B1791">
        <v>31034</v>
      </c>
      <c r="C1791" t="s">
        <v>650</v>
      </c>
      <c r="D1791">
        <v>2600</v>
      </c>
      <c r="E1791">
        <v>1005</v>
      </c>
      <c r="F1791">
        <v>2</v>
      </c>
      <c r="G1791" t="s">
        <v>1458</v>
      </c>
      <c r="H1791" t="s">
        <v>12</v>
      </c>
      <c r="I1791" t="s">
        <v>1421</v>
      </c>
      <c r="J1791" t="s">
        <v>1421</v>
      </c>
    </row>
    <row r="1792" spans="1:10">
      <c r="A1792">
        <v>51791</v>
      </c>
      <c r="B1792">
        <v>31035</v>
      </c>
      <c r="C1792" t="s">
        <v>347</v>
      </c>
      <c r="D1792">
        <v>2403</v>
      </c>
      <c r="E1792">
        <v>1015</v>
      </c>
      <c r="F1792">
        <v>1</v>
      </c>
      <c r="G1792" t="s">
        <v>1478</v>
      </c>
      <c r="H1792" t="s">
        <v>9</v>
      </c>
      <c r="I1792" t="s">
        <v>1306</v>
      </c>
      <c r="J1792" t="s">
        <v>481</v>
      </c>
    </row>
    <row r="1793" spans="1:10">
      <c r="A1793">
        <v>51792</v>
      </c>
      <c r="B1793">
        <v>31036</v>
      </c>
      <c r="C1793" t="s">
        <v>1112</v>
      </c>
      <c r="D1793">
        <v>2026</v>
      </c>
      <c r="E1793">
        <v>1007</v>
      </c>
      <c r="F1793">
        <v>2</v>
      </c>
      <c r="G1793" t="s">
        <v>1455</v>
      </c>
      <c r="H1793" t="s">
        <v>1457</v>
      </c>
      <c r="I1793" t="s">
        <v>110</v>
      </c>
      <c r="J1793" t="s">
        <v>947</v>
      </c>
    </row>
    <row r="1794" spans="1:10">
      <c r="A1794">
        <v>51793</v>
      </c>
      <c r="B1794">
        <v>31037</v>
      </c>
      <c r="C1794" t="s">
        <v>617</v>
      </c>
      <c r="D1794">
        <v>2466</v>
      </c>
      <c r="E1794">
        <v>1011</v>
      </c>
      <c r="F1794">
        <v>1</v>
      </c>
      <c r="G1794" t="s">
        <v>1472</v>
      </c>
      <c r="H1794" t="s">
        <v>9</v>
      </c>
      <c r="I1794" t="s">
        <v>947</v>
      </c>
      <c r="J1794" t="s">
        <v>451</v>
      </c>
    </row>
    <row r="1795" spans="1:10">
      <c r="A1795">
        <v>51794</v>
      </c>
      <c r="B1795">
        <v>31038</v>
      </c>
      <c r="C1795" t="s">
        <v>490</v>
      </c>
      <c r="D1795">
        <v>2168</v>
      </c>
      <c r="E1795">
        <v>1004</v>
      </c>
      <c r="F1795">
        <v>1</v>
      </c>
      <c r="G1795" t="s">
        <v>1452</v>
      </c>
      <c r="H1795" t="s">
        <v>9</v>
      </c>
      <c r="I1795" t="s">
        <v>713</v>
      </c>
      <c r="J1795" t="s">
        <v>1143</v>
      </c>
    </row>
    <row r="1796" spans="1:10">
      <c r="A1796">
        <v>51795</v>
      </c>
      <c r="B1796">
        <v>31038</v>
      </c>
      <c r="C1796" t="s">
        <v>470</v>
      </c>
      <c r="D1796">
        <v>2168</v>
      </c>
      <c r="E1796">
        <v>1003</v>
      </c>
      <c r="F1796">
        <v>2</v>
      </c>
      <c r="G1796" t="s">
        <v>1464</v>
      </c>
      <c r="H1796" t="s">
        <v>9</v>
      </c>
      <c r="I1796" t="s">
        <v>1169</v>
      </c>
      <c r="J1796" t="s">
        <v>1105</v>
      </c>
    </row>
    <row r="1797" spans="1:10">
      <c r="A1797">
        <v>51796</v>
      </c>
      <c r="B1797">
        <v>31039</v>
      </c>
      <c r="C1797" t="s">
        <v>1162</v>
      </c>
      <c r="D1797">
        <v>2117</v>
      </c>
      <c r="E1797">
        <v>1012</v>
      </c>
      <c r="F1797">
        <v>1</v>
      </c>
      <c r="G1797" t="s">
        <v>1449</v>
      </c>
      <c r="H1797" t="s">
        <v>9</v>
      </c>
      <c r="I1797" t="s">
        <v>1265</v>
      </c>
      <c r="J1797" t="s">
        <v>176</v>
      </c>
    </row>
    <row r="1798" spans="1:10">
      <c r="A1798">
        <v>51797</v>
      </c>
      <c r="B1798">
        <v>31039</v>
      </c>
      <c r="C1798" t="s">
        <v>1049</v>
      </c>
      <c r="D1798">
        <v>2117</v>
      </c>
      <c r="E1798">
        <v>1003</v>
      </c>
      <c r="F1798">
        <v>1</v>
      </c>
      <c r="G1798" t="s">
        <v>1471</v>
      </c>
      <c r="H1798" t="s">
        <v>9</v>
      </c>
      <c r="I1798" t="s">
        <v>482</v>
      </c>
      <c r="J1798" t="s">
        <v>1138</v>
      </c>
    </row>
    <row r="1799" spans="1:10">
      <c r="A1799">
        <v>51798</v>
      </c>
      <c r="B1799">
        <v>31040</v>
      </c>
      <c r="C1799" t="s">
        <v>26</v>
      </c>
      <c r="D1799">
        <v>2537</v>
      </c>
      <c r="E1799">
        <v>1006</v>
      </c>
      <c r="F1799">
        <v>2</v>
      </c>
      <c r="G1799" t="s">
        <v>1501</v>
      </c>
      <c r="H1799" t="s">
        <v>9</v>
      </c>
      <c r="I1799" t="s">
        <v>584</v>
      </c>
      <c r="J1799" t="s">
        <v>693</v>
      </c>
    </row>
    <row r="1800" spans="1:10">
      <c r="A1800">
        <v>51799</v>
      </c>
      <c r="B1800">
        <v>31041</v>
      </c>
      <c r="C1800" t="s">
        <v>1022</v>
      </c>
      <c r="D1800">
        <v>2388</v>
      </c>
      <c r="E1800">
        <v>1002</v>
      </c>
      <c r="F1800">
        <v>3</v>
      </c>
      <c r="G1800" t="s">
        <v>1508</v>
      </c>
      <c r="H1800" t="s">
        <v>9</v>
      </c>
      <c r="I1800" t="s">
        <v>416</v>
      </c>
      <c r="J1800" t="s">
        <v>1140</v>
      </c>
    </row>
    <row r="1801" spans="1:10">
      <c r="A1801">
        <v>51800</v>
      </c>
      <c r="B1801">
        <v>31041</v>
      </c>
      <c r="C1801" t="s">
        <v>739</v>
      </c>
      <c r="D1801">
        <v>2388</v>
      </c>
      <c r="E1801">
        <v>1006</v>
      </c>
      <c r="F1801">
        <v>2</v>
      </c>
      <c r="G1801" t="s">
        <v>1501</v>
      </c>
      <c r="H1801" t="s">
        <v>9</v>
      </c>
      <c r="I1801" t="s">
        <v>622</v>
      </c>
      <c r="J1801" t="s">
        <v>100</v>
      </c>
    </row>
    <row r="1802" spans="1:10">
      <c r="A1802">
        <v>51801</v>
      </c>
      <c r="B1802">
        <v>31041</v>
      </c>
      <c r="C1802" t="s">
        <v>739</v>
      </c>
      <c r="D1802">
        <v>2388</v>
      </c>
      <c r="E1802">
        <v>1011</v>
      </c>
      <c r="F1802">
        <v>5</v>
      </c>
      <c r="G1802" t="s">
        <v>1516</v>
      </c>
      <c r="H1802" t="s">
        <v>9</v>
      </c>
      <c r="I1802" t="s">
        <v>453</v>
      </c>
      <c r="J1802" t="s">
        <v>941</v>
      </c>
    </row>
    <row r="1803" spans="1:10">
      <c r="A1803">
        <v>51802</v>
      </c>
      <c r="B1803">
        <v>31042</v>
      </c>
      <c r="C1803" t="s">
        <v>998</v>
      </c>
      <c r="D1803">
        <v>2580</v>
      </c>
      <c r="E1803">
        <v>1005</v>
      </c>
      <c r="F1803">
        <v>1</v>
      </c>
      <c r="G1803" t="s">
        <v>1456</v>
      </c>
      <c r="H1803" t="s">
        <v>12</v>
      </c>
      <c r="I1803" t="s">
        <v>1421</v>
      </c>
      <c r="J1803" t="s">
        <v>1421</v>
      </c>
    </row>
    <row r="1804" spans="1:10">
      <c r="A1804">
        <v>51803</v>
      </c>
      <c r="B1804">
        <v>31043</v>
      </c>
      <c r="C1804" t="s">
        <v>425</v>
      </c>
      <c r="D1804">
        <v>2167</v>
      </c>
      <c r="E1804">
        <v>1006</v>
      </c>
      <c r="F1804">
        <v>1</v>
      </c>
      <c r="G1804" t="s">
        <v>1459</v>
      </c>
      <c r="H1804" t="s">
        <v>12</v>
      </c>
      <c r="I1804" t="s">
        <v>1421</v>
      </c>
      <c r="J1804" t="s">
        <v>1421</v>
      </c>
    </row>
    <row r="1805" spans="1:10">
      <c r="A1805">
        <v>51804</v>
      </c>
      <c r="B1805">
        <v>31043</v>
      </c>
      <c r="C1805" t="s">
        <v>1013</v>
      </c>
      <c r="D1805">
        <v>2167</v>
      </c>
      <c r="E1805">
        <v>1002</v>
      </c>
      <c r="F1805">
        <v>1</v>
      </c>
      <c r="G1805" t="s">
        <v>1466</v>
      </c>
      <c r="H1805" t="s">
        <v>12</v>
      </c>
      <c r="I1805" t="s">
        <v>1421</v>
      </c>
      <c r="J1805" t="s">
        <v>1421</v>
      </c>
    </row>
    <row r="1806" spans="1:10">
      <c r="A1806">
        <v>51805</v>
      </c>
      <c r="B1806">
        <v>31044</v>
      </c>
      <c r="C1806" t="s">
        <v>271</v>
      </c>
      <c r="D1806">
        <v>2430</v>
      </c>
      <c r="E1806">
        <v>1015</v>
      </c>
      <c r="F1806">
        <v>3</v>
      </c>
      <c r="G1806" t="s">
        <v>1470</v>
      </c>
      <c r="H1806" t="s">
        <v>9</v>
      </c>
      <c r="I1806" t="s">
        <v>415</v>
      </c>
      <c r="J1806" t="s">
        <v>851</v>
      </c>
    </row>
    <row r="1807" spans="1:10">
      <c r="A1807">
        <v>51806</v>
      </c>
      <c r="B1807">
        <v>31045</v>
      </c>
      <c r="C1807" t="s">
        <v>564</v>
      </c>
      <c r="D1807">
        <v>2296</v>
      </c>
      <c r="E1807">
        <v>1004</v>
      </c>
      <c r="F1807">
        <v>1</v>
      </c>
      <c r="G1807" t="s">
        <v>1452</v>
      </c>
      <c r="H1807" t="s">
        <v>9</v>
      </c>
      <c r="I1807" t="s">
        <v>686</v>
      </c>
      <c r="J1807" t="s">
        <v>489</v>
      </c>
    </row>
    <row r="1808" spans="1:10">
      <c r="A1808">
        <v>51807</v>
      </c>
      <c r="B1808">
        <v>31046</v>
      </c>
      <c r="C1808" t="s">
        <v>1063</v>
      </c>
      <c r="D1808">
        <v>2135</v>
      </c>
      <c r="E1808">
        <v>1001</v>
      </c>
      <c r="F1808">
        <v>1</v>
      </c>
      <c r="G1808" t="s">
        <v>1469</v>
      </c>
      <c r="H1808" t="s">
        <v>11</v>
      </c>
      <c r="I1808" t="s">
        <v>226</v>
      </c>
      <c r="J1808" t="s">
        <v>616</v>
      </c>
    </row>
    <row r="1809" spans="1:10">
      <c r="A1809">
        <v>51808</v>
      </c>
      <c r="B1809">
        <v>31046</v>
      </c>
      <c r="C1809" t="s">
        <v>705</v>
      </c>
      <c r="D1809">
        <v>2135</v>
      </c>
      <c r="E1809">
        <v>1009</v>
      </c>
      <c r="F1809">
        <v>1</v>
      </c>
      <c r="G1809" t="s">
        <v>1473</v>
      </c>
      <c r="H1809" t="s">
        <v>11</v>
      </c>
      <c r="I1809" t="s">
        <v>1185</v>
      </c>
      <c r="J1809" t="s">
        <v>1186</v>
      </c>
    </row>
    <row r="1810" spans="1:10">
      <c r="A1810">
        <v>51809</v>
      </c>
      <c r="B1810">
        <v>31047</v>
      </c>
      <c r="C1810" t="s">
        <v>113</v>
      </c>
      <c r="D1810">
        <v>2013</v>
      </c>
      <c r="E1810">
        <v>1016</v>
      </c>
      <c r="F1810">
        <v>1</v>
      </c>
      <c r="G1810" t="s">
        <v>1465</v>
      </c>
      <c r="H1810" t="s">
        <v>9</v>
      </c>
      <c r="I1810" t="s">
        <v>1281</v>
      </c>
      <c r="J1810" t="s">
        <v>1105</v>
      </c>
    </row>
    <row r="1811" spans="1:10">
      <c r="A1811">
        <v>51810</v>
      </c>
      <c r="B1811">
        <v>31048</v>
      </c>
      <c r="C1811" t="s">
        <v>297</v>
      </c>
      <c r="D1811">
        <v>2557</v>
      </c>
      <c r="E1811">
        <v>1016</v>
      </c>
      <c r="F1811">
        <v>1</v>
      </c>
      <c r="G1811" t="s">
        <v>1465</v>
      </c>
      <c r="H1811" t="s">
        <v>16</v>
      </c>
      <c r="I1811" t="s">
        <v>693</v>
      </c>
      <c r="J1811" t="s">
        <v>1421</v>
      </c>
    </row>
    <row r="1812" spans="1:10">
      <c r="A1812">
        <v>51811</v>
      </c>
      <c r="B1812">
        <v>31048</v>
      </c>
      <c r="C1812" t="s">
        <v>297</v>
      </c>
      <c r="D1812">
        <v>2557</v>
      </c>
      <c r="E1812">
        <v>1016</v>
      </c>
      <c r="F1812">
        <v>2</v>
      </c>
      <c r="G1812" t="s">
        <v>1500</v>
      </c>
      <c r="H1812" t="s">
        <v>16</v>
      </c>
      <c r="I1812" t="s">
        <v>1421</v>
      </c>
      <c r="J1812" t="s">
        <v>1421</v>
      </c>
    </row>
    <row r="1813" spans="1:10">
      <c r="A1813">
        <v>51812</v>
      </c>
      <c r="B1813">
        <v>31048</v>
      </c>
      <c r="C1813" t="s">
        <v>691</v>
      </c>
      <c r="D1813">
        <v>2557</v>
      </c>
      <c r="E1813">
        <v>1015</v>
      </c>
      <c r="F1813">
        <v>2</v>
      </c>
      <c r="G1813" t="s">
        <v>1488</v>
      </c>
      <c r="H1813" t="s">
        <v>16</v>
      </c>
      <c r="I1813" t="s">
        <v>261</v>
      </c>
      <c r="J1813" t="s">
        <v>1421</v>
      </c>
    </row>
    <row r="1814" spans="1:10">
      <c r="A1814">
        <v>51813</v>
      </c>
      <c r="B1814">
        <v>31049</v>
      </c>
      <c r="C1814" t="s">
        <v>1088</v>
      </c>
      <c r="D1814">
        <v>2007</v>
      </c>
      <c r="E1814">
        <v>1009</v>
      </c>
      <c r="F1814">
        <v>1</v>
      </c>
      <c r="G1814" t="s">
        <v>1473</v>
      </c>
      <c r="H1814" t="s">
        <v>9</v>
      </c>
      <c r="I1814" t="s">
        <v>468</v>
      </c>
      <c r="J1814" t="s">
        <v>796</v>
      </c>
    </row>
    <row r="1815" spans="1:10">
      <c r="A1815">
        <v>51814</v>
      </c>
      <c r="B1815">
        <v>31050</v>
      </c>
      <c r="C1815" t="s">
        <v>1030</v>
      </c>
      <c r="D1815">
        <v>2571</v>
      </c>
      <c r="E1815">
        <v>1007</v>
      </c>
      <c r="F1815">
        <v>3</v>
      </c>
      <c r="G1815" t="s">
        <v>1446</v>
      </c>
      <c r="H1815" t="s">
        <v>16</v>
      </c>
      <c r="I1815" t="s">
        <v>811</v>
      </c>
      <c r="J1815" t="s">
        <v>1421</v>
      </c>
    </row>
    <row r="1816" spans="1:10">
      <c r="A1816">
        <v>51815</v>
      </c>
      <c r="B1816">
        <v>31051</v>
      </c>
      <c r="C1816" t="s">
        <v>1195</v>
      </c>
      <c r="D1816">
        <v>2152</v>
      </c>
      <c r="E1816">
        <v>1012</v>
      </c>
      <c r="F1816">
        <v>1</v>
      </c>
      <c r="G1816" t="s">
        <v>1449</v>
      </c>
      <c r="H1816" t="s">
        <v>9</v>
      </c>
      <c r="I1816" t="s">
        <v>773</v>
      </c>
      <c r="J1816" t="s">
        <v>324</v>
      </c>
    </row>
    <row r="1817" spans="1:10">
      <c r="A1817">
        <v>51816</v>
      </c>
      <c r="B1817">
        <v>31052</v>
      </c>
      <c r="C1817" t="s">
        <v>528</v>
      </c>
      <c r="D1817">
        <v>2038</v>
      </c>
      <c r="E1817">
        <v>1002</v>
      </c>
      <c r="F1817">
        <v>2</v>
      </c>
      <c r="G1817" t="s">
        <v>1482</v>
      </c>
      <c r="H1817" t="s">
        <v>9</v>
      </c>
      <c r="I1817" t="s">
        <v>568</v>
      </c>
      <c r="J1817" t="s">
        <v>245</v>
      </c>
    </row>
    <row r="1818" spans="1:10">
      <c r="A1818">
        <v>51817</v>
      </c>
      <c r="B1818">
        <v>31053</v>
      </c>
      <c r="C1818" t="s">
        <v>1307</v>
      </c>
      <c r="D1818">
        <v>2592</v>
      </c>
      <c r="E1818">
        <v>1010</v>
      </c>
      <c r="F1818">
        <v>1</v>
      </c>
      <c r="G1818" t="s">
        <v>1468</v>
      </c>
      <c r="H1818" t="s">
        <v>16</v>
      </c>
      <c r="I1818" t="s">
        <v>1421</v>
      </c>
      <c r="J1818" t="s">
        <v>1421</v>
      </c>
    </row>
    <row r="1819" spans="1:10">
      <c r="A1819">
        <v>51818</v>
      </c>
      <c r="B1819">
        <v>31053</v>
      </c>
      <c r="C1819" t="s">
        <v>1307</v>
      </c>
      <c r="D1819">
        <v>2592</v>
      </c>
      <c r="E1819">
        <v>1003</v>
      </c>
      <c r="F1819">
        <v>2</v>
      </c>
      <c r="G1819" t="s">
        <v>1464</v>
      </c>
      <c r="H1819" t="s">
        <v>16</v>
      </c>
      <c r="I1819" t="s">
        <v>109</v>
      </c>
      <c r="J1819" t="s">
        <v>1421</v>
      </c>
    </row>
    <row r="1820" spans="1:10">
      <c r="A1820">
        <v>51819</v>
      </c>
      <c r="B1820">
        <v>31054</v>
      </c>
      <c r="C1820" t="s">
        <v>248</v>
      </c>
      <c r="D1820">
        <v>2427</v>
      </c>
      <c r="E1820">
        <v>1006</v>
      </c>
      <c r="F1820">
        <v>2</v>
      </c>
      <c r="G1820" t="s">
        <v>1501</v>
      </c>
      <c r="H1820" t="s">
        <v>1467</v>
      </c>
      <c r="I1820" t="s">
        <v>677</v>
      </c>
      <c r="J1820" t="s">
        <v>1119</v>
      </c>
    </row>
    <row r="1821" spans="1:10">
      <c r="A1821">
        <v>51820</v>
      </c>
      <c r="B1821">
        <v>31055</v>
      </c>
      <c r="C1821" t="s">
        <v>1057</v>
      </c>
      <c r="D1821">
        <v>2292</v>
      </c>
      <c r="E1821">
        <v>1006</v>
      </c>
      <c r="F1821">
        <v>1</v>
      </c>
      <c r="G1821" t="s">
        <v>1459</v>
      </c>
      <c r="H1821" t="s">
        <v>9</v>
      </c>
      <c r="I1821" t="s">
        <v>1016</v>
      </c>
      <c r="J1821" t="s">
        <v>78</v>
      </c>
    </row>
    <row r="1822" spans="1:10">
      <c r="A1822">
        <v>51821</v>
      </c>
      <c r="B1822">
        <v>31055</v>
      </c>
      <c r="C1822" t="s">
        <v>414</v>
      </c>
      <c r="D1822">
        <v>2292</v>
      </c>
      <c r="E1822">
        <v>1015</v>
      </c>
      <c r="F1822">
        <v>5</v>
      </c>
      <c r="G1822" t="s">
        <v>1509</v>
      </c>
      <c r="H1822" t="s">
        <v>9</v>
      </c>
      <c r="I1822" t="s">
        <v>820</v>
      </c>
      <c r="J1822" t="s">
        <v>1308</v>
      </c>
    </row>
    <row r="1823" spans="1:10">
      <c r="A1823">
        <v>51822</v>
      </c>
      <c r="B1823">
        <v>31055</v>
      </c>
      <c r="C1823" t="s">
        <v>557</v>
      </c>
      <c r="D1823">
        <v>2292</v>
      </c>
      <c r="E1823">
        <v>1012</v>
      </c>
      <c r="F1823">
        <v>2</v>
      </c>
      <c r="G1823" t="s">
        <v>1450</v>
      </c>
      <c r="H1823" t="s">
        <v>9</v>
      </c>
      <c r="I1823" t="s">
        <v>1002</v>
      </c>
      <c r="J1823" t="s">
        <v>88</v>
      </c>
    </row>
    <row r="1824" spans="1:10">
      <c r="A1824">
        <v>51823</v>
      </c>
      <c r="B1824">
        <v>31056</v>
      </c>
      <c r="C1824" t="s">
        <v>1309</v>
      </c>
      <c r="D1824">
        <v>2037</v>
      </c>
      <c r="E1824">
        <v>1010</v>
      </c>
      <c r="F1824">
        <v>2</v>
      </c>
      <c r="G1824" t="s">
        <v>1483</v>
      </c>
      <c r="H1824" t="s">
        <v>9</v>
      </c>
      <c r="I1824" t="s">
        <v>1082</v>
      </c>
      <c r="J1824" t="s">
        <v>481</v>
      </c>
    </row>
    <row r="1825" spans="1:10">
      <c r="A1825">
        <v>51824</v>
      </c>
      <c r="B1825">
        <v>31056</v>
      </c>
      <c r="C1825" t="s">
        <v>1158</v>
      </c>
      <c r="D1825">
        <v>2037</v>
      </c>
      <c r="E1825">
        <v>1011</v>
      </c>
      <c r="F1825">
        <v>1</v>
      </c>
      <c r="G1825" t="s">
        <v>1472</v>
      </c>
      <c r="H1825" t="s">
        <v>9</v>
      </c>
      <c r="I1825" t="s">
        <v>1269</v>
      </c>
      <c r="J1825" t="s">
        <v>175</v>
      </c>
    </row>
    <row r="1826" spans="1:10">
      <c r="A1826">
        <v>51825</v>
      </c>
      <c r="B1826">
        <v>31057</v>
      </c>
      <c r="C1826" t="s">
        <v>923</v>
      </c>
      <c r="D1826">
        <v>2378</v>
      </c>
      <c r="E1826">
        <v>1003</v>
      </c>
      <c r="F1826">
        <v>1</v>
      </c>
      <c r="G1826" t="s">
        <v>1471</v>
      </c>
      <c r="H1826" t="s">
        <v>12</v>
      </c>
      <c r="I1826" t="s">
        <v>1421</v>
      </c>
      <c r="J1826" t="s">
        <v>1421</v>
      </c>
    </row>
    <row r="1827" spans="1:10">
      <c r="A1827">
        <v>51826</v>
      </c>
      <c r="B1827">
        <v>31057</v>
      </c>
      <c r="C1827" t="s">
        <v>696</v>
      </c>
      <c r="D1827">
        <v>2378</v>
      </c>
      <c r="E1827">
        <v>1014</v>
      </c>
      <c r="F1827">
        <v>1</v>
      </c>
      <c r="G1827" t="s">
        <v>1463</v>
      </c>
      <c r="H1827" t="s">
        <v>12</v>
      </c>
      <c r="I1827" t="s">
        <v>1421</v>
      </c>
      <c r="J1827" t="s">
        <v>1421</v>
      </c>
    </row>
    <row r="1828" spans="1:10">
      <c r="A1828">
        <v>51827</v>
      </c>
      <c r="B1828">
        <v>31057</v>
      </c>
      <c r="C1828" t="s">
        <v>696</v>
      </c>
      <c r="D1828">
        <v>2378</v>
      </c>
      <c r="E1828">
        <v>1003</v>
      </c>
      <c r="F1828">
        <v>3</v>
      </c>
      <c r="G1828" t="s">
        <v>1507</v>
      </c>
      <c r="H1828" t="s">
        <v>228</v>
      </c>
      <c r="I1828" t="s">
        <v>1421</v>
      </c>
      <c r="J1828" t="s">
        <v>1421</v>
      </c>
    </row>
    <row r="1829" spans="1:10">
      <c r="A1829">
        <v>51828</v>
      </c>
      <c r="B1829">
        <v>31057</v>
      </c>
      <c r="C1829" t="s">
        <v>696</v>
      </c>
      <c r="D1829">
        <v>2378</v>
      </c>
      <c r="E1829">
        <v>1010</v>
      </c>
      <c r="F1829">
        <v>1</v>
      </c>
      <c r="G1829" t="s">
        <v>1468</v>
      </c>
      <c r="H1829" t="s">
        <v>12</v>
      </c>
      <c r="I1829" t="s">
        <v>1421</v>
      </c>
      <c r="J1829" t="s">
        <v>1421</v>
      </c>
    </row>
    <row r="1830" spans="1:10">
      <c r="A1830">
        <v>51829</v>
      </c>
      <c r="B1830">
        <v>31058</v>
      </c>
      <c r="C1830" t="s">
        <v>1199</v>
      </c>
      <c r="D1830">
        <v>2483</v>
      </c>
      <c r="E1830">
        <v>1009</v>
      </c>
      <c r="F1830">
        <v>2</v>
      </c>
      <c r="G1830" t="s">
        <v>1479</v>
      </c>
      <c r="H1830" t="s">
        <v>9</v>
      </c>
      <c r="I1830" t="s">
        <v>52</v>
      </c>
      <c r="J1830" t="s">
        <v>549</v>
      </c>
    </row>
    <row r="1831" spans="1:10">
      <c r="A1831">
        <v>51830</v>
      </c>
      <c r="B1831">
        <v>31059</v>
      </c>
      <c r="C1831" t="s">
        <v>596</v>
      </c>
      <c r="D1831">
        <v>2338</v>
      </c>
      <c r="E1831">
        <v>1007</v>
      </c>
      <c r="F1831">
        <v>1</v>
      </c>
      <c r="G1831" t="s">
        <v>1453</v>
      </c>
      <c r="H1831" t="s">
        <v>1462</v>
      </c>
      <c r="I1831" t="s">
        <v>66</v>
      </c>
      <c r="J1831" t="s">
        <v>1310</v>
      </c>
    </row>
    <row r="1832" spans="1:10">
      <c r="A1832">
        <v>51831</v>
      </c>
      <c r="B1832">
        <v>31060</v>
      </c>
      <c r="C1832" t="s">
        <v>97</v>
      </c>
      <c r="D1832">
        <v>2215</v>
      </c>
      <c r="E1832">
        <v>1004</v>
      </c>
      <c r="F1832">
        <v>1</v>
      </c>
      <c r="G1832" t="s">
        <v>1452</v>
      </c>
      <c r="H1832" t="s">
        <v>9</v>
      </c>
      <c r="I1832" t="s">
        <v>888</v>
      </c>
      <c r="J1832" t="s">
        <v>279</v>
      </c>
    </row>
    <row r="1833" spans="1:10">
      <c r="A1833">
        <v>51832</v>
      </c>
      <c r="B1833">
        <v>31061</v>
      </c>
      <c r="C1833" t="s">
        <v>1157</v>
      </c>
      <c r="D1833">
        <v>2586</v>
      </c>
      <c r="E1833">
        <v>1003</v>
      </c>
      <c r="F1833">
        <v>2</v>
      </c>
      <c r="G1833" t="s">
        <v>1464</v>
      </c>
      <c r="H1833" t="s">
        <v>9</v>
      </c>
      <c r="I1833" t="s">
        <v>976</v>
      </c>
      <c r="J1833" t="s">
        <v>929</v>
      </c>
    </row>
    <row r="1834" spans="1:10">
      <c r="A1834">
        <v>51833</v>
      </c>
      <c r="B1834">
        <v>31061</v>
      </c>
      <c r="C1834" t="s">
        <v>562</v>
      </c>
      <c r="D1834">
        <v>2586</v>
      </c>
      <c r="E1834">
        <v>1016</v>
      </c>
      <c r="F1834">
        <v>1</v>
      </c>
      <c r="G1834" t="s">
        <v>1465</v>
      </c>
      <c r="H1834" t="s">
        <v>9</v>
      </c>
      <c r="I1834" t="s">
        <v>967</v>
      </c>
      <c r="J1834" t="s">
        <v>1137</v>
      </c>
    </row>
    <row r="1835" spans="1:10">
      <c r="A1835">
        <v>51834</v>
      </c>
      <c r="B1835">
        <v>31062</v>
      </c>
      <c r="C1835" t="s">
        <v>744</v>
      </c>
      <c r="D1835">
        <v>2295</v>
      </c>
      <c r="E1835">
        <v>1011</v>
      </c>
      <c r="F1835">
        <v>1</v>
      </c>
      <c r="G1835" t="s">
        <v>1472</v>
      </c>
      <c r="H1835" t="s">
        <v>9</v>
      </c>
      <c r="I1835" t="s">
        <v>1111</v>
      </c>
      <c r="J1835" t="s">
        <v>700</v>
      </c>
    </row>
    <row r="1836" spans="1:10">
      <c r="A1836">
        <v>51835</v>
      </c>
      <c r="B1836">
        <v>31062</v>
      </c>
      <c r="C1836" t="s">
        <v>744</v>
      </c>
      <c r="D1836">
        <v>2295</v>
      </c>
      <c r="E1836">
        <v>1009</v>
      </c>
      <c r="F1836">
        <v>1</v>
      </c>
      <c r="G1836" t="s">
        <v>1473</v>
      </c>
      <c r="H1836" t="s">
        <v>9</v>
      </c>
      <c r="I1836" t="s">
        <v>1114</v>
      </c>
      <c r="J1836" t="s">
        <v>1311</v>
      </c>
    </row>
    <row r="1837" spans="1:10">
      <c r="A1837">
        <v>51836</v>
      </c>
      <c r="B1837">
        <v>31063</v>
      </c>
      <c r="C1837" t="s">
        <v>31</v>
      </c>
      <c r="D1837">
        <v>2539</v>
      </c>
      <c r="E1837">
        <v>1012</v>
      </c>
      <c r="F1837">
        <v>1</v>
      </c>
      <c r="G1837" t="s">
        <v>1449</v>
      </c>
      <c r="H1837" t="s">
        <v>9</v>
      </c>
      <c r="I1837" t="s">
        <v>1051</v>
      </c>
      <c r="J1837" t="s">
        <v>568</v>
      </c>
    </row>
    <row r="1838" spans="1:10">
      <c r="A1838">
        <v>51837</v>
      </c>
      <c r="B1838">
        <v>31063</v>
      </c>
      <c r="C1838" t="s">
        <v>31</v>
      </c>
      <c r="D1838">
        <v>2539</v>
      </c>
      <c r="E1838">
        <v>1005</v>
      </c>
      <c r="F1838">
        <v>1</v>
      </c>
      <c r="G1838" t="s">
        <v>1456</v>
      </c>
      <c r="H1838" t="s">
        <v>9</v>
      </c>
      <c r="I1838" t="s">
        <v>648</v>
      </c>
      <c r="J1838" t="s">
        <v>1053</v>
      </c>
    </row>
    <row r="1839" spans="1:10">
      <c r="A1839">
        <v>51838</v>
      </c>
      <c r="B1839">
        <v>31063</v>
      </c>
      <c r="C1839" t="s">
        <v>31</v>
      </c>
      <c r="D1839">
        <v>2539</v>
      </c>
      <c r="E1839">
        <v>1016</v>
      </c>
      <c r="F1839">
        <v>1</v>
      </c>
      <c r="G1839" t="s">
        <v>1465</v>
      </c>
      <c r="H1839" t="s">
        <v>9</v>
      </c>
      <c r="I1839" t="s">
        <v>648</v>
      </c>
      <c r="J1839" t="s">
        <v>819</v>
      </c>
    </row>
    <row r="1840" spans="1:10">
      <c r="A1840">
        <v>51839</v>
      </c>
      <c r="B1840">
        <v>31064</v>
      </c>
      <c r="C1840" t="s">
        <v>241</v>
      </c>
      <c r="D1840">
        <v>2533</v>
      </c>
      <c r="E1840">
        <v>1016</v>
      </c>
      <c r="F1840">
        <v>3</v>
      </c>
      <c r="G1840" t="s">
        <v>1484</v>
      </c>
      <c r="H1840" t="s">
        <v>9</v>
      </c>
      <c r="I1840" t="s">
        <v>579</v>
      </c>
      <c r="J1840" t="s">
        <v>1312</v>
      </c>
    </row>
    <row r="1841" spans="1:10">
      <c r="A1841">
        <v>51840</v>
      </c>
      <c r="B1841">
        <v>31065</v>
      </c>
      <c r="C1841" t="s">
        <v>283</v>
      </c>
      <c r="D1841">
        <v>2505</v>
      </c>
      <c r="E1841">
        <v>1008</v>
      </c>
      <c r="F1841">
        <v>2</v>
      </c>
      <c r="G1841" t="s">
        <v>1520</v>
      </c>
      <c r="H1841" t="s">
        <v>16</v>
      </c>
      <c r="I1841" t="s">
        <v>1421</v>
      </c>
      <c r="J1841" t="s">
        <v>1421</v>
      </c>
    </row>
    <row r="1842" spans="1:10">
      <c r="A1842">
        <v>51841</v>
      </c>
      <c r="B1842">
        <v>31065</v>
      </c>
      <c r="C1842" t="s">
        <v>1243</v>
      </c>
      <c r="D1842">
        <v>2505</v>
      </c>
      <c r="E1842">
        <v>1007</v>
      </c>
      <c r="F1842">
        <v>1</v>
      </c>
      <c r="G1842" t="s">
        <v>1453</v>
      </c>
      <c r="H1842" t="s">
        <v>16</v>
      </c>
      <c r="I1842" t="s">
        <v>939</v>
      </c>
      <c r="J1842" t="s">
        <v>1421</v>
      </c>
    </row>
    <row r="1843" spans="1:10">
      <c r="A1843">
        <v>51842</v>
      </c>
      <c r="B1843">
        <v>31065</v>
      </c>
      <c r="C1843" t="s">
        <v>1170</v>
      </c>
      <c r="D1843">
        <v>2505</v>
      </c>
      <c r="E1843">
        <v>1001</v>
      </c>
      <c r="F1843">
        <v>2</v>
      </c>
      <c r="G1843" t="s">
        <v>1460</v>
      </c>
      <c r="H1843" t="s">
        <v>16</v>
      </c>
      <c r="I1843" t="s">
        <v>1421</v>
      </c>
      <c r="J1843" t="s">
        <v>1421</v>
      </c>
    </row>
    <row r="1844" spans="1:10">
      <c r="A1844">
        <v>51843</v>
      </c>
      <c r="B1844">
        <v>31066</v>
      </c>
      <c r="C1844" t="s">
        <v>92</v>
      </c>
      <c r="D1844">
        <v>2121</v>
      </c>
      <c r="E1844">
        <v>1007</v>
      </c>
      <c r="F1844">
        <v>1</v>
      </c>
      <c r="G1844" t="s">
        <v>1453</v>
      </c>
      <c r="H1844" t="s">
        <v>9</v>
      </c>
      <c r="I1844" t="s">
        <v>528</v>
      </c>
      <c r="J1844" t="s">
        <v>621</v>
      </c>
    </row>
    <row r="1845" spans="1:10">
      <c r="A1845">
        <v>51844</v>
      </c>
      <c r="B1845">
        <v>31067</v>
      </c>
      <c r="C1845" t="s">
        <v>626</v>
      </c>
      <c r="D1845">
        <v>2425</v>
      </c>
      <c r="E1845">
        <v>1011</v>
      </c>
      <c r="F1845">
        <v>1</v>
      </c>
      <c r="G1845" t="s">
        <v>1472</v>
      </c>
      <c r="H1845" t="s">
        <v>9</v>
      </c>
      <c r="I1845" t="s">
        <v>622</v>
      </c>
      <c r="J1845" t="s">
        <v>585</v>
      </c>
    </row>
    <row r="1846" spans="1:10">
      <c r="A1846">
        <v>51845</v>
      </c>
      <c r="B1846">
        <v>31067</v>
      </c>
      <c r="C1846" t="s">
        <v>626</v>
      </c>
      <c r="D1846">
        <v>2425</v>
      </c>
      <c r="E1846">
        <v>1012</v>
      </c>
      <c r="F1846">
        <v>2</v>
      </c>
      <c r="G1846" t="s">
        <v>1450</v>
      </c>
      <c r="H1846" t="s">
        <v>9</v>
      </c>
      <c r="I1846" t="s">
        <v>622</v>
      </c>
      <c r="J1846" t="s">
        <v>740</v>
      </c>
    </row>
    <row r="1847" spans="1:10">
      <c r="A1847">
        <v>51846</v>
      </c>
      <c r="B1847">
        <v>31068</v>
      </c>
      <c r="C1847" t="s">
        <v>384</v>
      </c>
      <c r="D1847">
        <v>2574</v>
      </c>
      <c r="E1847">
        <v>1007</v>
      </c>
      <c r="F1847">
        <v>2</v>
      </c>
      <c r="G1847" t="s">
        <v>1455</v>
      </c>
      <c r="H1847" t="s">
        <v>16</v>
      </c>
      <c r="I1847" t="s">
        <v>1283</v>
      </c>
      <c r="J1847" t="s">
        <v>1421</v>
      </c>
    </row>
    <row r="1848" spans="1:10">
      <c r="A1848">
        <v>51847</v>
      </c>
      <c r="B1848">
        <v>31069</v>
      </c>
      <c r="C1848" t="s">
        <v>1232</v>
      </c>
      <c r="D1848">
        <v>2207</v>
      </c>
      <c r="E1848">
        <v>1009</v>
      </c>
      <c r="F1848">
        <v>1</v>
      </c>
      <c r="G1848" t="s">
        <v>1473</v>
      </c>
      <c r="H1848" t="s">
        <v>9</v>
      </c>
      <c r="I1848" t="s">
        <v>1313</v>
      </c>
      <c r="J1848" t="s">
        <v>255</v>
      </c>
    </row>
    <row r="1849" spans="1:10">
      <c r="A1849">
        <v>51848</v>
      </c>
      <c r="B1849">
        <v>31069</v>
      </c>
      <c r="C1849" t="s">
        <v>1137</v>
      </c>
      <c r="D1849">
        <v>2207</v>
      </c>
      <c r="E1849">
        <v>1003</v>
      </c>
      <c r="F1849">
        <v>1</v>
      </c>
      <c r="G1849" t="s">
        <v>1471</v>
      </c>
      <c r="H1849" t="s">
        <v>9</v>
      </c>
      <c r="I1849" t="s">
        <v>506</v>
      </c>
      <c r="J1849" t="s">
        <v>1304</v>
      </c>
    </row>
    <row r="1850" spans="1:10">
      <c r="A1850">
        <v>51849</v>
      </c>
      <c r="B1850">
        <v>31070</v>
      </c>
      <c r="C1850" t="s">
        <v>981</v>
      </c>
      <c r="D1850">
        <v>2316</v>
      </c>
      <c r="E1850">
        <v>1011</v>
      </c>
      <c r="F1850">
        <v>1</v>
      </c>
      <c r="G1850" t="s">
        <v>1472</v>
      </c>
      <c r="H1850" t="s">
        <v>1495</v>
      </c>
      <c r="I1850" t="s">
        <v>156</v>
      </c>
      <c r="J1850" t="s">
        <v>1179</v>
      </c>
    </row>
    <row r="1851" spans="1:10">
      <c r="A1851">
        <v>51850</v>
      </c>
      <c r="B1851">
        <v>31070</v>
      </c>
      <c r="C1851" t="s">
        <v>76</v>
      </c>
      <c r="D1851">
        <v>2316</v>
      </c>
      <c r="E1851">
        <v>1001</v>
      </c>
      <c r="F1851">
        <v>1</v>
      </c>
      <c r="G1851" t="s">
        <v>1469</v>
      </c>
      <c r="H1851" t="s">
        <v>9</v>
      </c>
      <c r="I1851" t="s">
        <v>982</v>
      </c>
      <c r="J1851" t="s">
        <v>821</v>
      </c>
    </row>
    <row r="1852" spans="1:10">
      <c r="A1852">
        <v>51851</v>
      </c>
      <c r="B1852">
        <v>31071</v>
      </c>
      <c r="C1852" t="s">
        <v>1268</v>
      </c>
      <c r="D1852">
        <v>2117</v>
      </c>
      <c r="E1852">
        <v>1011</v>
      </c>
      <c r="F1852">
        <v>3</v>
      </c>
      <c r="G1852" t="s">
        <v>1454</v>
      </c>
      <c r="H1852" t="s">
        <v>9</v>
      </c>
      <c r="I1852" t="s">
        <v>1145</v>
      </c>
      <c r="J1852" t="s">
        <v>426</v>
      </c>
    </row>
    <row r="1853" spans="1:10">
      <c r="A1853">
        <v>51852</v>
      </c>
      <c r="B1853">
        <v>31072</v>
      </c>
      <c r="C1853" t="s">
        <v>321</v>
      </c>
      <c r="D1853">
        <v>2406</v>
      </c>
      <c r="E1853">
        <v>1001</v>
      </c>
      <c r="F1853">
        <v>2</v>
      </c>
      <c r="G1853" t="s">
        <v>1460</v>
      </c>
      <c r="H1853" t="s">
        <v>9</v>
      </c>
      <c r="I1853" t="s">
        <v>664</v>
      </c>
      <c r="J1853" t="s">
        <v>308</v>
      </c>
    </row>
    <row r="1854" spans="1:10">
      <c r="A1854">
        <v>51853</v>
      </c>
      <c r="B1854">
        <v>31072</v>
      </c>
      <c r="C1854" t="s">
        <v>535</v>
      </c>
      <c r="D1854">
        <v>2406</v>
      </c>
      <c r="E1854">
        <v>1006</v>
      </c>
      <c r="F1854">
        <v>2</v>
      </c>
      <c r="G1854" t="s">
        <v>1501</v>
      </c>
      <c r="H1854" t="s">
        <v>9</v>
      </c>
      <c r="I1854" t="s">
        <v>845</v>
      </c>
      <c r="J1854" t="s">
        <v>663</v>
      </c>
    </row>
    <row r="1855" spans="1:10">
      <c r="A1855">
        <v>51854</v>
      </c>
      <c r="B1855">
        <v>31072</v>
      </c>
      <c r="C1855" t="s">
        <v>511</v>
      </c>
      <c r="D1855">
        <v>2406</v>
      </c>
      <c r="E1855">
        <v>1007</v>
      </c>
      <c r="F1855">
        <v>1</v>
      </c>
      <c r="G1855" t="s">
        <v>1453</v>
      </c>
      <c r="H1855" t="s">
        <v>9</v>
      </c>
      <c r="I1855" t="s">
        <v>1036</v>
      </c>
      <c r="J1855" t="s">
        <v>709</v>
      </c>
    </row>
    <row r="1856" spans="1:10">
      <c r="A1856">
        <v>51855</v>
      </c>
      <c r="B1856">
        <v>31073</v>
      </c>
      <c r="C1856" t="s">
        <v>419</v>
      </c>
      <c r="D1856">
        <v>2339</v>
      </c>
      <c r="E1856">
        <v>1016</v>
      </c>
      <c r="F1856">
        <v>3</v>
      </c>
      <c r="G1856" t="s">
        <v>1484</v>
      </c>
      <c r="H1856" t="s">
        <v>16</v>
      </c>
      <c r="I1856" t="s">
        <v>1421</v>
      </c>
      <c r="J1856" t="s">
        <v>1421</v>
      </c>
    </row>
    <row r="1857" spans="1:10">
      <c r="A1857">
        <v>51856</v>
      </c>
      <c r="B1857">
        <v>31074</v>
      </c>
      <c r="C1857" t="s">
        <v>411</v>
      </c>
      <c r="D1857">
        <v>2037</v>
      </c>
      <c r="E1857">
        <v>1016</v>
      </c>
      <c r="F1857">
        <v>1</v>
      </c>
      <c r="G1857" t="s">
        <v>1465</v>
      </c>
      <c r="H1857" t="s">
        <v>9</v>
      </c>
      <c r="I1857" t="s">
        <v>722</v>
      </c>
      <c r="J1857" t="s">
        <v>1242</v>
      </c>
    </row>
    <row r="1858" spans="1:10">
      <c r="A1858">
        <v>51857</v>
      </c>
      <c r="B1858">
        <v>31075</v>
      </c>
      <c r="C1858" t="s">
        <v>1199</v>
      </c>
      <c r="D1858">
        <v>2160</v>
      </c>
      <c r="E1858">
        <v>1011</v>
      </c>
      <c r="F1858">
        <v>1</v>
      </c>
      <c r="G1858" t="s">
        <v>1472</v>
      </c>
      <c r="H1858" t="s">
        <v>9</v>
      </c>
      <c r="I1858" t="s">
        <v>1033</v>
      </c>
      <c r="J1858" t="s">
        <v>1087</v>
      </c>
    </row>
    <row r="1859" spans="1:10">
      <c r="A1859">
        <v>51858</v>
      </c>
      <c r="B1859">
        <v>31075</v>
      </c>
      <c r="C1859" t="s">
        <v>999</v>
      </c>
      <c r="D1859">
        <v>2160</v>
      </c>
      <c r="E1859">
        <v>1015</v>
      </c>
      <c r="F1859">
        <v>2</v>
      </c>
      <c r="G1859" t="s">
        <v>1488</v>
      </c>
      <c r="H1859" t="s">
        <v>9</v>
      </c>
      <c r="I1859" t="s">
        <v>549</v>
      </c>
      <c r="J1859" t="s">
        <v>394</v>
      </c>
    </row>
    <row r="1860" spans="1:10">
      <c r="A1860">
        <v>51859</v>
      </c>
      <c r="B1860">
        <v>31075</v>
      </c>
      <c r="C1860" t="s">
        <v>97</v>
      </c>
      <c r="D1860">
        <v>2160</v>
      </c>
      <c r="E1860">
        <v>1014</v>
      </c>
      <c r="F1860">
        <v>1</v>
      </c>
      <c r="G1860" t="s">
        <v>1463</v>
      </c>
      <c r="H1860" t="s">
        <v>9</v>
      </c>
      <c r="I1860" t="s">
        <v>447</v>
      </c>
      <c r="J1860" t="s">
        <v>1301</v>
      </c>
    </row>
    <row r="1861" spans="1:10">
      <c r="A1861">
        <v>51860</v>
      </c>
      <c r="B1861">
        <v>31076</v>
      </c>
      <c r="C1861" t="s">
        <v>540</v>
      </c>
      <c r="D1861">
        <v>2058</v>
      </c>
      <c r="E1861">
        <v>1010</v>
      </c>
      <c r="F1861">
        <v>1</v>
      </c>
      <c r="G1861" t="s">
        <v>1468</v>
      </c>
      <c r="H1861" t="s">
        <v>16</v>
      </c>
      <c r="I1861" t="s">
        <v>1421</v>
      </c>
      <c r="J1861" t="s">
        <v>1421</v>
      </c>
    </row>
    <row r="1862" spans="1:10">
      <c r="A1862">
        <v>51861</v>
      </c>
      <c r="B1862">
        <v>31077</v>
      </c>
      <c r="C1862" t="s">
        <v>291</v>
      </c>
      <c r="D1862">
        <v>2324</v>
      </c>
      <c r="E1862">
        <v>1001</v>
      </c>
      <c r="F1862">
        <v>3</v>
      </c>
      <c r="G1862" t="s">
        <v>1515</v>
      </c>
      <c r="H1862" t="s">
        <v>9</v>
      </c>
      <c r="I1862" t="s">
        <v>292</v>
      </c>
      <c r="J1862" t="s">
        <v>440</v>
      </c>
    </row>
    <row r="1863" spans="1:10">
      <c r="A1863">
        <v>51862</v>
      </c>
      <c r="B1863">
        <v>31078</v>
      </c>
      <c r="C1863" t="s">
        <v>1245</v>
      </c>
      <c r="D1863">
        <v>2214</v>
      </c>
      <c r="E1863">
        <v>1011</v>
      </c>
      <c r="F1863">
        <v>1</v>
      </c>
      <c r="G1863" t="s">
        <v>1472</v>
      </c>
      <c r="H1863" t="s">
        <v>9</v>
      </c>
      <c r="I1863" t="s">
        <v>811</v>
      </c>
      <c r="J1863" t="s">
        <v>572</v>
      </c>
    </row>
    <row r="1864" spans="1:10">
      <c r="A1864">
        <v>51863</v>
      </c>
      <c r="B1864">
        <v>31078</v>
      </c>
      <c r="C1864" t="s">
        <v>223</v>
      </c>
      <c r="D1864">
        <v>2214</v>
      </c>
      <c r="E1864">
        <v>1012</v>
      </c>
      <c r="F1864">
        <v>1</v>
      </c>
      <c r="G1864" t="s">
        <v>1449</v>
      </c>
      <c r="H1864" t="s">
        <v>9</v>
      </c>
      <c r="I1864" t="s">
        <v>811</v>
      </c>
      <c r="J1864" t="s">
        <v>478</v>
      </c>
    </row>
    <row r="1865" spans="1:10">
      <c r="A1865">
        <v>51864</v>
      </c>
      <c r="B1865">
        <v>31078</v>
      </c>
      <c r="C1865" t="s">
        <v>292</v>
      </c>
      <c r="D1865">
        <v>2214</v>
      </c>
      <c r="E1865">
        <v>1003</v>
      </c>
      <c r="F1865">
        <v>3</v>
      </c>
      <c r="G1865" t="s">
        <v>1507</v>
      </c>
      <c r="H1865" t="s">
        <v>9</v>
      </c>
      <c r="I1865" t="s">
        <v>439</v>
      </c>
      <c r="J1865" t="s">
        <v>797</v>
      </c>
    </row>
    <row r="1866" spans="1:10">
      <c r="A1866">
        <v>51865</v>
      </c>
      <c r="B1866">
        <v>31078</v>
      </c>
      <c r="C1866" t="s">
        <v>1245</v>
      </c>
      <c r="D1866">
        <v>2214</v>
      </c>
      <c r="E1866">
        <v>1005</v>
      </c>
      <c r="F1866">
        <v>1</v>
      </c>
      <c r="G1866" t="s">
        <v>1456</v>
      </c>
      <c r="H1866" t="s">
        <v>9</v>
      </c>
      <c r="I1866" t="s">
        <v>811</v>
      </c>
      <c r="J1866" t="s">
        <v>573</v>
      </c>
    </row>
    <row r="1867" spans="1:10">
      <c r="A1867">
        <v>51866</v>
      </c>
      <c r="B1867">
        <v>31079</v>
      </c>
      <c r="C1867" t="s">
        <v>1159</v>
      </c>
      <c r="D1867">
        <v>2288</v>
      </c>
      <c r="E1867">
        <v>1011</v>
      </c>
      <c r="F1867">
        <v>1</v>
      </c>
      <c r="G1867" t="s">
        <v>1472</v>
      </c>
      <c r="H1867" t="s">
        <v>16</v>
      </c>
      <c r="I1867" t="s">
        <v>1421</v>
      </c>
      <c r="J1867" t="s">
        <v>1421</v>
      </c>
    </row>
    <row r="1868" spans="1:10">
      <c r="A1868">
        <v>51867</v>
      </c>
      <c r="B1868">
        <v>31080</v>
      </c>
      <c r="C1868" t="s">
        <v>1042</v>
      </c>
      <c r="D1868">
        <v>2548</v>
      </c>
      <c r="E1868">
        <v>1013</v>
      </c>
      <c r="F1868">
        <v>1</v>
      </c>
      <c r="G1868" t="s">
        <v>1474</v>
      </c>
      <c r="H1868" t="s">
        <v>16</v>
      </c>
      <c r="I1868" t="s">
        <v>733</v>
      </c>
      <c r="J1868" t="s">
        <v>1421</v>
      </c>
    </row>
    <row r="1869" spans="1:10">
      <c r="A1869">
        <v>51868</v>
      </c>
      <c r="B1869">
        <v>31081</v>
      </c>
      <c r="C1869" t="s">
        <v>808</v>
      </c>
      <c r="D1869">
        <v>2120</v>
      </c>
      <c r="E1869">
        <v>1010</v>
      </c>
      <c r="F1869">
        <v>1</v>
      </c>
      <c r="G1869" t="s">
        <v>1468</v>
      </c>
      <c r="H1869" t="s">
        <v>12</v>
      </c>
      <c r="I1869" t="s">
        <v>1421</v>
      </c>
      <c r="J1869" t="s">
        <v>1421</v>
      </c>
    </row>
    <row r="1870" spans="1:10">
      <c r="A1870">
        <v>51869</v>
      </c>
      <c r="B1870">
        <v>31081</v>
      </c>
      <c r="C1870" t="s">
        <v>989</v>
      </c>
      <c r="D1870">
        <v>2120</v>
      </c>
      <c r="E1870">
        <v>1011</v>
      </c>
      <c r="F1870">
        <v>2</v>
      </c>
      <c r="G1870" t="s">
        <v>1487</v>
      </c>
      <c r="H1870" t="s">
        <v>12</v>
      </c>
      <c r="I1870" t="s">
        <v>1421</v>
      </c>
      <c r="J1870" t="s">
        <v>1421</v>
      </c>
    </row>
    <row r="1871" spans="1:10">
      <c r="A1871">
        <v>51870</v>
      </c>
      <c r="B1871">
        <v>31081</v>
      </c>
      <c r="C1871" t="s">
        <v>989</v>
      </c>
      <c r="D1871">
        <v>2120</v>
      </c>
      <c r="E1871">
        <v>1002</v>
      </c>
      <c r="F1871">
        <v>1</v>
      </c>
      <c r="G1871" t="s">
        <v>1466</v>
      </c>
      <c r="H1871" t="s">
        <v>12</v>
      </c>
      <c r="I1871" t="s">
        <v>1421</v>
      </c>
      <c r="J1871" t="s">
        <v>1421</v>
      </c>
    </row>
    <row r="1872" spans="1:10">
      <c r="A1872">
        <v>51871</v>
      </c>
      <c r="B1872">
        <v>31082</v>
      </c>
      <c r="C1872" t="s">
        <v>691</v>
      </c>
      <c r="D1872">
        <v>2279</v>
      </c>
      <c r="E1872">
        <v>1016</v>
      </c>
      <c r="F1872">
        <v>1</v>
      </c>
      <c r="G1872" t="s">
        <v>1465</v>
      </c>
      <c r="H1872" t="s">
        <v>9</v>
      </c>
      <c r="I1872" t="s">
        <v>693</v>
      </c>
      <c r="J1872" t="s">
        <v>204</v>
      </c>
    </row>
    <row r="1873" spans="1:10">
      <c r="A1873">
        <v>51872</v>
      </c>
      <c r="B1873">
        <v>31083</v>
      </c>
      <c r="C1873" t="s">
        <v>898</v>
      </c>
      <c r="D1873">
        <v>2244</v>
      </c>
      <c r="E1873">
        <v>1010</v>
      </c>
      <c r="F1873">
        <v>1</v>
      </c>
      <c r="G1873" t="s">
        <v>1468</v>
      </c>
      <c r="H1873" t="s">
        <v>9</v>
      </c>
      <c r="I1873" t="s">
        <v>268</v>
      </c>
      <c r="J1873" t="s">
        <v>588</v>
      </c>
    </row>
    <row r="1874" spans="1:10">
      <c r="A1874">
        <v>51873</v>
      </c>
      <c r="B1874">
        <v>31084</v>
      </c>
      <c r="C1874" t="s">
        <v>347</v>
      </c>
      <c r="D1874">
        <v>2222</v>
      </c>
      <c r="E1874">
        <v>1006</v>
      </c>
      <c r="F1874">
        <v>1</v>
      </c>
      <c r="G1874" t="s">
        <v>1459</v>
      </c>
      <c r="H1874" t="s">
        <v>9</v>
      </c>
      <c r="I1874" t="s">
        <v>1306</v>
      </c>
      <c r="J1874" t="s">
        <v>175</v>
      </c>
    </row>
    <row r="1875" spans="1:10">
      <c r="A1875">
        <v>51874</v>
      </c>
      <c r="B1875">
        <v>31085</v>
      </c>
      <c r="C1875" t="s">
        <v>462</v>
      </c>
      <c r="D1875">
        <v>2115</v>
      </c>
      <c r="E1875">
        <v>1002</v>
      </c>
      <c r="F1875">
        <v>1</v>
      </c>
      <c r="G1875" t="s">
        <v>1466</v>
      </c>
      <c r="H1875" t="s">
        <v>9</v>
      </c>
      <c r="I1875" t="s">
        <v>1022</v>
      </c>
      <c r="J1875" t="s">
        <v>300</v>
      </c>
    </row>
    <row r="1876" spans="1:10">
      <c r="A1876">
        <v>51875</v>
      </c>
      <c r="B1876">
        <v>31085</v>
      </c>
      <c r="C1876" t="s">
        <v>462</v>
      </c>
      <c r="D1876">
        <v>2115</v>
      </c>
      <c r="E1876">
        <v>1007</v>
      </c>
      <c r="F1876">
        <v>1</v>
      </c>
      <c r="G1876" t="s">
        <v>1453</v>
      </c>
      <c r="H1876" t="s">
        <v>9</v>
      </c>
      <c r="I1876" t="s">
        <v>739</v>
      </c>
      <c r="J1876" t="s">
        <v>1034</v>
      </c>
    </row>
    <row r="1877" spans="1:10">
      <c r="A1877">
        <v>51876</v>
      </c>
      <c r="B1877">
        <v>31086</v>
      </c>
      <c r="C1877" t="s">
        <v>307</v>
      </c>
      <c r="D1877">
        <v>2095</v>
      </c>
      <c r="E1877">
        <v>1001</v>
      </c>
      <c r="F1877">
        <v>2</v>
      </c>
      <c r="G1877" t="s">
        <v>1460</v>
      </c>
      <c r="H1877" t="s">
        <v>9</v>
      </c>
      <c r="I1877" t="s">
        <v>704</v>
      </c>
      <c r="J1877" t="s">
        <v>1314</v>
      </c>
    </row>
    <row r="1878" spans="1:10">
      <c r="A1878">
        <v>51877</v>
      </c>
      <c r="B1878">
        <v>31087</v>
      </c>
      <c r="C1878" t="s">
        <v>459</v>
      </c>
      <c r="D1878">
        <v>2495</v>
      </c>
      <c r="E1878">
        <v>1005</v>
      </c>
      <c r="F1878">
        <v>1</v>
      </c>
      <c r="G1878" t="s">
        <v>1456</v>
      </c>
      <c r="H1878" t="s">
        <v>12</v>
      </c>
      <c r="I1878" t="s">
        <v>1421</v>
      </c>
      <c r="J1878" t="s">
        <v>1421</v>
      </c>
    </row>
    <row r="1879" spans="1:10">
      <c r="A1879">
        <v>51878</v>
      </c>
      <c r="B1879">
        <v>31087</v>
      </c>
      <c r="C1879" t="s">
        <v>363</v>
      </c>
      <c r="D1879">
        <v>2495</v>
      </c>
      <c r="E1879">
        <v>1007</v>
      </c>
      <c r="F1879">
        <v>1</v>
      </c>
      <c r="G1879" t="s">
        <v>1453</v>
      </c>
      <c r="H1879" t="s">
        <v>12</v>
      </c>
      <c r="I1879" t="s">
        <v>1421</v>
      </c>
      <c r="J1879" t="s">
        <v>1421</v>
      </c>
    </row>
    <row r="1880" spans="1:10">
      <c r="A1880">
        <v>51879</v>
      </c>
      <c r="B1880">
        <v>31087</v>
      </c>
      <c r="C1880" t="s">
        <v>363</v>
      </c>
      <c r="D1880">
        <v>2495</v>
      </c>
      <c r="E1880">
        <v>1011</v>
      </c>
      <c r="F1880">
        <v>2</v>
      </c>
      <c r="G1880" t="s">
        <v>1487</v>
      </c>
      <c r="H1880" t="s">
        <v>12</v>
      </c>
      <c r="I1880" t="s">
        <v>1421</v>
      </c>
      <c r="J1880" t="s">
        <v>1421</v>
      </c>
    </row>
    <row r="1881" spans="1:10">
      <c r="A1881">
        <v>51880</v>
      </c>
      <c r="B1881">
        <v>31088</v>
      </c>
      <c r="C1881" t="s">
        <v>1099</v>
      </c>
      <c r="D1881">
        <v>2496</v>
      </c>
      <c r="E1881">
        <v>1010</v>
      </c>
      <c r="F1881">
        <v>5</v>
      </c>
      <c r="G1881" t="s">
        <v>1497</v>
      </c>
      <c r="H1881" t="s">
        <v>9</v>
      </c>
      <c r="I1881" t="s">
        <v>575</v>
      </c>
      <c r="J1881" t="s">
        <v>664</v>
      </c>
    </row>
    <row r="1882" spans="1:10">
      <c r="A1882">
        <v>51881</v>
      </c>
      <c r="B1882">
        <v>31089</v>
      </c>
      <c r="C1882" t="s">
        <v>642</v>
      </c>
      <c r="D1882">
        <v>2336</v>
      </c>
      <c r="E1882">
        <v>1004</v>
      </c>
      <c r="F1882">
        <v>2</v>
      </c>
      <c r="G1882" t="s">
        <v>1476</v>
      </c>
      <c r="H1882" t="s">
        <v>9</v>
      </c>
      <c r="I1882" t="s">
        <v>959</v>
      </c>
      <c r="J1882" t="s">
        <v>976</v>
      </c>
    </row>
    <row r="1883" spans="1:10">
      <c r="A1883">
        <v>51882</v>
      </c>
      <c r="B1883">
        <v>31089</v>
      </c>
      <c r="C1883" t="s">
        <v>159</v>
      </c>
      <c r="D1883">
        <v>2336</v>
      </c>
      <c r="E1883">
        <v>1005</v>
      </c>
      <c r="F1883">
        <v>3</v>
      </c>
      <c r="G1883" t="s">
        <v>1498</v>
      </c>
      <c r="H1883" t="s">
        <v>9</v>
      </c>
      <c r="I1883" t="s">
        <v>1028</v>
      </c>
      <c r="J1883" t="s">
        <v>1296</v>
      </c>
    </row>
    <row r="1884" spans="1:10">
      <c r="A1884">
        <v>51883</v>
      </c>
      <c r="B1884">
        <v>31090</v>
      </c>
      <c r="C1884" t="s">
        <v>120</v>
      </c>
      <c r="D1884">
        <v>2211</v>
      </c>
      <c r="E1884">
        <v>1015</v>
      </c>
      <c r="F1884">
        <v>2</v>
      </c>
      <c r="G1884" t="s">
        <v>1488</v>
      </c>
      <c r="H1884" t="s">
        <v>9</v>
      </c>
      <c r="I1884" t="s">
        <v>266</v>
      </c>
      <c r="J1884" t="s">
        <v>1208</v>
      </c>
    </row>
    <row r="1885" spans="1:10">
      <c r="A1885">
        <v>51884</v>
      </c>
      <c r="B1885">
        <v>31091</v>
      </c>
      <c r="C1885" t="s">
        <v>631</v>
      </c>
      <c r="D1885">
        <v>2397</v>
      </c>
      <c r="E1885">
        <v>1004</v>
      </c>
      <c r="F1885">
        <v>1</v>
      </c>
      <c r="G1885" t="s">
        <v>1452</v>
      </c>
      <c r="H1885" t="s">
        <v>9</v>
      </c>
      <c r="I1885" t="s">
        <v>1099</v>
      </c>
      <c r="J1885" t="s">
        <v>664</v>
      </c>
    </row>
    <row r="1886" spans="1:10">
      <c r="A1886">
        <v>51885</v>
      </c>
      <c r="B1886">
        <v>31092</v>
      </c>
      <c r="C1886" t="s">
        <v>209</v>
      </c>
      <c r="D1886">
        <v>2005</v>
      </c>
      <c r="E1886">
        <v>1002</v>
      </c>
      <c r="F1886">
        <v>1</v>
      </c>
      <c r="G1886" t="s">
        <v>1466</v>
      </c>
      <c r="H1886" t="s">
        <v>9</v>
      </c>
      <c r="I1886" t="s">
        <v>562</v>
      </c>
      <c r="J1886" t="s">
        <v>1309</v>
      </c>
    </row>
    <row r="1887" spans="1:10">
      <c r="A1887">
        <v>51886</v>
      </c>
      <c r="B1887">
        <v>31092</v>
      </c>
      <c r="C1887" t="s">
        <v>209</v>
      </c>
      <c r="D1887">
        <v>2005</v>
      </c>
      <c r="E1887">
        <v>1003</v>
      </c>
      <c r="F1887">
        <v>2</v>
      </c>
      <c r="G1887" t="s">
        <v>1464</v>
      </c>
      <c r="H1887" t="s">
        <v>9</v>
      </c>
      <c r="I1887" t="s">
        <v>1157</v>
      </c>
      <c r="J1887" t="s">
        <v>462</v>
      </c>
    </row>
    <row r="1888" spans="1:10">
      <c r="A1888">
        <v>51887</v>
      </c>
      <c r="B1888">
        <v>31092</v>
      </c>
      <c r="C1888" t="s">
        <v>1037</v>
      </c>
      <c r="D1888">
        <v>2005</v>
      </c>
      <c r="E1888">
        <v>1011</v>
      </c>
      <c r="F1888">
        <v>1</v>
      </c>
      <c r="G1888" t="s">
        <v>1472</v>
      </c>
      <c r="H1888" t="s">
        <v>9</v>
      </c>
      <c r="I1888" t="s">
        <v>976</v>
      </c>
      <c r="J1888" t="s">
        <v>1119</v>
      </c>
    </row>
    <row r="1889" spans="1:10">
      <c r="A1889">
        <v>51888</v>
      </c>
      <c r="B1889">
        <v>31093</v>
      </c>
      <c r="C1889" t="s">
        <v>377</v>
      </c>
      <c r="D1889">
        <v>2479</v>
      </c>
      <c r="E1889">
        <v>1004</v>
      </c>
      <c r="F1889">
        <v>2</v>
      </c>
      <c r="G1889" t="s">
        <v>1476</v>
      </c>
      <c r="H1889" t="s">
        <v>12</v>
      </c>
      <c r="I1889" t="s">
        <v>1421</v>
      </c>
      <c r="J1889" t="s">
        <v>1421</v>
      </c>
    </row>
    <row r="1890" spans="1:10">
      <c r="A1890">
        <v>51889</v>
      </c>
      <c r="B1890">
        <v>31093</v>
      </c>
      <c r="C1890" t="s">
        <v>453</v>
      </c>
      <c r="D1890">
        <v>2479</v>
      </c>
      <c r="E1890">
        <v>1010</v>
      </c>
      <c r="F1890">
        <v>1</v>
      </c>
      <c r="G1890" t="s">
        <v>1468</v>
      </c>
      <c r="H1890" t="s">
        <v>12</v>
      </c>
      <c r="I1890" t="s">
        <v>1421</v>
      </c>
      <c r="J1890" t="s">
        <v>1421</v>
      </c>
    </row>
    <row r="1891" spans="1:10">
      <c r="A1891">
        <v>51890</v>
      </c>
      <c r="B1891">
        <v>31094</v>
      </c>
      <c r="C1891" t="s">
        <v>54</v>
      </c>
      <c r="D1891">
        <v>2024</v>
      </c>
      <c r="E1891">
        <v>1010</v>
      </c>
      <c r="F1891">
        <v>1</v>
      </c>
      <c r="G1891" t="s">
        <v>1468</v>
      </c>
      <c r="H1891" t="s">
        <v>9</v>
      </c>
      <c r="I1891" t="s">
        <v>168</v>
      </c>
      <c r="J1891" t="s">
        <v>502</v>
      </c>
    </row>
    <row r="1892" spans="1:10">
      <c r="A1892">
        <v>51891</v>
      </c>
      <c r="B1892">
        <v>31094</v>
      </c>
      <c r="C1892" t="s">
        <v>54</v>
      </c>
      <c r="D1892">
        <v>2024</v>
      </c>
      <c r="E1892">
        <v>1007</v>
      </c>
      <c r="F1892">
        <v>1</v>
      </c>
      <c r="G1892" t="s">
        <v>1453</v>
      </c>
      <c r="H1892" t="s">
        <v>9</v>
      </c>
      <c r="I1892" t="s">
        <v>250</v>
      </c>
      <c r="J1892" t="s">
        <v>468</v>
      </c>
    </row>
    <row r="1893" spans="1:10">
      <c r="A1893">
        <v>51892</v>
      </c>
      <c r="B1893">
        <v>31095</v>
      </c>
      <c r="C1893" t="s">
        <v>524</v>
      </c>
      <c r="D1893">
        <v>2329</v>
      </c>
      <c r="E1893">
        <v>1010</v>
      </c>
      <c r="F1893">
        <v>1</v>
      </c>
      <c r="G1893" t="s">
        <v>1468</v>
      </c>
      <c r="H1893" t="s">
        <v>9</v>
      </c>
      <c r="I1893" t="s">
        <v>642</v>
      </c>
      <c r="J1893" t="s">
        <v>787</v>
      </c>
    </row>
    <row r="1894" spans="1:10">
      <c r="A1894">
        <v>51893</v>
      </c>
      <c r="B1894">
        <v>31096</v>
      </c>
      <c r="C1894" t="s">
        <v>793</v>
      </c>
      <c r="D1894">
        <v>2284</v>
      </c>
      <c r="E1894">
        <v>1015</v>
      </c>
      <c r="F1894">
        <v>1</v>
      </c>
      <c r="G1894" t="s">
        <v>1478</v>
      </c>
      <c r="H1894" t="s">
        <v>9</v>
      </c>
      <c r="I1894" t="s">
        <v>370</v>
      </c>
      <c r="J1894" t="s">
        <v>1165</v>
      </c>
    </row>
    <row r="1895" spans="1:10">
      <c r="A1895">
        <v>51894</v>
      </c>
      <c r="B1895">
        <v>31096</v>
      </c>
      <c r="C1895" t="s">
        <v>373</v>
      </c>
      <c r="D1895">
        <v>2284</v>
      </c>
      <c r="E1895">
        <v>1004</v>
      </c>
      <c r="F1895">
        <v>1</v>
      </c>
      <c r="G1895" t="s">
        <v>1452</v>
      </c>
      <c r="H1895" t="s">
        <v>9</v>
      </c>
      <c r="I1895" t="s">
        <v>357</v>
      </c>
      <c r="J1895" t="s">
        <v>433</v>
      </c>
    </row>
    <row r="1896" spans="1:10">
      <c r="A1896">
        <v>51895</v>
      </c>
      <c r="B1896">
        <v>31096</v>
      </c>
      <c r="C1896" t="s">
        <v>793</v>
      </c>
      <c r="D1896">
        <v>2284</v>
      </c>
      <c r="E1896">
        <v>1009</v>
      </c>
      <c r="F1896">
        <v>3</v>
      </c>
      <c r="G1896" t="s">
        <v>1461</v>
      </c>
      <c r="H1896" t="s">
        <v>9</v>
      </c>
      <c r="I1896" t="s">
        <v>952</v>
      </c>
      <c r="J1896" t="s">
        <v>789</v>
      </c>
    </row>
    <row r="1897" spans="1:10">
      <c r="A1897">
        <v>51896</v>
      </c>
      <c r="B1897">
        <v>31096</v>
      </c>
      <c r="C1897" t="s">
        <v>247</v>
      </c>
      <c r="D1897">
        <v>2284</v>
      </c>
      <c r="E1897">
        <v>1005</v>
      </c>
      <c r="F1897">
        <v>1</v>
      </c>
      <c r="G1897" t="s">
        <v>1456</v>
      </c>
      <c r="H1897" t="s">
        <v>9</v>
      </c>
      <c r="I1897" t="s">
        <v>952</v>
      </c>
      <c r="J1897" t="s">
        <v>221</v>
      </c>
    </row>
    <row r="1898" spans="1:10">
      <c r="A1898">
        <v>51897</v>
      </c>
      <c r="B1898">
        <v>31097</v>
      </c>
      <c r="C1898" t="s">
        <v>658</v>
      </c>
      <c r="D1898">
        <v>2162</v>
      </c>
      <c r="E1898">
        <v>1001</v>
      </c>
      <c r="F1898">
        <v>3</v>
      </c>
      <c r="G1898" t="s">
        <v>1515</v>
      </c>
      <c r="H1898" t="s">
        <v>1457</v>
      </c>
      <c r="I1898" t="s">
        <v>1305</v>
      </c>
      <c r="J1898" t="s">
        <v>897</v>
      </c>
    </row>
    <row r="1899" spans="1:10">
      <c r="A1899">
        <v>51898</v>
      </c>
      <c r="B1899">
        <v>31098</v>
      </c>
      <c r="C1899" t="s">
        <v>720</v>
      </c>
      <c r="D1899">
        <v>2574</v>
      </c>
      <c r="E1899">
        <v>1007</v>
      </c>
      <c r="F1899">
        <v>4</v>
      </c>
      <c r="G1899" t="s">
        <v>1504</v>
      </c>
      <c r="H1899" t="s">
        <v>9</v>
      </c>
      <c r="I1899" t="s">
        <v>656</v>
      </c>
      <c r="J1899" t="s">
        <v>718</v>
      </c>
    </row>
    <row r="1900" spans="1:10">
      <c r="A1900">
        <v>51899</v>
      </c>
      <c r="B1900">
        <v>31099</v>
      </c>
      <c r="C1900" t="s">
        <v>568</v>
      </c>
      <c r="D1900">
        <v>2556</v>
      </c>
      <c r="E1900">
        <v>1011</v>
      </c>
      <c r="F1900">
        <v>3</v>
      </c>
      <c r="G1900" t="s">
        <v>1454</v>
      </c>
      <c r="H1900" t="s">
        <v>1462</v>
      </c>
      <c r="I1900" t="s">
        <v>818</v>
      </c>
      <c r="J1900" t="s">
        <v>1043</v>
      </c>
    </row>
    <row r="1901" spans="1:10">
      <c r="A1901">
        <v>51900</v>
      </c>
      <c r="B1901">
        <v>31099</v>
      </c>
      <c r="C1901" t="s">
        <v>362</v>
      </c>
      <c r="D1901">
        <v>2556</v>
      </c>
      <c r="E1901">
        <v>1009</v>
      </c>
      <c r="F1901">
        <v>3</v>
      </c>
      <c r="G1901" t="s">
        <v>1461</v>
      </c>
      <c r="H1901" t="s">
        <v>9</v>
      </c>
      <c r="I1901" t="s">
        <v>395</v>
      </c>
      <c r="J1901" t="s">
        <v>799</v>
      </c>
    </row>
    <row r="1902" spans="1:10">
      <c r="A1902">
        <v>51901</v>
      </c>
      <c r="B1902">
        <v>31099</v>
      </c>
      <c r="C1902" t="s">
        <v>736</v>
      </c>
      <c r="D1902">
        <v>2556</v>
      </c>
      <c r="E1902">
        <v>1005</v>
      </c>
      <c r="F1902">
        <v>2</v>
      </c>
      <c r="G1902" t="s">
        <v>1458</v>
      </c>
      <c r="H1902" t="s">
        <v>9</v>
      </c>
      <c r="I1902" t="s">
        <v>542</v>
      </c>
      <c r="J1902" t="s">
        <v>797</v>
      </c>
    </row>
    <row r="1903" spans="1:10">
      <c r="A1903">
        <v>51902</v>
      </c>
      <c r="B1903">
        <v>31100</v>
      </c>
      <c r="C1903" t="s">
        <v>1127</v>
      </c>
      <c r="D1903">
        <v>2291</v>
      </c>
      <c r="E1903">
        <v>1006</v>
      </c>
      <c r="F1903">
        <v>1</v>
      </c>
      <c r="G1903" t="s">
        <v>1459</v>
      </c>
      <c r="H1903" t="s">
        <v>1457</v>
      </c>
      <c r="I1903" t="s">
        <v>180</v>
      </c>
      <c r="J1903" t="s">
        <v>913</v>
      </c>
    </row>
    <row r="1904" spans="1:10">
      <c r="A1904">
        <v>51903</v>
      </c>
      <c r="B1904">
        <v>31101</v>
      </c>
      <c r="C1904" t="s">
        <v>361</v>
      </c>
      <c r="D1904">
        <v>2073</v>
      </c>
      <c r="E1904">
        <v>1011</v>
      </c>
      <c r="F1904">
        <v>2</v>
      </c>
      <c r="G1904" t="s">
        <v>1487</v>
      </c>
      <c r="H1904" t="s">
        <v>9</v>
      </c>
      <c r="I1904" t="s">
        <v>1241</v>
      </c>
      <c r="J1904" t="s">
        <v>1135</v>
      </c>
    </row>
    <row r="1905" spans="1:10">
      <c r="A1905">
        <v>51904</v>
      </c>
      <c r="B1905">
        <v>31102</v>
      </c>
      <c r="C1905" t="s">
        <v>305</v>
      </c>
      <c r="D1905">
        <v>2554</v>
      </c>
      <c r="E1905">
        <v>1005</v>
      </c>
      <c r="F1905">
        <v>4</v>
      </c>
      <c r="G1905" t="s">
        <v>1480</v>
      </c>
      <c r="H1905" t="s">
        <v>9</v>
      </c>
      <c r="I1905" t="s">
        <v>303</v>
      </c>
      <c r="J1905" t="s">
        <v>542</v>
      </c>
    </row>
    <row r="1906" spans="1:10">
      <c r="A1906">
        <v>51905</v>
      </c>
      <c r="B1906">
        <v>31102</v>
      </c>
      <c r="C1906" t="s">
        <v>48</v>
      </c>
      <c r="D1906">
        <v>2554</v>
      </c>
      <c r="E1906">
        <v>1001</v>
      </c>
      <c r="F1906">
        <v>1</v>
      </c>
      <c r="G1906" t="s">
        <v>1469</v>
      </c>
      <c r="H1906" t="s">
        <v>9</v>
      </c>
      <c r="I1906" t="s">
        <v>303</v>
      </c>
      <c r="J1906" t="s">
        <v>502</v>
      </c>
    </row>
    <row r="1907" spans="1:10">
      <c r="A1907">
        <v>51906</v>
      </c>
      <c r="B1907">
        <v>31102</v>
      </c>
      <c r="C1907" t="s">
        <v>302</v>
      </c>
      <c r="D1907">
        <v>2554</v>
      </c>
      <c r="E1907">
        <v>1016</v>
      </c>
      <c r="F1907">
        <v>2</v>
      </c>
      <c r="G1907" t="s">
        <v>1500</v>
      </c>
      <c r="H1907" t="s">
        <v>1457</v>
      </c>
      <c r="I1907" t="s">
        <v>855</v>
      </c>
      <c r="J1907" t="s">
        <v>539</v>
      </c>
    </row>
    <row r="1908" spans="1:10">
      <c r="A1908">
        <v>51907</v>
      </c>
      <c r="B1908">
        <v>31102</v>
      </c>
      <c r="C1908" t="s">
        <v>679</v>
      </c>
      <c r="D1908">
        <v>2554</v>
      </c>
      <c r="E1908">
        <v>1002</v>
      </c>
      <c r="F1908">
        <v>2</v>
      </c>
      <c r="G1908" t="s">
        <v>1482</v>
      </c>
      <c r="H1908" t="s">
        <v>9</v>
      </c>
      <c r="I1908" t="s">
        <v>855</v>
      </c>
      <c r="J1908" t="s">
        <v>499</v>
      </c>
    </row>
    <row r="1909" spans="1:10">
      <c r="A1909">
        <v>51908</v>
      </c>
      <c r="B1909">
        <v>31103</v>
      </c>
      <c r="C1909" t="s">
        <v>862</v>
      </c>
      <c r="D1909">
        <v>2109</v>
      </c>
      <c r="E1909">
        <v>1003</v>
      </c>
      <c r="F1909">
        <v>2</v>
      </c>
      <c r="G1909" t="s">
        <v>1464</v>
      </c>
      <c r="H1909" t="s">
        <v>9</v>
      </c>
      <c r="I1909" t="s">
        <v>429</v>
      </c>
      <c r="J1909" t="s">
        <v>806</v>
      </c>
    </row>
    <row r="1910" spans="1:10">
      <c r="A1910">
        <v>51909</v>
      </c>
      <c r="B1910">
        <v>31104</v>
      </c>
      <c r="C1910" t="s">
        <v>1049</v>
      </c>
      <c r="D1910">
        <v>2437</v>
      </c>
      <c r="E1910">
        <v>1015</v>
      </c>
      <c r="F1910">
        <v>1</v>
      </c>
      <c r="G1910" t="s">
        <v>1478</v>
      </c>
      <c r="H1910" t="s">
        <v>9</v>
      </c>
      <c r="I1910" t="s">
        <v>686</v>
      </c>
      <c r="J1910" t="s">
        <v>931</v>
      </c>
    </row>
    <row r="1911" spans="1:10">
      <c r="A1911">
        <v>51910</v>
      </c>
      <c r="B1911">
        <v>31105</v>
      </c>
      <c r="C1911" t="s">
        <v>723</v>
      </c>
      <c r="D1911">
        <v>2365</v>
      </c>
      <c r="E1911">
        <v>1007</v>
      </c>
      <c r="F1911">
        <v>1</v>
      </c>
      <c r="G1911" t="s">
        <v>1453</v>
      </c>
      <c r="H1911" t="s">
        <v>9</v>
      </c>
      <c r="I1911" t="s">
        <v>186</v>
      </c>
      <c r="J1911" t="s">
        <v>897</v>
      </c>
    </row>
    <row r="1912" spans="1:10">
      <c r="A1912">
        <v>51911</v>
      </c>
      <c r="B1912">
        <v>31106</v>
      </c>
      <c r="C1912" t="s">
        <v>65</v>
      </c>
      <c r="D1912">
        <v>2547</v>
      </c>
      <c r="E1912">
        <v>1015</v>
      </c>
      <c r="F1912">
        <v>1</v>
      </c>
      <c r="G1912" t="s">
        <v>1478</v>
      </c>
      <c r="H1912" t="s">
        <v>9</v>
      </c>
      <c r="I1912" t="s">
        <v>350</v>
      </c>
      <c r="J1912" t="s">
        <v>911</v>
      </c>
    </row>
    <row r="1913" spans="1:10">
      <c r="A1913">
        <v>51912</v>
      </c>
      <c r="B1913">
        <v>31106</v>
      </c>
      <c r="C1913" t="s">
        <v>508</v>
      </c>
      <c r="D1913">
        <v>2547</v>
      </c>
      <c r="E1913">
        <v>1005</v>
      </c>
      <c r="F1913">
        <v>2</v>
      </c>
      <c r="G1913" t="s">
        <v>1458</v>
      </c>
      <c r="H1913" t="s">
        <v>9</v>
      </c>
      <c r="I1913" t="s">
        <v>435</v>
      </c>
      <c r="J1913" t="s">
        <v>1175</v>
      </c>
    </row>
    <row r="1914" spans="1:10">
      <c r="A1914">
        <v>51913</v>
      </c>
      <c r="B1914">
        <v>31107</v>
      </c>
      <c r="C1914" t="s">
        <v>718</v>
      </c>
      <c r="D1914">
        <v>2096</v>
      </c>
      <c r="E1914">
        <v>1015</v>
      </c>
      <c r="F1914">
        <v>1</v>
      </c>
      <c r="G1914" t="s">
        <v>1478</v>
      </c>
      <c r="H1914" t="s">
        <v>16</v>
      </c>
      <c r="I1914" t="s">
        <v>214</v>
      </c>
      <c r="J1914" t="s">
        <v>1421</v>
      </c>
    </row>
    <row r="1915" spans="1:10">
      <c r="A1915">
        <v>51914</v>
      </c>
      <c r="B1915">
        <v>31107</v>
      </c>
      <c r="C1915" t="s">
        <v>174</v>
      </c>
      <c r="D1915">
        <v>2096</v>
      </c>
      <c r="E1915">
        <v>1010</v>
      </c>
      <c r="F1915">
        <v>3</v>
      </c>
      <c r="G1915" t="s">
        <v>1536</v>
      </c>
      <c r="H1915" t="s">
        <v>16</v>
      </c>
      <c r="I1915" t="s">
        <v>1421</v>
      </c>
      <c r="J1915" t="s">
        <v>1421</v>
      </c>
    </row>
    <row r="1916" spans="1:10">
      <c r="A1916">
        <v>51915</v>
      </c>
      <c r="B1916">
        <v>31107</v>
      </c>
      <c r="C1916" t="s">
        <v>174</v>
      </c>
      <c r="D1916">
        <v>2096</v>
      </c>
      <c r="E1916">
        <v>1015</v>
      </c>
      <c r="F1916">
        <v>1</v>
      </c>
      <c r="G1916" t="s">
        <v>1478</v>
      </c>
      <c r="H1916" t="s">
        <v>16</v>
      </c>
      <c r="I1916" t="s">
        <v>1421</v>
      </c>
      <c r="J1916" t="s">
        <v>1421</v>
      </c>
    </row>
    <row r="1917" spans="1:10">
      <c r="A1917">
        <v>51916</v>
      </c>
      <c r="B1917">
        <v>31108</v>
      </c>
      <c r="C1917" t="s">
        <v>87</v>
      </c>
      <c r="D1917">
        <v>2230</v>
      </c>
      <c r="E1917">
        <v>1009</v>
      </c>
      <c r="F1917">
        <v>2</v>
      </c>
      <c r="G1917" t="s">
        <v>1479</v>
      </c>
      <c r="H1917" t="s">
        <v>9</v>
      </c>
      <c r="I1917" t="s">
        <v>78</v>
      </c>
      <c r="J1917" t="s">
        <v>526</v>
      </c>
    </row>
    <row r="1918" spans="1:10">
      <c r="A1918">
        <v>51917</v>
      </c>
      <c r="B1918">
        <v>31108</v>
      </c>
      <c r="C1918" t="s">
        <v>1202</v>
      </c>
      <c r="D1918">
        <v>2230</v>
      </c>
      <c r="E1918">
        <v>1012</v>
      </c>
      <c r="F1918">
        <v>2</v>
      </c>
      <c r="G1918" t="s">
        <v>1450</v>
      </c>
      <c r="H1918" t="s">
        <v>9</v>
      </c>
      <c r="I1918" t="s">
        <v>760</v>
      </c>
      <c r="J1918" t="s">
        <v>1028</v>
      </c>
    </row>
    <row r="1919" spans="1:10">
      <c r="A1919">
        <v>51918</v>
      </c>
      <c r="B1919">
        <v>31109</v>
      </c>
      <c r="C1919" t="s">
        <v>517</v>
      </c>
      <c r="D1919">
        <v>2402</v>
      </c>
      <c r="E1919">
        <v>1011</v>
      </c>
      <c r="F1919">
        <v>1</v>
      </c>
      <c r="G1919" t="s">
        <v>1472</v>
      </c>
      <c r="H1919" t="s">
        <v>9</v>
      </c>
      <c r="I1919" t="s">
        <v>804</v>
      </c>
      <c r="J1919" t="s">
        <v>99</v>
      </c>
    </row>
    <row r="1920" spans="1:10">
      <c r="A1920">
        <v>51919</v>
      </c>
      <c r="B1920">
        <v>31110</v>
      </c>
      <c r="C1920" t="s">
        <v>534</v>
      </c>
      <c r="D1920">
        <v>2333</v>
      </c>
      <c r="E1920">
        <v>1001</v>
      </c>
      <c r="F1920">
        <v>1</v>
      </c>
      <c r="G1920" t="s">
        <v>1469</v>
      </c>
      <c r="H1920" t="s">
        <v>9</v>
      </c>
      <c r="I1920" t="s">
        <v>1022</v>
      </c>
      <c r="J1920" t="s">
        <v>1115</v>
      </c>
    </row>
    <row r="1921" spans="1:10">
      <c r="A1921">
        <v>51920</v>
      </c>
      <c r="B1921">
        <v>31110</v>
      </c>
      <c r="C1921" t="s">
        <v>534</v>
      </c>
      <c r="D1921">
        <v>2333</v>
      </c>
      <c r="E1921">
        <v>1003</v>
      </c>
      <c r="F1921">
        <v>1</v>
      </c>
      <c r="G1921" t="s">
        <v>1471</v>
      </c>
      <c r="H1921" t="s">
        <v>9</v>
      </c>
      <c r="I1921" t="s">
        <v>1019</v>
      </c>
      <c r="J1921" t="s">
        <v>784</v>
      </c>
    </row>
    <row r="1922" spans="1:10">
      <c r="A1922">
        <v>51921</v>
      </c>
      <c r="B1922">
        <v>31111</v>
      </c>
      <c r="C1922" t="s">
        <v>584</v>
      </c>
      <c r="D1922">
        <v>2487</v>
      </c>
      <c r="E1922">
        <v>1016</v>
      </c>
      <c r="F1922">
        <v>1</v>
      </c>
      <c r="G1922" t="s">
        <v>1465</v>
      </c>
      <c r="H1922" t="s">
        <v>9</v>
      </c>
      <c r="I1922" t="s">
        <v>1130</v>
      </c>
      <c r="J1922" t="s">
        <v>101</v>
      </c>
    </row>
    <row r="1923" spans="1:10">
      <c r="A1923">
        <v>51922</v>
      </c>
      <c r="B1923">
        <v>31112</v>
      </c>
      <c r="C1923" t="s">
        <v>1026</v>
      </c>
      <c r="D1923">
        <v>2473</v>
      </c>
      <c r="E1923">
        <v>1010</v>
      </c>
      <c r="F1923">
        <v>1</v>
      </c>
      <c r="G1923" t="s">
        <v>1468</v>
      </c>
      <c r="H1923" t="s">
        <v>16</v>
      </c>
      <c r="I1923" t="s">
        <v>1421</v>
      </c>
      <c r="J1923" t="s">
        <v>1421</v>
      </c>
    </row>
    <row r="1924" spans="1:10">
      <c r="A1924">
        <v>51923</v>
      </c>
      <c r="B1924">
        <v>31113</v>
      </c>
      <c r="C1924" t="s">
        <v>227</v>
      </c>
      <c r="D1924">
        <v>2589</v>
      </c>
      <c r="E1924">
        <v>1004</v>
      </c>
      <c r="F1924">
        <v>4</v>
      </c>
      <c r="G1924" t="s">
        <v>1489</v>
      </c>
      <c r="H1924" t="s">
        <v>9</v>
      </c>
      <c r="I1924" t="s">
        <v>1299</v>
      </c>
      <c r="J1924" t="s">
        <v>377</v>
      </c>
    </row>
    <row r="1925" spans="1:10">
      <c r="A1925">
        <v>51924</v>
      </c>
      <c r="B1925">
        <v>31114</v>
      </c>
      <c r="C1925" t="s">
        <v>1315</v>
      </c>
      <c r="D1925">
        <v>2416</v>
      </c>
      <c r="E1925">
        <v>1004</v>
      </c>
      <c r="F1925">
        <v>1</v>
      </c>
      <c r="G1925" t="s">
        <v>1452</v>
      </c>
      <c r="H1925" t="s">
        <v>16</v>
      </c>
      <c r="I1925" t="s">
        <v>1421</v>
      </c>
      <c r="J1925" t="s">
        <v>1421</v>
      </c>
    </row>
    <row r="1926" spans="1:10">
      <c r="A1926">
        <v>51925</v>
      </c>
      <c r="B1926">
        <v>31115</v>
      </c>
      <c r="C1926" t="s">
        <v>890</v>
      </c>
      <c r="D1926">
        <v>2073</v>
      </c>
      <c r="E1926">
        <v>1015</v>
      </c>
      <c r="F1926">
        <v>1</v>
      </c>
      <c r="G1926" t="s">
        <v>1478</v>
      </c>
      <c r="H1926" t="s">
        <v>16</v>
      </c>
      <c r="I1926" t="s">
        <v>1421</v>
      </c>
      <c r="J1926" t="s">
        <v>1421</v>
      </c>
    </row>
    <row r="1927" spans="1:10">
      <c r="A1927">
        <v>51926</v>
      </c>
      <c r="B1927">
        <v>31116</v>
      </c>
      <c r="C1927" t="s">
        <v>942</v>
      </c>
      <c r="D1927">
        <v>2424</v>
      </c>
      <c r="E1927">
        <v>1008</v>
      </c>
      <c r="F1927">
        <v>1</v>
      </c>
      <c r="G1927" t="s">
        <v>1447</v>
      </c>
      <c r="H1927" t="s">
        <v>9</v>
      </c>
      <c r="I1927" t="s">
        <v>200</v>
      </c>
      <c r="J1927" t="s">
        <v>587</v>
      </c>
    </row>
    <row r="1928" spans="1:10">
      <c r="A1928">
        <v>51927</v>
      </c>
      <c r="B1928">
        <v>31117</v>
      </c>
      <c r="C1928" t="s">
        <v>192</v>
      </c>
      <c r="D1928">
        <v>2562</v>
      </c>
      <c r="E1928">
        <v>1016</v>
      </c>
      <c r="F1928">
        <v>1</v>
      </c>
      <c r="G1928" t="s">
        <v>1465</v>
      </c>
      <c r="H1928" t="s">
        <v>9</v>
      </c>
      <c r="I1928" t="s">
        <v>309</v>
      </c>
      <c r="J1928" t="s">
        <v>945</v>
      </c>
    </row>
    <row r="1929" spans="1:10">
      <c r="A1929">
        <v>51928</v>
      </c>
      <c r="B1929">
        <v>31118</v>
      </c>
      <c r="C1929" t="s">
        <v>470</v>
      </c>
      <c r="D1929">
        <v>2394</v>
      </c>
      <c r="E1929">
        <v>1007</v>
      </c>
      <c r="F1929">
        <v>1</v>
      </c>
      <c r="G1929" t="s">
        <v>1453</v>
      </c>
      <c r="H1929" t="s">
        <v>9</v>
      </c>
      <c r="I1929" t="s">
        <v>920</v>
      </c>
      <c r="J1929" t="s">
        <v>1243</v>
      </c>
    </row>
    <row r="1930" spans="1:10">
      <c r="A1930">
        <v>51929</v>
      </c>
      <c r="B1930">
        <v>31119</v>
      </c>
      <c r="C1930" t="s">
        <v>499</v>
      </c>
      <c r="D1930">
        <v>2442</v>
      </c>
      <c r="E1930">
        <v>1014</v>
      </c>
      <c r="F1930">
        <v>3</v>
      </c>
      <c r="G1930" t="s">
        <v>1505</v>
      </c>
      <c r="H1930" t="s">
        <v>16</v>
      </c>
      <c r="I1930" t="s">
        <v>1421</v>
      </c>
      <c r="J1930" t="s">
        <v>1421</v>
      </c>
    </row>
    <row r="1931" spans="1:10">
      <c r="A1931">
        <v>51930</v>
      </c>
      <c r="B1931">
        <v>31119</v>
      </c>
      <c r="C1931" t="s">
        <v>499</v>
      </c>
      <c r="D1931">
        <v>2442</v>
      </c>
      <c r="E1931">
        <v>1011</v>
      </c>
      <c r="F1931">
        <v>1</v>
      </c>
      <c r="G1931" t="s">
        <v>1472</v>
      </c>
      <c r="H1931" t="s">
        <v>16</v>
      </c>
      <c r="I1931" t="s">
        <v>1421</v>
      </c>
      <c r="J1931" t="s">
        <v>1421</v>
      </c>
    </row>
    <row r="1932" spans="1:10">
      <c r="A1932">
        <v>51931</v>
      </c>
      <c r="B1932">
        <v>31119</v>
      </c>
      <c r="C1932" t="s">
        <v>501</v>
      </c>
      <c r="D1932">
        <v>2442</v>
      </c>
      <c r="E1932">
        <v>1008</v>
      </c>
      <c r="F1932">
        <v>1</v>
      </c>
      <c r="G1932" t="s">
        <v>1447</v>
      </c>
      <c r="H1932" t="s">
        <v>16</v>
      </c>
      <c r="I1932" t="s">
        <v>311</v>
      </c>
      <c r="J1932" t="s">
        <v>1421</v>
      </c>
    </row>
    <row r="1933" spans="1:10">
      <c r="A1933">
        <v>51932</v>
      </c>
      <c r="B1933">
        <v>31120</v>
      </c>
      <c r="C1933" t="s">
        <v>1022</v>
      </c>
      <c r="D1933">
        <v>2080</v>
      </c>
      <c r="E1933">
        <v>1016</v>
      </c>
      <c r="F1933">
        <v>1</v>
      </c>
      <c r="G1933" t="s">
        <v>1465</v>
      </c>
      <c r="H1933" t="s">
        <v>9</v>
      </c>
      <c r="I1933" t="s">
        <v>400</v>
      </c>
      <c r="J1933" t="s">
        <v>356</v>
      </c>
    </row>
    <row r="1934" spans="1:10">
      <c r="A1934">
        <v>51933</v>
      </c>
      <c r="B1934">
        <v>31120</v>
      </c>
      <c r="C1934" t="s">
        <v>412</v>
      </c>
      <c r="D1934">
        <v>2080</v>
      </c>
      <c r="E1934">
        <v>1004</v>
      </c>
      <c r="F1934">
        <v>1</v>
      </c>
      <c r="G1934" t="s">
        <v>1452</v>
      </c>
      <c r="H1934" t="s">
        <v>9</v>
      </c>
      <c r="I1934" t="s">
        <v>246</v>
      </c>
      <c r="J1934" t="s">
        <v>369</v>
      </c>
    </row>
    <row r="1935" spans="1:10">
      <c r="A1935">
        <v>51934</v>
      </c>
      <c r="B1935">
        <v>31121</v>
      </c>
      <c r="C1935" t="s">
        <v>493</v>
      </c>
      <c r="D1935">
        <v>2475</v>
      </c>
      <c r="E1935">
        <v>1004</v>
      </c>
      <c r="F1935">
        <v>1</v>
      </c>
      <c r="G1935" t="s">
        <v>1452</v>
      </c>
      <c r="H1935" t="s">
        <v>9</v>
      </c>
      <c r="I1935" t="s">
        <v>975</v>
      </c>
      <c r="J1935" t="s">
        <v>1267</v>
      </c>
    </row>
    <row r="1936" spans="1:10">
      <c r="A1936">
        <v>51935</v>
      </c>
      <c r="B1936">
        <v>31122</v>
      </c>
      <c r="C1936" t="s">
        <v>155</v>
      </c>
      <c r="D1936">
        <v>2456</v>
      </c>
      <c r="E1936">
        <v>1013</v>
      </c>
      <c r="F1936">
        <v>2</v>
      </c>
      <c r="G1936" t="s">
        <v>1492</v>
      </c>
      <c r="H1936" t="s">
        <v>9</v>
      </c>
      <c r="I1936" t="s">
        <v>1299</v>
      </c>
      <c r="J1936" t="s">
        <v>618</v>
      </c>
    </row>
    <row r="1937" spans="1:10">
      <c r="A1937">
        <v>51936</v>
      </c>
      <c r="B1937">
        <v>31123</v>
      </c>
      <c r="C1937" t="s">
        <v>558</v>
      </c>
      <c r="D1937">
        <v>2072</v>
      </c>
      <c r="E1937">
        <v>1013</v>
      </c>
      <c r="F1937">
        <v>1</v>
      </c>
      <c r="G1937" t="s">
        <v>1474</v>
      </c>
      <c r="H1937" t="s">
        <v>9</v>
      </c>
      <c r="I1937" t="s">
        <v>419</v>
      </c>
      <c r="J1937" t="s">
        <v>165</v>
      </c>
    </row>
    <row r="1938" spans="1:10">
      <c r="A1938">
        <v>51937</v>
      </c>
      <c r="B1938">
        <v>31124</v>
      </c>
      <c r="C1938" t="s">
        <v>439</v>
      </c>
      <c r="D1938">
        <v>2336</v>
      </c>
      <c r="E1938">
        <v>1002</v>
      </c>
      <c r="F1938">
        <v>1</v>
      </c>
      <c r="G1938" t="s">
        <v>1466</v>
      </c>
      <c r="H1938" t="s">
        <v>9</v>
      </c>
      <c r="I1938" t="s">
        <v>542</v>
      </c>
      <c r="J1938" t="s">
        <v>539</v>
      </c>
    </row>
    <row r="1939" spans="1:10">
      <c r="A1939">
        <v>51938</v>
      </c>
      <c r="B1939">
        <v>31125</v>
      </c>
      <c r="C1939" t="s">
        <v>265</v>
      </c>
      <c r="D1939">
        <v>2093</v>
      </c>
      <c r="E1939">
        <v>1005</v>
      </c>
      <c r="F1939">
        <v>3</v>
      </c>
      <c r="G1939" t="s">
        <v>1498</v>
      </c>
      <c r="H1939" t="s">
        <v>9</v>
      </c>
      <c r="I1939" t="s">
        <v>789</v>
      </c>
      <c r="J1939" t="s">
        <v>917</v>
      </c>
    </row>
    <row r="1940" spans="1:10">
      <c r="A1940">
        <v>51939</v>
      </c>
      <c r="B1940">
        <v>31125</v>
      </c>
      <c r="C1940" t="s">
        <v>231</v>
      </c>
      <c r="D1940">
        <v>2093</v>
      </c>
      <c r="E1940">
        <v>1001</v>
      </c>
      <c r="F1940">
        <v>1</v>
      </c>
      <c r="G1940" t="s">
        <v>1469</v>
      </c>
      <c r="H1940" t="s">
        <v>9</v>
      </c>
      <c r="I1940" t="s">
        <v>1122</v>
      </c>
      <c r="J1940" t="s">
        <v>778</v>
      </c>
    </row>
    <row r="1941" spans="1:10">
      <c r="A1941">
        <v>51940</v>
      </c>
      <c r="B1941">
        <v>31126</v>
      </c>
      <c r="C1941" t="s">
        <v>932</v>
      </c>
      <c r="D1941">
        <v>2151</v>
      </c>
      <c r="E1941">
        <v>1015</v>
      </c>
      <c r="F1941">
        <v>2</v>
      </c>
      <c r="G1941" t="s">
        <v>1488</v>
      </c>
      <c r="H1941" t="s">
        <v>9</v>
      </c>
      <c r="I1941" t="s">
        <v>1013</v>
      </c>
      <c r="J1941" t="s">
        <v>88</v>
      </c>
    </row>
    <row r="1942" spans="1:10">
      <c r="A1942">
        <v>51941</v>
      </c>
      <c r="B1942">
        <v>31126</v>
      </c>
      <c r="C1942" t="s">
        <v>1056</v>
      </c>
      <c r="D1942">
        <v>2151</v>
      </c>
      <c r="E1942">
        <v>1010</v>
      </c>
      <c r="F1942">
        <v>3</v>
      </c>
      <c r="G1942" t="s">
        <v>1514</v>
      </c>
      <c r="H1942" t="s">
        <v>9</v>
      </c>
      <c r="I1942" t="s">
        <v>425</v>
      </c>
      <c r="J1942" t="s">
        <v>495</v>
      </c>
    </row>
    <row r="1943" spans="1:10">
      <c r="A1943">
        <v>51942</v>
      </c>
      <c r="B1943">
        <v>31127</v>
      </c>
      <c r="C1943" t="s">
        <v>442</v>
      </c>
      <c r="D1943">
        <v>2400</v>
      </c>
      <c r="E1943">
        <v>1015</v>
      </c>
      <c r="F1943">
        <v>1</v>
      </c>
      <c r="G1943" t="s">
        <v>1478</v>
      </c>
      <c r="H1943" t="s">
        <v>9</v>
      </c>
      <c r="I1943" t="s">
        <v>1035</v>
      </c>
      <c r="J1943" t="s">
        <v>1238</v>
      </c>
    </row>
    <row r="1944" spans="1:10">
      <c r="A1944">
        <v>51943</v>
      </c>
      <c r="B1944">
        <v>31128</v>
      </c>
      <c r="C1944" t="s">
        <v>1180</v>
      </c>
      <c r="D1944">
        <v>2201</v>
      </c>
      <c r="E1944">
        <v>1011</v>
      </c>
      <c r="F1944">
        <v>4</v>
      </c>
      <c r="G1944" t="s">
        <v>1499</v>
      </c>
      <c r="H1944" t="s">
        <v>9</v>
      </c>
      <c r="I1944" t="s">
        <v>185</v>
      </c>
      <c r="J1944" t="s">
        <v>944</v>
      </c>
    </row>
    <row r="1945" spans="1:10">
      <c r="A1945">
        <v>51944</v>
      </c>
      <c r="B1945">
        <v>31129</v>
      </c>
      <c r="C1945" t="s">
        <v>900</v>
      </c>
      <c r="D1945">
        <v>2307</v>
      </c>
      <c r="E1945">
        <v>1010</v>
      </c>
      <c r="F1945">
        <v>3</v>
      </c>
      <c r="G1945" t="s">
        <v>1514</v>
      </c>
      <c r="H1945" t="s">
        <v>9</v>
      </c>
      <c r="I1945" t="s">
        <v>1128</v>
      </c>
      <c r="J1945" t="s">
        <v>1316</v>
      </c>
    </row>
    <row r="1946" spans="1:10">
      <c r="A1946">
        <v>51945</v>
      </c>
      <c r="B1946">
        <v>31129</v>
      </c>
      <c r="C1946" t="s">
        <v>1111</v>
      </c>
      <c r="D1946">
        <v>2307</v>
      </c>
      <c r="E1946">
        <v>1014</v>
      </c>
      <c r="F1946">
        <v>2</v>
      </c>
      <c r="G1946" t="s">
        <v>1475</v>
      </c>
      <c r="H1946" t="s">
        <v>9</v>
      </c>
      <c r="I1946" t="s">
        <v>810</v>
      </c>
      <c r="J1946" t="s">
        <v>1186</v>
      </c>
    </row>
    <row r="1947" spans="1:10">
      <c r="A1947">
        <v>51946</v>
      </c>
      <c r="B1947">
        <v>31129</v>
      </c>
      <c r="C1947" t="s">
        <v>181</v>
      </c>
      <c r="D1947">
        <v>2307</v>
      </c>
      <c r="E1947">
        <v>1012</v>
      </c>
      <c r="F1947">
        <v>2</v>
      </c>
      <c r="G1947" t="s">
        <v>1450</v>
      </c>
      <c r="H1947" t="s">
        <v>9</v>
      </c>
      <c r="I1947" t="s">
        <v>995</v>
      </c>
      <c r="J1947" t="s">
        <v>700</v>
      </c>
    </row>
    <row r="1948" spans="1:10">
      <c r="A1948">
        <v>51947</v>
      </c>
      <c r="B1948">
        <v>31130</v>
      </c>
      <c r="C1948" t="s">
        <v>465</v>
      </c>
      <c r="D1948">
        <v>2092</v>
      </c>
      <c r="E1948">
        <v>1013</v>
      </c>
      <c r="F1948">
        <v>1</v>
      </c>
      <c r="G1948" t="s">
        <v>1474</v>
      </c>
      <c r="H1948" t="s">
        <v>9</v>
      </c>
      <c r="I1948" t="s">
        <v>267</v>
      </c>
      <c r="J1948" t="s">
        <v>1042</v>
      </c>
    </row>
    <row r="1949" spans="1:10">
      <c r="A1949">
        <v>51948</v>
      </c>
      <c r="B1949">
        <v>31130</v>
      </c>
      <c r="C1949" t="s">
        <v>465</v>
      </c>
      <c r="D1949">
        <v>2092</v>
      </c>
      <c r="E1949">
        <v>1005</v>
      </c>
      <c r="F1949">
        <v>1</v>
      </c>
      <c r="G1949" t="s">
        <v>1456</v>
      </c>
      <c r="H1949" t="s">
        <v>9</v>
      </c>
      <c r="I1949" t="s">
        <v>1296</v>
      </c>
      <c r="J1949" t="s">
        <v>1042</v>
      </c>
    </row>
    <row r="1950" spans="1:10">
      <c r="A1950">
        <v>51949</v>
      </c>
      <c r="B1950">
        <v>31130</v>
      </c>
      <c r="C1950" t="s">
        <v>525</v>
      </c>
      <c r="D1950">
        <v>2092</v>
      </c>
      <c r="E1950">
        <v>1010</v>
      </c>
      <c r="F1950">
        <v>1</v>
      </c>
      <c r="G1950" t="s">
        <v>1468</v>
      </c>
      <c r="H1950" t="s">
        <v>9</v>
      </c>
      <c r="I1950" t="s">
        <v>18</v>
      </c>
      <c r="J1950" t="s">
        <v>1029</v>
      </c>
    </row>
    <row r="1951" spans="1:10">
      <c r="A1951">
        <v>51950</v>
      </c>
      <c r="B1951">
        <v>31130</v>
      </c>
      <c r="C1951" t="s">
        <v>14</v>
      </c>
      <c r="D1951">
        <v>2092</v>
      </c>
      <c r="E1951">
        <v>1002</v>
      </c>
      <c r="F1951">
        <v>1</v>
      </c>
      <c r="G1951" t="s">
        <v>1466</v>
      </c>
      <c r="H1951" t="s">
        <v>9</v>
      </c>
      <c r="I1951" t="s">
        <v>1296</v>
      </c>
      <c r="J1951" t="s">
        <v>1317</v>
      </c>
    </row>
    <row r="1952" spans="1:10">
      <c r="A1952">
        <v>51951</v>
      </c>
      <c r="B1952">
        <v>31131</v>
      </c>
      <c r="C1952" t="s">
        <v>531</v>
      </c>
      <c r="D1952">
        <v>2379</v>
      </c>
      <c r="E1952">
        <v>1002</v>
      </c>
      <c r="F1952">
        <v>1</v>
      </c>
      <c r="G1952" t="s">
        <v>1466</v>
      </c>
      <c r="H1952" t="s">
        <v>12</v>
      </c>
      <c r="I1952" t="s">
        <v>1421</v>
      </c>
      <c r="J1952" t="s">
        <v>1421</v>
      </c>
    </row>
    <row r="1953" spans="1:10">
      <c r="A1953">
        <v>51952</v>
      </c>
      <c r="B1953">
        <v>31131</v>
      </c>
      <c r="C1953" t="s">
        <v>404</v>
      </c>
      <c r="D1953">
        <v>2379</v>
      </c>
      <c r="E1953">
        <v>1001</v>
      </c>
      <c r="F1953">
        <v>1</v>
      </c>
      <c r="G1953" t="s">
        <v>1469</v>
      </c>
      <c r="H1953" t="s">
        <v>12</v>
      </c>
      <c r="I1953" t="s">
        <v>1421</v>
      </c>
      <c r="J1953" t="s">
        <v>1421</v>
      </c>
    </row>
    <row r="1954" spans="1:10">
      <c r="A1954">
        <v>51953</v>
      </c>
      <c r="B1954">
        <v>31132</v>
      </c>
      <c r="C1954" t="s">
        <v>165</v>
      </c>
      <c r="D1954">
        <v>2574</v>
      </c>
      <c r="E1954">
        <v>1012</v>
      </c>
      <c r="F1954">
        <v>2</v>
      </c>
      <c r="G1954" t="s">
        <v>1450</v>
      </c>
      <c r="H1954" t="s">
        <v>16</v>
      </c>
      <c r="I1954" t="s">
        <v>960</v>
      </c>
      <c r="J1954" t="s">
        <v>1421</v>
      </c>
    </row>
    <row r="1955" spans="1:10">
      <c r="A1955">
        <v>51954</v>
      </c>
      <c r="B1955">
        <v>31132</v>
      </c>
      <c r="C1955" t="s">
        <v>986</v>
      </c>
      <c r="D1955">
        <v>2574</v>
      </c>
      <c r="E1955">
        <v>1010</v>
      </c>
      <c r="F1955">
        <v>2</v>
      </c>
      <c r="G1955" t="s">
        <v>1483</v>
      </c>
      <c r="H1955" t="s">
        <v>16</v>
      </c>
      <c r="I1955" t="s">
        <v>1421</v>
      </c>
      <c r="J1955" t="s">
        <v>1421</v>
      </c>
    </row>
    <row r="1956" spans="1:10">
      <c r="A1956">
        <v>51955</v>
      </c>
      <c r="B1956">
        <v>31133</v>
      </c>
      <c r="C1956" t="s">
        <v>403</v>
      </c>
      <c r="D1956">
        <v>2241</v>
      </c>
      <c r="E1956">
        <v>1013</v>
      </c>
      <c r="F1956">
        <v>1</v>
      </c>
      <c r="G1956" t="s">
        <v>1474</v>
      </c>
      <c r="H1956" t="s">
        <v>9</v>
      </c>
      <c r="I1956" t="s">
        <v>504</v>
      </c>
      <c r="J1956" t="s">
        <v>1021</v>
      </c>
    </row>
    <row r="1957" spans="1:10">
      <c r="A1957">
        <v>51956</v>
      </c>
      <c r="B1957">
        <v>31134</v>
      </c>
      <c r="C1957" t="s">
        <v>439</v>
      </c>
      <c r="D1957">
        <v>2326</v>
      </c>
      <c r="E1957">
        <v>1013</v>
      </c>
      <c r="F1957">
        <v>2</v>
      </c>
      <c r="G1957" t="s">
        <v>1492</v>
      </c>
      <c r="H1957" t="s">
        <v>9</v>
      </c>
      <c r="I1957" t="s">
        <v>518</v>
      </c>
      <c r="J1957" t="s">
        <v>503</v>
      </c>
    </row>
    <row r="1958" spans="1:10">
      <c r="A1958">
        <v>51957</v>
      </c>
      <c r="B1958">
        <v>31134</v>
      </c>
      <c r="C1958" t="s">
        <v>237</v>
      </c>
      <c r="D1958">
        <v>2326</v>
      </c>
      <c r="E1958">
        <v>1013</v>
      </c>
      <c r="F1958">
        <v>1</v>
      </c>
      <c r="G1958" t="s">
        <v>1474</v>
      </c>
      <c r="H1958" t="s">
        <v>9</v>
      </c>
      <c r="I1958" t="s">
        <v>279</v>
      </c>
      <c r="J1958" t="s">
        <v>306</v>
      </c>
    </row>
    <row r="1959" spans="1:10">
      <c r="A1959">
        <v>51958</v>
      </c>
      <c r="B1959">
        <v>31135</v>
      </c>
      <c r="C1959" t="s">
        <v>416</v>
      </c>
      <c r="D1959">
        <v>2446</v>
      </c>
      <c r="E1959">
        <v>1006</v>
      </c>
      <c r="F1959">
        <v>1</v>
      </c>
      <c r="G1959" t="s">
        <v>1459</v>
      </c>
      <c r="H1959" t="s">
        <v>9</v>
      </c>
      <c r="I1959" t="s">
        <v>776</v>
      </c>
      <c r="J1959" t="s">
        <v>589</v>
      </c>
    </row>
    <row r="1960" spans="1:10">
      <c r="A1960">
        <v>51959</v>
      </c>
      <c r="B1960">
        <v>31135</v>
      </c>
      <c r="C1960" t="s">
        <v>416</v>
      </c>
      <c r="D1960">
        <v>2446</v>
      </c>
      <c r="E1960">
        <v>1016</v>
      </c>
      <c r="F1960">
        <v>1</v>
      </c>
      <c r="G1960" t="s">
        <v>1465</v>
      </c>
      <c r="H1960" t="s">
        <v>9</v>
      </c>
      <c r="I1960" t="s">
        <v>298</v>
      </c>
      <c r="J1960" t="s">
        <v>623</v>
      </c>
    </row>
    <row r="1961" spans="1:10">
      <c r="A1961">
        <v>51960</v>
      </c>
      <c r="B1961">
        <v>31135</v>
      </c>
      <c r="C1961" t="s">
        <v>453</v>
      </c>
      <c r="D1961">
        <v>2446</v>
      </c>
      <c r="E1961">
        <v>1005</v>
      </c>
      <c r="F1961">
        <v>1</v>
      </c>
      <c r="G1961" t="s">
        <v>1456</v>
      </c>
      <c r="H1961" t="s">
        <v>9</v>
      </c>
      <c r="I1961" t="s">
        <v>776</v>
      </c>
      <c r="J1961" t="s">
        <v>1318</v>
      </c>
    </row>
    <row r="1962" spans="1:10">
      <c r="A1962">
        <v>51961</v>
      </c>
      <c r="B1962">
        <v>31135</v>
      </c>
      <c r="C1962" t="s">
        <v>625</v>
      </c>
      <c r="D1962">
        <v>2446</v>
      </c>
      <c r="E1962">
        <v>1007</v>
      </c>
      <c r="F1962">
        <v>2</v>
      </c>
      <c r="G1962" t="s">
        <v>1455</v>
      </c>
      <c r="H1962" t="s">
        <v>9</v>
      </c>
      <c r="I1962" t="s">
        <v>776</v>
      </c>
      <c r="J1962" t="s">
        <v>1319</v>
      </c>
    </row>
    <row r="1963" spans="1:10">
      <c r="A1963">
        <v>51962</v>
      </c>
      <c r="B1963">
        <v>31136</v>
      </c>
      <c r="C1963" t="s">
        <v>898</v>
      </c>
      <c r="D1963">
        <v>2569</v>
      </c>
      <c r="E1963">
        <v>1012</v>
      </c>
      <c r="F1963">
        <v>1</v>
      </c>
      <c r="G1963" t="s">
        <v>1449</v>
      </c>
      <c r="H1963" t="s">
        <v>9</v>
      </c>
      <c r="I1963" t="s">
        <v>1098</v>
      </c>
      <c r="J1963" t="s">
        <v>85</v>
      </c>
    </row>
    <row r="1964" spans="1:10">
      <c r="A1964">
        <v>51963</v>
      </c>
      <c r="B1964">
        <v>31137</v>
      </c>
      <c r="C1964" t="s">
        <v>1222</v>
      </c>
      <c r="D1964">
        <v>2428</v>
      </c>
      <c r="E1964">
        <v>1005</v>
      </c>
      <c r="F1964">
        <v>1</v>
      </c>
      <c r="G1964" t="s">
        <v>1456</v>
      </c>
      <c r="H1964" t="s">
        <v>9</v>
      </c>
      <c r="I1964" t="s">
        <v>1220</v>
      </c>
      <c r="J1964" t="s">
        <v>849</v>
      </c>
    </row>
    <row r="1965" spans="1:10">
      <c r="A1965">
        <v>51964</v>
      </c>
      <c r="B1965">
        <v>31138</v>
      </c>
      <c r="C1965" t="s">
        <v>345</v>
      </c>
      <c r="D1965">
        <v>2138</v>
      </c>
      <c r="E1965">
        <v>1001</v>
      </c>
      <c r="F1965">
        <v>1</v>
      </c>
      <c r="G1965" t="s">
        <v>1469</v>
      </c>
      <c r="H1965" t="s">
        <v>9</v>
      </c>
      <c r="I1965" t="s">
        <v>1223</v>
      </c>
      <c r="J1965" t="s">
        <v>437</v>
      </c>
    </row>
    <row r="1966" spans="1:10">
      <c r="A1966">
        <v>51965</v>
      </c>
      <c r="B1966">
        <v>31138</v>
      </c>
      <c r="C1966" t="s">
        <v>1284</v>
      </c>
      <c r="D1966">
        <v>2138</v>
      </c>
      <c r="E1966">
        <v>1005</v>
      </c>
      <c r="F1966">
        <v>1</v>
      </c>
      <c r="G1966" t="s">
        <v>1456</v>
      </c>
      <c r="H1966" t="s">
        <v>9</v>
      </c>
      <c r="I1966" t="s">
        <v>160</v>
      </c>
      <c r="J1966" t="s">
        <v>273</v>
      </c>
    </row>
    <row r="1967" spans="1:10">
      <c r="A1967">
        <v>51966</v>
      </c>
      <c r="B1967">
        <v>31138</v>
      </c>
      <c r="C1967" t="s">
        <v>241</v>
      </c>
      <c r="D1967">
        <v>2138</v>
      </c>
      <c r="E1967">
        <v>1016</v>
      </c>
      <c r="F1967">
        <v>4</v>
      </c>
      <c r="G1967" t="s">
        <v>1522</v>
      </c>
      <c r="H1967" t="s">
        <v>1495</v>
      </c>
      <c r="I1967" t="s">
        <v>1312</v>
      </c>
      <c r="J1967" t="s">
        <v>215</v>
      </c>
    </row>
    <row r="1968" spans="1:10">
      <c r="A1968">
        <v>51967</v>
      </c>
      <c r="B1968">
        <v>31139</v>
      </c>
      <c r="C1968" t="s">
        <v>57</v>
      </c>
      <c r="D1968">
        <v>2448</v>
      </c>
      <c r="E1968">
        <v>1005</v>
      </c>
      <c r="F1968">
        <v>2</v>
      </c>
      <c r="G1968" t="s">
        <v>1458</v>
      </c>
      <c r="H1968" t="s">
        <v>11</v>
      </c>
      <c r="I1968" t="s">
        <v>197</v>
      </c>
      <c r="J1968" t="s">
        <v>292</v>
      </c>
    </row>
    <row r="1969" spans="1:10">
      <c r="A1969">
        <v>51968</v>
      </c>
      <c r="B1969">
        <v>31139</v>
      </c>
      <c r="C1969" t="s">
        <v>1059</v>
      </c>
      <c r="D1969">
        <v>2448</v>
      </c>
      <c r="E1969">
        <v>1003</v>
      </c>
      <c r="F1969">
        <v>1</v>
      </c>
      <c r="G1969" t="s">
        <v>1471</v>
      </c>
      <c r="H1969" t="s">
        <v>11</v>
      </c>
      <c r="I1969" t="s">
        <v>206</v>
      </c>
      <c r="J1969" t="s">
        <v>677</v>
      </c>
    </row>
    <row r="1970" spans="1:10">
      <c r="A1970">
        <v>51969</v>
      </c>
      <c r="B1970">
        <v>31140</v>
      </c>
      <c r="C1970" t="s">
        <v>622</v>
      </c>
      <c r="D1970">
        <v>2141</v>
      </c>
      <c r="E1970">
        <v>1014</v>
      </c>
      <c r="F1970">
        <v>2</v>
      </c>
      <c r="G1970" t="s">
        <v>1475</v>
      </c>
      <c r="H1970" t="s">
        <v>9</v>
      </c>
      <c r="I1970" t="s">
        <v>1320</v>
      </c>
      <c r="J1970" t="s">
        <v>1319</v>
      </c>
    </row>
    <row r="1971" spans="1:10">
      <c r="A1971">
        <v>51970</v>
      </c>
      <c r="B1971">
        <v>31140</v>
      </c>
      <c r="C1971" t="s">
        <v>1034</v>
      </c>
      <c r="D1971">
        <v>2141</v>
      </c>
      <c r="E1971">
        <v>1015</v>
      </c>
      <c r="F1971">
        <v>3</v>
      </c>
      <c r="G1971" t="s">
        <v>1470</v>
      </c>
      <c r="H1971" t="s">
        <v>9</v>
      </c>
      <c r="I1971" t="s">
        <v>453</v>
      </c>
      <c r="J1971" t="s">
        <v>903</v>
      </c>
    </row>
    <row r="1972" spans="1:10">
      <c r="A1972">
        <v>51971</v>
      </c>
      <c r="B1972">
        <v>31141</v>
      </c>
      <c r="C1972" t="s">
        <v>181</v>
      </c>
      <c r="D1972">
        <v>2436</v>
      </c>
      <c r="E1972">
        <v>1015</v>
      </c>
      <c r="F1972">
        <v>3</v>
      </c>
      <c r="G1972" t="s">
        <v>1470</v>
      </c>
      <c r="H1972" t="s">
        <v>9</v>
      </c>
      <c r="I1972" t="s">
        <v>1128</v>
      </c>
      <c r="J1972" t="s">
        <v>946</v>
      </c>
    </row>
    <row r="1973" spans="1:10">
      <c r="A1973">
        <v>51972</v>
      </c>
      <c r="B1973">
        <v>31142</v>
      </c>
      <c r="C1973" t="s">
        <v>562</v>
      </c>
      <c r="D1973">
        <v>2522</v>
      </c>
      <c r="E1973">
        <v>1015</v>
      </c>
      <c r="F1973">
        <v>1</v>
      </c>
      <c r="G1973" t="s">
        <v>1478</v>
      </c>
      <c r="H1973" t="s">
        <v>9</v>
      </c>
      <c r="I1973" t="s">
        <v>461</v>
      </c>
      <c r="J1973" t="s">
        <v>1083</v>
      </c>
    </row>
    <row r="1974" spans="1:10">
      <c r="A1974">
        <v>51973</v>
      </c>
      <c r="B1974">
        <v>31143</v>
      </c>
      <c r="C1974" t="s">
        <v>640</v>
      </c>
      <c r="D1974">
        <v>2394</v>
      </c>
      <c r="E1974">
        <v>1006</v>
      </c>
      <c r="F1974">
        <v>1</v>
      </c>
      <c r="G1974" t="s">
        <v>1459</v>
      </c>
      <c r="H1974" t="s">
        <v>9</v>
      </c>
      <c r="I1974" t="s">
        <v>474</v>
      </c>
      <c r="J1974" t="s">
        <v>961</v>
      </c>
    </row>
    <row r="1975" spans="1:10">
      <c r="A1975">
        <v>51974</v>
      </c>
      <c r="B1975">
        <v>31143</v>
      </c>
      <c r="C1975" t="s">
        <v>640</v>
      </c>
      <c r="D1975">
        <v>2394</v>
      </c>
      <c r="E1975">
        <v>1014</v>
      </c>
      <c r="F1975">
        <v>2</v>
      </c>
      <c r="G1975" t="s">
        <v>1475</v>
      </c>
      <c r="H1975" t="s">
        <v>9</v>
      </c>
      <c r="I1975" t="s">
        <v>245</v>
      </c>
      <c r="J1975" t="s">
        <v>706</v>
      </c>
    </row>
    <row r="1976" spans="1:10">
      <c r="A1976">
        <v>51975</v>
      </c>
      <c r="B1976">
        <v>31144</v>
      </c>
      <c r="C1976" t="s">
        <v>270</v>
      </c>
      <c r="D1976">
        <v>2008</v>
      </c>
      <c r="E1976">
        <v>1008</v>
      </c>
      <c r="F1976">
        <v>3</v>
      </c>
      <c r="G1976" t="s">
        <v>1491</v>
      </c>
      <c r="H1976" t="s">
        <v>9</v>
      </c>
      <c r="I1976" t="s">
        <v>150</v>
      </c>
      <c r="J1976" t="s">
        <v>1253</v>
      </c>
    </row>
    <row r="1977" spans="1:10">
      <c r="A1977">
        <v>51976</v>
      </c>
      <c r="B1977">
        <v>31144</v>
      </c>
      <c r="C1977" t="s">
        <v>600</v>
      </c>
      <c r="D1977">
        <v>2008</v>
      </c>
      <c r="E1977">
        <v>1009</v>
      </c>
      <c r="F1977">
        <v>2</v>
      </c>
      <c r="G1977" t="s">
        <v>1479</v>
      </c>
      <c r="H1977" t="s">
        <v>9</v>
      </c>
      <c r="I1977" t="s">
        <v>273</v>
      </c>
      <c r="J1977" t="s">
        <v>969</v>
      </c>
    </row>
    <row r="1978" spans="1:10">
      <c r="A1978">
        <v>51977</v>
      </c>
      <c r="B1978">
        <v>31145</v>
      </c>
      <c r="C1978" t="s">
        <v>29</v>
      </c>
      <c r="D1978">
        <v>2421</v>
      </c>
      <c r="E1978">
        <v>1012</v>
      </c>
      <c r="F1978">
        <v>2</v>
      </c>
      <c r="G1978" t="s">
        <v>1450</v>
      </c>
      <c r="H1978" t="s">
        <v>12</v>
      </c>
      <c r="I1978" t="s">
        <v>1421</v>
      </c>
      <c r="J1978" t="s">
        <v>1421</v>
      </c>
    </row>
    <row r="1979" spans="1:10">
      <c r="A1979">
        <v>51978</v>
      </c>
      <c r="B1979">
        <v>31145</v>
      </c>
      <c r="C1979" t="s">
        <v>29</v>
      </c>
      <c r="D1979">
        <v>2421</v>
      </c>
      <c r="E1979">
        <v>1002</v>
      </c>
      <c r="F1979">
        <v>1</v>
      </c>
      <c r="G1979" t="s">
        <v>1466</v>
      </c>
      <c r="H1979" t="s">
        <v>12</v>
      </c>
      <c r="I1979" t="s">
        <v>1421</v>
      </c>
      <c r="J1979" t="s">
        <v>1421</v>
      </c>
    </row>
    <row r="1980" spans="1:10">
      <c r="A1980">
        <v>51979</v>
      </c>
      <c r="B1980">
        <v>31145</v>
      </c>
      <c r="C1980" t="s">
        <v>29</v>
      </c>
      <c r="D1980">
        <v>2421</v>
      </c>
      <c r="E1980">
        <v>1002</v>
      </c>
      <c r="F1980">
        <v>1</v>
      </c>
      <c r="G1980" t="s">
        <v>1466</v>
      </c>
      <c r="H1980" t="s">
        <v>12</v>
      </c>
      <c r="I1980" t="s">
        <v>1421</v>
      </c>
      <c r="J1980" t="s">
        <v>1421</v>
      </c>
    </row>
    <row r="1981" spans="1:10">
      <c r="A1981">
        <v>51980</v>
      </c>
      <c r="B1981">
        <v>31146</v>
      </c>
      <c r="C1981" t="s">
        <v>295</v>
      </c>
      <c r="D1981">
        <v>2582</v>
      </c>
      <c r="E1981">
        <v>1012</v>
      </c>
      <c r="F1981">
        <v>3</v>
      </c>
      <c r="G1981" t="s">
        <v>1448</v>
      </c>
      <c r="H1981" t="s">
        <v>9</v>
      </c>
      <c r="I1981" t="s">
        <v>296</v>
      </c>
      <c r="J1981" t="s">
        <v>587</v>
      </c>
    </row>
    <row r="1982" spans="1:10">
      <c r="A1982">
        <v>51981</v>
      </c>
      <c r="B1982">
        <v>31146</v>
      </c>
      <c r="C1982" t="s">
        <v>740</v>
      </c>
      <c r="D1982">
        <v>2582</v>
      </c>
      <c r="E1982">
        <v>1004</v>
      </c>
      <c r="F1982">
        <v>1</v>
      </c>
      <c r="G1982" t="s">
        <v>1452</v>
      </c>
      <c r="H1982" t="s">
        <v>9</v>
      </c>
      <c r="I1982" t="s">
        <v>111</v>
      </c>
      <c r="J1982" t="s">
        <v>86</v>
      </c>
    </row>
    <row r="1983" spans="1:10">
      <c r="A1983">
        <v>51982</v>
      </c>
      <c r="B1983">
        <v>31146</v>
      </c>
      <c r="C1983" t="s">
        <v>26</v>
      </c>
      <c r="D1983">
        <v>2582</v>
      </c>
      <c r="E1983">
        <v>1016</v>
      </c>
      <c r="F1983">
        <v>3</v>
      </c>
      <c r="G1983" t="s">
        <v>1484</v>
      </c>
      <c r="H1983" t="s">
        <v>9</v>
      </c>
      <c r="I1983" t="s">
        <v>1320</v>
      </c>
      <c r="J1983" t="s">
        <v>588</v>
      </c>
    </row>
    <row r="1984" spans="1:10">
      <c r="A1984">
        <v>51983</v>
      </c>
      <c r="B1984">
        <v>31147</v>
      </c>
      <c r="C1984" t="s">
        <v>468</v>
      </c>
      <c r="D1984">
        <v>2082</v>
      </c>
      <c r="E1984">
        <v>1009</v>
      </c>
      <c r="F1984">
        <v>1</v>
      </c>
      <c r="G1984" t="s">
        <v>1473</v>
      </c>
      <c r="H1984" t="s">
        <v>9</v>
      </c>
      <c r="I1984" t="s">
        <v>1182</v>
      </c>
      <c r="J1984" t="s">
        <v>1306</v>
      </c>
    </row>
    <row r="1985" spans="1:10">
      <c r="A1985">
        <v>51984</v>
      </c>
      <c r="B1985">
        <v>31147</v>
      </c>
      <c r="C1985" t="s">
        <v>468</v>
      </c>
      <c r="D1985">
        <v>2082</v>
      </c>
      <c r="E1985">
        <v>1015</v>
      </c>
      <c r="F1985">
        <v>2</v>
      </c>
      <c r="G1985" t="s">
        <v>1488</v>
      </c>
      <c r="H1985" t="s">
        <v>9</v>
      </c>
      <c r="I1985" t="s">
        <v>1042</v>
      </c>
      <c r="J1985" t="s">
        <v>696</v>
      </c>
    </row>
    <row r="1986" spans="1:10">
      <c r="A1986">
        <v>51985</v>
      </c>
      <c r="B1986">
        <v>31147</v>
      </c>
      <c r="C1986" t="s">
        <v>1158</v>
      </c>
      <c r="D1986">
        <v>2082</v>
      </c>
      <c r="E1986">
        <v>1003</v>
      </c>
      <c r="F1986">
        <v>1</v>
      </c>
      <c r="G1986" t="s">
        <v>1471</v>
      </c>
      <c r="H1986" t="s">
        <v>68</v>
      </c>
      <c r="I1986" t="s">
        <v>1261</v>
      </c>
      <c r="J1986" t="s">
        <v>129</v>
      </c>
    </row>
    <row r="1987" spans="1:10">
      <c r="A1987">
        <v>51986</v>
      </c>
      <c r="B1987">
        <v>31147</v>
      </c>
      <c r="C1987" t="s">
        <v>468</v>
      </c>
      <c r="D1987">
        <v>2082</v>
      </c>
      <c r="E1987">
        <v>1003</v>
      </c>
      <c r="F1987">
        <v>1</v>
      </c>
      <c r="G1987" t="s">
        <v>1471</v>
      </c>
      <c r="H1987" t="s">
        <v>9</v>
      </c>
      <c r="I1987" t="s">
        <v>619</v>
      </c>
      <c r="J1987" t="s">
        <v>747</v>
      </c>
    </row>
    <row r="1988" spans="1:10">
      <c r="A1988">
        <v>51987</v>
      </c>
      <c r="B1988">
        <v>31148</v>
      </c>
      <c r="C1988" t="s">
        <v>1228</v>
      </c>
      <c r="D1988">
        <v>2252</v>
      </c>
      <c r="E1988">
        <v>1003</v>
      </c>
      <c r="F1988">
        <v>2</v>
      </c>
      <c r="G1988" t="s">
        <v>1464</v>
      </c>
      <c r="H1988" t="s">
        <v>9</v>
      </c>
      <c r="I1988" t="s">
        <v>365</v>
      </c>
      <c r="J1988" t="s">
        <v>703</v>
      </c>
    </row>
    <row r="1989" spans="1:10">
      <c r="A1989">
        <v>51988</v>
      </c>
      <c r="B1989">
        <v>31149</v>
      </c>
      <c r="C1989" t="s">
        <v>349</v>
      </c>
      <c r="D1989">
        <v>2553</v>
      </c>
      <c r="E1989">
        <v>1010</v>
      </c>
      <c r="F1989">
        <v>2</v>
      </c>
      <c r="G1989" t="s">
        <v>1483</v>
      </c>
      <c r="H1989" t="s">
        <v>16</v>
      </c>
      <c r="I1989" t="s">
        <v>1421</v>
      </c>
      <c r="J1989" t="s">
        <v>1421</v>
      </c>
    </row>
    <row r="1990" spans="1:10">
      <c r="A1990">
        <v>51989</v>
      </c>
      <c r="B1990">
        <v>31150</v>
      </c>
      <c r="C1990" t="s">
        <v>406</v>
      </c>
      <c r="D1990">
        <v>2352</v>
      </c>
      <c r="E1990">
        <v>1001</v>
      </c>
      <c r="F1990">
        <v>1</v>
      </c>
      <c r="G1990" t="s">
        <v>1469</v>
      </c>
      <c r="H1990" t="s">
        <v>9</v>
      </c>
      <c r="I1990" t="s">
        <v>451</v>
      </c>
      <c r="J1990" t="s">
        <v>997</v>
      </c>
    </row>
    <row r="1991" spans="1:10">
      <c r="A1991">
        <v>51990</v>
      </c>
      <c r="B1991">
        <v>31151</v>
      </c>
      <c r="C1991" t="s">
        <v>126</v>
      </c>
      <c r="D1991">
        <v>2481</v>
      </c>
      <c r="E1991">
        <v>1016</v>
      </c>
      <c r="F1991">
        <v>1</v>
      </c>
      <c r="G1991" t="s">
        <v>1465</v>
      </c>
      <c r="H1991" t="s">
        <v>9</v>
      </c>
      <c r="I1991" t="s">
        <v>665</v>
      </c>
      <c r="J1991" t="s">
        <v>35</v>
      </c>
    </row>
    <row r="1992" spans="1:10">
      <c r="A1992">
        <v>51991</v>
      </c>
      <c r="B1992">
        <v>31151</v>
      </c>
      <c r="C1992" t="s">
        <v>1020</v>
      </c>
      <c r="D1992">
        <v>2481</v>
      </c>
      <c r="E1992">
        <v>1011</v>
      </c>
      <c r="F1992">
        <v>1</v>
      </c>
      <c r="G1992" t="s">
        <v>1472</v>
      </c>
      <c r="H1992" t="s">
        <v>9</v>
      </c>
      <c r="I1992" t="s">
        <v>333</v>
      </c>
      <c r="J1992" t="s">
        <v>31</v>
      </c>
    </row>
    <row r="1993" spans="1:10">
      <c r="A1993">
        <v>51992</v>
      </c>
      <c r="B1993">
        <v>31152</v>
      </c>
      <c r="C1993" t="s">
        <v>468</v>
      </c>
      <c r="D1993">
        <v>2432</v>
      </c>
      <c r="E1993">
        <v>1010</v>
      </c>
      <c r="F1993">
        <v>1</v>
      </c>
      <c r="G1993" t="s">
        <v>1468</v>
      </c>
      <c r="H1993" t="s">
        <v>9</v>
      </c>
      <c r="I1993" t="s">
        <v>918</v>
      </c>
      <c r="J1993" t="s">
        <v>920</v>
      </c>
    </row>
    <row r="1994" spans="1:10">
      <c r="A1994">
        <v>51993</v>
      </c>
      <c r="B1994">
        <v>31153</v>
      </c>
      <c r="C1994" t="s">
        <v>942</v>
      </c>
      <c r="D1994">
        <v>2297</v>
      </c>
      <c r="E1994">
        <v>1010</v>
      </c>
      <c r="F1994">
        <v>2</v>
      </c>
      <c r="G1994" t="s">
        <v>1421</v>
      </c>
      <c r="H1994" t="s">
        <v>9</v>
      </c>
      <c r="I1994" t="s">
        <v>943</v>
      </c>
      <c r="J1994" t="s">
        <v>1321</v>
      </c>
    </row>
    <row r="1995" spans="1:10">
      <c r="A1995">
        <v>51994</v>
      </c>
      <c r="B1995">
        <v>31154</v>
      </c>
      <c r="C1995" t="s">
        <v>1213</v>
      </c>
      <c r="D1995">
        <v>2578</v>
      </c>
      <c r="E1995">
        <v>1016</v>
      </c>
      <c r="F1995">
        <v>1</v>
      </c>
      <c r="G1995" t="s">
        <v>1465</v>
      </c>
      <c r="H1995" t="s">
        <v>9</v>
      </c>
      <c r="I1995" t="s">
        <v>1271</v>
      </c>
      <c r="J1995" t="s">
        <v>1254</v>
      </c>
    </row>
    <row r="1996" spans="1:10">
      <c r="A1996">
        <v>51995</v>
      </c>
      <c r="B1996">
        <v>31155</v>
      </c>
      <c r="C1996" t="s">
        <v>1318</v>
      </c>
      <c r="D1996">
        <v>2593</v>
      </c>
      <c r="E1996">
        <v>1002</v>
      </c>
      <c r="F1996">
        <v>1</v>
      </c>
      <c r="G1996" t="s">
        <v>1466</v>
      </c>
      <c r="H1996" t="s">
        <v>9</v>
      </c>
      <c r="I1996" t="s">
        <v>224</v>
      </c>
      <c r="J1996" t="s">
        <v>968</v>
      </c>
    </row>
    <row r="1997" spans="1:10">
      <c r="A1997">
        <v>51996</v>
      </c>
      <c r="B1997">
        <v>31156</v>
      </c>
      <c r="C1997" t="s">
        <v>998</v>
      </c>
      <c r="D1997">
        <v>2299</v>
      </c>
      <c r="E1997">
        <v>1001</v>
      </c>
      <c r="F1997">
        <v>1</v>
      </c>
      <c r="G1997" t="s">
        <v>1469</v>
      </c>
      <c r="H1997" t="s">
        <v>16</v>
      </c>
      <c r="I1997" t="s">
        <v>1421</v>
      </c>
      <c r="J1997" t="s">
        <v>1421</v>
      </c>
    </row>
    <row r="1998" spans="1:10">
      <c r="A1998">
        <v>51997</v>
      </c>
      <c r="B1998">
        <v>31156</v>
      </c>
      <c r="C1998" t="s">
        <v>821</v>
      </c>
      <c r="D1998">
        <v>2299</v>
      </c>
      <c r="E1998">
        <v>1003</v>
      </c>
      <c r="F1998">
        <v>2</v>
      </c>
      <c r="G1998" t="s">
        <v>1464</v>
      </c>
      <c r="H1998" t="s">
        <v>16</v>
      </c>
      <c r="I1998" t="s">
        <v>1322</v>
      </c>
      <c r="J1998" t="s">
        <v>1421</v>
      </c>
    </row>
    <row r="1999" spans="1:10">
      <c r="A1999">
        <v>51998</v>
      </c>
      <c r="B1999">
        <v>31156</v>
      </c>
      <c r="C1999" t="s">
        <v>1123</v>
      </c>
      <c r="D1999">
        <v>2299</v>
      </c>
      <c r="E1999">
        <v>1003</v>
      </c>
      <c r="F1999">
        <v>1</v>
      </c>
      <c r="G1999" t="s">
        <v>1471</v>
      </c>
      <c r="H1999" t="s">
        <v>16</v>
      </c>
      <c r="I1999" t="s">
        <v>1421</v>
      </c>
      <c r="J1999" t="s">
        <v>1421</v>
      </c>
    </row>
    <row r="2000" spans="1:10">
      <c r="A2000">
        <v>51999</v>
      </c>
      <c r="B2000">
        <v>31157</v>
      </c>
      <c r="C2000" t="s">
        <v>736</v>
      </c>
      <c r="D2000">
        <v>2285</v>
      </c>
      <c r="E2000">
        <v>1009</v>
      </c>
      <c r="F2000">
        <v>1</v>
      </c>
      <c r="G2000" t="s">
        <v>1473</v>
      </c>
      <c r="H2000" t="s">
        <v>9</v>
      </c>
      <c r="I2000" t="s">
        <v>1209</v>
      </c>
      <c r="J2000" t="s">
        <v>395</v>
      </c>
    </row>
    <row r="2001" spans="1:10">
      <c r="A2001">
        <v>52000</v>
      </c>
      <c r="B2001">
        <v>31157</v>
      </c>
      <c r="C2001" t="s">
        <v>362</v>
      </c>
      <c r="D2001">
        <v>2285</v>
      </c>
      <c r="E2001">
        <v>1009</v>
      </c>
      <c r="G2001" t="s">
        <v>1494</v>
      </c>
      <c r="H2001" t="s">
        <v>9</v>
      </c>
      <c r="I2001" t="s">
        <v>797</v>
      </c>
      <c r="J2001" t="s">
        <v>1003</v>
      </c>
    </row>
    <row r="2002" spans="1:10">
      <c r="A2002">
        <v>52001</v>
      </c>
      <c r="B2002">
        <v>31158</v>
      </c>
      <c r="C2002" t="s">
        <v>202</v>
      </c>
      <c r="D2002">
        <v>2264</v>
      </c>
      <c r="E2002">
        <v>1004</v>
      </c>
      <c r="F2002">
        <v>1</v>
      </c>
      <c r="G2002" t="s">
        <v>1452</v>
      </c>
      <c r="H2002" t="s">
        <v>9</v>
      </c>
      <c r="I2002" t="s">
        <v>1323</v>
      </c>
      <c r="J2002" t="s">
        <v>979</v>
      </c>
    </row>
    <row r="2003" spans="1:10">
      <c r="A2003">
        <v>52002</v>
      </c>
      <c r="B2003">
        <v>31159</v>
      </c>
      <c r="C2003" t="s">
        <v>952</v>
      </c>
      <c r="D2003">
        <v>2179</v>
      </c>
      <c r="E2003">
        <v>1005</v>
      </c>
      <c r="F2003">
        <v>4</v>
      </c>
      <c r="G2003" t="s">
        <v>1480</v>
      </c>
      <c r="H2003" t="s">
        <v>12</v>
      </c>
      <c r="I2003" t="s">
        <v>1421</v>
      </c>
      <c r="J2003" t="s">
        <v>1421</v>
      </c>
    </row>
    <row r="2004" spans="1:10">
      <c r="A2004">
        <v>52003</v>
      </c>
      <c r="B2004">
        <v>31160</v>
      </c>
      <c r="C2004" t="s">
        <v>153</v>
      </c>
      <c r="D2004">
        <v>2458</v>
      </c>
      <c r="E2004">
        <v>1006</v>
      </c>
      <c r="F2004">
        <v>3</v>
      </c>
      <c r="G2004" t="s">
        <v>1493</v>
      </c>
      <c r="H2004" t="s">
        <v>9</v>
      </c>
      <c r="I2004" t="s">
        <v>671</v>
      </c>
      <c r="J2004" t="s">
        <v>1147</v>
      </c>
    </row>
    <row r="2005" spans="1:10">
      <c r="A2005">
        <v>52004</v>
      </c>
      <c r="B2005">
        <v>31160</v>
      </c>
      <c r="C2005" t="s">
        <v>803</v>
      </c>
      <c r="D2005">
        <v>2458</v>
      </c>
      <c r="E2005">
        <v>1009</v>
      </c>
      <c r="F2005">
        <v>2</v>
      </c>
      <c r="G2005" t="s">
        <v>1479</v>
      </c>
      <c r="H2005" t="s">
        <v>9</v>
      </c>
      <c r="I2005" t="s">
        <v>1058</v>
      </c>
      <c r="J2005" t="s">
        <v>989</v>
      </c>
    </row>
    <row r="2006" spans="1:10">
      <c r="A2006">
        <v>52005</v>
      </c>
      <c r="B2006">
        <v>31160</v>
      </c>
      <c r="C2006" t="s">
        <v>803</v>
      </c>
      <c r="D2006">
        <v>2458</v>
      </c>
      <c r="E2006">
        <v>1008</v>
      </c>
      <c r="F2006">
        <v>1</v>
      </c>
      <c r="G2006" t="s">
        <v>1447</v>
      </c>
      <c r="H2006" t="s">
        <v>9</v>
      </c>
      <c r="I2006" t="s">
        <v>807</v>
      </c>
      <c r="J2006" t="s">
        <v>779</v>
      </c>
    </row>
    <row r="2007" spans="1:10">
      <c r="A2007">
        <v>52006</v>
      </c>
      <c r="B2007">
        <v>31160</v>
      </c>
      <c r="C2007" t="s">
        <v>803</v>
      </c>
      <c r="D2007">
        <v>2458</v>
      </c>
      <c r="E2007">
        <v>1016</v>
      </c>
      <c r="F2007">
        <v>1</v>
      </c>
      <c r="G2007" t="s">
        <v>1465</v>
      </c>
      <c r="H2007" t="s">
        <v>9</v>
      </c>
      <c r="I2007" t="s">
        <v>809</v>
      </c>
      <c r="J2007" t="s">
        <v>1146</v>
      </c>
    </row>
    <row r="2008" spans="1:10">
      <c r="A2008">
        <v>52007</v>
      </c>
      <c r="B2008">
        <v>31161</v>
      </c>
      <c r="C2008" t="s">
        <v>598</v>
      </c>
      <c r="D2008">
        <v>2186</v>
      </c>
      <c r="E2008">
        <v>1002</v>
      </c>
      <c r="F2008">
        <v>3</v>
      </c>
      <c r="G2008" t="s">
        <v>1508</v>
      </c>
      <c r="H2008" t="s">
        <v>16</v>
      </c>
      <c r="I2008" t="s">
        <v>1421</v>
      </c>
      <c r="J2008" t="s">
        <v>1421</v>
      </c>
    </row>
    <row r="2009" spans="1:10">
      <c r="A2009">
        <v>52008</v>
      </c>
      <c r="B2009">
        <v>31162</v>
      </c>
      <c r="C2009" t="s">
        <v>1070</v>
      </c>
      <c r="D2009">
        <v>2087</v>
      </c>
      <c r="E2009">
        <v>1005</v>
      </c>
      <c r="F2009">
        <v>1</v>
      </c>
      <c r="G2009" t="s">
        <v>1456</v>
      </c>
      <c r="H2009" t="s">
        <v>11</v>
      </c>
      <c r="I2009" t="s">
        <v>755</v>
      </c>
      <c r="J2009" t="s">
        <v>756</v>
      </c>
    </row>
    <row r="2010" spans="1:10">
      <c r="A2010">
        <v>52009</v>
      </c>
      <c r="B2010">
        <v>31162</v>
      </c>
      <c r="C2010" t="s">
        <v>772</v>
      </c>
      <c r="D2010">
        <v>2087</v>
      </c>
      <c r="E2010">
        <v>1016</v>
      </c>
      <c r="F2010">
        <v>3</v>
      </c>
      <c r="G2010" t="s">
        <v>1484</v>
      </c>
      <c r="H2010" t="s">
        <v>11</v>
      </c>
      <c r="I2010" t="s">
        <v>755</v>
      </c>
      <c r="J2010" t="s">
        <v>768</v>
      </c>
    </row>
    <row r="2011" spans="1:10">
      <c r="A2011">
        <v>52010</v>
      </c>
      <c r="B2011">
        <v>31162</v>
      </c>
      <c r="C2011" t="s">
        <v>772</v>
      </c>
      <c r="D2011">
        <v>2087</v>
      </c>
      <c r="E2011">
        <v>1014</v>
      </c>
      <c r="F2011">
        <v>2</v>
      </c>
      <c r="G2011" t="s">
        <v>1475</v>
      </c>
      <c r="H2011" t="s">
        <v>11</v>
      </c>
      <c r="I2011" t="s">
        <v>757</v>
      </c>
      <c r="J2011" t="s">
        <v>324</v>
      </c>
    </row>
    <row r="2012" spans="1:10">
      <c r="A2012">
        <v>52011</v>
      </c>
      <c r="B2012">
        <v>31163</v>
      </c>
      <c r="C2012" t="s">
        <v>603</v>
      </c>
      <c r="D2012">
        <v>2393</v>
      </c>
      <c r="E2012">
        <v>1015</v>
      </c>
      <c r="F2012">
        <v>3</v>
      </c>
      <c r="G2012" t="s">
        <v>1470</v>
      </c>
      <c r="H2012" t="s">
        <v>9</v>
      </c>
      <c r="I2012" t="s">
        <v>1089</v>
      </c>
      <c r="J2012" t="s">
        <v>608</v>
      </c>
    </row>
    <row r="2013" spans="1:10">
      <c r="A2013">
        <v>52012</v>
      </c>
      <c r="B2013">
        <v>31164</v>
      </c>
      <c r="C2013" t="s">
        <v>685</v>
      </c>
      <c r="D2013">
        <v>2172</v>
      </c>
      <c r="E2013">
        <v>1012</v>
      </c>
      <c r="F2013">
        <v>1</v>
      </c>
      <c r="G2013" t="s">
        <v>1449</v>
      </c>
      <c r="H2013" t="s">
        <v>9</v>
      </c>
      <c r="I2013" t="s">
        <v>1138</v>
      </c>
      <c r="J2013" t="s">
        <v>741</v>
      </c>
    </row>
    <row r="2014" spans="1:10">
      <c r="A2014">
        <v>52013</v>
      </c>
      <c r="B2014">
        <v>31165</v>
      </c>
      <c r="C2014" t="s">
        <v>267</v>
      </c>
      <c r="D2014">
        <v>2056</v>
      </c>
      <c r="E2014">
        <v>1004</v>
      </c>
      <c r="F2014">
        <v>1</v>
      </c>
      <c r="G2014" t="s">
        <v>1452</v>
      </c>
      <c r="H2014" t="s">
        <v>9</v>
      </c>
      <c r="I2014" t="s">
        <v>1134</v>
      </c>
      <c r="J2014" t="s">
        <v>366</v>
      </c>
    </row>
    <row r="2015" spans="1:10">
      <c r="A2015">
        <v>52014</v>
      </c>
      <c r="B2015">
        <v>31165</v>
      </c>
      <c r="C2015" t="s">
        <v>15</v>
      </c>
      <c r="D2015">
        <v>2056</v>
      </c>
      <c r="E2015">
        <v>1002</v>
      </c>
      <c r="F2015">
        <v>1</v>
      </c>
      <c r="G2015" t="s">
        <v>1466</v>
      </c>
      <c r="H2015" t="s">
        <v>9</v>
      </c>
      <c r="I2015" t="s">
        <v>1037</v>
      </c>
      <c r="J2015" t="s">
        <v>1024</v>
      </c>
    </row>
    <row r="2016" spans="1:10">
      <c r="A2016">
        <v>52015</v>
      </c>
      <c r="B2016">
        <v>31166</v>
      </c>
      <c r="C2016" t="s">
        <v>771</v>
      </c>
      <c r="D2016">
        <v>2172</v>
      </c>
      <c r="E2016">
        <v>1016</v>
      </c>
      <c r="F2016">
        <v>1</v>
      </c>
      <c r="G2016" t="s">
        <v>1465</v>
      </c>
      <c r="H2016" t="s">
        <v>9</v>
      </c>
      <c r="I2016" t="s">
        <v>580</v>
      </c>
      <c r="J2016" t="s">
        <v>578</v>
      </c>
    </row>
    <row r="2017" spans="1:10">
      <c r="A2017">
        <v>52016</v>
      </c>
      <c r="B2017">
        <v>31167</v>
      </c>
      <c r="C2017" t="s">
        <v>619</v>
      </c>
      <c r="D2017">
        <v>2309</v>
      </c>
      <c r="E2017">
        <v>1008</v>
      </c>
      <c r="F2017">
        <v>1</v>
      </c>
      <c r="G2017" t="s">
        <v>1447</v>
      </c>
      <c r="H2017" t="s">
        <v>9</v>
      </c>
      <c r="I2017" t="s">
        <v>627</v>
      </c>
      <c r="J2017" t="s">
        <v>686</v>
      </c>
    </row>
    <row r="2018" spans="1:10">
      <c r="A2018">
        <v>52017</v>
      </c>
      <c r="B2018">
        <v>31168</v>
      </c>
      <c r="C2018" t="s">
        <v>839</v>
      </c>
      <c r="D2018">
        <v>2389</v>
      </c>
      <c r="E2018">
        <v>1013</v>
      </c>
      <c r="F2018">
        <v>2</v>
      </c>
      <c r="G2018" t="s">
        <v>1492</v>
      </c>
      <c r="H2018" t="s">
        <v>9</v>
      </c>
      <c r="I2018" t="s">
        <v>333</v>
      </c>
      <c r="J2018" t="s">
        <v>782</v>
      </c>
    </row>
    <row r="2019" spans="1:10">
      <c r="A2019">
        <v>52018</v>
      </c>
      <c r="B2019">
        <v>31168</v>
      </c>
      <c r="C2019" t="s">
        <v>167</v>
      </c>
      <c r="D2019">
        <v>2389</v>
      </c>
      <c r="E2019">
        <v>1016</v>
      </c>
      <c r="F2019">
        <v>1</v>
      </c>
      <c r="G2019" t="s">
        <v>1465</v>
      </c>
      <c r="H2019" t="s">
        <v>9</v>
      </c>
      <c r="I2019" t="s">
        <v>665</v>
      </c>
      <c r="J2019" t="s">
        <v>543</v>
      </c>
    </row>
    <row r="2020" spans="1:10">
      <c r="A2020">
        <v>52019</v>
      </c>
      <c r="B2020">
        <v>31168</v>
      </c>
      <c r="C2020" t="s">
        <v>735</v>
      </c>
      <c r="D2020">
        <v>2389</v>
      </c>
      <c r="E2020">
        <v>1009</v>
      </c>
      <c r="F2020">
        <v>2</v>
      </c>
      <c r="G2020" t="s">
        <v>1479</v>
      </c>
      <c r="H2020" t="s">
        <v>9</v>
      </c>
      <c r="I2020" t="s">
        <v>133</v>
      </c>
      <c r="J2020" t="s">
        <v>177</v>
      </c>
    </row>
    <row r="2021" spans="1:10">
      <c r="A2021">
        <v>52020</v>
      </c>
      <c r="B2021">
        <v>31169</v>
      </c>
      <c r="C2021" t="s">
        <v>864</v>
      </c>
      <c r="D2021">
        <v>2149</v>
      </c>
      <c r="E2021">
        <v>1014</v>
      </c>
      <c r="F2021">
        <v>1</v>
      </c>
      <c r="G2021" t="s">
        <v>1463</v>
      </c>
      <c r="H2021" t="s">
        <v>9</v>
      </c>
      <c r="I2021" t="s">
        <v>187</v>
      </c>
      <c r="J2021" t="s">
        <v>710</v>
      </c>
    </row>
    <row r="2022" spans="1:10">
      <c r="A2022">
        <v>52021</v>
      </c>
      <c r="B2022">
        <v>31169</v>
      </c>
      <c r="C2022" t="s">
        <v>418</v>
      </c>
      <c r="D2022">
        <v>2149</v>
      </c>
      <c r="E2022">
        <v>1001</v>
      </c>
      <c r="F2022">
        <v>1</v>
      </c>
      <c r="G2022" t="s">
        <v>1469</v>
      </c>
      <c r="H2022" t="s">
        <v>9</v>
      </c>
      <c r="I2022" t="s">
        <v>850</v>
      </c>
      <c r="J2022" t="s">
        <v>302</v>
      </c>
    </row>
    <row r="2023" spans="1:10">
      <c r="A2023">
        <v>52022</v>
      </c>
      <c r="B2023">
        <v>31169</v>
      </c>
      <c r="C2023" t="s">
        <v>864</v>
      </c>
      <c r="D2023">
        <v>2149</v>
      </c>
      <c r="E2023">
        <v>1010</v>
      </c>
      <c r="F2023">
        <v>1</v>
      </c>
      <c r="G2023" t="s">
        <v>1468</v>
      </c>
      <c r="H2023" t="s">
        <v>9</v>
      </c>
      <c r="I2023" t="s">
        <v>193</v>
      </c>
      <c r="J2023" t="s">
        <v>28</v>
      </c>
    </row>
    <row r="2024" spans="1:10">
      <c r="A2024">
        <v>52023</v>
      </c>
      <c r="B2024">
        <v>31170</v>
      </c>
      <c r="C2024" t="s">
        <v>600</v>
      </c>
      <c r="D2024">
        <v>2460</v>
      </c>
      <c r="E2024">
        <v>1011</v>
      </c>
      <c r="F2024">
        <v>1</v>
      </c>
      <c r="G2024" t="s">
        <v>1472</v>
      </c>
      <c r="H2024" t="s">
        <v>9</v>
      </c>
      <c r="I2024" t="s">
        <v>854</v>
      </c>
      <c r="J2024" t="s">
        <v>601</v>
      </c>
    </row>
    <row r="2025" spans="1:10">
      <c r="A2025">
        <v>52024</v>
      </c>
      <c r="B2025">
        <v>31171</v>
      </c>
      <c r="C2025" t="s">
        <v>1240</v>
      </c>
      <c r="D2025">
        <v>2543</v>
      </c>
      <c r="E2025">
        <v>1002</v>
      </c>
      <c r="F2025">
        <v>3</v>
      </c>
      <c r="G2025" t="s">
        <v>1508</v>
      </c>
      <c r="H2025" t="s">
        <v>9</v>
      </c>
      <c r="I2025" t="s">
        <v>626</v>
      </c>
      <c r="J2025" t="s">
        <v>554</v>
      </c>
    </row>
    <row r="2026" spans="1:10">
      <c r="A2026">
        <v>52025</v>
      </c>
      <c r="B2026">
        <v>31172</v>
      </c>
      <c r="C2026" t="s">
        <v>1324</v>
      </c>
      <c r="D2026">
        <v>2100</v>
      </c>
      <c r="E2026">
        <v>1012</v>
      </c>
      <c r="F2026">
        <v>1</v>
      </c>
      <c r="G2026" t="s">
        <v>1449</v>
      </c>
      <c r="H2026" t="s">
        <v>12</v>
      </c>
      <c r="I2026" t="s">
        <v>1421</v>
      </c>
      <c r="J2026" t="s">
        <v>1421</v>
      </c>
    </row>
    <row r="2027" spans="1:10">
      <c r="A2027">
        <v>52026</v>
      </c>
      <c r="B2027">
        <v>31173</v>
      </c>
      <c r="C2027" t="s">
        <v>1114</v>
      </c>
      <c r="D2027">
        <v>2443</v>
      </c>
      <c r="E2027">
        <v>1009</v>
      </c>
      <c r="F2027">
        <v>1</v>
      </c>
      <c r="G2027" t="s">
        <v>1473</v>
      </c>
      <c r="H2027" t="s">
        <v>9</v>
      </c>
      <c r="I2027" t="s">
        <v>901</v>
      </c>
      <c r="J2027" t="s">
        <v>618</v>
      </c>
    </row>
    <row r="2028" spans="1:10">
      <c r="A2028">
        <v>52027</v>
      </c>
      <c r="B2028">
        <v>31173</v>
      </c>
      <c r="C2028" t="s">
        <v>1114</v>
      </c>
      <c r="D2028">
        <v>2443</v>
      </c>
      <c r="E2028">
        <v>1011</v>
      </c>
      <c r="F2028">
        <v>1</v>
      </c>
      <c r="G2028" t="s">
        <v>1472</v>
      </c>
      <c r="H2028" t="s">
        <v>9</v>
      </c>
      <c r="I2028" t="s">
        <v>208</v>
      </c>
      <c r="J2028" t="s">
        <v>1186</v>
      </c>
    </row>
    <row r="2029" spans="1:10">
      <c r="A2029">
        <v>52028</v>
      </c>
      <c r="B2029">
        <v>31174</v>
      </c>
      <c r="C2029" t="s">
        <v>1300</v>
      </c>
      <c r="D2029">
        <v>2277</v>
      </c>
      <c r="E2029">
        <v>1004</v>
      </c>
      <c r="F2029">
        <v>4</v>
      </c>
      <c r="G2029" t="s">
        <v>1489</v>
      </c>
      <c r="H2029" t="s">
        <v>9</v>
      </c>
      <c r="I2029" t="s">
        <v>919</v>
      </c>
      <c r="J2029" t="s">
        <v>773</v>
      </c>
    </row>
    <row r="2030" spans="1:10">
      <c r="A2030">
        <v>52029</v>
      </c>
      <c r="B2030">
        <v>31175</v>
      </c>
      <c r="C2030" t="s">
        <v>115</v>
      </c>
      <c r="D2030">
        <v>2262</v>
      </c>
      <c r="E2030">
        <v>1013</v>
      </c>
      <c r="F2030">
        <v>1</v>
      </c>
      <c r="G2030" t="s">
        <v>1474</v>
      </c>
      <c r="H2030" t="s">
        <v>9</v>
      </c>
      <c r="I2030" t="s">
        <v>1021</v>
      </c>
      <c r="J2030" t="s">
        <v>1062</v>
      </c>
    </row>
    <row r="2031" spans="1:10">
      <c r="A2031">
        <v>52030</v>
      </c>
      <c r="B2031">
        <v>31176</v>
      </c>
      <c r="C2031" t="s">
        <v>241</v>
      </c>
      <c r="D2031">
        <v>2473</v>
      </c>
      <c r="E2031">
        <v>1008</v>
      </c>
      <c r="F2031">
        <v>2</v>
      </c>
      <c r="G2031" t="s">
        <v>1520</v>
      </c>
      <c r="H2031" t="s">
        <v>16</v>
      </c>
      <c r="I2031" t="s">
        <v>1421</v>
      </c>
      <c r="J2031" t="s">
        <v>1421</v>
      </c>
    </row>
    <row r="2032" spans="1:10">
      <c r="A2032">
        <v>52031</v>
      </c>
      <c r="B2032">
        <v>31177</v>
      </c>
      <c r="C2032" t="s">
        <v>423</v>
      </c>
      <c r="D2032">
        <v>2200</v>
      </c>
      <c r="E2032">
        <v>1006</v>
      </c>
      <c r="F2032">
        <v>1</v>
      </c>
      <c r="G2032" t="s">
        <v>1459</v>
      </c>
      <c r="H2032" t="s">
        <v>9</v>
      </c>
      <c r="I2032" t="s">
        <v>1097</v>
      </c>
      <c r="J2032" t="s">
        <v>867</v>
      </c>
    </row>
    <row r="2033" spans="1:10">
      <c r="A2033">
        <v>52032</v>
      </c>
      <c r="B2033">
        <v>31177</v>
      </c>
      <c r="C2033" t="s">
        <v>869</v>
      </c>
      <c r="D2033">
        <v>2200</v>
      </c>
      <c r="E2033">
        <v>1011</v>
      </c>
      <c r="F2033">
        <v>1</v>
      </c>
      <c r="G2033" t="s">
        <v>1472</v>
      </c>
      <c r="H2033" t="s">
        <v>9</v>
      </c>
      <c r="I2033" t="s">
        <v>331</v>
      </c>
      <c r="J2033" t="s">
        <v>761</v>
      </c>
    </row>
    <row r="2034" spans="1:10">
      <c r="A2034">
        <v>52033</v>
      </c>
      <c r="B2034">
        <v>31177</v>
      </c>
      <c r="C2034" t="s">
        <v>423</v>
      </c>
      <c r="D2034">
        <v>2200</v>
      </c>
      <c r="E2034">
        <v>1001</v>
      </c>
      <c r="F2034">
        <v>2</v>
      </c>
      <c r="G2034" t="s">
        <v>1460</v>
      </c>
      <c r="H2034" t="s">
        <v>9</v>
      </c>
      <c r="I2034" t="s">
        <v>872</v>
      </c>
      <c r="J2034" t="s">
        <v>1269</v>
      </c>
    </row>
    <row r="2035" spans="1:10">
      <c r="A2035">
        <v>52034</v>
      </c>
      <c r="B2035">
        <v>31178</v>
      </c>
      <c r="C2035" t="s">
        <v>385</v>
      </c>
      <c r="D2035">
        <v>2009</v>
      </c>
      <c r="E2035">
        <v>1001</v>
      </c>
      <c r="F2035">
        <v>1</v>
      </c>
      <c r="G2035" t="s">
        <v>1469</v>
      </c>
      <c r="H2035" t="s">
        <v>16</v>
      </c>
      <c r="I2035" t="s">
        <v>1421</v>
      </c>
      <c r="J2035" t="s">
        <v>1421</v>
      </c>
    </row>
    <row r="2036" spans="1:10">
      <c r="A2036">
        <v>52035</v>
      </c>
      <c r="B2036">
        <v>31179</v>
      </c>
      <c r="C2036" t="s">
        <v>78</v>
      </c>
      <c r="D2036">
        <v>2538</v>
      </c>
      <c r="E2036">
        <v>1015</v>
      </c>
      <c r="F2036">
        <v>5</v>
      </c>
      <c r="G2036" t="s">
        <v>1509</v>
      </c>
      <c r="H2036" t="s">
        <v>9</v>
      </c>
      <c r="I2036" t="s">
        <v>59</v>
      </c>
      <c r="J2036" t="s">
        <v>1250</v>
      </c>
    </row>
    <row r="2037" spans="1:10">
      <c r="A2037">
        <v>52036</v>
      </c>
      <c r="B2037">
        <v>31180</v>
      </c>
      <c r="C2037" t="s">
        <v>759</v>
      </c>
      <c r="D2037">
        <v>2360</v>
      </c>
      <c r="E2037">
        <v>1010</v>
      </c>
      <c r="F2037">
        <v>1</v>
      </c>
      <c r="G2037" t="s">
        <v>1468</v>
      </c>
      <c r="H2037" t="s">
        <v>1495</v>
      </c>
      <c r="I2037" t="s">
        <v>1249</v>
      </c>
      <c r="J2037" t="s">
        <v>869</v>
      </c>
    </row>
    <row r="2038" spans="1:10">
      <c r="A2038">
        <v>52037</v>
      </c>
      <c r="B2038">
        <v>31181</v>
      </c>
      <c r="C2038" t="s">
        <v>1234</v>
      </c>
      <c r="D2038">
        <v>2258</v>
      </c>
      <c r="E2038">
        <v>1001</v>
      </c>
      <c r="F2038">
        <v>1</v>
      </c>
      <c r="G2038" t="s">
        <v>1469</v>
      </c>
      <c r="H2038" t="s">
        <v>9</v>
      </c>
      <c r="I2038" t="s">
        <v>114</v>
      </c>
      <c r="J2038" t="s">
        <v>22</v>
      </c>
    </row>
    <row r="2039" spans="1:10">
      <c r="A2039">
        <v>52038</v>
      </c>
      <c r="B2039">
        <v>31182</v>
      </c>
      <c r="C2039" t="s">
        <v>1230</v>
      </c>
      <c r="D2039">
        <v>2095</v>
      </c>
      <c r="E2039">
        <v>1007</v>
      </c>
      <c r="F2039">
        <v>1</v>
      </c>
      <c r="G2039" t="s">
        <v>1453</v>
      </c>
      <c r="H2039" t="s">
        <v>9</v>
      </c>
      <c r="I2039" t="s">
        <v>657</v>
      </c>
      <c r="J2039" t="s">
        <v>418</v>
      </c>
    </row>
    <row r="2040" spans="1:10">
      <c r="A2040">
        <v>52039</v>
      </c>
      <c r="B2040">
        <v>31182</v>
      </c>
      <c r="C2040" t="s">
        <v>718</v>
      </c>
      <c r="D2040">
        <v>2095</v>
      </c>
      <c r="E2040">
        <v>1004</v>
      </c>
      <c r="F2040">
        <v>4</v>
      </c>
      <c r="G2040" t="s">
        <v>1489</v>
      </c>
      <c r="H2040" t="s">
        <v>9</v>
      </c>
      <c r="I2040" t="s">
        <v>1219</v>
      </c>
      <c r="J2040" t="s">
        <v>1184</v>
      </c>
    </row>
    <row r="2041" spans="1:10">
      <c r="A2041">
        <v>52040</v>
      </c>
      <c r="B2041">
        <v>31182</v>
      </c>
      <c r="C2041" t="s">
        <v>718</v>
      </c>
      <c r="D2041">
        <v>2095</v>
      </c>
      <c r="E2041">
        <v>1004</v>
      </c>
      <c r="F2041">
        <v>1</v>
      </c>
      <c r="G2041" t="s">
        <v>1452</v>
      </c>
      <c r="H2041" t="s">
        <v>9</v>
      </c>
      <c r="I2041" t="s">
        <v>864</v>
      </c>
      <c r="J2041" t="s">
        <v>1325</v>
      </c>
    </row>
    <row r="2042" spans="1:10">
      <c r="A2042">
        <v>52041</v>
      </c>
      <c r="B2042">
        <v>31183</v>
      </c>
      <c r="C2042" t="s">
        <v>1208</v>
      </c>
      <c r="D2042">
        <v>2089</v>
      </c>
      <c r="E2042">
        <v>1005</v>
      </c>
      <c r="F2042">
        <v>1</v>
      </c>
      <c r="G2042" t="s">
        <v>1456</v>
      </c>
      <c r="H2042" t="s">
        <v>16</v>
      </c>
      <c r="I2042" t="s">
        <v>1421</v>
      </c>
      <c r="J2042" t="s">
        <v>1421</v>
      </c>
    </row>
    <row r="2043" spans="1:10">
      <c r="A2043">
        <v>52042</v>
      </c>
      <c r="B2043">
        <v>31184</v>
      </c>
      <c r="C2043" t="s">
        <v>250</v>
      </c>
      <c r="D2043">
        <v>2580</v>
      </c>
      <c r="E2043">
        <v>1006</v>
      </c>
      <c r="F2043">
        <v>1</v>
      </c>
      <c r="G2043" t="s">
        <v>1459</v>
      </c>
      <c r="H2043" t="s">
        <v>16</v>
      </c>
      <c r="I2043" t="s">
        <v>1421</v>
      </c>
      <c r="J2043" t="s">
        <v>1421</v>
      </c>
    </row>
    <row r="2044" spans="1:10">
      <c r="A2044">
        <v>52043</v>
      </c>
      <c r="B2044">
        <v>31184</v>
      </c>
      <c r="C2044" t="s">
        <v>250</v>
      </c>
      <c r="D2044">
        <v>2580</v>
      </c>
      <c r="E2044">
        <v>1006</v>
      </c>
      <c r="F2044">
        <v>2</v>
      </c>
      <c r="G2044" t="s">
        <v>1501</v>
      </c>
      <c r="H2044" t="s">
        <v>16</v>
      </c>
      <c r="I2044" t="s">
        <v>1421</v>
      </c>
      <c r="J2044" t="s">
        <v>1421</v>
      </c>
    </row>
    <row r="2045" spans="1:10">
      <c r="A2045">
        <v>52044</v>
      </c>
      <c r="B2045">
        <v>31185</v>
      </c>
      <c r="C2045" t="s">
        <v>321</v>
      </c>
      <c r="D2045">
        <v>2479</v>
      </c>
      <c r="E2045">
        <v>1003</v>
      </c>
      <c r="F2045">
        <v>1</v>
      </c>
      <c r="G2045" t="s">
        <v>1471</v>
      </c>
      <c r="H2045" t="s">
        <v>9</v>
      </c>
      <c r="I2045" t="s">
        <v>664</v>
      </c>
      <c r="J2045" t="s">
        <v>922</v>
      </c>
    </row>
    <row r="2046" spans="1:10">
      <c r="A2046">
        <v>52045</v>
      </c>
      <c r="B2046">
        <v>31186</v>
      </c>
      <c r="C2046" t="s">
        <v>37</v>
      </c>
      <c r="D2046">
        <v>2465</v>
      </c>
      <c r="E2046">
        <v>1009</v>
      </c>
      <c r="F2046">
        <v>2</v>
      </c>
      <c r="G2046" t="s">
        <v>1479</v>
      </c>
      <c r="H2046" t="s">
        <v>12</v>
      </c>
      <c r="I2046" t="s">
        <v>1421</v>
      </c>
      <c r="J2046" t="s">
        <v>1421</v>
      </c>
    </row>
    <row r="2047" spans="1:10">
      <c r="A2047">
        <v>52046</v>
      </c>
      <c r="B2047">
        <v>31186</v>
      </c>
      <c r="C2047" t="s">
        <v>37</v>
      </c>
      <c r="D2047">
        <v>2465</v>
      </c>
      <c r="E2047">
        <v>1014</v>
      </c>
      <c r="F2047">
        <v>1</v>
      </c>
      <c r="G2047" t="s">
        <v>1463</v>
      </c>
      <c r="H2047" t="s">
        <v>12</v>
      </c>
      <c r="I2047" t="s">
        <v>1421</v>
      </c>
      <c r="J2047" t="s">
        <v>1421</v>
      </c>
    </row>
    <row r="2048" spans="1:10">
      <c r="A2048">
        <v>52047</v>
      </c>
      <c r="B2048">
        <v>31187</v>
      </c>
      <c r="C2048" t="s">
        <v>496</v>
      </c>
      <c r="D2048">
        <v>2332</v>
      </c>
      <c r="E2048">
        <v>1003</v>
      </c>
      <c r="F2048">
        <v>4</v>
      </c>
      <c r="G2048" t="s">
        <v>1519</v>
      </c>
      <c r="H2048" t="s">
        <v>9</v>
      </c>
      <c r="I2048" t="s">
        <v>169</v>
      </c>
      <c r="J2048" t="s">
        <v>1037</v>
      </c>
    </row>
    <row r="2049" spans="1:10">
      <c r="A2049">
        <v>52048</v>
      </c>
      <c r="B2049">
        <v>31188</v>
      </c>
      <c r="C2049" t="s">
        <v>1215</v>
      </c>
      <c r="D2049">
        <v>2284</v>
      </c>
      <c r="E2049">
        <v>1013</v>
      </c>
      <c r="F2049">
        <v>1</v>
      </c>
      <c r="G2049" t="s">
        <v>1474</v>
      </c>
      <c r="H2049" t="s">
        <v>16</v>
      </c>
      <c r="I2049" t="s">
        <v>1421</v>
      </c>
      <c r="J2049" t="s">
        <v>1421</v>
      </c>
    </row>
    <row r="2050" spans="1:10">
      <c r="A2050">
        <v>52049</v>
      </c>
      <c r="B2050">
        <v>31189</v>
      </c>
      <c r="C2050" t="s">
        <v>285</v>
      </c>
      <c r="D2050">
        <v>2062</v>
      </c>
      <c r="E2050">
        <v>1009</v>
      </c>
      <c r="F2050">
        <v>1</v>
      </c>
      <c r="G2050" t="s">
        <v>1473</v>
      </c>
      <c r="H2050" t="s">
        <v>9</v>
      </c>
      <c r="I2050" t="s">
        <v>886</v>
      </c>
      <c r="J2050" t="s">
        <v>471</v>
      </c>
    </row>
    <row r="2051" spans="1:10">
      <c r="A2051">
        <v>52050</v>
      </c>
      <c r="B2051">
        <v>31190</v>
      </c>
      <c r="C2051" t="s">
        <v>1198</v>
      </c>
      <c r="D2051">
        <v>2183</v>
      </c>
      <c r="E2051">
        <v>1016</v>
      </c>
      <c r="F2051">
        <v>1</v>
      </c>
      <c r="G2051" t="s">
        <v>1465</v>
      </c>
      <c r="H2051" t="s">
        <v>9</v>
      </c>
      <c r="I2051" t="s">
        <v>1322</v>
      </c>
      <c r="J2051" t="s">
        <v>394</v>
      </c>
    </row>
    <row r="2052" spans="1:10">
      <c r="A2052">
        <v>52051</v>
      </c>
      <c r="B2052">
        <v>31190</v>
      </c>
      <c r="C2052" t="s">
        <v>1198</v>
      </c>
      <c r="D2052">
        <v>2183</v>
      </c>
      <c r="E2052">
        <v>1007</v>
      </c>
      <c r="F2052">
        <v>2</v>
      </c>
      <c r="G2052" t="s">
        <v>1455</v>
      </c>
      <c r="H2052" t="s">
        <v>9</v>
      </c>
      <c r="I2052" t="s">
        <v>203</v>
      </c>
      <c r="J2052" t="s">
        <v>1033</v>
      </c>
    </row>
    <row r="2053" spans="1:10">
      <c r="A2053">
        <v>52052</v>
      </c>
      <c r="B2053">
        <v>31190</v>
      </c>
      <c r="C2053" t="s">
        <v>1198</v>
      </c>
      <c r="D2053">
        <v>2183</v>
      </c>
      <c r="E2053">
        <v>1013</v>
      </c>
      <c r="F2053">
        <v>4</v>
      </c>
      <c r="G2053" t="s">
        <v>1523</v>
      </c>
      <c r="H2053" t="s">
        <v>9</v>
      </c>
      <c r="I2053" t="s">
        <v>662</v>
      </c>
      <c r="J2053" t="s">
        <v>1033</v>
      </c>
    </row>
    <row r="2054" spans="1:10">
      <c r="A2054">
        <v>52053</v>
      </c>
      <c r="B2054">
        <v>31191</v>
      </c>
      <c r="C2054" t="s">
        <v>295</v>
      </c>
      <c r="D2054">
        <v>2183</v>
      </c>
      <c r="E2054">
        <v>1004</v>
      </c>
      <c r="F2054">
        <v>1</v>
      </c>
      <c r="G2054" t="s">
        <v>1452</v>
      </c>
      <c r="H2054" t="s">
        <v>9</v>
      </c>
      <c r="I2054" t="s">
        <v>941</v>
      </c>
      <c r="J2054" t="s">
        <v>261</v>
      </c>
    </row>
    <row r="2055" spans="1:10">
      <c r="A2055">
        <v>52054</v>
      </c>
      <c r="B2055">
        <v>31192</v>
      </c>
      <c r="C2055" t="s">
        <v>1012</v>
      </c>
      <c r="D2055">
        <v>2148</v>
      </c>
      <c r="E2055">
        <v>1014</v>
      </c>
      <c r="F2055">
        <v>1</v>
      </c>
      <c r="G2055" t="s">
        <v>1463</v>
      </c>
      <c r="H2055" t="s">
        <v>9</v>
      </c>
      <c r="I2055" t="s">
        <v>548</v>
      </c>
      <c r="J2055" t="s">
        <v>356</v>
      </c>
    </row>
    <row r="2056" spans="1:10">
      <c r="A2056">
        <v>52055</v>
      </c>
      <c r="B2056">
        <v>31192</v>
      </c>
      <c r="C2056" t="s">
        <v>1012</v>
      </c>
      <c r="D2056">
        <v>2148</v>
      </c>
      <c r="E2056">
        <v>1007</v>
      </c>
      <c r="F2056">
        <v>3</v>
      </c>
      <c r="G2056" t="s">
        <v>1446</v>
      </c>
      <c r="H2056" t="s">
        <v>9</v>
      </c>
      <c r="I2056" t="s">
        <v>613</v>
      </c>
      <c r="J2056" t="s">
        <v>412</v>
      </c>
    </row>
    <row r="2057" spans="1:10">
      <c r="A2057">
        <v>52056</v>
      </c>
      <c r="B2057">
        <v>31193</v>
      </c>
      <c r="C2057" t="s">
        <v>801</v>
      </c>
      <c r="D2057">
        <v>2109</v>
      </c>
      <c r="E2057">
        <v>1009</v>
      </c>
      <c r="F2057">
        <v>1</v>
      </c>
      <c r="G2057" t="s">
        <v>1473</v>
      </c>
      <c r="H2057" t="s">
        <v>12</v>
      </c>
      <c r="I2057" t="s">
        <v>1421</v>
      </c>
      <c r="J2057" t="s">
        <v>1421</v>
      </c>
    </row>
    <row r="2058" spans="1:10">
      <c r="A2058">
        <v>52057</v>
      </c>
      <c r="B2058">
        <v>31194</v>
      </c>
      <c r="C2058" t="s">
        <v>556</v>
      </c>
      <c r="D2058">
        <v>2106</v>
      </c>
      <c r="E2058">
        <v>1003</v>
      </c>
      <c r="F2058">
        <v>1</v>
      </c>
      <c r="G2058" t="s">
        <v>1471</v>
      </c>
      <c r="H2058" t="s">
        <v>9</v>
      </c>
      <c r="I2058" t="s">
        <v>739</v>
      </c>
      <c r="J2058" t="s">
        <v>453</v>
      </c>
    </row>
    <row r="2059" spans="1:10">
      <c r="A2059">
        <v>52058</v>
      </c>
      <c r="B2059">
        <v>31195</v>
      </c>
      <c r="C2059" t="s">
        <v>1127</v>
      </c>
      <c r="D2059">
        <v>2586</v>
      </c>
      <c r="E2059">
        <v>1015</v>
      </c>
      <c r="F2059">
        <v>3</v>
      </c>
      <c r="G2059" t="s">
        <v>1470</v>
      </c>
      <c r="H2059" t="s">
        <v>9</v>
      </c>
      <c r="I2059" t="s">
        <v>909</v>
      </c>
      <c r="J2059" t="s">
        <v>1171</v>
      </c>
    </row>
    <row r="2060" spans="1:10">
      <c r="A2060">
        <v>52059</v>
      </c>
      <c r="B2060">
        <v>31195</v>
      </c>
      <c r="C2060" t="s">
        <v>353</v>
      </c>
      <c r="D2060">
        <v>2586</v>
      </c>
      <c r="E2060">
        <v>1001</v>
      </c>
      <c r="F2060">
        <v>2</v>
      </c>
      <c r="G2060" t="s">
        <v>1460</v>
      </c>
      <c r="H2060" t="s">
        <v>9</v>
      </c>
      <c r="I2060" t="s">
        <v>180</v>
      </c>
      <c r="J2060" t="s">
        <v>814</v>
      </c>
    </row>
    <row r="2061" spans="1:10">
      <c r="A2061">
        <v>52060</v>
      </c>
      <c r="B2061">
        <v>31196</v>
      </c>
      <c r="C2061" t="s">
        <v>1297</v>
      </c>
      <c r="D2061">
        <v>2510</v>
      </c>
      <c r="E2061">
        <v>1001</v>
      </c>
      <c r="F2061">
        <v>2</v>
      </c>
      <c r="G2061" t="s">
        <v>1460</v>
      </c>
      <c r="H2061" t="s">
        <v>9</v>
      </c>
      <c r="I2061" t="s">
        <v>1158</v>
      </c>
      <c r="J2061" t="s">
        <v>1155</v>
      </c>
    </row>
    <row r="2062" spans="1:10">
      <c r="A2062">
        <v>52061</v>
      </c>
      <c r="B2062">
        <v>31196</v>
      </c>
      <c r="C2062" t="s">
        <v>254</v>
      </c>
      <c r="D2062">
        <v>2510</v>
      </c>
      <c r="E2062">
        <v>1002</v>
      </c>
      <c r="F2062">
        <v>1</v>
      </c>
      <c r="G2062" t="s">
        <v>1466</v>
      </c>
      <c r="H2062" t="s">
        <v>9</v>
      </c>
      <c r="I2062" t="s">
        <v>1326</v>
      </c>
      <c r="J2062" t="s">
        <v>1137</v>
      </c>
    </row>
    <row r="2063" spans="1:10">
      <c r="A2063">
        <v>52062</v>
      </c>
      <c r="B2063">
        <v>31197</v>
      </c>
      <c r="C2063" t="s">
        <v>699</v>
      </c>
      <c r="D2063">
        <v>2400</v>
      </c>
      <c r="E2063">
        <v>1011</v>
      </c>
      <c r="F2063">
        <v>2</v>
      </c>
      <c r="G2063" t="s">
        <v>1487</v>
      </c>
      <c r="H2063" t="s">
        <v>9</v>
      </c>
      <c r="I2063" t="s">
        <v>529</v>
      </c>
      <c r="J2063" t="s">
        <v>838</v>
      </c>
    </row>
    <row r="2064" spans="1:10">
      <c r="A2064">
        <v>52063</v>
      </c>
      <c r="B2064">
        <v>31198</v>
      </c>
      <c r="C2064" t="s">
        <v>1083</v>
      </c>
      <c r="D2064">
        <v>2401</v>
      </c>
      <c r="E2064">
        <v>1016</v>
      </c>
      <c r="F2064">
        <v>1</v>
      </c>
      <c r="G2064" t="s">
        <v>1465</v>
      </c>
      <c r="H2064" t="s">
        <v>9</v>
      </c>
      <c r="I2064" t="s">
        <v>175</v>
      </c>
      <c r="J2064" t="s">
        <v>1206</v>
      </c>
    </row>
    <row r="2065" spans="1:10">
      <c r="A2065">
        <v>52064</v>
      </c>
      <c r="B2065">
        <v>31198</v>
      </c>
      <c r="C2065" t="s">
        <v>1083</v>
      </c>
      <c r="D2065">
        <v>2401</v>
      </c>
      <c r="E2065">
        <v>1016</v>
      </c>
      <c r="F2065">
        <v>2</v>
      </c>
      <c r="G2065" t="s">
        <v>1500</v>
      </c>
      <c r="H2065" t="s">
        <v>9</v>
      </c>
      <c r="I2065" t="s">
        <v>480</v>
      </c>
      <c r="J2065" t="s">
        <v>346</v>
      </c>
    </row>
    <row r="2066" spans="1:10">
      <c r="A2066">
        <v>52065</v>
      </c>
      <c r="B2066">
        <v>31199</v>
      </c>
      <c r="C2066" t="s">
        <v>717</v>
      </c>
      <c r="D2066">
        <v>2447</v>
      </c>
      <c r="E2066">
        <v>1003</v>
      </c>
      <c r="F2066">
        <v>1</v>
      </c>
      <c r="G2066" t="s">
        <v>1471</v>
      </c>
      <c r="H2066" t="s">
        <v>9</v>
      </c>
      <c r="I2066" t="s">
        <v>451</v>
      </c>
      <c r="J2066" t="s">
        <v>375</v>
      </c>
    </row>
    <row r="2067" spans="1:10">
      <c r="A2067">
        <v>52066</v>
      </c>
      <c r="B2067">
        <v>31200</v>
      </c>
      <c r="C2067" t="s">
        <v>353</v>
      </c>
      <c r="D2067">
        <v>2554</v>
      </c>
      <c r="E2067">
        <v>1013</v>
      </c>
      <c r="F2067">
        <v>3</v>
      </c>
      <c r="G2067" t="s">
        <v>1490</v>
      </c>
      <c r="H2067" t="s">
        <v>9</v>
      </c>
      <c r="I2067" t="s">
        <v>1327</v>
      </c>
      <c r="J2067" t="s">
        <v>1090</v>
      </c>
    </row>
    <row r="2068" spans="1:10">
      <c r="A2068">
        <v>52067</v>
      </c>
      <c r="B2068">
        <v>31201</v>
      </c>
      <c r="C2068" t="s">
        <v>617</v>
      </c>
      <c r="D2068">
        <v>2494</v>
      </c>
      <c r="E2068">
        <v>1012</v>
      </c>
      <c r="F2068">
        <v>1</v>
      </c>
      <c r="G2068" t="s">
        <v>1449</v>
      </c>
      <c r="H2068" t="s">
        <v>9</v>
      </c>
      <c r="I2068" t="s">
        <v>990</v>
      </c>
      <c r="J2068" t="s">
        <v>991</v>
      </c>
    </row>
    <row r="2069" spans="1:10">
      <c r="A2069">
        <v>52068</v>
      </c>
      <c r="B2069">
        <v>31201</v>
      </c>
      <c r="C2069" t="s">
        <v>906</v>
      </c>
      <c r="E2069">
        <v>1011</v>
      </c>
      <c r="F2069">
        <v>2</v>
      </c>
      <c r="G2069" t="s">
        <v>1487</v>
      </c>
      <c r="H2069" t="s">
        <v>9</v>
      </c>
      <c r="I2069" t="s">
        <v>717</v>
      </c>
      <c r="J2069" t="s">
        <v>714</v>
      </c>
    </row>
    <row r="2070" spans="1:10">
      <c r="A2070">
        <v>52069</v>
      </c>
      <c r="B2070">
        <v>31202</v>
      </c>
      <c r="C2070" t="s">
        <v>839</v>
      </c>
      <c r="D2070">
        <v>2311</v>
      </c>
      <c r="E2070">
        <v>1003</v>
      </c>
      <c r="F2070">
        <v>2</v>
      </c>
      <c r="G2070" t="s">
        <v>1464</v>
      </c>
      <c r="H2070" t="s">
        <v>9</v>
      </c>
      <c r="I2070" t="s">
        <v>530</v>
      </c>
      <c r="J2070" t="s">
        <v>34</v>
      </c>
    </row>
    <row r="2071" spans="1:10">
      <c r="A2071">
        <v>52070</v>
      </c>
      <c r="B2071">
        <v>31203</v>
      </c>
      <c r="C2071" t="s">
        <v>30</v>
      </c>
      <c r="D2071">
        <v>2375</v>
      </c>
      <c r="E2071">
        <v>1011</v>
      </c>
      <c r="F2071">
        <v>2</v>
      </c>
      <c r="G2071" t="s">
        <v>1487</v>
      </c>
      <c r="H2071" t="s">
        <v>1495</v>
      </c>
      <c r="I2071" t="s">
        <v>839</v>
      </c>
      <c r="J2071" t="s">
        <v>31</v>
      </c>
    </row>
    <row r="2072" spans="1:10">
      <c r="A2072">
        <v>52071</v>
      </c>
      <c r="B2072">
        <v>31203</v>
      </c>
      <c r="C2072" t="s">
        <v>335</v>
      </c>
      <c r="D2072">
        <v>2375</v>
      </c>
      <c r="E2072">
        <v>1003</v>
      </c>
      <c r="F2072">
        <v>1</v>
      </c>
      <c r="G2072" t="s">
        <v>1471</v>
      </c>
      <c r="H2072" t="s">
        <v>1495</v>
      </c>
      <c r="I2072" t="s">
        <v>1020</v>
      </c>
      <c r="J2072" t="s">
        <v>1021</v>
      </c>
    </row>
    <row r="2073" spans="1:10">
      <c r="A2073">
        <v>52072</v>
      </c>
      <c r="B2073">
        <v>31204</v>
      </c>
      <c r="C2073" t="s">
        <v>605</v>
      </c>
      <c r="D2073">
        <v>2471</v>
      </c>
      <c r="E2073">
        <v>1010</v>
      </c>
      <c r="F2073">
        <v>1</v>
      </c>
      <c r="G2073" t="s">
        <v>1468</v>
      </c>
      <c r="H2073" t="s">
        <v>16</v>
      </c>
      <c r="I2073" t="s">
        <v>1421</v>
      </c>
      <c r="J2073" t="s">
        <v>1421</v>
      </c>
    </row>
    <row r="2074" spans="1:10">
      <c r="A2074">
        <v>52073</v>
      </c>
      <c r="B2074">
        <v>31205</v>
      </c>
      <c r="C2074" t="s">
        <v>397</v>
      </c>
      <c r="D2074">
        <v>2181</v>
      </c>
      <c r="E2074">
        <v>1013</v>
      </c>
      <c r="F2074">
        <v>2</v>
      </c>
      <c r="G2074" t="s">
        <v>1492</v>
      </c>
      <c r="H2074" t="s">
        <v>9</v>
      </c>
      <c r="I2074" t="s">
        <v>1155</v>
      </c>
      <c r="J2074" t="s">
        <v>1307</v>
      </c>
    </row>
    <row r="2075" spans="1:10">
      <c r="A2075">
        <v>52074</v>
      </c>
      <c r="B2075">
        <v>31206</v>
      </c>
      <c r="C2075" t="s">
        <v>416</v>
      </c>
      <c r="D2075">
        <v>2196</v>
      </c>
      <c r="E2075">
        <v>1013</v>
      </c>
      <c r="F2075">
        <v>2</v>
      </c>
      <c r="G2075" t="s">
        <v>1492</v>
      </c>
      <c r="H2075" t="s">
        <v>9</v>
      </c>
      <c r="I2075" t="s">
        <v>712</v>
      </c>
      <c r="J2075" t="s">
        <v>650</v>
      </c>
    </row>
    <row r="2076" spans="1:10">
      <c r="A2076">
        <v>52075</v>
      </c>
      <c r="B2076">
        <v>31206</v>
      </c>
      <c r="C2076" t="s">
        <v>377</v>
      </c>
      <c r="D2076">
        <v>2196</v>
      </c>
      <c r="E2076">
        <v>1004</v>
      </c>
      <c r="F2076">
        <v>1</v>
      </c>
      <c r="G2076" t="s">
        <v>1452</v>
      </c>
      <c r="H2076" t="s">
        <v>9</v>
      </c>
      <c r="I2076" t="s">
        <v>455</v>
      </c>
      <c r="J2076" t="s">
        <v>50</v>
      </c>
    </row>
    <row r="2077" spans="1:10">
      <c r="A2077">
        <v>52076</v>
      </c>
      <c r="B2077">
        <v>31207</v>
      </c>
      <c r="C2077" t="s">
        <v>643</v>
      </c>
      <c r="D2077">
        <v>2368</v>
      </c>
      <c r="E2077">
        <v>1015</v>
      </c>
      <c r="F2077">
        <v>1</v>
      </c>
      <c r="G2077" t="s">
        <v>1478</v>
      </c>
      <c r="H2077" t="s">
        <v>9</v>
      </c>
      <c r="I2077" t="s">
        <v>646</v>
      </c>
      <c r="J2077" t="s">
        <v>681</v>
      </c>
    </row>
    <row r="2078" spans="1:10">
      <c r="A2078">
        <v>52077</v>
      </c>
      <c r="B2078">
        <v>31208</v>
      </c>
      <c r="C2078" t="s">
        <v>801</v>
      </c>
      <c r="D2078">
        <v>2195</v>
      </c>
      <c r="E2078">
        <v>1007</v>
      </c>
      <c r="F2078">
        <v>2</v>
      </c>
      <c r="G2078" t="s">
        <v>1455</v>
      </c>
      <c r="H2078" t="s">
        <v>9</v>
      </c>
      <c r="I2078" t="s">
        <v>289</v>
      </c>
      <c r="J2078" t="s">
        <v>811</v>
      </c>
    </row>
    <row r="2079" spans="1:10">
      <c r="A2079">
        <v>52078</v>
      </c>
      <c r="B2079">
        <v>31209</v>
      </c>
      <c r="C2079" t="s">
        <v>859</v>
      </c>
      <c r="D2079">
        <v>2026</v>
      </c>
      <c r="E2079">
        <v>1008</v>
      </c>
      <c r="F2079">
        <v>1</v>
      </c>
      <c r="G2079" t="s">
        <v>1447</v>
      </c>
      <c r="H2079" t="s">
        <v>9</v>
      </c>
      <c r="I2079" t="s">
        <v>1104</v>
      </c>
      <c r="J2079" t="s">
        <v>396</v>
      </c>
    </row>
    <row r="2080" spans="1:10">
      <c r="A2080">
        <v>52079</v>
      </c>
      <c r="B2080">
        <v>31209</v>
      </c>
      <c r="C2080" t="s">
        <v>859</v>
      </c>
      <c r="D2080">
        <v>2026</v>
      </c>
      <c r="E2080">
        <v>1016</v>
      </c>
      <c r="F2080">
        <v>1</v>
      </c>
      <c r="G2080" t="s">
        <v>1465</v>
      </c>
      <c r="H2080" t="s">
        <v>9</v>
      </c>
      <c r="I2080" t="s">
        <v>1104</v>
      </c>
      <c r="J2080" t="s">
        <v>876</v>
      </c>
    </row>
    <row r="2081" spans="1:10">
      <c r="A2081">
        <v>52080</v>
      </c>
      <c r="B2081">
        <v>31210</v>
      </c>
      <c r="C2081" t="s">
        <v>590</v>
      </c>
      <c r="D2081">
        <v>2399</v>
      </c>
      <c r="E2081">
        <v>1010</v>
      </c>
      <c r="F2081">
        <v>2</v>
      </c>
      <c r="G2081" t="s">
        <v>1483</v>
      </c>
      <c r="H2081" t="s">
        <v>9</v>
      </c>
      <c r="I2081" t="s">
        <v>1223</v>
      </c>
      <c r="J2081" t="s">
        <v>37</v>
      </c>
    </row>
    <row r="2082" spans="1:10">
      <c r="A2082">
        <v>52081</v>
      </c>
      <c r="B2082">
        <v>31211</v>
      </c>
      <c r="C2082" t="s">
        <v>822</v>
      </c>
      <c r="D2082">
        <v>2512</v>
      </c>
      <c r="E2082">
        <v>1015</v>
      </c>
      <c r="F2082">
        <v>1</v>
      </c>
      <c r="G2082" t="s">
        <v>1478</v>
      </c>
      <c r="H2082" t="s">
        <v>9</v>
      </c>
      <c r="I2082" t="s">
        <v>97</v>
      </c>
      <c r="J2082" t="s">
        <v>547</v>
      </c>
    </row>
    <row r="2083" spans="1:10">
      <c r="A2083">
        <v>52082</v>
      </c>
      <c r="B2083">
        <v>31211</v>
      </c>
      <c r="C2083" t="s">
        <v>822</v>
      </c>
      <c r="D2083">
        <v>2512</v>
      </c>
      <c r="E2083">
        <v>1001</v>
      </c>
      <c r="F2083">
        <v>1</v>
      </c>
      <c r="G2083" t="s">
        <v>1469</v>
      </c>
      <c r="H2083" t="s">
        <v>9</v>
      </c>
      <c r="I2083" t="s">
        <v>444</v>
      </c>
      <c r="J2083" t="s">
        <v>859</v>
      </c>
    </row>
    <row r="2084" spans="1:10">
      <c r="A2084">
        <v>52083</v>
      </c>
      <c r="B2084">
        <v>31212</v>
      </c>
      <c r="C2084" t="s">
        <v>184</v>
      </c>
      <c r="D2084">
        <v>2038</v>
      </c>
      <c r="E2084">
        <v>1011</v>
      </c>
      <c r="F2084">
        <v>1</v>
      </c>
      <c r="G2084" t="s">
        <v>1472</v>
      </c>
      <c r="H2084" t="s">
        <v>9</v>
      </c>
      <c r="I2084" t="s">
        <v>185</v>
      </c>
      <c r="J2084" t="s">
        <v>475</v>
      </c>
    </row>
    <row r="2085" spans="1:10">
      <c r="A2085">
        <v>52084</v>
      </c>
      <c r="B2085">
        <v>31212</v>
      </c>
      <c r="C2085" t="s">
        <v>184</v>
      </c>
      <c r="D2085">
        <v>2038</v>
      </c>
      <c r="E2085">
        <v>1002</v>
      </c>
      <c r="F2085">
        <v>1</v>
      </c>
      <c r="G2085" t="s">
        <v>1466</v>
      </c>
      <c r="H2085" t="s">
        <v>9</v>
      </c>
      <c r="I2085" t="s">
        <v>153</v>
      </c>
      <c r="J2085" t="s">
        <v>290</v>
      </c>
    </row>
    <row r="2086" spans="1:10">
      <c r="A2086">
        <v>52085</v>
      </c>
      <c r="B2086">
        <v>31213</v>
      </c>
      <c r="C2086" t="s">
        <v>1315</v>
      </c>
      <c r="D2086">
        <v>2416</v>
      </c>
      <c r="E2086">
        <v>1015</v>
      </c>
      <c r="F2086">
        <v>1</v>
      </c>
      <c r="G2086" t="s">
        <v>1478</v>
      </c>
      <c r="H2086" t="s">
        <v>68</v>
      </c>
      <c r="I2086" t="s">
        <v>452</v>
      </c>
      <c r="J2086" t="s">
        <v>1283</v>
      </c>
    </row>
    <row r="2087" spans="1:10">
      <c r="A2087">
        <v>52086</v>
      </c>
      <c r="B2087">
        <v>31213</v>
      </c>
      <c r="C2087" t="s">
        <v>617</v>
      </c>
      <c r="D2087">
        <v>2416</v>
      </c>
      <c r="E2087">
        <v>1005</v>
      </c>
      <c r="F2087">
        <v>1</v>
      </c>
      <c r="G2087" t="s">
        <v>1456</v>
      </c>
      <c r="H2087" t="s">
        <v>9</v>
      </c>
      <c r="I2087" t="s">
        <v>1298</v>
      </c>
      <c r="J2087" t="s">
        <v>519</v>
      </c>
    </row>
    <row r="2088" spans="1:10">
      <c r="A2088">
        <v>52087</v>
      </c>
      <c r="B2088">
        <v>31214</v>
      </c>
      <c r="C2088" t="s">
        <v>125</v>
      </c>
      <c r="D2088">
        <v>2594</v>
      </c>
      <c r="E2088">
        <v>1003</v>
      </c>
      <c r="F2088">
        <v>1</v>
      </c>
      <c r="G2088" t="s">
        <v>1471</v>
      </c>
      <c r="H2088" t="s">
        <v>9</v>
      </c>
      <c r="I2088" t="s">
        <v>133</v>
      </c>
      <c r="J2088" t="s">
        <v>34</v>
      </c>
    </row>
    <row r="2089" spans="1:10">
      <c r="A2089">
        <v>52088</v>
      </c>
      <c r="B2089">
        <v>31215</v>
      </c>
      <c r="C2089" t="s">
        <v>1263</v>
      </c>
      <c r="D2089">
        <v>2038</v>
      </c>
      <c r="E2089">
        <v>1016</v>
      </c>
      <c r="F2089">
        <v>3</v>
      </c>
      <c r="G2089" t="s">
        <v>1484</v>
      </c>
      <c r="H2089" t="s">
        <v>9</v>
      </c>
      <c r="I2089" t="s">
        <v>596</v>
      </c>
      <c r="J2089" t="s">
        <v>488</v>
      </c>
    </row>
    <row r="2090" spans="1:10">
      <c r="A2090">
        <v>52089</v>
      </c>
      <c r="B2090">
        <v>31216</v>
      </c>
      <c r="C2090" t="s">
        <v>1313</v>
      </c>
      <c r="D2090">
        <v>2020</v>
      </c>
      <c r="E2090">
        <v>1002</v>
      </c>
      <c r="F2090">
        <v>3</v>
      </c>
      <c r="G2090" t="s">
        <v>1508</v>
      </c>
      <c r="H2090" t="s">
        <v>9</v>
      </c>
      <c r="I2090" t="s">
        <v>218</v>
      </c>
      <c r="J2090" t="s">
        <v>485</v>
      </c>
    </row>
    <row r="2091" spans="1:10">
      <c r="A2091">
        <v>52090</v>
      </c>
      <c r="B2091">
        <v>31216</v>
      </c>
      <c r="C2091" t="s">
        <v>1313</v>
      </c>
      <c r="D2091">
        <v>2020</v>
      </c>
      <c r="E2091">
        <v>1008</v>
      </c>
      <c r="F2091">
        <v>1</v>
      </c>
      <c r="G2091" t="s">
        <v>1447</v>
      </c>
      <c r="H2091" t="s">
        <v>9</v>
      </c>
      <c r="I2091" t="s">
        <v>1263</v>
      </c>
      <c r="J2091" t="s">
        <v>256</v>
      </c>
    </row>
    <row r="2092" spans="1:10">
      <c r="A2092">
        <v>52091</v>
      </c>
      <c r="B2092">
        <v>31217</v>
      </c>
      <c r="C2092" t="s">
        <v>544</v>
      </c>
      <c r="D2092">
        <v>2134</v>
      </c>
      <c r="E2092">
        <v>1002</v>
      </c>
      <c r="F2092">
        <v>1</v>
      </c>
      <c r="G2092" t="s">
        <v>1466</v>
      </c>
      <c r="H2092" t="s">
        <v>9</v>
      </c>
      <c r="I2092" t="s">
        <v>743</v>
      </c>
      <c r="J2092" t="s">
        <v>165</v>
      </c>
    </row>
    <row r="2093" spans="1:10">
      <c r="A2093">
        <v>52092</v>
      </c>
      <c r="B2093">
        <v>31217</v>
      </c>
      <c r="C2093" t="s">
        <v>419</v>
      </c>
      <c r="D2093">
        <v>2134</v>
      </c>
      <c r="E2093">
        <v>1010</v>
      </c>
      <c r="F2093">
        <v>2</v>
      </c>
      <c r="G2093" t="s">
        <v>1483</v>
      </c>
      <c r="H2093" t="s">
        <v>9</v>
      </c>
      <c r="I2093" t="s">
        <v>425</v>
      </c>
      <c r="J2093" t="s">
        <v>760</v>
      </c>
    </row>
    <row r="2094" spans="1:10">
      <c r="A2094">
        <v>52093</v>
      </c>
      <c r="B2094">
        <v>31217</v>
      </c>
      <c r="C2094" t="s">
        <v>419</v>
      </c>
      <c r="D2094">
        <v>2134</v>
      </c>
      <c r="E2094">
        <v>1004</v>
      </c>
      <c r="F2094">
        <v>3</v>
      </c>
      <c r="G2094" t="s">
        <v>1481</v>
      </c>
      <c r="H2094" t="s">
        <v>9</v>
      </c>
      <c r="I2094" t="s">
        <v>1108</v>
      </c>
      <c r="J2094" t="s">
        <v>1002</v>
      </c>
    </row>
    <row r="2095" spans="1:10">
      <c r="A2095">
        <v>52094</v>
      </c>
      <c r="B2095">
        <v>31218</v>
      </c>
      <c r="C2095" t="s">
        <v>704</v>
      </c>
      <c r="D2095">
        <v>2468</v>
      </c>
      <c r="E2095">
        <v>1003</v>
      </c>
      <c r="F2095">
        <v>1</v>
      </c>
      <c r="G2095" t="s">
        <v>1471</v>
      </c>
      <c r="H2095" t="s">
        <v>9</v>
      </c>
      <c r="I2095" t="s">
        <v>116</v>
      </c>
      <c r="J2095" t="s">
        <v>142</v>
      </c>
    </row>
    <row r="2096" spans="1:10">
      <c r="A2096">
        <v>52095</v>
      </c>
      <c r="B2096">
        <v>31218</v>
      </c>
      <c r="C2096" t="s">
        <v>1044</v>
      </c>
      <c r="D2096">
        <v>2468</v>
      </c>
      <c r="E2096">
        <v>1004</v>
      </c>
      <c r="F2096">
        <v>1</v>
      </c>
      <c r="G2096" t="s">
        <v>1452</v>
      </c>
      <c r="H2096" t="s">
        <v>9</v>
      </c>
      <c r="I2096" t="s">
        <v>956</v>
      </c>
      <c r="J2096" t="s">
        <v>1226</v>
      </c>
    </row>
    <row r="2097" spans="1:10">
      <c r="A2097">
        <v>52096</v>
      </c>
      <c r="B2097">
        <v>31219</v>
      </c>
      <c r="C2097" t="s">
        <v>879</v>
      </c>
      <c r="D2097">
        <v>2117</v>
      </c>
      <c r="E2097">
        <v>1008</v>
      </c>
      <c r="F2097">
        <v>3</v>
      </c>
      <c r="G2097" t="s">
        <v>1491</v>
      </c>
      <c r="H2097" t="s">
        <v>9</v>
      </c>
      <c r="I2097" t="s">
        <v>574</v>
      </c>
      <c r="J2097" t="s">
        <v>853</v>
      </c>
    </row>
    <row r="2098" spans="1:10">
      <c r="A2098">
        <v>52097</v>
      </c>
      <c r="B2098">
        <v>31219</v>
      </c>
      <c r="C2098" t="s">
        <v>172</v>
      </c>
      <c r="D2098">
        <v>2117</v>
      </c>
      <c r="E2098">
        <v>1003</v>
      </c>
      <c r="F2098">
        <v>1</v>
      </c>
      <c r="G2098" t="s">
        <v>1471</v>
      </c>
      <c r="H2098" t="s">
        <v>9</v>
      </c>
      <c r="I2098" t="s">
        <v>1260</v>
      </c>
      <c r="J2098" t="s">
        <v>853</v>
      </c>
    </row>
    <row r="2099" spans="1:10">
      <c r="A2099">
        <v>52098</v>
      </c>
      <c r="B2099">
        <v>31220</v>
      </c>
      <c r="C2099" t="s">
        <v>497</v>
      </c>
      <c r="D2099">
        <v>2208</v>
      </c>
      <c r="E2099">
        <v>1013</v>
      </c>
      <c r="F2099">
        <v>1</v>
      </c>
      <c r="G2099" t="s">
        <v>1474</v>
      </c>
      <c r="H2099" t="s">
        <v>9</v>
      </c>
      <c r="I2099" t="s">
        <v>49</v>
      </c>
      <c r="J2099" t="s">
        <v>1028</v>
      </c>
    </row>
    <row r="2100" spans="1:10">
      <c r="A2100">
        <v>52099</v>
      </c>
      <c r="B2100">
        <v>31220</v>
      </c>
      <c r="C2100" t="s">
        <v>494</v>
      </c>
      <c r="D2100">
        <v>2208</v>
      </c>
      <c r="E2100">
        <v>1011</v>
      </c>
      <c r="F2100">
        <v>3</v>
      </c>
      <c r="G2100" t="s">
        <v>1454</v>
      </c>
      <c r="H2100" t="s">
        <v>9</v>
      </c>
      <c r="I2100" t="s">
        <v>498</v>
      </c>
      <c r="J2100" t="s">
        <v>14</v>
      </c>
    </row>
    <row r="2101" spans="1:10">
      <c r="A2101">
        <v>52100</v>
      </c>
      <c r="B2101">
        <v>31221</v>
      </c>
      <c r="C2101" t="s">
        <v>1183</v>
      </c>
      <c r="D2101">
        <v>2124</v>
      </c>
      <c r="E2101">
        <v>1005</v>
      </c>
      <c r="F2101">
        <v>3</v>
      </c>
      <c r="G2101" t="s">
        <v>1498</v>
      </c>
      <c r="H2101" t="s">
        <v>11</v>
      </c>
      <c r="I2101" t="s">
        <v>307</v>
      </c>
      <c r="J2101" t="s">
        <v>703</v>
      </c>
    </row>
    <row r="2102" spans="1:10">
      <c r="A2102">
        <v>52101</v>
      </c>
      <c r="B2102">
        <v>31222</v>
      </c>
      <c r="C2102" t="s">
        <v>916</v>
      </c>
      <c r="D2102">
        <v>2330</v>
      </c>
      <c r="E2102">
        <v>1007</v>
      </c>
      <c r="F2102">
        <v>1</v>
      </c>
      <c r="G2102" t="s">
        <v>1453</v>
      </c>
      <c r="H2102" t="s">
        <v>16</v>
      </c>
      <c r="I2102" t="s">
        <v>1421</v>
      </c>
      <c r="J2102" t="s">
        <v>1421</v>
      </c>
    </row>
    <row r="2103" spans="1:10">
      <c r="A2103">
        <v>52102</v>
      </c>
      <c r="B2103">
        <v>31222</v>
      </c>
      <c r="C2103" t="s">
        <v>884</v>
      </c>
      <c r="D2103">
        <v>2330</v>
      </c>
      <c r="E2103">
        <v>1006</v>
      </c>
      <c r="F2103">
        <v>1</v>
      </c>
      <c r="G2103" t="s">
        <v>1459</v>
      </c>
      <c r="H2103" t="s">
        <v>16</v>
      </c>
      <c r="I2103" t="s">
        <v>1421</v>
      </c>
      <c r="J2103" t="s">
        <v>1421</v>
      </c>
    </row>
    <row r="2104" spans="1:10">
      <c r="A2104">
        <v>52103</v>
      </c>
      <c r="B2104">
        <v>31223</v>
      </c>
      <c r="C2104" t="s">
        <v>765</v>
      </c>
      <c r="D2104">
        <v>2124</v>
      </c>
      <c r="E2104">
        <v>1014</v>
      </c>
      <c r="F2104">
        <v>3</v>
      </c>
      <c r="G2104" t="s">
        <v>1505</v>
      </c>
      <c r="H2104" t="s">
        <v>9</v>
      </c>
      <c r="I2104" t="s">
        <v>766</v>
      </c>
      <c r="J2104" t="s">
        <v>980</v>
      </c>
    </row>
    <row r="2105" spans="1:10">
      <c r="A2105">
        <v>52104</v>
      </c>
      <c r="B2105">
        <v>31223</v>
      </c>
      <c r="C2105" t="s">
        <v>764</v>
      </c>
      <c r="D2105">
        <v>2124</v>
      </c>
      <c r="E2105">
        <v>1006</v>
      </c>
      <c r="F2105">
        <v>2</v>
      </c>
      <c r="G2105" t="s">
        <v>1501</v>
      </c>
      <c r="H2105" t="s">
        <v>9</v>
      </c>
      <c r="I2105" t="s">
        <v>850</v>
      </c>
      <c r="J2105" t="s">
        <v>501</v>
      </c>
    </row>
    <row r="2106" spans="1:10">
      <c r="A2106">
        <v>52105</v>
      </c>
      <c r="B2106">
        <v>31223</v>
      </c>
      <c r="C2106" t="s">
        <v>765</v>
      </c>
      <c r="D2106">
        <v>2124</v>
      </c>
      <c r="E2106">
        <v>1012</v>
      </c>
      <c r="F2106">
        <v>1</v>
      </c>
      <c r="G2106" t="s">
        <v>1449</v>
      </c>
      <c r="H2106" t="s">
        <v>9</v>
      </c>
      <c r="I2106" t="s">
        <v>895</v>
      </c>
      <c r="J2106" t="s">
        <v>279</v>
      </c>
    </row>
    <row r="2107" spans="1:10">
      <c r="A2107">
        <v>52106</v>
      </c>
      <c r="B2107">
        <v>31224</v>
      </c>
      <c r="C2107" t="s">
        <v>62</v>
      </c>
      <c r="D2107">
        <v>2567</v>
      </c>
      <c r="E2107">
        <v>1008</v>
      </c>
      <c r="F2107">
        <v>1</v>
      </c>
      <c r="G2107" t="s">
        <v>1447</v>
      </c>
      <c r="H2107" t="s">
        <v>9</v>
      </c>
      <c r="I2107" t="s">
        <v>605</v>
      </c>
      <c r="J2107" t="s">
        <v>180</v>
      </c>
    </row>
    <row r="2108" spans="1:10">
      <c r="A2108">
        <v>52107</v>
      </c>
      <c r="B2108">
        <v>31225</v>
      </c>
      <c r="C2108" t="s">
        <v>778</v>
      </c>
      <c r="D2108">
        <v>2596</v>
      </c>
      <c r="E2108">
        <v>1004</v>
      </c>
      <c r="F2108">
        <v>1</v>
      </c>
      <c r="G2108" t="s">
        <v>1452</v>
      </c>
      <c r="H2108" t="s">
        <v>9</v>
      </c>
      <c r="I2108" t="s">
        <v>722</v>
      </c>
      <c r="J2108" t="s">
        <v>321</v>
      </c>
    </row>
    <row r="2109" spans="1:10">
      <c r="A2109">
        <v>52108</v>
      </c>
      <c r="B2109">
        <v>31225</v>
      </c>
      <c r="C2109" t="s">
        <v>631</v>
      </c>
      <c r="D2109">
        <v>2596</v>
      </c>
      <c r="E2109">
        <v>1013</v>
      </c>
      <c r="F2109">
        <v>2</v>
      </c>
      <c r="G2109" t="s">
        <v>1492</v>
      </c>
      <c r="H2109" t="s">
        <v>9</v>
      </c>
      <c r="I2109" t="s">
        <v>84</v>
      </c>
      <c r="J2109" t="s">
        <v>213</v>
      </c>
    </row>
    <row r="2110" spans="1:10">
      <c r="A2110">
        <v>52109</v>
      </c>
      <c r="B2110">
        <v>31225</v>
      </c>
      <c r="C2110" t="s">
        <v>631</v>
      </c>
      <c r="D2110">
        <v>2596</v>
      </c>
      <c r="E2110">
        <v>1006</v>
      </c>
      <c r="F2110">
        <v>1</v>
      </c>
      <c r="G2110" t="s">
        <v>1459</v>
      </c>
      <c r="H2110" t="s">
        <v>9</v>
      </c>
      <c r="I2110" t="s">
        <v>916</v>
      </c>
      <c r="J2110" t="s">
        <v>368</v>
      </c>
    </row>
    <row r="2111" spans="1:10">
      <c r="A2111">
        <v>52110</v>
      </c>
      <c r="B2111">
        <v>31225</v>
      </c>
      <c r="C2111" t="s">
        <v>121</v>
      </c>
      <c r="D2111">
        <v>2596</v>
      </c>
      <c r="E2111">
        <v>1001</v>
      </c>
      <c r="F2111">
        <v>2</v>
      </c>
      <c r="G2111" t="s">
        <v>1460</v>
      </c>
      <c r="H2111" t="s">
        <v>9</v>
      </c>
      <c r="I2111" t="s">
        <v>722</v>
      </c>
      <c r="J2111" t="s">
        <v>703</v>
      </c>
    </row>
    <row r="2112" spans="1:10">
      <c r="A2112">
        <v>52111</v>
      </c>
      <c r="B2112">
        <v>31226</v>
      </c>
      <c r="C2112" t="s">
        <v>355</v>
      </c>
      <c r="D2112">
        <v>2499</v>
      </c>
      <c r="E2112">
        <v>1001</v>
      </c>
      <c r="F2112">
        <v>3</v>
      </c>
      <c r="G2112" t="s">
        <v>1515</v>
      </c>
      <c r="H2112" t="s">
        <v>9</v>
      </c>
      <c r="I2112" t="s">
        <v>368</v>
      </c>
      <c r="J2112" t="s">
        <v>667</v>
      </c>
    </row>
    <row r="2113" spans="1:10">
      <c r="A2113">
        <v>52112</v>
      </c>
      <c r="B2113">
        <v>31227</v>
      </c>
      <c r="C2113" t="s">
        <v>737</v>
      </c>
      <c r="D2113">
        <v>2184</v>
      </c>
      <c r="E2113">
        <v>1010</v>
      </c>
      <c r="F2113">
        <v>3</v>
      </c>
      <c r="G2113" t="s">
        <v>1514</v>
      </c>
      <c r="H2113" t="s">
        <v>12</v>
      </c>
      <c r="I2113" t="s">
        <v>1421</v>
      </c>
      <c r="J2113" t="s">
        <v>1421</v>
      </c>
    </row>
    <row r="2114" spans="1:10">
      <c r="A2114">
        <v>52113</v>
      </c>
      <c r="B2114">
        <v>31228</v>
      </c>
      <c r="C2114" t="s">
        <v>185</v>
      </c>
      <c r="D2114">
        <v>2427</v>
      </c>
      <c r="E2114">
        <v>1016</v>
      </c>
      <c r="F2114">
        <v>1</v>
      </c>
      <c r="G2114" t="s">
        <v>1465</v>
      </c>
      <c r="H2114" t="s">
        <v>9</v>
      </c>
      <c r="I2114" t="s">
        <v>989</v>
      </c>
      <c r="J2114" t="s">
        <v>147</v>
      </c>
    </row>
    <row r="2115" spans="1:10">
      <c r="A2115">
        <v>52114</v>
      </c>
      <c r="B2115">
        <v>31228</v>
      </c>
      <c r="C2115" t="s">
        <v>288</v>
      </c>
      <c r="D2115">
        <v>2427</v>
      </c>
      <c r="E2115">
        <v>1005</v>
      </c>
      <c r="F2115">
        <v>2</v>
      </c>
      <c r="G2115" t="s">
        <v>1458</v>
      </c>
      <c r="H2115" t="s">
        <v>9</v>
      </c>
      <c r="I2115" t="s">
        <v>989</v>
      </c>
      <c r="J2115" t="s">
        <v>315</v>
      </c>
    </row>
    <row r="2116" spans="1:10">
      <c r="A2116">
        <v>52115</v>
      </c>
      <c r="B2116">
        <v>31228</v>
      </c>
      <c r="C2116" t="s">
        <v>185</v>
      </c>
      <c r="D2116">
        <v>2427</v>
      </c>
      <c r="E2116">
        <v>1007</v>
      </c>
      <c r="F2116">
        <v>3</v>
      </c>
      <c r="G2116" t="s">
        <v>1446</v>
      </c>
      <c r="H2116" t="s">
        <v>9</v>
      </c>
      <c r="I2116" t="s">
        <v>989</v>
      </c>
      <c r="J2116" t="s">
        <v>1146</v>
      </c>
    </row>
    <row r="2117" spans="1:10">
      <c r="A2117">
        <v>52116</v>
      </c>
      <c r="B2117">
        <v>31229</v>
      </c>
      <c r="C2117" t="s">
        <v>554</v>
      </c>
      <c r="D2117">
        <v>2147</v>
      </c>
      <c r="E2117">
        <v>1015</v>
      </c>
      <c r="F2117">
        <v>2</v>
      </c>
      <c r="G2117" t="s">
        <v>1488</v>
      </c>
      <c r="H2117" t="s">
        <v>9</v>
      </c>
      <c r="I2117" t="s">
        <v>691</v>
      </c>
      <c r="J2117" t="s">
        <v>1110</v>
      </c>
    </row>
    <row r="2118" spans="1:10">
      <c r="A2118">
        <v>52117</v>
      </c>
      <c r="B2118">
        <v>31229</v>
      </c>
      <c r="C2118" t="s">
        <v>1131</v>
      </c>
      <c r="D2118">
        <v>2147</v>
      </c>
      <c r="E2118">
        <v>1014</v>
      </c>
      <c r="F2118">
        <v>3</v>
      </c>
      <c r="G2118" t="s">
        <v>1505</v>
      </c>
      <c r="H2118" t="s">
        <v>9</v>
      </c>
      <c r="I2118" t="s">
        <v>101</v>
      </c>
      <c r="J2118" t="s">
        <v>1197</v>
      </c>
    </row>
    <row r="2119" spans="1:10">
      <c r="A2119">
        <v>52118</v>
      </c>
      <c r="B2119">
        <v>31230</v>
      </c>
      <c r="C2119" t="s">
        <v>421</v>
      </c>
      <c r="D2119">
        <v>2245</v>
      </c>
      <c r="E2119">
        <v>1002</v>
      </c>
      <c r="F2119">
        <v>4</v>
      </c>
      <c r="G2119" t="s">
        <v>1451</v>
      </c>
      <c r="H2119" t="s">
        <v>12</v>
      </c>
      <c r="I2119" t="s">
        <v>1421</v>
      </c>
      <c r="J2119" t="s">
        <v>1421</v>
      </c>
    </row>
    <row r="2120" spans="1:10">
      <c r="A2120">
        <v>52119</v>
      </c>
      <c r="B2120">
        <v>31231</v>
      </c>
      <c r="C2120" t="s">
        <v>895</v>
      </c>
      <c r="D2120">
        <v>2185</v>
      </c>
      <c r="E2120">
        <v>1003</v>
      </c>
      <c r="F2120">
        <v>4</v>
      </c>
      <c r="G2120" t="s">
        <v>1519</v>
      </c>
      <c r="H2120" t="s">
        <v>9</v>
      </c>
      <c r="I2120" t="s">
        <v>850</v>
      </c>
      <c r="J2120" t="s">
        <v>979</v>
      </c>
    </row>
    <row r="2121" spans="1:10">
      <c r="A2121">
        <v>52120</v>
      </c>
      <c r="B2121">
        <v>31231</v>
      </c>
      <c r="C2121" t="s">
        <v>193</v>
      </c>
      <c r="D2121">
        <v>2185</v>
      </c>
      <c r="E2121">
        <v>1010</v>
      </c>
      <c r="F2121">
        <v>1</v>
      </c>
      <c r="G2121" t="s">
        <v>1468</v>
      </c>
      <c r="H2121" t="s">
        <v>9</v>
      </c>
      <c r="I2121" t="s">
        <v>896</v>
      </c>
      <c r="J2121" t="s">
        <v>499</v>
      </c>
    </row>
    <row r="2122" spans="1:10">
      <c r="A2122">
        <v>52121</v>
      </c>
      <c r="B2122">
        <v>31231</v>
      </c>
      <c r="C2122" t="s">
        <v>193</v>
      </c>
      <c r="D2122">
        <v>2185</v>
      </c>
      <c r="E2122">
        <v>1012</v>
      </c>
      <c r="F2122">
        <v>2</v>
      </c>
      <c r="G2122" t="s">
        <v>1450</v>
      </c>
      <c r="H2122" t="s">
        <v>9</v>
      </c>
      <c r="I2122" t="s">
        <v>865</v>
      </c>
      <c r="J2122" t="s">
        <v>161</v>
      </c>
    </row>
    <row r="2123" spans="1:10">
      <c r="A2123">
        <v>52122</v>
      </c>
      <c r="B2123">
        <v>31231</v>
      </c>
      <c r="C2123" t="s">
        <v>897</v>
      </c>
      <c r="D2123">
        <v>2185</v>
      </c>
      <c r="E2123">
        <v>1014</v>
      </c>
      <c r="F2123">
        <v>2</v>
      </c>
      <c r="G2123" t="s">
        <v>1475</v>
      </c>
      <c r="H2123" t="s">
        <v>9</v>
      </c>
      <c r="I2123" t="s">
        <v>187</v>
      </c>
      <c r="J2123" t="s">
        <v>980</v>
      </c>
    </row>
    <row r="2124" spans="1:10">
      <c r="A2124">
        <v>52123</v>
      </c>
      <c r="B2124">
        <v>31232</v>
      </c>
      <c r="C2124" t="s">
        <v>411</v>
      </c>
      <c r="D2124">
        <v>2005</v>
      </c>
      <c r="E2124">
        <v>1007</v>
      </c>
      <c r="F2124">
        <v>1</v>
      </c>
      <c r="G2124" t="s">
        <v>1453</v>
      </c>
      <c r="H2124" t="s">
        <v>9</v>
      </c>
      <c r="I2124" t="s">
        <v>1012</v>
      </c>
      <c r="J2124" t="s">
        <v>961</v>
      </c>
    </row>
    <row r="2125" spans="1:10">
      <c r="A2125">
        <v>52124</v>
      </c>
      <c r="B2125">
        <v>31233</v>
      </c>
      <c r="C2125" t="s">
        <v>27</v>
      </c>
      <c r="D2125">
        <v>2121</v>
      </c>
      <c r="E2125">
        <v>1004</v>
      </c>
      <c r="F2125">
        <v>2</v>
      </c>
      <c r="G2125" t="s">
        <v>1476</v>
      </c>
      <c r="H2125" t="s">
        <v>11</v>
      </c>
      <c r="I2125" t="s">
        <v>866</v>
      </c>
      <c r="J2125" t="s">
        <v>430</v>
      </c>
    </row>
    <row r="2126" spans="1:10">
      <c r="A2126">
        <v>52125</v>
      </c>
      <c r="B2126">
        <v>31233</v>
      </c>
      <c r="C2126" t="s">
        <v>27</v>
      </c>
      <c r="D2126">
        <v>2121</v>
      </c>
      <c r="E2126">
        <v>1012</v>
      </c>
      <c r="F2126">
        <v>1</v>
      </c>
      <c r="G2126" t="s">
        <v>1449</v>
      </c>
      <c r="H2126" t="s">
        <v>11</v>
      </c>
      <c r="I2126" t="s">
        <v>734</v>
      </c>
      <c r="J2126" t="s">
        <v>843</v>
      </c>
    </row>
    <row r="2127" spans="1:10">
      <c r="A2127">
        <v>52126</v>
      </c>
      <c r="B2127">
        <v>31233</v>
      </c>
      <c r="C2127" t="s">
        <v>1184</v>
      </c>
      <c r="D2127">
        <v>2121</v>
      </c>
      <c r="E2127">
        <v>1008</v>
      </c>
      <c r="F2127">
        <v>1</v>
      </c>
      <c r="G2127" t="s">
        <v>1447</v>
      </c>
      <c r="H2127" t="s">
        <v>11</v>
      </c>
      <c r="I2127" t="s">
        <v>711</v>
      </c>
      <c r="J2127" t="s">
        <v>517</v>
      </c>
    </row>
    <row r="2128" spans="1:10">
      <c r="A2128">
        <v>52127</v>
      </c>
      <c r="B2128">
        <v>31234</v>
      </c>
      <c r="C2128" t="s">
        <v>1312</v>
      </c>
      <c r="D2128">
        <v>2476</v>
      </c>
      <c r="E2128">
        <v>1007</v>
      </c>
      <c r="F2128">
        <v>2</v>
      </c>
      <c r="G2128" t="s">
        <v>1455</v>
      </c>
      <c r="H2128" t="s">
        <v>16</v>
      </c>
      <c r="I2128" t="s">
        <v>1421</v>
      </c>
      <c r="J2128" t="s">
        <v>1421</v>
      </c>
    </row>
    <row r="2129" spans="1:10">
      <c r="A2129">
        <v>52128</v>
      </c>
      <c r="B2129">
        <v>31234</v>
      </c>
      <c r="C2129" t="s">
        <v>977</v>
      </c>
      <c r="D2129">
        <v>2476</v>
      </c>
      <c r="E2129">
        <v>1007</v>
      </c>
      <c r="F2129">
        <v>3</v>
      </c>
      <c r="G2129" t="s">
        <v>1446</v>
      </c>
      <c r="H2129" t="s">
        <v>16</v>
      </c>
      <c r="I2129" t="s">
        <v>1328</v>
      </c>
      <c r="J2129" t="s">
        <v>1421</v>
      </c>
    </row>
    <row r="2130" spans="1:10">
      <c r="A2130">
        <v>52129</v>
      </c>
      <c r="B2130">
        <v>31235</v>
      </c>
      <c r="C2130" t="s">
        <v>1208</v>
      </c>
      <c r="D2130">
        <v>2153</v>
      </c>
      <c r="E2130">
        <v>1016</v>
      </c>
      <c r="F2130">
        <v>1</v>
      </c>
      <c r="G2130" t="s">
        <v>1465</v>
      </c>
      <c r="H2130" t="s">
        <v>9</v>
      </c>
      <c r="I2130" t="s">
        <v>1294</v>
      </c>
      <c r="J2130" t="s">
        <v>1200</v>
      </c>
    </row>
    <row r="2131" spans="1:10">
      <c r="A2131">
        <v>52130</v>
      </c>
      <c r="B2131">
        <v>31235</v>
      </c>
      <c r="C2131" t="s">
        <v>1208</v>
      </c>
      <c r="D2131">
        <v>2153</v>
      </c>
      <c r="E2131">
        <v>1016</v>
      </c>
      <c r="F2131">
        <v>2</v>
      </c>
      <c r="G2131" t="s">
        <v>1500</v>
      </c>
      <c r="H2131" t="s">
        <v>9</v>
      </c>
      <c r="I2131" t="s">
        <v>469</v>
      </c>
      <c r="J2131" t="s">
        <v>1044</v>
      </c>
    </row>
    <row r="2132" spans="1:10">
      <c r="A2132">
        <v>52131</v>
      </c>
      <c r="B2132">
        <v>31236</v>
      </c>
      <c r="C2132" t="s">
        <v>1190</v>
      </c>
      <c r="D2132">
        <v>2181</v>
      </c>
      <c r="E2132">
        <v>1002</v>
      </c>
      <c r="F2132">
        <v>1</v>
      </c>
      <c r="G2132" t="s">
        <v>1466</v>
      </c>
      <c r="H2132" t="s">
        <v>9</v>
      </c>
      <c r="I2132" t="s">
        <v>1023</v>
      </c>
      <c r="J2132" t="s">
        <v>562</v>
      </c>
    </row>
    <row r="2133" spans="1:10">
      <c r="A2133">
        <v>52132</v>
      </c>
      <c r="B2133">
        <v>31236</v>
      </c>
      <c r="C2133" t="s">
        <v>61</v>
      </c>
      <c r="D2133">
        <v>2181</v>
      </c>
      <c r="E2133">
        <v>1002</v>
      </c>
      <c r="F2133">
        <v>5</v>
      </c>
      <c r="G2133" t="s">
        <v>1526</v>
      </c>
      <c r="H2133" t="s">
        <v>9</v>
      </c>
      <c r="I2133" t="s">
        <v>958</v>
      </c>
      <c r="J2133" t="s">
        <v>465</v>
      </c>
    </row>
    <row r="2134" spans="1:10">
      <c r="A2134">
        <v>52133</v>
      </c>
      <c r="B2134">
        <v>31237</v>
      </c>
      <c r="C2134" t="s">
        <v>1075</v>
      </c>
      <c r="D2134">
        <v>2373</v>
      </c>
      <c r="E2134">
        <v>1014</v>
      </c>
      <c r="F2134">
        <v>2</v>
      </c>
      <c r="G2134" t="s">
        <v>1475</v>
      </c>
      <c r="H2134" t="s">
        <v>1462</v>
      </c>
      <c r="I2134" t="s">
        <v>671</v>
      </c>
      <c r="J2134" t="s">
        <v>676</v>
      </c>
    </row>
    <row r="2135" spans="1:10">
      <c r="A2135">
        <v>52134</v>
      </c>
      <c r="B2135">
        <v>31238</v>
      </c>
      <c r="C2135" t="s">
        <v>146</v>
      </c>
      <c r="D2135">
        <v>2258</v>
      </c>
      <c r="E2135">
        <v>1015</v>
      </c>
      <c r="F2135">
        <v>3</v>
      </c>
      <c r="G2135" t="s">
        <v>1470</v>
      </c>
      <c r="H2135" t="s">
        <v>9</v>
      </c>
      <c r="I2135" t="s">
        <v>1233</v>
      </c>
      <c r="J2135" t="s">
        <v>227</v>
      </c>
    </row>
    <row r="2136" spans="1:10">
      <c r="A2136">
        <v>52135</v>
      </c>
      <c r="B2136">
        <v>31238</v>
      </c>
      <c r="C2136" t="s">
        <v>146</v>
      </c>
      <c r="D2136">
        <v>2258</v>
      </c>
      <c r="E2136">
        <v>1002</v>
      </c>
      <c r="F2136">
        <v>3</v>
      </c>
      <c r="G2136" t="s">
        <v>1508</v>
      </c>
      <c r="H2136" t="s">
        <v>9</v>
      </c>
      <c r="I2136" t="s">
        <v>1128</v>
      </c>
      <c r="J2136" t="s">
        <v>1186</v>
      </c>
    </row>
    <row r="2137" spans="1:10">
      <c r="A2137">
        <v>52136</v>
      </c>
      <c r="B2137">
        <v>31238</v>
      </c>
      <c r="C2137" t="s">
        <v>1063</v>
      </c>
      <c r="D2137">
        <v>2258</v>
      </c>
      <c r="E2137">
        <v>1004</v>
      </c>
      <c r="F2137">
        <v>1</v>
      </c>
      <c r="G2137" t="s">
        <v>1452</v>
      </c>
      <c r="H2137" t="s">
        <v>9</v>
      </c>
      <c r="I2137" t="s">
        <v>1128</v>
      </c>
      <c r="J2137" t="s">
        <v>1226</v>
      </c>
    </row>
    <row r="2138" spans="1:10">
      <c r="A2138">
        <v>52137</v>
      </c>
      <c r="B2138">
        <v>31239</v>
      </c>
      <c r="C2138" t="s">
        <v>1285</v>
      </c>
      <c r="D2138">
        <v>2054</v>
      </c>
      <c r="E2138">
        <v>1006</v>
      </c>
      <c r="F2138">
        <v>1</v>
      </c>
      <c r="G2138" t="s">
        <v>1459</v>
      </c>
      <c r="H2138" t="s">
        <v>12</v>
      </c>
      <c r="I2138" t="s">
        <v>1421</v>
      </c>
      <c r="J2138" t="s">
        <v>1421</v>
      </c>
    </row>
    <row r="2139" spans="1:10">
      <c r="A2139">
        <v>52138</v>
      </c>
      <c r="B2139">
        <v>31239</v>
      </c>
      <c r="C2139" t="s">
        <v>1285</v>
      </c>
      <c r="D2139">
        <v>2054</v>
      </c>
      <c r="E2139">
        <v>1006</v>
      </c>
      <c r="F2139">
        <v>3</v>
      </c>
      <c r="G2139" t="s">
        <v>1493</v>
      </c>
      <c r="H2139" t="s">
        <v>12</v>
      </c>
      <c r="I2139" t="s">
        <v>1421</v>
      </c>
      <c r="J2139" t="s">
        <v>1421</v>
      </c>
    </row>
    <row r="2140" spans="1:10">
      <c r="A2140">
        <v>52139</v>
      </c>
      <c r="B2140">
        <v>31240</v>
      </c>
      <c r="C2140" t="s">
        <v>355</v>
      </c>
      <c r="D2140">
        <v>2030</v>
      </c>
      <c r="E2140">
        <v>1004</v>
      </c>
      <c r="F2140">
        <v>1</v>
      </c>
      <c r="G2140" t="s">
        <v>1452</v>
      </c>
      <c r="H2140" t="s">
        <v>9</v>
      </c>
      <c r="I2140" t="s">
        <v>793</v>
      </c>
      <c r="J2140" t="s">
        <v>666</v>
      </c>
    </row>
    <row r="2141" spans="1:10">
      <c r="A2141">
        <v>52140</v>
      </c>
      <c r="B2141">
        <v>31240</v>
      </c>
      <c r="C2141" t="s">
        <v>358</v>
      </c>
      <c r="D2141">
        <v>2030</v>
      </c>
      <c r="E2141">
        <v>1003</v>
      </c>
      <c r="F2141">
        <v>2</v>
      </c>
      <c r="G2141" t="s">
        <v>1464</v>
      </c>
      <c r="H2141" t="s">
        <v>9</v>
      </c>
      <c r="I2141" t="s">
        <v>793</v>
      </c>
      <c r="J2141" t="s">
        <v>668</v>
      </c>
    </row>
    <row r="2142" spans="1:10">
      <c r="A2142">
        <v>52141</v>
      </c>
      <c r="B2142">
        <v>31241</v>
      </c>
      <c r="C2142" t="s">
        <v>473</v>
      </c>
      <c r="D2142">
        <v>2241</v>
      </c>
      <c r="E2142">
        <v>1011</v>
      </c>
      <c r="F2142">
        <v>2</v>
      </c>
      <c r="G2142" t="s">
        <v>1487</v>
      </c>
      <c r="H2142" t="s">
        <v>9</v>
      </c>
      <c r="I2142" t="s">
        <v>931</v>
      </c>
      <c r="J2142" t="s">
        <v>1215</v>
      </c>
    </row>
    <row r="2143" spans="1:10">
      <c r="A2143">
        <v>52142</v>
      </c>
      <c r="B2143">
        <v>31242</v>
      </c>
      <c r="C2143" t="s">
        <v>256</v>
      </c>
      <c r="D2143">
        <v>2430</v>
      </c>
      <c r="E2143">
        <v>1011</v>
      </c>
      <c r="F2143">
        <v>1</v>
      </c>
      <c r="G2143" t="s">
        <v>1472</v>
      </c>
      <c r="H2143" t="s">
        <v>9</v>
      </c>
      <c r="I2143" t="s">
        <v>73</v>
      </c>
      <c r="J2143" t="s">
        <v>598</v>
      </c>
    </row>
    <row r="2144" spans="1:10">
      <c r="A2144">
        <v>52143</v>
      </c>
      <c r="B2144">
        <v>31242</v>
      </c>
      <c r="C2144" t="s">
        <v>256</v>
      </c>
      <c r="D2144">
        <v>2430</v>
      </c>
      <c r="E2144">
        <v>1008</v>
      </c>
      <c r="F2144">
        <v>1</v>
      </c>
      <c r="G2144" t="s">
        <v>1447</v>
      </c>
      <c r="H2144" t="s">
        <v>9</v>
      </c>
      <c r="I2144" t="s">
        <v>1310</v>
      </c>
      <c r="J2144" t="s">
        <v>482</v>
      </c>
    </row>
    <row r="2145" spans="1:10">
      <c r="A2145">
        <v>52144</v>
      </c>
      <c r="B2145">
        <v>31242</v>
      </c>
      <c r="C2145" t="s">
        <v>1279</v>
      </c>
      <c r="D2145">
        <v>2430</v>
      </c>
      <c r="E2145">
        <v>1004</v>
      </c>
      <c r="F2145">
        <v>2</v>
      </c>
      <c r="G2145" t="s">
        <v>1476</v>
      </c>
      <c r="H2145" t="s">
        <v>1457</v>
      </c>
      <c r="I2145" t="s">
        <v>597</v>
      </c>
      <c r="J2145" t="s">
        <v>487</v>
      </c>
    </row>
    <row r="2146" spans="1:10">
      <c r="A2146">
        <v>52145</v>
      </c>
      <c r="B2146">
        <v>31243</v>
      </c>
      <c r="C2146" t="s">
        <v>758</v>
      </c>
      <c r="D2146">
        <v>2334</v>
      </c>
      <c r="E2146">
        <v>1008</v>
      </c>
      <c r="F2146">
        <v>1</v>
      </c>
      <c r="G2146" t="s">
        <v>1447</v>
      </c>
      <c r="H2146" t="s">
        <v>9</v>
      </c>
      <c r="I2146" t="s">
        <v>726</v>
      </c>
      <c r="J2146" t="s">
        <v>327</v>
      </c>
    </row>
    <row r="2147" spans="1:10">
      <c r="A2147">
        <v>52146</v>
      </c>
      <c r="B2147">
        <v>31243</v>
      </c>
      <c r="C2147" t="s">
        <v>232</v>
      </c>
      <c r="D2147">
        <v>2334</v>
      </c>
      <c r="E2147">
        <v>1014</v>
      </c>
      <c r="F2147">
        <v>1</v>
      </c>
      <c r="G2147" t="s">
        <v>1463</v>
      </c>
      <c r="H2147" t="s">
        <v>9</v>
      </c>
      <c r="I2147" t="s">
        <v>1145</v>
      </c>
      <c r="J2147" t="s">
        <v>426</v>
      </c>
    </row>
    <row r="2148" spans="1:10">
      <c r="A2148">
        <v>52147</v>
      </c>
      <c r="B2148">
        <v>31244</v>
      </c>
      <c r="C2148" t="s">
        <v>249</v>
      </c>
      <c r="D2148">
        <v>2205</v>
      </c>
      <c r="E2148">
        <v>1008</v>
      </c>
      <c r="F2148">
        <v>3</v>
      </c>
      <c r="G2148" t="s">
        <v>1491</v>
      </c>
      <c r="H2148" t="s">
        <v>9</v>
      </c>
      <c r="I2148" t="s">
        <v>576</v>
      </c>
      <c r="J2148" t="s">
        <v>460</v>
      </c>
    </row>
    <row r="2149" spans="1:10">
      <c r="A2149">
        <v>52148</v>
      </c>
      <c r="B2149">
        <v>31244</v>
      </c>
      <c r="C2149" t="s">
        <v>249</v>
      </c>
      <c r="D2149">
        <v>2205</v>
      </c>
      <c r="E2149">
        <v>1003</v>
      </c>
      <c r="F2149">
        <v>1</v>
      </c>
      <c r="G2149" t="s">
        <v>1471</v>
      </c>
      <c r="H2149" t="s">
        <v>9</v>
      </c>
      <c r="I2149" t="s">
        <v>899</v>
      </c>
      <c r="J2149" t="s">
        <v>898</v>
      </c>
    </row>
    <row r="2150" spans="1:10">
      <c r="A2150">
        <v>52149</v>
      </c>
      <c r="B2150">
        <v>31245</v>
      </c>
      <c r="C2150" t="s">
        <v>769</v>
      </c>
      <c r="D2150">
        <v>2483</v>
      </c>
      <c r="E2150">
        <v>1002</v>
      </c>
      <c r="F2150">
        <v>1</v>
      </c>
      <c r="G2150" t="s">
        <v>1466</v>
      </c>
      <c r="H2150" t="s">
        <v>9</v>
      </c>
      <c r="I2150" t="s">
        <v>330</v>
      </c>
      <c r="J2150" t="s">
        <v>872</v>
      </c>
    </row>
    <row r="2151" spans="1:10">
      <c r="A2151">
        <v>52150</v>
      </c>
      <c r="B2151">
        <v>31245</v>
      </c>
      <c r="C2151" t="s">
        <v>726</v>
      </c>
      <c r="D2151">
        <v>2483</v>
      </c>
      <c r="E2151">
        <v>1014</v>
      </c>
      <c r="F2151">
        <v>2</v>
      </c>
      <c r="G2151" t="s">
        <v>1475</v>
      </c>
      <c r="H2151" t="s">
        <v>9</v>
      </c>
      <c r="I2151" t="s">
        <v>754</v>
      </c>
      <c r="J2151" t="s">
        <v>331</v>
      </c>
    </row>
    <row r="2152" spans="1:10">
      <c r="A2152">
        <v>52151</v>
      </c>
      <c r="B2152">
        <v>31246</v>
      </c>
      <c r="C2152" t="s">
        <v>387</v>
      </c>
      <c r="D2152">
        <v>2149</v>
      </c>
      <c r="E2152">
        <v>1015</v>
      </c>
      <c r="F2152">
        <v>1</v>
      </c>
      <c r="G2152" t="s">
        <v>1421</v>
      </c>
      <c r="H2152" t="s">
        <v>9</v>
      </c>
      <c r="I2152" t="s">
        <v>388</v>
      </c>
      <c r="J2152" t="s">
        <v>627</v>
      </c>
    </row>
    <row r="2153" spans="1:10">
      <c r="A2153">
        <v>52152</v>
      </c>
      <c r="B2153">
        <v>31247</v>
      </c>
      <c r="C2153" t="s">
        <v>924</v>
      </c>
      <c r="D2153">
        <v>2183</v>
      </c>
      <c r="E2153">
        <v>1005</v>
      </c>
      <c r="F2153">
        <v>3</v>
      </c>
      <c r="G2153" t="s">
        <v>1498</v>
      </c>
      <c r="H2153" t="s">
        <v>9</v>
      </c>
      <c r="I2153" t="s">
        <v>1329</v>
      </c>
      <c r="J2153" t="s">
        <v>599</v>
      </c>
    </row>
    <row r="2154" spans="1:10">
      <c r="A2154">
        <v>52153</v>
      </c>
      <c r="B2154">
        <v>31248</v>
      </c>
      <c r="C2154" t="s">
        <v>867</v>
      </c>
      <c r="D2154">
        <v>2469</v>
      </c>
      <c r="E2154">
        <v>1012</v>
      </c>
      <c r="F2154">
        <v>1</v>
      </c>
      <c r="G2154" t="s">
        <v>1449</v>
      </c>
      <c r="H2154" t="s">
        <v>9</v>
      </c>
      <c r="I2154" t="s">
        <v>544</v>
      </c>
      <c r="J2154" t="s">
        <v>1057</v>
      </c>
    </row>
    <row r="2155" spans="1:10">
      <c r="A2155">
        <v>52154</v>
      </c>
      <c r="B2155">
        <v>31249</v>
      </c>
      <c r="C2155" t="s">
        <v>348</v>
      </c>
      <c r="D2155">
        <v>2277</v>
      </c>
      <c r="E2155">
        <v>1005</v>
      </c>
      <c r="F2155">
        <v>1</v>
      </c>
      <c r="G2155" t="s">
        <v>1456</v>
      </c>
      <c r="H2155" t="s">
        <v>9</v>
      </c>
      <c r="I2155" t="s">
        <v>1283</v>
      </c>
      <c r="J2155" t="s">
        <v>837</v>
      </c>
    </row>
    <row r="2156" spans="1:10">
      <c r="A2156">
        <v>52155</v>
      </c>
      <c r="B2156">
        <v>31250</v>
      </c>
      <c r="C2156" t="s">
        <v>130</v>
      </c>
      <c r="D2156">
        <v>2033</v>
      </c>
      <c r="E2156">
        <v>1002</v>
      </c>
      <c r="F2156">
        <v>4</v>
      </c>
      <c r="G2156" t="s">
        <v>1451</v>
      </c>
      <c r="H2156" t="s">
        <v>9</v>
      </c>
      <c r="I2156" t="s">
        <v>938</v>
      </c>
      <c r="J2156" t="s">
        <v>1070</v>
      </c>
    </row>
    <row r="2157" spans="1:10">
      <c r="A2157">
        <v>52156</v>
      </c>
      <c r="B2157">
        <v>31250</v>
      </c>
      <c r="C2157" t="s">
        <v>1300</v>
      </c>
      <c r="D2157">
        <v>2033</v>
      </c>
      <c r="E2157">
        <v>1009</v>
      </c>
      <c r="F2157">
        <v>1</v>
      </c>
      <c r="G2157" t="s">
        <v>1473</v>
      </c>
      <c r="H2157" t="s">
        <v>9</v>
      </c>
      <c r="I2157" t="s">
        <v>938</v>
      </c>
      <c r="J2157" t="s">
        <v>325</v>
      </c>
    </row>
    <row r="2158" spans="1:10">
      <c r="A2158">
        <v>52157</v>
      </c>
      <c r="B2158">
        <v>31250</v>
      </c>
      <c r="C2158" t="s">
        <v>1300</v>
      </c>
      <c r="D2158">
        <v>2033</v>
      </c>
      <c r="E2158">
        <v>1005</v>
      </c>
      <c r="F2158">
        <v>5</v>
      </c>
      <c r="G2158" t="s">
        <v>1512</v>
      </c>
      <c r="H2158" t="s">
        <v>9</v>
      </c>
      <c r="I2158" t="s">
        <v>173</v>
      </c>
      <c r="J2158" t="s">
        <v>324</v>
      </c>
    </row>
    <row r="2159" spans="1:10">
      <c r="A2159">
        <v>52158</v>
      </c>
      <c r="B2159">
        <v>31251</v>
      </c>
      <c r="C2159" t="s">
        <v>520</v>
      </c>
      <c r="D2159">
        <v>2114</v>
      </c>
      <c r="E2159">
        <v>1015</v>
      </c>
      <c r="F2159">
        <v>1</v>
      </c>
      <c r="G2159" t="s">
        <v>1478</v>
      </c>
      <c r="H2159" t="s">
        <v>16</v>
      </c>
      <c r="I2159" t="s">
        <v>1421</v>
      </c>
      <c r="J2159" t="s">
        <v>1421</v>
      </c>
    </row>
    <row r="2160" spans="1:10">
      <c r="A2160">
        <v>52159</v>
      </c>
      <c r="B2160">
        <v>31252</v>
      </c>
      <c r="C2160" t="s">
        <v>721</v>
      </c>
      <c r="D2160">
        <v>2352</v>
      </c>
      <c r="E2160">
        <v>1010</v>
      </c>
      <c r="F2160">
        <v>2</v>
      </c>
      <c r="G2160" t="s">
        <v>1483</v>
      </c>
      <c r="H2160" t="s">
        <v>9</v>
      </c>
      <c r="I2160" t="s">
        <v>884</v>
      </c>
      <c r="J2160" t="s">
        <v>202</v>
      </c>
    </row>
    <row r="2161" spans="1:10">
      <c r="A2161">
        <v>52160</v>
      </c>
      <c r="B2161">
        <v>31252</v>
      </c>
      <c r="C2161" t="s">
        <v>930</v>
      </c>
      <c r="D2161">
        <v>2352</v>
      </c>
      <c r="E2161">
        <v>1006</v>
      </c>
      <c r="F2161">
        <v>1</v>
      </c>
      <c r="G2161" t="s">
        <v>1459</v>
      </c>
      <c r="H2161" t="s">
        <v>9</v>
      </c>
      <c r="I2161" t="s">
        <v>717</v>
      </c>
      <c r="J2161" t="s">
        <v>653</v>
      </c>
    </row>
    <row r="2162" spans="1:10">
      <c r="A2162">
        <v>52161</v>
      </c>
      <c r="B2162">
        <v>31252</v>
      </c>
      <c r="C2162" t="s">
        <v>716</v>
      </c>
      <c r="D2162">
        <v>2352</v>
      </c>
      <c r="E2162">
        <v>1006</v>
      </c>
      <c r="F2162">
        <v>2</v>
      </c>
      <c r="G2162" t="s">
        <v>1501</v>
      </c>
      <c r="H2162" t="s">
        <v>9</v>
      </c>
      <c r="I2162" t="s">
        <v>719</v>
      </c>
      <c r="J2162" t="s">
        <v>991</v>
      </c>
    </row>
    <row r="2163" spans="1:10">
      <c r="A2163">
        <v>52162</v>
      </c>
      <c r="B2163">
        <v>31253</v>
      </c>
      <c r="C2163" t="s">
        <v>775</v>
      </c>
      <c r="D2163">
        <v>2592</v>
      </c>
      <c r="E2163">
        <v>1008</v>
      </c>
      <c r="F2163">
        <v>2</v>
      </c>
      <c r="G2163" t="s">
        <v>1520</v>
      </c>
      <c r="H2163" t="s">
        <v>11</v>
      </c>
      <c r="I2163" t="s">
        <v>647</v>
      </c>
      <c r="J2163" t="s">
        <v>531</v>
      </c>
    </row>
    <row r="2164" spans="1:10">
      <c r="A2164">
        <v>52163</v>
      </c>
      <c r="B2164">
        <v>31253</v>
      </c>
      <c r="C2164" t="s">
        <v>30</v>
      </c>
      <c r="D2164">
        <v>2592</v>
      </c>
      <c r="E2164">
        <v>1003</v>
      </c>
      <c r="F2164">
        <v>3</v>
      </c>
      <c r="G2164" t="s">
        <v>1507</v>
      </c>
      <c r="H2164" t="s">
        <v>11</v>
      </c>
      <c r="I2164" t="s">
        <v>504</v>
      </c>
      <c r="J2164" t="s">
        <v>31</v>
      </c>
    </row>
    <row r="2165" spans="1:10">
      <c r="A2165">
        <v>52164</v>
      </c>
      <c r="B2165">
        <v>31254</v>
      </c>
      <c r="C2165" t="s">
        <v>1071</v>
      </c>
      <c r="D2165">
        <v>2422</v>
      </c>
      <c r="E2165">
        <v>1016</v>
      </c>
      <c r="F2165">
        <v>1</v>
      </c>
      <c r="G2165" t="s">
        <v>1465</v>
      </c>
      <c r="H2165" t="s">
        <v>16</v>
      </c>
      <c r="I2165" t="s">
        <v>1421</v>
      </c>
      <c r="J2165" t="s">
        <v>1421</v>
      </c>
    </row>
    <row r="2166" spans="1:10">
      <c r="A2166">
        <v>52165</v>
      </c>
      <c r="B2166">
        <v>31255</v>
      </c>
      <c r="C2166" t="s">
        <v>397</v>
      </c>
      <c r="D2166">
        <v>2222</v>
      </c>
      <c r="E2166">
        <v>1015</v>
      </c>
      <c r="F2166">
        <v>1</v>
      </c>
      <c r="G2166" t="s">
        <v>1478</v>
      </c>
      <c r="H2166" t="s">
        <v>9</v>
      </c>
      <c r="I2166" t="s">
        <v>347</v>
      </c>
      <c r="J2166" t="s">
        <v>1244</v>
      </c>
    </row>
    <row r="2167" spans="1:10">
      <c r="A2167">
        <v>52166</v>
      </c>
      <c r="B2167">
        <v>31256</v>
      </c>
      <c r="C2167" t="s">
        <v>944</v>
      </c>
      <c r="D2167">
        <v>2286</v>
      </c>
      <c r="E2167">
        <v>1014</v>
      </c>
      <c r="F2167">
        <v>1</v>
      </c>
      <c r="G2167" t="s">
        <v>1463</v>
      </c>
      <c r="H2167" t="s">
        <v>9</v>
      </c>
      <c r="I2167" t="s">
        <v>223</v>
      </c>
      <c r="J2167" t="s">
        <v>293</v>
      </c>
    </row>
    <row r="2168" spans="1:10">
      <c r="A2168">
        <v>52167</v>
      </c>
      <c r="B2168">
        <v>31257</v>
      </c>
      <c r="C2168" t="s">
        <v>246</v>
      </c>
      <c r="D2168">
        <v>2253</v>
      </c>
      <c r="E2168">
        <v>1014</v>
      </c>
      <c r="F2168">
        <v>1</v>
      </c>
      <c r="G2168" t="s">
        <v>1463</v>
      </c>
      <c r="H2168" t="s">
        <v>9</v>
      </c>
      <c r="I2168" t="s">
        <v>1036</v>
      </c>
      <c r="J2168" t="s">
        <v>145</v>
      </c>
    </row>
    <row r="2169" spans="1:10">
      <c r="A2169">
        <v>52168</v>
      </c>
      <c r="B2169">
        <v>31257</v>
      </c>
      <c r="C2169" t="s">
        <v>246</v>
      </c>
      <c r="D2169">
        <v>2253</v>
      </c>
      <c r="E2169">
        <v>1008</v>
      </c>
      <c r="F2169">
        <v>1</v>
      </c>
      <c r="G2169" t="s">
        <v>1447</v>
      </c>
      <c r="H2169" t="s">
        <v>9</v>
      </c>
      <c r="I2169" t="s">
        <v>1036</v>
      </c>
      <c r="J2169" t="s">
        <v>1047</v>
      </c>
    </row>
    <row r="2170" spans="1:10">
      <c r="A2170">
        <v>52169</v>
      </c>
      <c r="B2170">
        <v>31258</v>
      </c>
      <c r="C2170" t="s">
        <v>360</v>
      </c>
      <c r="D2170">
        <v>2153</v>
      </c>
      <c r="E2170">
        <v>1001</v>
      </c>
      <c r="F2170">
        <v>1</v>
      </c>
      <c r="G2170" t="s">
        <v>1469</v>
      </c>
      <c r="H2170" t="s">
        <v>12</v>
      </c>
      <c r="I2170" t="s">
        <v>1421</v>
      </c>
      <c r="J2170" t="s">
        <v>1421</v>
      </c>
    </row>
    <row r="2171" spans="1:10">
      <c r="A2171">
        <v>52170</v>
      </c>
      <c r="B2171">
        <v>31258</v>
      </c>
      <c r="C2171" t="s">
        <v>195</v>
      </c>
      <c r="D2171">
        <v>2153</v>
      </c>
      <c r="E2171">
        <v>1014</v>
      </c>
      <c r="F2171">
        <v>1</v>
      </c>
      <c r="G2171" t="s">
        <v>1463</v>
      </c>
      <c r="H2171" t="s">
        <v>12</v>
      </c>
      <c r="I2171" t="s">
        <v>1421</v>
      </c>
      <c r="J2171" t="s">
        <v>1421</v>
      </c>
    </row>
    <row r="2172" spans="1:10">
      <c r="A2172">
        <v>52171</v>
      </c>
      <c r="B2172">
        <v>31258</v>
      </c>
      <c r="C2172" t="s">
        <v>952</v>
      </c>
      <c r="D2172">
        <v>2153</v>
      </c>
      <c r="E2172">
        <v>1002</v>
      </c>
      <c r="F2172">
        <v>1</v>
      </c>
      <c r="G2172" t="s">
        <v>1466</v>
      </c>
      <c r="H2172" t="s">
        <v>12</v>
      </c>
      <c r="I2172" t="s">
        <v>1421</v>
      </c>
      <c r="J2172" t="s">
        <v>1421</v>
      </c>
    </row>
    <row r="2173" spans="1:10">
      <c r="A2173">
        <v>52172</v>
      </c>
      <c r="B2173">
        <v>31258</v>
      </c>
      <c r="C2173" t="s">
        <v>952</v>
      </c>
      <c r="D2173">
        <v>2153</v>
      </c>
      <c r="E2173">
        <v>1002</v>
      </c>
      <c r="F2173">
        <v>1</v>
      </c>
      <c r="G2173" t="s">
        <v>1466</v>
      </c>
      <c r="H2173" t="s">
        <v>12</v>
      </c>
      <c r="I2173" t="s">
        <v>1421</v>
      </c>
      <c r="J2173" t="s">
        <v>1421</v>
      </c>
    </row>
    <row r="2174" spans="1:10">
      <c r="A2174">
        <v>52173</v>
      </c>
      <c r="B2174">
        <v>31259</v>
      </c>
      <c r="C2174" t="s">
        <v>217</v>
      </c>
      <c r="D2174">
        <v>2482</v>
      </c>
      <c r="E2174">
        <v>1002</v>
      </c>
      <c r="F2174">
        <v>4</v>
      </c>
      <c r="G2174" t="s">
        <v>1451</v>
      </c>
      <c r="H2174" t="s">
        <v>9</v>
      </c>
      <c r="I2174" t="s">
        <v>742</v>
      </c>
      <c r="J2174" t="s">
        <v>785</v>
      </c>
    </row>
    <row r="2175" spans="1:10">
      <c r="A2175">
        <v>52174</v>
      </c>
      <c r="B2175">
        <v>31260</v>
      </c>
      <c r="C2175" t="s">
        <v>1119</v>
      </c>
      <c r="D2175">
        <v>2436</v>
      </c>
      <c r="E2175">
        <v>1016</v>
      </c>
      <c r="F2175">
        <v>3</v>
      </c>
      <c r="G2175" t="s">
        <v>1484</v>
      </c>
      <c r="H2175" t="s">
        <v>9</v>
      </c>
      <c r="I2175" t="s">
        <v>462</v>
      </c>
      <c r="J2175" t="s">
        <v>1309</v>
      </c>
    </row>
    <row r="2176" spans="1:10">
      <c r="A2176">
        <v>52175</v>
      </c>
      <c r="B2176">
        <v>31261</v>
      </c>
      <c r="C2176" t="s">
        <v>965</v>
      </c>
      <c r="D2176">
        <v>2101</v>
      </c>
      <c r="E2176">
        <v>1008</v>
      </c>
      <c r="F2176">
        <v>3</v>
      </c>
      <c r="G2176" t="s">
        <v>1491</v>
      </c>
      <c r="H2176" t="s">
        <v>9</v>
      </c>
      <c r="I2176" t="s">
        <v>1049</v>
      </c>
      <c r="J2176" t="s">
        <v>750</v>
      </c>
    </row>
    <row r="2177" spans="1:10">
      <c r="A2177">
        <v>52176</v>
      </c>
      <c r="B2177">
        <v>31262</v>
      </c>
      <c r="C2177" t="s">
        <v>1120</v>
      </c>
      <c r="D2177">
        <v>2086</v>
      </c>
      <c r="E2177">
        <v>1001</v>
      </c>
      <c r="F2177">
        <v>3</v>
      </c>
      <c r="G2177" t="s">
        <v>1515</v>
      </c>
      <c r="H2177" t="s">
        <v>9</v>
      </c>
      <c r="I2177" t="s">
        <v>88</v>
      </c>
      <c r="J2177" t="s">
        <v>545</v>
      </c>
    </row>
    <row r="2178" spans="1:10">
      <c r="A2178">
        <v>52177</v>
      </c>
      <c r="B2178">
        <v>31263</v>
      </c>
      <c r="C2178" t="s">
        <v>1280</v>
      </c>
      <c r="D2178">
        <v>2417</v>
      </c>
      <c r="E2178">
        <v>1005</v>
      </c>
      <c r="F2178">
        <v>1</v>
      </c>
      <c r="G2178" t="s">
        <v>1456</v>
      </c>
      <c r="H2178" t="s">
        <v>11</v>
      </c>
      <c r="I2178" t="s">
        <v>514</v>
      </c>
      <c r="J2178" t="s">
        <v>74</v>
      </c>
    </row>
    <row r="2179" spans="1:10">
      <c r="A2179">
        <v>52178</v>
      </c>
      <c r="B2179">
        <v>31263</v>
      </c>
      <c r="C2179" t="s">
        <v>596</v>
      </c>
      <c r="D2179">
        <v>2417</v>
      </c>
      <c r="E2179">
        <v>1012</v>
      </c>
      <c r="F2179">
        <v>2</v>
      </c>
      <c r="G2179" t="s">
        <v>1450</v>
      </c>
      <c r="H2179" t="s">
        <v>11</v>
      </c>
      <c r="I2179" t="s">
        <v>597</v>
      </c>
      <c r="J2179" t="s">
        <v>686</v>
      </c>
    </row>
    <row r="2180" spans="1:10">
      <c r="A2180">
        <v>52179</v>
      </c>
      <c r="B2180">
        <v>31264</v>
      </c>
      <c r="C2180" t="s">
        <v>398</v>
      </c>
      <c r="D2180">
        <v>2303</v>
      </c>
      <c r="E2180">
        <v>1003</v>
      </c>
      <c r="F2180">
        <v>1</v>
      </c>
      <c r="G2180" t="s">
        <v>1471</v>
      </c>
      <c r="H2180" t="s">
        <v>9</v>
      </c>
      <c r="I2180" t="s">
        <v>10</v>
      </c>
      <c r="J2180" t="s">
        <v>19</v>
      </c>
    </row>
    <row r="2181" spans="1:10">
      <c r="A2181">
        <v>52180</v>
      </c>
      <c r="B2181">
        <v>31265</v>
      </c>
      <c r="C2181" t="s">
        <v>467</v>
      </c>
      <c r="D2181">
        <v>2017</v>
      </c>
      <c r="E2181">
        <v>1010</v>
      </c>
      <c r="F2181">
        <v>1</v>
      </c>
      <c r="G2181" t="s">
        <v>1537</v>
      </c>
      <c r="H2181" t="s">
        <v>9</v>
      </c>
      <c r="I2181" t="s">
        <v>127</v>
      </c>
      <c r="J2181" t="s">
        <v>461</v>
      </c>
    </row>
    <row r="2182" spans="1:10">
      <c r="A2182">
        <v>52181</v>
      </c>
      <c r="B2182">
        <v>31265</v>
      </c>
      <c r="C2182" t="s">
        <v>467</v>
      </c>
      <c r="D2182">
        <v>2017</v>
      </c>
      <c r="E2182">
        <v>1006</v>
      </c>
      <c r="F2182">
        <v>2</v>
      </c>
      <c r="G2182" t="s">
        <v>1501</v>
      </c>
      <c r="H2182" t="s">
        <v>9</v>
      </c>
      <c r="I2182" t="s">
        <v>583</v>
      </c>
      <c r="J2182" t="s">
        <v>461</v>
      </c>
    </row>
    <row r="2183" spans="1:10">
      <c r="A2183">
        <v>52182</v>
      </c>
      <c r="B2183">
        <v>31266</v>
      </c>
      <c r="C2183" t="s">
        <v>372</v>
      </c>
      <c r="D2183">
        <v>2471</v>
      </c>
      <c r="E2183">
        <v>1001</v>
      </c>
      <c r="F2183">
        <v>3</v>
      </c>
      <c r="G2183" t="s">
        <v>1515</v>
      </c>
      <c r="H2183" t="s">
        <v>16</v>
      </c>
      <c r="I2183" t="s">
        <v>1421</v>
      </c>
      <c r="J2183" t="s">
        <v>1421</v>
      </c>
    </row>
    <row r="2184" spans="1:10">
      <c r="A2184">
        <v>52183</v>
      </c>
      <c r="B2184">
        <v>31266</v>
      </c>
      <c r="C2184" t="s">
        <v>1167</v>
      </c>
      <c r="D2184">
        <v>2471</v>
      </c>
      <c r="E2184">
        <v>1015</v>
      </c>
      <c r="F2184">
        <v>1</v>
      </c>
      <c r="G2184" t="s">
        <v>1478</v>
      </c>
      <c r="H2184" t="s">
        <v>16</v>
      </c>
      <c r="I2184" t="s">
        <v>1421</v>
      </c>
      <c r="J2184" t="s">
        <v>1421</v>
      </c>
    </row>
    <row r="2185" spans="1:10">
      <c r="A2185">
        <v>52184</v>
      </c>
      <c r="B2185">
        <v>31267</v>
      </c>
      <c r="C2185" t="s">
        <v>760</v>
      </c>
      <c r="D2185">
        <v>2416</v>
      </c>
      <c r="E2185">
        <v>1012</v>
      </c>
      <c r="F2185">
        <v>2</v>
      </c>
      <c r="G2185" t="s">
        <v>1450</v>
      </c>
      <c r="H2185" t="s">
        <v>9</v>
      </c>
      <c r="I2185" t="s">
        <v>1121</v>
      </c>
      <c r="J2185" t="s">
        <v>222</v>
      </c>
    </row>
    <row r="2186" spans="1:10">
      <c r="A2186">
        <v>52185</v>
      </c>
      <c r="B2186">
        <v>31268</v>
      </c>
      <c r="C2186" t="s">
        <v>530</v>
      </c>
      <c r="D2186">
        <v>2476</v>
      </c>
      <c r="E2186">
        <v>1001</v>
      </c>
      <c r="F2186">
        <v>1</v>
      </c>
      <c r="G2186" t="s">
        <v>1469</v>
      </c>
      <c r="H2186" t="s">
        <v>9</v>
      </c>
      <c r="I2186" t="s">
        <v>135</v>
      </c>
      <c r="J2186" t="s">
        <v>238</v>
      </c>
    </row>
    <row r="2187" spans="1:10">
      <c r="A2187">
        <v>52186</v>
      </c>
      <c r="B2187">
        <v>31268</v>
      </c>
      <c r="C2187" t="s">
        <v>31</v>
      </c>
      <c r="D2187">
        <v>2476</v>
      </c>
      <c r="E2187">
        <v>1003</v>
      </c>
      <c r="F2187">
        <v>3</v>
      </c>
      <c r="G2187" t="s">
        <v>1507</v>
      </c>
      <c r="H2187" t="s">
        <v>9</v>
      </c>
      <c r="I2187" t="s">
        <v>135</v>
      </c>
      <c r="J2187" t="s">
        <v>339</v>
      </c>
    </row>
    <row r="2188" spans="1:10">
      <c r="A2188">
        <v>52187</v>
      </c>
      <c r="B2188">
        <v>31269</v>
      </c>
      <c r="C2188" t="s">
        <v>547</v>
      </c>
      <c r="D2188">
        <v>2395</v>
      </c>
      <c r="E2188">
        <v>1011</v>
      </c>
      <c r="F2188">
        <v>1</v>
      </c>
      <c r="G2188" t="s">
        <v>1472</v>
      </c>
      <c r="H2188" t="s">
        <v>12</v>
      </c>
      <c r="I2188" t="s">
        <v>1421</v>
      </c>
      <c r="J2188" t="s">
        <v>1421</v>
      </c>
    </row>
    <row r="2189" spans="1:10">
      <c r="A2189">
        <v>52188</v>
      </c>
      <c r="B2189">
        <v>31269</v>
      </c>
      <c r="C2189" t="s">
        <v>394</v>
      </c>
      <c r="D2189">
        <v>2395</v>
      </c>
      <c r="E2189">
        <v>1002</v>
      </c>
      <c r="F2189">
        <v>1</v>
      </c>
      <c r="G2189" t="s">
        <v>1466</v>
      </c>
      <c r="H2189" t="s">
        <v>12</v>
      </c>
      <c r="I2189" t="s">
        <v>1421</v>
      </c>
      <c r="J2189" t="s">
        <v>1421</v>
      </c>
    </row>
    <row r="2190" spans="1:10">
      <c r="A2190">
        <v>52189</v>
      </c>
      <c r="B2190">
        <v>31269</v>
      </c>
      <c r="C2190" t="s">
        <v>311</v>
      </c>
      <c r="D2190">
        <v>2395</v>
      </c>
      <c r="E2190">
        <v>1010</v>
      </c>
      <c r="F2190">
        <v>1</v>
      </c>
      <c r="G2190" t="s">
        <v>1468</v>
      </c>
      <c r="H2190" t="s">
        <v>12</v>
      </c>
      <c r="I2190" t="s">
        <v>1421</v>
      </c>
      <c r="J2190" t="s">
        <v>1421</v>
      </c>
    </row>
    <row r="2191" spans="1:10">
      <c r="A2191">
        <v>52190</v>
      </c>
      <c r="B2191">
        <v>31269</v>
      </c>
      <c r="C2191" t="s">
        <v>279</v>
      </c>
      <c r="D2191">
        <v>2395</v>
      </c>
      <c r="E2191">
        <v>1014</v>
      </c>
      <c r="F2191">
        <v>1</v>
      </c>
      <c r="G2191" t="s">
        <v>1463</v>
      </c>
      <c r="H2191" t="s">
        <v>12</v>
      </c>
      <c r="I2191" t="s">
        <v>1421</v>
      </c>
      <c r="J2191" t="s">
        <v>1421</v>
      </c>
    </row>
    <row r="2192" spans="1:10">
      <c r="A2192">
        <v>52191</v>
      </c>
      <c r="B2192">
        <v>31270</v>
      </c>
      <c r="C2192" t="s">
        <v>656</v>
      </c>
      <c r="D2192">
        <v>2277</v>
      </c>
      <c r="E2192">
        <v>1007</v>
      </c>
      <c r="F2192">
        <v>1</v>
      </c>
      <c r="G2192" t="s">
        <v>1453</v>
      </c>
      <c r="H2192" t="s">
        <v>9</v>
      </c>
      <c r="I2192" t="s">
        <v>871</v>
      </c>
      <c r="J2192" t="s">
        <v>864</v>
      </c>
    </row>
    <row r="2193" spans="1:10">
      <c r="A2193">
        <v>52192</v>
      </c>
      <c r="B2193">
        <v>31270</v>
      </c>
      <c r="C2193" t="s">
        <v>833</v>
      </c>
      <c r="D2193">
        <v>2277</v>
      </c>
      <c r="E2193">
        <v>1003</v>
      </c>
      <c r="F2193">
        <v>2</v>
      </c>
      <c r="G2193" t="s">
        <v>1464</v>
      </c>
      <c r="H2193" t="s">
        <v>9</v>
      </c>
      <c r="I2193" t="s">
        <v>1230</v>
      </c>
      <c r="J2193" t="s">
        <v>305</v>
      </c>
    </row>
    <row r="2194" spans="1:10">
      <c r="A2194">
        <v>52193</v>
      </c>
      <c r="B2194">
        <v>31271</v>
      </c>
      <c r="C2194" t="s">
        <v>538</v>
      </c>
      <c r="D2194">
        <v>2344</v>
      </c>
      <c r="E2194">
        <v>1002</v>
      </c>
      <c r="F2194">
        <v>1</v>
      </c>
      <c r="G2194" t="s">
        <v>1466</v>
      </c>
      <c r="H2194" t="s">
        <v>9</v>
      </c>
      <c r="I2194" t="s">
        <v>1199</v>
      </c>
      <c r="J2194" t="s">
        <v>725</v>
      </c>
    </row>
    <row r="2195" spans="1:10">
      <c r="A2195">
        <v>52194</v>
      </c>
      <c r="B2195">
        <v>31271</v>
      </c>
      <c r="C2195" t="s">
        <v>822</v>
      </c>
      <c r="D2195">
        <v>2344</v>
      </c>
      <c r="E2195">
        <v>1012</v>
      </c>
      <c r="F2195">
        <v>1</v>
      </c>
      <c r="G2195" t="s">
        <v>1449</v>
      </c>
      <c r="H2195" t="s">
        <v>9</v>
      </c>
      <c r="I2195" t="s">
        <v>1199</v>
      </c>
      <c r="J2195" t="s">
        <v>279</v>
      </c>
    </row>
    <row r="2196" spans="1:10">
      <c r="A2196">
        <v>52195</v>
      </c>
      <c r="B2196">
        <v>31272</v>
      </c>
      <c r="C2196" t="s">
        <v>421</v>
      </c>
      <c r="D2196">
        <v>2053</v>
      </c>
      <c r="E2196">
        <v>1012</v>
      </c>
      <c r="F2196">
        <v>2</v>
      </c>
      <c r="G2196" t="s">
        <v>1450</v>
      </c>
      <c r="H2196" t="s">
        <v>9</v>
      </c>
      <c r="I2196" t="s">
        <v>825</v>
      </c>
      <c r="J2196" t="s">
        <v>33</v>
      </c>
    </row>
    <row r="2197" spans="1:10">
      <c r="A2197">
        <v>52196</v>
      </c>
      <c r="B2197">
        <v>31273</v>
      </c>
      <c r="C2197" t="s">
        <v>962</v>
      </c>
      <c r="D2197">
        <v>2477</v>
      </c>
      <c r="E2197">
        <v>1012</v>
      </c>
      <c r="F2197">
        <v>1</v>
      </c>
      <c r="G2197" t="s">
        <v>1449</v>
      </c>
      <c r="H2197" t="s">
        <v>9</v>
      </c>
      <c r="I2197" t="s">
        <v>706</v>
      </c>
      <c r="J2197" t="s">
        <v>221</v>
      </c>
    </row>
    <row r="2198" spans="1:10">
      <c r="A2198">
        <v>52197</v>
      </c>
      <c r="B2198">
        <v>31274</v>
      </c>
      <c r="C2198" t="s">
        <v>674</v>
      </c>
      <c r="D2198">
        <v>2376</v>
      </c>
      <c r="E2198">
        <v>1003</v>
      </c>
      <c r="F2198">
        <v>1</v>
      </c>
      <c r="G2198" t="s">
        <v>1471</v>
      </c>
      <c r="H2198" t="s">
        <v>9</v>
      </c>
      <c r="I2198" t="s">
        <v>1300</v>
      </c>
      <c r="J2198" t="s">
        <v>773</v>
      </c>
    </row>
    <row r="2199" spans="1:10">
      <c r="A2199">
        <v>52198</v>
      </c>
      <c r="B2199">
        <v>31275</v>
      </c>
      <c r="C2199" t="s">
        <v>1194</v>
      </c>
      <c r="D2199">
        <v>2575</v>
      </c>
      <c r="E2199">
        <v>1007</v>
      </c>
      <c r="F2199">
        <v>2</v>
      </c>
      <c r="G2199" t="s">
        <v>1455</v>
      </c>
      <c r="H2199" t="s">
        <v>9</v>
      </c>
      <c r="I2199" t="s">
        <v>1106</v>
      </c>
      <c r="J2199" t="s">
        <v>1302</v>
      </c>
    </row>
    <row r="2200" spans="1:10">
      <c r="A2200">
        <v>52199</v>
      </c>
      <c r="B2200">
        <v>31276</v>
      </c>
      <c r="C2200" t="s">
        <v>404</v>
      </c>
      <c r="D2200">
        <v>2142</v>
      </c>
      <c r="E2200">
        <v>1008</v>
      </c>
      <c r="F2200">
        <v>1</v>
      </c>
      <c r="G2200" t="s">
        <v>1447</v>
      </c>
      <c r="H2200" t="s">
        <v>11</v>
      </c>
      <c r="I2200" t="s">
        <v>540</v>
      </c>
      <c r="J2200" t="s">
        <v>568</v>
      </c>
    </row>
    <row r="2201" spans="1:10">
      <c r="A2201">
        <v>52200</v>
      </c>
      <c r="B2201">
        <v>31277</v>
      </c>
      <c r="C2201" t="s">
        <v>1147</v>
      </c>
      <c r="D2201">
        <v>2553</v>
      </c>
      <c r="E2201">
        <v>1016</v>
      </c>
      <c r="F2201">
        <v>1</v>
      </c>
      <c r="G2201" t="s">
        <v>1465</v>
      </c>
      <c r="H2201" t="s">
        <v>9</v>
      </c>
      <c r="I2201" t="s">
        <v>292</v>
      </c>
      <c r="J2201" t="s">
        <v>389</v>
      </c>
    </row>
    <row r="2202" spans="1:10">
      <c r="A2202">
        <v>52201</v>
      </c>
      <c r="B2202">
        <v>31277</v>
      </c>
      <c r="C2202" t="s">
        <v>1147</v>
      </c>
      <c r="D2202">
        <v>2553</v>
      </c>
      <c r="E2202">
        <v>1007</v>
      </c>
      <c r="F2202">
        <v>1</v>
      </c>
      <c r="G2202" t="s">
        <v>1453</v>
      </c>
      <c r="H2202" t="s">
        <v>9</v>
      </c>
      <c r="I2202" t="s">
        <v>477</v>
      </c>
      <c r="J2202" t="s">
        <v>316</v>
      </c>
    </row>
    <row r="2203" spans="1:10">
      <c r="A2203">
        <v>52202</v>
      </c>
      <c r="B2203">
        <v>31278</v>
      </c>
      <c r="C2203" t="s">
        <v>747</v>
      </c>
      <c r="D2203">
        <v>2231</v>
      </c>
      <c r="E2203">
        <v>1009</v>
      </c>
      <c r="F2203">
        <v>1</v>
      </c>
      <c r="G2203" t="s">
        <v>1473</v>
      </c>
      <c r="H2203" t="s">
        <v>9</v>
      </c>
      <c r="I2203" t="s">
        <v>748</v>
      </c>
      <c r="J2203" t="s">
        <v>1330</v>
      </c>
    </row>
    <row r="2204" spans="1:10">
      <c r="A2204">
        <v>52203</v>
      </c>
      <c r="B2204">
        <v>31278</v>
      </c>
      <c r="C2204" t="s">
        <v>747</v>
      </c>
      <c r="D2204">
        <v>2231</v>
      </c>
      <c r="E2204">
        <v>1014</v>
      </c>
      <c r="F2204">
        <v>1</v>
      </c>
      <c r="G2204" t="s">
        <v>1463</v>
      </c>
      <c r="H2204" t="s">
        <v>9</v>
      </c>
      <c r="I2204" t="s">
        <v>129</v>
      </c>
      <c r="J2204" t="s">
        <v>272</v>
      </c>
    </row>
    <row r="2205" spans="1:10">
      <c r="A2205">
        <v>52204</v>
      </c>
      <c r="B2205">
        <v>31279</v>
      </c>
      <c r="C2205" t="s">
        <v>908</v>
      </c>
      <c r="D2205">
        <v>2284</v>
      </c>
      <c r="E2205">
        <v>1012</v>
      </c>
      <c r="F2205">
        <v>2</v>
      </c>
      <c r="G2205" t="s">
        <v>1450</v>
      </c>
      <c r="H2205" t="s">
        <v>9</v>
      </c>
      <c r="I2205" t="s">
        <v>406</v>
      </c>
      <c r="J2205" t="s">
        <v>1260</v>
      </c>
    </row>
    <row r="2206" spans="1:10">
      <c r="A2206">
        <v>52205</v>
      </c>
      <c r="B2206">
        <v>31280</v>
      </c>
      <c r="C2206" t="s">
        <v>898</v>
      </c>
      <c r="D2206">
        <v>2354</v>
      </c>
      <c r="E2206">
        <v>1004</v>
      </c>
      <c r="F2206">
        <v>2</v>
      </c>
      <c r="G2206" t="s">
        <v>1476</v>
      </c>
      <c r="H2206" t="s">
        <v>9</v>
      </c>
      <c r="I2206" t="s">
        <v>1043</v>
      </c>
      <c r="J2206" t="s">
        <v>111</v>
      </c>
    </row>
    <row r="2207" spans="1:10">
      <c r="A2207">
        <v>52206</v>
      </c>
      <c r="B2207">
        <v>31281</v>
      </c>
      <c r="C2207" t="s">
        <v>1331</v>
      </c>
      <c r="D2207">
        <v>2482</v>
      </c>
      <c r="E2207">
        <v>1010</v>
      </c>
      <c r="F2207">
        <v>1</v>
      </c>
      <c r="G2207" t="s">
        <v>1468</v>
      </c>
      <c r="H2207" t="s">
        <v>9</v>
      </c>
      <c r="I2207" t="s">
        <v>188</v>
      </c>
      <c r="J2207" t="s">
        <v>292</v>
      </c>
    </row>
    <row r="2208" spans="1:10">
      <c r="A2208">
        <v>52207</v>
      </c>
      <c r="B2208">
        <v>31281</v>
      </c>
      <c r="C2208" t="s">
        <v>1331</v>
      </c>
      <c r="D2208">
        <v>2482</v>
      </c>
      <c r="E2208">
        <v>1015</v>
      </c>
      <c r="F2208">
        <v>1</v>
      </c>
      <c r="G2208" t="s">
        <v>1478</v>
      </c>
      <c r="H2208" t="s">
        <v>9</v>
      </c>
      <c r="I2208" t="s">
        <v>233</v>
      </c>
      <c r="J2208" t="s">
        <v>1030</v>
      </c>
    </row>
    <row r="2209" spans="1:10">
      <c r="A2209">
        <v>52208</v>
      </c>
      <c r="B2209">
        <v>31281</v>
      </c>
      <c r="C2209" t="s">
        <v>1010</v>
      </c>
      <c r="D2209">
        <v>2482</v>
      </c>
      <c r="E2209">
        <v>1012</v>
      </c>
      <c r="F2209">
        <v>1</v>
      </c>
      <c r="G2209" t="s">
        <v>1449</v>
      </c>
      <c r="H2209" t="s">
        <v>9</v>
      </c>
      <c r="I2209" t="s">
        <v>809</v>
      </c>
      <c r="J2209" t="s">
        <v>56</v>
      </c>
    </row>
    <row r="2210" spans="1:10">
      <c r="A2210">
        <v>52209</v>
      </c>
      <c r="B2210">
        <v>31282</v>
      </c>
      <c r="C2210" t="s">
        <v>417</v>
      </c>
      <c r="D2210">
        <v>2068</v>
      </c>
      <c r="E2210">
        <v>1015</v>
      </c>
      <c r="F2210">
        <v>1</v>
      </c>
      <c r="G2210" t="s">
        <v>1478</v>
      </c>
      <c r="H2210" t="s">
        <v>9</v>
      </c>
      <c r="I2210" t="s">
        <v>50</v>
      </c>
      <c r="J2210" t="s">
        <v>1005</v>
      </c>
    </row>
    <row r="2211" spans="1:10">
      <c r="A2211">
        <v>52210</v>
      </c>
      <c r="B2211">
        <v>31283</v>
      </c>
      <c r="C2211" t="s">
        <v>386</v>
      </c>
      <c r="D2211">
        <v>2090</v>
      </c>
      <c r="E2211">
        <v>1006</v>
      </c>
      <c r="F2211">
        <v>1</v>
      </c>
      <c r="G2211" t="s">
        <v>1459</v>
      </c>
      <c r="H2211" t="s">
        <v>9</v>
      </c>
      <c r="I2211" t="s">
        <v>1313</v>
      </c>
      <c r="J2211" t="s">
        <v>928</v>
      </c>
    </row>
    <row r="2212" spans="1:10">
      <c r="A2212">
        <v>52211</v>
      </c>
      <c r="B2212">
        <v>31283</v>
      </c>
      <c r="C2212" t="s">
        <v>971</v>
      </c>
      <c r="D2212">
        <v>2090</v>
      </c>
      <c r="E2212">
        <v>1010</v>
      </c>
      <c r="F2212">
        <v>2</v>
      </c>
      <c r="G2212" t="s">
        <v>1483</v>
      </c>
      <c r="H2212" t="s">
        <v>9</v>
      </c>
      <c r="I2212" t="s">
        <v>1253</v>
      </c>
      <c r="J2212" t="s">
        <v>686</v>
      </c>
    </row>
    <row r="2213" spans="1:10">
      <c r="A2213">
        <v>52212</v>
      </c>
      <c r="B2213">
        <v>31283</v>
      </c>
      <c r="C2213" t="s">
        <v>386</v>
      </c>
      <c r="D2213">
        <v>2090</v>
      </c>
      <c r="E2213">
        <v>1003</v>
      </c>
      <c r="F2213">
        <v>3</v>
      </c>
      <c r="G2213" t="s">
        <v>1507</v>
      </c>
      <c r="H2213" t="s">
        <v>9</v>
      </c>
      <c r="I2213" t="s">
        <v>1313</v>
      </c>
      <c r="J2213" t="s">
        <v>96</v>
      </c>
    </row>
    <row r="2214" spans="1:10">
      <c r="A2214">
        <v>52213</v>
      </c>
      <c r="B2214">
        <v>31284</v>
      </c>
      <c r="C2214" t="s">
        <v>1302</v>
      </c>
      <c r="D2214">
        <v>2112</v>
      </c>
      <c r="E2214">
        <v>1004</v>
      </c>
      <c r="F2214">
        <v>1</v>
      </c>
      <c r="G2214" t="s">
        <v>1452</v>
      </c>
      <c r="H2214" t="s">
        <v>9</v>
      </c>
      <c r="I2214" t="s">
        <v>219</v>
      </c>
      <c r="J2214" t="s">
        <v>511</v>
      </c>
    </row>
    <row r="2215" spans="1:10">
      <c r="A2215">
        <v>52214</v>
      </c>
      <c r="B2215">
        <v>31285</v>
      </c>
      <c r="C2215" t="s">
        <v>159</v>
      </c>
      <c r="D2215">
        <v>2152</v>
      </c>
      <c r="E2215">
        <v>1007</v>
      </c>
      <c r="F2215">
        <v>1</v>
      </c>
      <c r="G2215" t="s">
        <v>1453</v>
      </c>
      <c r="H2215" t="s">
        <v>9</v>
      </c>
      <c r="I2215" t="s">
        <v>1073</v>
      </c>
      <c r="J2215" t="s">
        <v>1192</v>
      </c>
    </row>
    <row r="2216" spans="1:10">
      <c r="A2216">
        <v>52215</v>
      </c>
      <c r="B2216">
        <v>31286</v>
      </c>
      <c r="C2216" t="s">
        <v>215</v>
      </c>
      <c r="D2216">
        <v>2534</v>
      </c>
      <c r="E2216">
        <v>1001</v>
      </c>
      <c r="F2216">
        <v>2</v>
      </c>
      <c r="G2216" t="s">
        <v>1460</v>
      </c>
      <c r="H2216" t="s">
        <v>11</v>
      </c>
      <c r="I2216" t="s">
        <v>19</v>
      </c>
      <c r="J2216" t="s">
        <v>971</v>
      </c>
    </row>
    <row r="2217" spans="1:10">
      <c r="A2217">
        <v>52216</v>
      </c>
      <c r="B2217">
        <v>31286</v>
      </c>
      <c r="C2217" t="s">
        <v>505</v>
      </c>
      <c r="D2217">
        <v>2534</v>
      </c>
      <c r="E2217">
        <v>1010</v>
      </c>
      <c r="F2217">
        <v>2</v>
      </c>
      <c r="G2217" t="s">
        <v>1483</v>
      </c>
      <c r="H2217" t="s">
        <v>11</v>
      </c>
      <c r="I2217" t="s">
        <v>312</v>
      </c>
      <c r="J2217" t="s">
        <v>314</v>
      </c>
    </row>
    <row r="2218" spans="1:10">
      <c r="A2218">
        <v>52217</v>
      </c>
      <c r="B2218">
        <v>31286</v>
      </c>
      <c r="C2218" t="s">
        <v>215</v>
      </c>
      <c r="D2218">
        <v>2534</v>
      </c>
      <c r="E2218">
        <v>1014</v>
      </c>
      <c r="F2218">
        <v>1</v>
      </c>
      <c r="G2218" t="s">
        <v>1463</v>
      </c>
      <c r="H2218" t="s">
        <v>11</v>
      </c>
      <c r="I2218" t="s">
        <v>438</v>
      </c>
      <c r="J2218" t="s">
        <v>624</v>
      </c>
    </row>
    <row r="2219" spans="1:10">
      <c r="A2219">
        <v>52218</v>
      </c>
      <c r="B2219">
        <v>31287</v>
      </c>
      <c r="C2219" t="s">
        <v>986</v>
      </c>
      <c r="D2219">
        <v>2555</v>
      </c>
      <c r="E2219">
        <v>1016</v>
      </c>
      <c r="F2219">
        <v>1</v>
      </c>
      <c r="G2219" t="s">
        <v>1465</v>
      </c>
      <c r="H2219" t="s">
        <v>12</v>
      </c>
      <c r="I2219" t="s">
        <v>1421</v>
      </c>
      <c r="J2219" t="s">
        <v>1421</v>
      </c>
    </row>
    <row r="2220" spans="1:10">
      <c r="A2220">
        <v>52219</v>
      </c>
      <c r="B2220">
        <v>31288</v>
      </c>
      <c r="C2220" t="s">
        <v>802</v>
      </c>
      <c r="D2220">
        <v>2356</v>
      </c>
      <c r="E2220">
        <v>1001</v>
      </c>
      <c r="F2220">
        <v>2</v>
      </c>
      <c r="G2220" t="s">
        <v>1460</v>
      </c>
      <c r="H2220" t="s">
        <v>9</v>
      </c>
      <c r="I2220" t="s">
        <v>1287</v>
      </c>
      <c r="J2220" t="s">
        <v>290</v>
      </c>
    </row>
    <row r="2221" spans="1:10">
      <c r="A2221">
        <v>52220</v>
      </c>
      <c r="B2221">
        <v>31288</v>
      </c>
      <c r="C2221" t="s">
        <v>70</v>
      </c>
      <c r="D2221">
        <v>2356</v>
      </c>
      <c r="E2221">
        <v>1010</v>
      </c>
      <c r="F2221">
        <v>4</v>
      </c>
      <c r="G2221" t="s">
        <v>1517</v>
      </c>
      <c r="H2221" t="s">
        <v>9</v>
      </c>
      <c r="I2221" t="s">
        <v>863</v>
      </c>
      <c r="J2221" t="s">
        <v>1146</v>
      </c>
    </row>
    <row r="2222" spans="1:10">
      <c r="A2222">
        <v>52221</v>
      </c>
      <c r="B2222">
        <v>31288</v>
      </c>
      <c r="C2222" t="s">
        <v>521</v>
      </c>
      <c r="D2222">
        <v>2356</v>
      </c>
      <c r="E2222">
        <v>1007</v>
      </c>
      <c r="F2222">
        <v>1</v>
      </c>
      <c r="G2222" t="s">
        <v>1453</v>
      </c>
      <c r="H2222" t="s">
        <v>9</v>
      </c>
      <c r="I2222" t="s">
        <v>67</v>
      </c>
      <c r="J2222" t="s">
        <v>801</v>
      </c>
    </row>
    <row r="2223" spans="1:10">
      <c r="A2223">
        <v>52222</v>
      </c>
      <c r="B2223">
        <v>31289</v>
      </c>
      <c r="C2223" t="s">
        <v>1287</v>
      </c>
      <c r="D2223">
        <v>2065</v>
      </c>
      <c r="E2223">
        <v>1008</v>
      </c>
      <c r="F2223">
        <v>1</v>
      </c>
      <c r="G2223" t="s">
        <v>1447</v>
      </c>
      <c r="H2223" t="s">
        <v>9</v>
      </c>
      <c r="I2223" t="s">
        <v>1010</v>
      </c>
      <c r="J2223" t="s">
        <v>1031</v>
      </c>
    </row>
    <row r="2224" spans="1:10">
      <c r="A2224">
        <v>52223</v>
      </c>
      <c r="B2224">
        <v>31289</v>
      </c>
      <c r="C2224" t="s">
        <v>138</v>
      </c>
      <c r="D2224">
        <v>2065</v>
      </c>
      <c r="E2224">
        <v>1011</v>
      </c>
      <c r="F2224">
        <v>4</v>
      </c>
      <c r="G2224" t="s">
        <v>1499</v>
      </c>
      <c r="H2224" t="s">
        <v>9</v>
      </c>
      <c r="I2224" t="s">
        <v>464</v>
      </c>
      <c r="J2224" t="s">
        <v>99</v>
      </c>
    </row>
    <row r="2225" spans="1:10">
      <c r="A2225">
        <v>52224</v>
      </c>
      <c r="B2225">
        <v>31289</v>
      </c>
      <c r="C2225" t="s">
        <v>1180</v>
      </c>
      <c r="D2225">
        <v>2065</v>
      </c>
      <c r="E2225">
        <v>1014</v>
      </c>
      <c r="F2225">
        <v>1</v>
      </c>
      <c r="G2225" t="s">
        <v>1463</v>
      </c>
      <c r="H2225" t="s">
        <v>9</v>
      </c>
      <c r="I2225" t="s">
        <v>464</v>
      </c>
      <c r="J2225" t="s">
        <v>153</v>
      </c>
    </row>
    <row r="2226" spans="1:10">
      <c r="A2226">
        <v>52225</v>
      </c>
      <c r="B2226">
        <v>31290</v>
      </c>
      <c r="C2226" t="s">
        <v>939</v>
      </c>
      <c r="D2226">
        <v>2593</v>
      </c>
      <c r="E2226">
        <v>1011</v>
      </c>
      <c r="F2226">
        <v>1</v>
      </c>
      <c r="G2226" t="s">
        <v>1472</v>
      </c>
      <c r="H2226" t="s">
        <v>9</v>
      </c>
      <c r="I2226" t="s">
        <v>196</v>
      </c>
      <c r="J2226" t="s">
        <v>328</v>
      </c>
    </row>
    <row r="2227" spans="1:10">
      <c r="A2227">
        <v>52226</v>
      </c>
      <c r="B2227">
        <v>31291</v>
      </c>
      <c r="C2227" t="s">
        <v>442</v>
      </c>
      <c r="D2227">
        <v>2498</v>
      </c>
      <c r="E2227">
        <v>1015</v>
      </c>
      <c r="F2227">
        <v>1</v>
      </c>
      <c r="G2227" t="s">
        <v>1478</v>
      </c>
      <c r="H2227" t="s">
        <v>9</v>
      </c>
      <c r="I2227" t="s">
        <v>585</v>
      </c>
      <c r="J2227" t="s">
        <v>1109</v>
      </c>
    </row>
    <row r="2228" spans="1:10">
      <c r="A2228">
        <v>52227</v>
      </c>
      <c r="B2228">
        <v>31291</v>
      </c>
      <c r="C2228" t="s">
        <v>296</v>
      </c>
      <c r="D2228">
        <v>2498</v>
      </c>
      <c r="E2228">
        <v>1015</v>
      </c>
      <c r="F2228">
        <v>1</v>
      </c>
      <c r="G2228" t="s">
        <v>1478</v>
      </c>
      <c r="H2228" t="s">
        <v>9</v>
      </c>
      <c r="I2228" t="s">
        <v>941</v>
      </c>
      <c r="J2228" t="s">
        <v>555</v>
      </c>
    </row>
    <row r="2229" spans="1:10">
      <c r="A2229">
        <v>52228</v>
      </c>
      <c r="B2229">
        <v>31291</v>
      </c>
      <c r="C2229" t="s">
        <v>111</v>
      </c>
      <c r="D2229">
        <v>2498</v>
      </c>
      <c r="E2229">
        <v>1010</v>
      </c>
      <c r="F2229">
        <v>1</v>
      </c>
      <c r="G2229" t="s">
        <v>1468</v>
      </c>
      <c r="H2229" t="s">
        <v>1462</v>
      </c>
      <c r="I2229" t="s">
        <v>942</v>
      </c>
      <c r="J2229" t="s">
        <v>1236</v>
      </c>
    </row>
    <row r="2230" spans="1:10">
      <c r="A2230">
        <v>52229</v>
      </c>
      <c r="B2230">
        <v>31292</v>
      </c>
      <c r="C2230" t="s">
        <v>793</v>
      </c>
      <c r="D2230">
        <v>2581</v>
      </c>
      <c r="E2230">
        <v>1010</v>
      </c>
      <c r="F2230">
        <v>1</v>
      </c>
      <c r="G2230" t="s">
        <v>1468</v>
      </c>
      <c r="H2230" t="s">
        <v>9</v>
      </c>
      <c r="I2230" t="s">
        <v>952</v>
      </c>
      <c r="J2230" t="s">
        <v>17</v>
      </c>
    </row>
    <row r="2231" spans="1:10">
      <c r="A2231">
        <v>52230</v>
      </c>
      <c r="B2231">
        <v>31292</v>
      </c>
      <c r="C2231" t="s">
        <v>793</v>
      </c>
      <c r="D2231">
        <v>2581</v>
      </c>
      <c r="E2231">
        <v>1006</v>
      </c>
      <c r="F2231">
        <v>1</v>
      </c>
      <c r="G2231" t="s">
        <v>1459</v>
      </c>
      <c r="H2231" t="s">
        <v>9</v>
      </c>
      <c r="I2231" t="s">
        <v>360</v>
      </c>
      <c r="J2231" t="s">
        <v>42</v>
      </c>
    </row>
    <row r="2232" spans="1:10">
      <c r="A2232">
        <v>52231</v>
      </c>
      <c r="B2232">
        <v>31292</v>
      </c>
      <c r="C2232" t="s">
        <v>373</v>
      </c>
      <c r="D2232">
        <v>2581</v>
      </c>
      <c r="E2232">
        <v>1009</v>
      </c>
      <c r="F2232">
        <v>1</v>
      </c>
      <c r="G2232" t="s">
        <v>1473</v>
      </c>
      <c r="H2232" t="s">
        <v>9</v>
      </c>
      <c r="I2232" t="s">
        <v>360</v>
      </c>
      <c r="J2232" t="s">
        <v>1194</v>
      </c>
    </row>
    <row r="2233" spans="1:10">
      <c r="A2233">
        <v>52232</v>
      </c>
      <c r="B2233">
        <v>31292</v>
      </c>
      <c r="C2233" t="s">
        <v>356</v>
      </c>
      <c r="D2233">
        <v>2581</v>
      </c>
      <c r="E2233">
        <v>1008</v>
      </c>
      <c r="F2233">
        <v>1</v>
      </c>
      <c r="G2233" t="s">
        <v>1447</v>
      </c>
      <c r="H2233" t="s">
        <v>9</v>
      </c>
      <c r="I2233" t="s">
        <v>357</v>
      </c>
      <c r="J2233" t="s">
        <v>607</v>
      </c>
    </row>
    <row r="2234" spans="1:10">
      <c r="A2234">
        <v>52233</v>
      </c>
      <c r="B2234">
        <v>31293</v>
      </c>
      <c r="C2234" t="s">
        <v>174</v>
      </c>
      <c r="D2234">
        <v>2496</v>
      </c>
      <c r="E2234">
        <v>1010</v>
      </c>
      <c r="F2234">
        <v>1</v>
      </c>
      <c r="G2234" t="s">
        <v>1468</v>
      </c>
      <c r="H2234" t="s">
        <v>9</v>
      </c>
      <c r="I2234" t="s">
        <v>864</v>
      </c>
      <c r="J2234" t="s">
        <v>161</v>
      </c>
    </row>
    <row r="2235" spans="1:10">
      <c r="A2235">
        <v>52234</v>
      </c>
      <c r="B2235">
        <v>31294</v>
      </c>
      <c r="C2235" t="s">
        <v>1222</v>
      </c>
      <c r="D2235">
        <v>2049</v>
      </c>
      <c r="E2235">
        <v>1010</v>
      </c>
      <c r="F2235">
        <v>1</v>
      </c>
      <c r="G2235" t="s">
        <v>1468</v>
      </c>
      <c r="H2235" t="s">
        <v>9</v>
      </c>
      <c r="I2235" t="s">
        <v>653</v>
      </c>
      <c r="J2235" t="s">
        <v>764</v>
      </c>
    </row>
    <row r="2236" spans="1:10">
      <c r="A2236">
        <v>52235</v>
      </c>
      <c r="B2236">
        <v>31295</v>
      </c>
      <c r="C2236" t="s">
        <v>285</v>
      </c>
      <c r="D2236">
        <v>2467</v>
      </c>
      <c r="E2236">
        <v>1006</v>
      </c>
      <c r="F2236">
        <v>1</v>
      </c>
      <c r="G2236" t="s">
        <v>1459</v>
      </c>
      <c r="H2236" t="s">
        <v>11</v>
      </c>
      <c r="I2236" t="s">
        <v>450</v>
      </c>
      <c r="J2236" t="s">
        <v>67</v>
      </c>
    </row>
    <row r="2237" spans="1:10">
      <c r="A2237">
        <v>52236</v>
      </c>
      <c r="B2237">
        <v>31295</v>
      </c>
      <c r="C2237" t="s">
        <v>287</v>
      </c>
      <c r="D2237">
        <v>2467</v>
      </c>
      <c r="E2237">
        <v>1010</v>
      </c>
      <c r="F2237">
        <v>1</v>
      </c>
      <c r="G2237" t="s">
        <v>1468</v>
      </c>
      <c r="H2237" t="s">
        <v>11</v>
      </c>
      <c r="I2237" t="s">
        <v>408</v>
      </c>
      <c r="J2237" t="s">
        <v>1331</v>
      </c>
    </row>
    <row r="2238" spans="1:10">
      <c r="A2238">
        <v>52237</v>
      </c>
      <c r="B2238">
        <v>31296</v>
      </c>
      <c r="C2238" t="s">
        <v>238</v>
      </c>
      <c r="D2238">
        <v>2187</v>
      </c>
      <c r="E2238">
        <v>1005</v>
      </c>
      <c r="F2238">
        <v>1</v>
      </c>
      <c r="G2238" t="s">
        <v>1456</v>
      </c>
      <c r="H2238" t="s">
        <v>11</v>
      </c>
      <c r="I2238" t="s">
        <v>341</v>
      </c>
      <c r="J2238" t="s">
        <v>268</v>
      </c>
    </row>
    <row r="2239" spans="1:10">
      <c r="A2239">
        <v>52238</v>
      </c>
      <c r="B2239">
        <v>31296</v>
      </c>
      <c r="C2239" t="s">
        <v>238</v>
      </c>
      <c r="D2239">
        <v>2187</v>
      </c>
      <c r="E2239">
        <v>1006</v>
      </c>
      <c r="F2239">
        <v>1</v>
      </c>
      <c r="G2239" t="s">
        <v>1459</v>
      </c>
      <c r="H2239" t="s">
        <v>11</v>
      </c>
      <c r="I2239" t="s">
        <v>891</v>
      </c>
      <c r="J2239" t="s">
        <v>569</v>
      </c>
    </row>
    <row r="2240" spans="1:10">
      <c r="A2240">
        <v>52239</v>
      </c>
      <c r="B2240">
        <v>31296</v>
      </c>
      <c r="C2240" t="s">
        <v>542</v>
      </c>
      <c r="D2240">
        <v>2187</v>
      </c>
      <c r="E2240">
        <v>1008</v>
      </c>
      <c r="F2240">
        <v>3</v>
      </c>
      <c r="G2240" t="s">
        <v>1491</v>
      </c>
      <c r="H2240" t="s">
        <v>11</v>
      </c>
      <c r="I2240" t="s">
        <v>639</v>
      </c>
      <c r="J2240" t="s">
        <v>395</v>
      </c>
    </row>
    <row r="2241" spans="1:10">
      <c r="A2241">
        <v>52240</v>
      </c>
      <c r="B2241">
        <v>31297</v>
      </c>
      <c r="C2241" t="s">
        <v>934</v>
      </c>
      <c r="D2241">
        <v>2120</v>
      </c>
      <c r="E2241">
        <v>1011</v>
      </c>
      <c r="F2241">
        <v>3</v>
      </c>
      <c r="G2241" t="s">
        <v>1454</v>
      </c>
      <c r="H2241" t="s">
        <v>9</v>
      </c>
      <c r="I2241" t="s">
        <v>1107</v>
      </c>
      <c r="J2241" t="s">
        <v>427</v>
      </c>
    </row>
    <row r="2242" spans="1:10">
      <c r="A2242">
        <v>52241</v>
      </c>
      <c r="B2242">
        <v>31298</v>
      </c>
      <c r="C2242" t="s">
        <v>743</v>
      </c>
      <c r="D2242">
        <v>2589</v>
      </c>
      <c r="E2242">
        <v>1009</v>
      </c>
      <c r="F2242">
        <v>1</v>
      </c>
      <c r="G2242" t="s">
        <v>1473</v>
      </c>
      <c r="H2242" t="s">
        <v>9</v>
      </c>
      <c r="I2242" t="s">
        <v>820</v>
      </c>
      <c r="J2242" t="s">
        <v>761</v>
      </c>
    </row>
    <row r="2243" spans="1:10">
      <c r="A2243">
        <v>52242</v>
      </c>
      <c r="B2243">
        <v>31298</v>
      </c>
      <c r="C2243" t="s">
        <v>1015</v>
      </c>
      <c r="D2243">
        <v>2589</v>
      </c>
      <c r="E2243">
        <v>1012</v>
      </c>
      <c r="F2243">
        <v>3</v>
      </c>
      <c r="G2243" t="s">
        <v>1448</v>
      </c>
      <c r="H2243" t="s">
        <v>9</v>
      </c>
      <c r="I2243" t="s">
        <v>974</v>
      </c>
      <c r="J2243" t="s">
        <v>820</v>
      </c>
    </row>
    <row r="2244" spans="1:10">
      <c r="A2244">
        <v>52243</v>
      </c>
      <c r="B2244">
        <v>31299</v>
      </c>
      <c r="C2244" t="s">
        <v>478</v>
      </c>
      <c r="D2244">
        <v>2189</v>
      </c>
      <c r="E2244">
        <v>1002</v>
      </c>
      <c r="F2244">
        <v>1</v>
      </c>
      <c r="G2244" t="s">
        <v>1466</v>
      </c>
      <c r="H2244" t="s">
        <v>9</v>
      </c>
      <c r="I2244" t="s">
        <v>858</v>
      </c>
      <c r="J2244" t="s">
        <v>981</v>
      </c>
    </row>
    <row r="2245" spans="1:10">
      <c r="A2245">
        <v>52244</v>
      </c>
      <c r="B2245">
        <v>31299</v>
      </c>
      <c r="C2245" t="s">
        <v>478</v>
      </c>
      <c r="D2245">
        <v>2189</v>
      </c>
      <c r="E2245">
        <v>1011</v>
      </c>
      <c r="F2245">
        <v>2</v>
      </c>
      <c r="G2245" t="s">
        <v>1487</v>
      </c>
      <c r="H2245" t="s">
        <v>9</v>
      </c>
      <c r="I2245" t="s">
        <v>858</v>
      </c>
      <c r="J2245" t="s">
        <v>694</v>
      </c>
    </row>
    <row r="2246" spans="1:10">
      <c r="A2246">
        <v>52245</v>
      </c>
      <c r="B2246">
        <v>31300</v>
      </c>
      <c r="C2246" t="s">
        <v>232</v>
      </c>
      <c r="D2246">
        <v>2353</v>
      </c>
      <c r="E2246">
        <v>1015</v>
      </c>
      <c r="F2246">
        <v>1</v>
      </c>
      <c r="G2246" t="s">
        <v>1478</v>
      </c>
      <c r="H2246" t="s">
        <v>9</v>
      </c>
      <c r="I2246" t="s">
        <v>324</v>
      </c>
      <c r="J2246" t="s">
        <v>544</v>
      </c>
    </row>
    <row r="2247" spans="1:10">
      <c r="A2247">
        <v>52246</v>
      </c>
      <c r="B2247">
        <v>31301</v>
      </c>
      <c r="C2247" t="s">
        <v>386</v>
      </c>
      <c r="D2247">
        <v>2553</v>
      </c>
      <c r="E2247">
        <v>1010</v>
      </c>
      <c r="F2247">
        <v>2</v>
      </c>
      <c r="G2247" t="s">
        <v>1483</v>
      </c>
      <c r="H2247" t="s">
        <v>11</v>
      </c>
      <c r="I2247" t="s">
        <v>1137</v>
      </c>
      <c r="J2247" t="s">
        <v>1304</v>
      </c>
    </row>
    <row r="2248" spans="1:10">
      <c r="A2248">
        <v>52247</v>
      </c>
      <c r="B2248">
        <v>31302</v>
      </c>
      <c r="C2248" t="s">
        <v>397</v>
      </c>
      <c r="D2248">
        <v>2125</v>
      </c>
      <c r="E2248">
        <v>1013</v>
      </c>
      <c r="F2248">
        <v>1</v>
      </c>
      <c r="G2248" t="s">
        <v>1474</v>
      </c>
      <c r="H2248" t="s">
        <v>12</v>
      </c>
      <c r="I2248" t="s">
        <v>1421</v>
      </c>
      <c r="J2248" t="s">
        <v>1421</v>
      </c>
    </row>
    <row r="2249" spans="1:10">
      <c r="A2249">
        <v>52248</v>
      </c>
      <c r="B2249">
        <v>31302</v>
      </c>
      <c r="C2249" t="s">
        <v>294</v>
      </c>
      <c r="D2249">
        <v>2125</v>
      </c>
      <c r="E2249">
        <v>1016</v>
      </c>
      <c r="F2249">
        <v>1</v>
      </c>
      <c r="G2249" t="s">
        <v>1465</v>
      </c>
      <c r="H2249" t="s">
        <v>12</v>
      </c>
      <c r="I2249" t="s">
        <v>1421</v>
      </c>
      <c r="J2249" t="s">
        <v>1421</v>
      </c>
    </row>
    <row r="2250" spans="1:10">
      <c r="A2250">
        <v>52249</v>
      </c>
      <c r="B2250">
        <v>31302</v>
      </c>
      <c r="C2250" t="s">
        <v>397</v>
      </c>
      <c r="D2250">
        <v>2125</v>
      </c>
      <c r="E2250">
        <v>1005</v>
      </c>
      <c r="F2250">
        <v>1</v>
      </c>
      <c r="G2250" t="s">
        <v>1456</v>
      </c>
      <c r="H2250" t="s">
        <v>12</v>
      </c>
      <c r="I2250" t="s">
        <v>1421</v>
      </c>
      <c r="J2250" t="s">
        <v>1421</v>
      </c>
    </row>
    <row r="2251" spans="1:10">
      <c r="A2251">
        <v>52250</v>
      </c>
      <c r="B2251">
        <v>31302</v>
      </c>
      <c r="C2251" t="s">
        <v>733</v>
      </c>
      <c r="D2251">
        <v>2125</v>
      </c>
      <c r="E2251">
        <v>1015</v>
      </c>
      <c r="F2251">
        <v>2</v>
      </c>
      <c r="G2251" t="s">
        <v>1488</v>
      </c>
      <c r="H2251" t="s">
        <v>12</v>
      </c>
      <c r="I2251" t="s">
        <v>1421</v>
      </c>
      <c r="J2251" t="s">
        <v>1421</v>
      </c>
    </row>
    <row r="2252" spans="1:10">
      <c r="A2252">
        <v>52251</v>
      </c>
      <c r="B2252">
        <v>31303</v>
      </c>
      <c r="C2252" t="s">
        <v>100</v>
      </c>
      <c r="D2252">
        <v>2328</v>
      </c>
      <c r="E2252">
        <v>1011</v>
      </c>
      <c r="F2252">
        <v>1</v>
      </c>
      <c r="G2252" t="s">
        <v>1472</v>
      </c>
      <c r="H2252" t="s">
        <v>9</v>
      </c>
      <c r="I2252" t="s">
        <v>555</v>
      </c>
      <c r="J2252" t="s">
        <v>1238</v>
      </c>
    </row>
    <row r="2253" spans="1:10">
      <c r="A2253">
        <v>52252</v>
      </c>
      <c r="B2253">
        <v>31303</v>
      </c>
      <c r="C2253" t="s">
        <v>1178</v>
      </c>
      <c r="D2253">
        <v>2328</v>
      </c>
      <c r="E2253">
        <v>1010</v>
      </c>
      <c r="F2253">
        <v>3</v>
      </c>
      <c r="G2253" t="s">
        <v>1514</v>
      </c>
      <c r="H2253" t="s">
        <v>9</v>
      </c>
      <c r="I2253" t="s">
        <v>1196</v>
      </c>
      <c r="J2253" t="s">
        <v>457</v>
      </c>
    </row>
    <row r="2254" spans="1:10">
      <c r="A2254">
        <v>52253</v>
      </c>
      <c r="B2254">
        <v>31304</v>
      </c>
      <c r="C2254" t="s">
        <v>1239</v>
      </c>
      <c r="D2254">
        <v>2486</v>
      </c>
      <c r="E2254">
        <v>1005</v>
      </c>
      <c r="F2254">
        <v>4</v>
      </c>
      <c r="G2254" t="s">
        <v>1480</v>
      </c>
      <c r="H2254" t="s">
        <v>1531</v>
      </c>
      <c r="I2254" t="s">
        <v>1421</v>
      </c>
      <c r="J2254" t="s">
        <v>1421</v>
      </c>
    </row>
    <row r="2255" spans="1:10">
      <c r="A2255">
        <v>52254</v>
      </c>
      <c r="B2255">
        <v>31304</v>
      </c>
      <c r="C2255" t="s">
        <v>1239</v>
      </c>
      <c r="D2255">
        <v>2486</v>
      </c>
      <c r="E2255">
        <v>1015</v>
      </c>
      <c r="F2255">
        <v>1</v>
      </c>
      <c r="G2255" t="s">
        <v>1478</v>
      </c>
      <c r="H2255" t="s">
        <v>12</v>
      </c>
      <c r="I2255" t="s">
        <v>1421</v>
      </c>
      <c r="J2255" t="s">
        <v>1421</v>
      </c>
    </row>
    <row r="2256" spans="1:10">
      <c r="A2256">
        <v>52255</v>
      </c>
      <c r="B2256">
        <v>31304</v>
      </c>
      <c r="C2256" t="s">
        <v>1252</v>
      </c>
      <c r="D2256">
        <v>2486</v>
      </c>
      <c r="E2256">
        <v>1011</v>
      </c>
      <c r="F2256">
        <v>1</v>
      </c>
      <c r="G2256" t="s">
        <v>1472</v>
      </c>
      <c r="H2256" t="s">
        <v>12</v>
      </c>
      <c r="I2256" t="s">
        <v>1421</v>
      </c>
      <c r="J2256" t="s">
        <v>1421</v>
      </c>
    </row>
    <row r="2257" spans="1:10">
      <c r="A2257">
        <v>52256</v>
      </c>
      <c r="B2257">
        <v>31304</v>
      </c>
      <c r="C2257" t="s">
        <v>1017</v>
      </c>
      <c r="D2257">
        <v>2486</v>
      </c>
      <c r="E2257">
        <v>1004</v>
      </c>
      <c r="F2257">
        <v>2</v>
      </c>
      <c r="G2257" t="s">
        <v>1476</v>
      </c>
      <c r="H2257" t="s">
        <v>12</v>
      </c>
      <c r="I2257" t="s">
        <v>1421</v>
      </c>
      <c r="J2257" t="s">
        <v>1421</v>
      </c>
    </row>
    <row r="2258" spans="1:10">
      <c r="A2258">
        <v>52257</v>
      </c>
      <c r="B2258">
        <v>31305</v>
      </c>
      <c r="C2258" t="s">
        <v>189</v>
      </c>
      <c r="D2258">
        <v>2491</v>
      </c>
      <c r="E2258">
        <v>1005</v>
      </c>
      <c r="F2258">
        <v>1</v>
      </c>
      <c r="G2258" t="s">
        <v>1456</v>
      </c>
      <c r="H2258" t="s">
        <v>12</v>
      </c>
      <c r="I2258" t="s">
        <v>1421</v>
      </c>
      <c r="J2258" t="s">
        <v>1421</v>
      </c>
    </row>
    <row r="2259" spans="1:10">
      <c r="A2259">
        <v>52258</v>
      </c>
      <c r="B2259">
        <v>31306</v>
      </c>
      <c r="C2259" t="s">
        <v>882</v>
      </c>
      <c r="D2259">
        <v>2565</v>
      </c>
      <c r="E2259">
        <v>1001</v>
      </c>
      <c r="F2259">
        <v>1</v>
      </c>
      <c r="G2259" t="s">
        <v>1469</v>
      </c>
      <c r="H2259" t="s">
        <v>9</v>
      </c>
      <c r="I2259" t="s">
        <v>1204</v>
      </c>
      <c r="J2259" t="s">
        <v>517</v>
      </c>
    </row>
    <row r="2260" spans="1:10">
      <c r="A2260">
        <v>52259</v>
      </c>
      <c r="B2260">
        <v>31306</v>
      </c>
      <c r="C2260" t="s">
        <v>882</v>
      </c>
      <c r="D2260">
        <v>2565</v>
      </c>
      <c r="E2260">
        <v>1013</v>
      </c>
      <c r="F2260">
        <v>1</v>
      </c>
      <c r="G2260" t="s">
        <v>1474</v>
      </c>
      <c r="H2260" t="s">
        <v>9</v>
      </c>
      <c r="I2260" t="s">
        <v>501</v>
      </c>
      <c r="J2260" t="s">
        <v>542</v>
      </c>
    </row>
    <row r="2261" spans="1:10">
      <c r="A2261">
        <v>52260</v>
      </c>
      <c r="B2261">
        <v>31306</v>
      </c>
      <c r="C2261" t="s">
        <v>28</v>
      </c>
      <c r="D2261">
        <v>2565</v>
      </c>
      <c r="E2261">
        <v>1008</v>
      </c>
      <c r="F2261">
        <v>3</v>
      </c>
      <c r="G2261" t="s">
        <v>1491</v>
      </c>
      <c r="H2261" t="s">
        <v>9</v>
      </c>
      <c r="I2261" t="s">
        <v>711</v>
      </c>
      <c r="J2261" t="s">
        <v>499</v>
      </c>
    </row>
    <row r="2262" spans="1:10">
      <c r="A2262">
        <v>52261</v>
      </c>
      <c r="B2262">
        <v>31306</v>
      </c>
      <c r="C2262" t="s">
        <v>855</v>
      </c>
      <c r="D2262">
        <v>2565</v>
      </c>
      <c r="E2262">
        <v>1015</v>
      </c>
      <c r="F2262">
        <v>1</v>
      </c>
      <c r="G2262" t="s">
        <v>1478</v>
      </c>
      <c r="H2262" t="s">
        <v>9</v>
      </c>
      <c r="I2262" t="s">
        <v>711</v>
      </c>
      <c r="J2262" t="s">
        <v>502</v>
      </c>
    </row>
    <row r="2263" spans="1:10">
      <c r="A2263">
        <v>52262</v>
      </c>
      <c r="B2263">
        <v>31307</v>
      </c>
      <c r="C2263" t="s">
        <v>1086</v>
      </c>
      <c r="D2263">
        <v>2366</v>
      </c>
      <c r="E2263">
        <v>1002</v>
      </c>
      <c r="F2263">
        <v>1</v>
      </c>
      <c r="G2263" t="s">
        <v>1466</v>
      </c>
      <c r="H2263" t="s">
        <v>9</v>
      </c>
      <c r="I2263" t="s">
        <v>188</v>
      </c>
      <c r="J2263" t="s">
        <v>206</v>
      </c>
    </row>
    <row r="2264" spans="1:10">
      <c r="A2264">
        <v>52263</v>
      </c>
      <c r="B2264">
        <v>31308</v>
      </c>
      <c r="C2264" t="s">
        <v>1136</v>
      </c>
      <c r="D2264">
        <v>2200</v>
      </c>
      <c r="E2264">
        <v>1008</v>
      </c>
      <c r="F2264">
        <v>1</v>
      </c>
      <c r="G2264" t="s">
        <v>1447</v>
      </c>
      <c r="H2264" t="s">
        <v>9</v>
      </c>
      <c r="I2264" t="s">
        <v>738</v>
      </c>
      <c r="J2264" t="s">
        <v>1107</v>
      </c>
    </row>
    <row r="2265" spans="1:10">
      <c r="A2265">
        <v>52264</v>
      </c>
      <c r="B2265">
        <v>31309</v>
      </c>
      <c r="C2265" t="s">
        <v>654</v>
      </c>
      <c r="D2265">
        <v>2285</v>
      </c>
      <c r="E2265">
        <v>1003</v>
      </c>
      <c r="F2265">
        <v>2</v>
      </c>
      <c r="G2265" t="s">
        <v>1464</v>
      </c>
      <c r="H2265" t="s">
        <v>68</v>
      </c>
      <c r="I2265" t="s">
        <v>653</v>
      </c>
      <c r="J2265" t="s">
        <v>186</v>
      </c>
    </row>
    <row r="2266" spans="1:10">
      <c r="A2266">
        <v>52265</v>
      </c>
      <c r="B2266">
        <v>31310</v>
      </c>
      <c r="C2266" t="s">
        <v>935</v>
      </c>
      <c r="D2266">
        <v>2552</v>
      </c>
      <c r="E2266">
        <v>1003</v>
      </c>
      <c r="F2266">
        <v>1</v>
      </c>
      <c r="G2266" t="s">
        <v>1471</v>
      </c>
      <c r="H2266" t="s">
        <v>16</v>
      </c>
      <c r="I2266" t="s">
        <v>1421</v>
      </c>
      <c r="J2266" t="s">
        <v>1421</v>
      </c>
    </row>
    <row r="2267" spans="1:10">
      <c r="A2267">
        <v>52266</v>
      </c>
      <c r="B2267">
        <v>31311</v>
      </c>
      <c r="C2267" t="s">
        <v>633</v>
      </c>
      <c r="D2267">
        <v>2404</v>
      </c>
      <c r="E2267">
        <v>1011</v>
      </c>
      <c r="F2267">
        <v>1</v>
      </c>
      <c r="G2267" t="s">
        <v>1472</v>
      </c>
      <c r="H2267" t="s">
        <v>9</v>
      </c>
      <c r="I2267" t="s">
        <v>511</v>
      </c>
      <c r="J2267" t="s">
        <v>709</v>
      </c>
    </row>
    <row r="2268" spans="1:10">
      <c r="A2268">
        <v>52267</v>
      </c>
      <c r="B2268">
        <v>31311</v>
      </c>
      <c r="C2268" t="s">
        <v>846</v>
      </c>
      <c r="D2268">
        <v>2404</v>
      </c>
      <c r="E2268">
        <v>1002</v>
      </c>
      <c r="F2268">
        <v>1</v>
      </c>
      <c r="G2268" t="s">
        <v>1466</v>
      </c>
      <c r="H2268" t="s">
        <v>9</v>
      </c>
      <c r="I2268" t="s">
        <v>511</v>
      </c>
      <c r="J2268" t="s">
        <v>703</v>
      </c>
    </row>
    <row r="2269" spans="1:10">
      <c r="A2269">
        <v>52268</v>
      </c>
      <c r="B2269">
        <v>31311</v>
      </c>
      <c r="C2269" t="s">
        <v>633</v>
      </c>
      <c r="D2269">
        <v>2404</v>
      </c>
      <c r="E2269">
        <v>1012</v>
      </c>
      <c r="F2269">
        <v>1</v>
      </c>
      <c r="G2269" t="s">
        <v>1449</v>
      </c>
      <c r="H2269" t="s">
        <v>9</v>
      </c>
      <c r="I2269" t="s">
        <v>321</v>
      </c>
      <c r="J2269" t="s">
        <v>308</v>
      </c>
    </row>
    <row r="2270" spans="1:10">
      <c r="A2270">
        <v>52269</v>
      </c>
      <c r="B2270">
        <v>31311</v>
      </c>
      <c r="C2270" t="s">
        <v>846</v>
      </c>
      <c r="D2270">
        <v>2404</v>
      </c>
      <c r="E2270">
        <v>1013</v>
      </c>
      <c r="F2270">
        <v>2</v>
      </c>
      <c r="G2270" t="s">
        <v>1492</v>
      </c>
      <c r="H2270" t="s">
        <v>9</v>
      </c>
      <c r="I2270" t="s">
        <v>575</v>
      </c>
      <c r="J2270" t="s">
        <v>470</v>
      </c>
    </row>
    <row r="2271" spans="1:10">
      <c r="A2271">
        <v>52270</v>
      </c>
      <c r="B2271">
        <v>31312</v>
      </c>
      <c r="C2271" t="s">
        <v>479</v>
      </c>
      <c r="D2271">
        <v>2152</v>
      </c>
      <c r="E2271">
        <v>1014</v>
      </c>
      <c r="F2271">
        <v>2</v>
      </c>
      <c r="G2271" t="s">
        <v>1475</v>
      </c>
      <c r="H2271" t="s">
        <v>9</v>
      </c>
      <c r="I2271" t="s">
        <v>175</v>
      </c>
      <c r="J2271" t="s">
        <v>926</v>
      </c>
    </row>
    <row r="2272" spans="1:10">
      <c r="A2272">
        <v>52271</v>
      </c>
      <c r="B2272">
        <v>31312</v>
      </c>
      <c r="C2272" t="s">
        <v>479</v>
      </c>
      <c r="D2272">
        <v>2152</v>
      </c>
      <c r="E2272">
        <v>1012</v>
      </c>
      <c r="F2272">
        <v>3</v>
      </c>
      <c r="G2272" t="s">
        <v>1448</v>
      </c>
      <c r="H2272" t="s">
        <v>9</v>
      </c>
      <c r="I2272" t="s">
        <v>481</v>
      </c>
      <c r="J2272" t="s">
        <v>160</v>
      </c>
    </row>
    <row r="2273" spans="1:10">
      <c r="A2273">
        <v>52272</v>
      </c>
      <c r="B2273">
        <v>31313</v>
      </c>
      <c r="C2273" t="s">
        <v>1108</v>
      </c>
      <c r="D2273">
        <v>2396</v>
      </c>
      <c r="E2273">
        <v>1010</v>
      </c>
      <c r="F2273">
        <v>1</v>
      </c>
      <c r="G2273" t="s">
        <v>1468</v>
      </c>
      <c r="H2273" t="s">
        <v>9</v>
      </c>
      <c r="I2273" t="s">
        <v>961</v>
      </c>
      <c r="J2273" t="s">
        <v>1194</v>
      </c>
    </row>
    <row r="2274" spans="1:10">
      <c r="A2274">
        <v>52273</v>
      </c>
      <c r="B2274">
        <v>31313</v>
      </c>
      <c r="C2274" t="s">
        <v>1215</v>
      </c>
      <c r="D2274">
        <v>2396</v>
      </c>
      <c r="E2274">
        <v>1012</v>
      </c>
      <c r="F2274">
        <v>1</v>
      </c>
      <c r="G2274" t="s">
        <v>1449</v>
      </c>
      <c r="H2274" t="s">
        <v>9</v>
      </c>
      <c r="I2274" t="s">
        <v>784</v>
      </c>
      <c r="J2274" t="s">
        <v>706</v>
      </c>
    </row>
    <row r="2275" spans="1:10">
      <c r="A2275">
        <v>52274</v>
      </c>
      <c r="B2275">
        <v>31314</v>
      </c>
      <c r="C2275" t="s">
        <v>306</v>
      </c>
      <c r="D2275">
        <v>2360</v>
      </c>
      <c r="E2275">
        <v>1015</v>
      </c>
      <c r="F2275">
        <v>1</v>
      </c>
      <c r="G2275" t="s">
        <v>1478</v>
      </c>
      <c r="H2275" t="s">
        <v>9</v>
      </c>
      <c r="I2275" t="s">
        <v>518</v>
      </c>
      <c r="J2275" t="s">
        <v>329</v>
      </c>
    </row>
    <row r="2276" spans="1:10">
      <c r="A2276">
        <v>52275</v>
      </c>
      <c r="B2276">
        <v>31315</v>
      </c>
      <c r="C2276" t="s">
        <v>643</v>
      </c>
      <c r="D2276">
        <v>2575</v>
      </c>
      <c r="E2276">
        <v>1015</v>
      </c>
      <c r="F2276">
        <v>1</v>
      </c>
      <c r="G2276" t="s">
        <v>1478</v>
      </c>
      <c r="H2276" t="s">
        <v>9</v>
      </c>
      <c r="I2276" t="s">
        <v>1051</v>
      </c>
      <c r="J2276" t="s">
        <v>818</v>
      </c>
    </row>
    <row r="2277" spans="1:10">
      <c r="A2277">
        <v>52276</v>
      </c>
      <c r="B2277">
        <v>31315</v>
      </c>
      <c r="C2277" t="s">
        <v>530</v>
      </c>
      <c r="D2277">
        <v>2575</v>
      </c>
      <c r="E2277">
        <v>1014</v>
      </c>
      <c r="F2277">
        <v>1</v>
      </c>
      <c r="G2277" t="s">
        <v>1463</v>
      </c>
      <c r="H2277" t="s">
        <v>9</v>
      </c>
      <c r="I2277" t="s">
        <v>404</v>
      </c>
      <c r="J2277" t="s">
        <v>540</v>
      </c>
    </row>
    <row r="2278" spans="1:10">
      <c r="A2278">
        <v>52277</v>
      </c>
      <c r="B2278">
        <v>31316</v>
      </c>
      <c r="C2278" t="s">
        <v>1314</v>
      </c>
      <c r="D2278">
        <v>2454</v>
      </c>
      <c r="E2278">
        <v>1014</v>
      </c>
      <c r="F2278">
        <v>2</v>
      </c>
      <c r="G2278" t="s">
        <v>1475</v>
      </c>
      <c r="H2278" t="s">
        <v>9</v>
      </c>
      <c r="I2278" t="s">
        <v>1332</v>
      </c>
      <c r="J2278" t="s">
        <v>211</v>
      </c>
    </row>
    <row r="2279" spans="1:10">
      <c r="A2279">
        <v>52278</v>
      </c>
      <c r="B2279">
        <v>31316</v>
      </c>
      <c r="C2279" t="s">
        <v>1316</v>
      </c>
      <c r="D2279">
        <v>2454</v>
      </c>
      <c r="E2279">
        <v>1014</v>
      </c>
      <c r="F2279">
        <v>1</v>
      </c>
      <c r="G2279" t="s">
        <v>1463</v>
      </c>
      <c r="H2279" t="s">
        <v>9</v>
      </c>
      <c r="I2279" t="s">
        <v>1039</v>
      </c>
      <c r="J2279" t="s">
        <v>211</v>
      </c>
    </row>
    <row r="2280" spans="1:10">
      <c r="A2280">
        <v>52279</v>
      </c>
      <c r="B2280">
        <v>31317</v>
      </c>
      <c r="C2280" t="s">
        <v>150</v>
      </c>
      <c r="D2280">
        <v>2143</v>
      </c>
      <c r="E2280">
        <v>1003</v>
      </c>
      <c r="F2280">
        <v>1</v>
      </c>
      <c r="G2280" t="s">
        <v>1471</v>
      </c>
      <c r="H2280" t="s">
        <v>16</v>
      </c>
      <c r="I2280" t="s">
        <v>1118</v>
      </c>
      <c r="J2280" t="s">
        <v>1421</v>
      </c>
    </row>
    <row r="2281" spans="1:10">
      <c r="A2281">
        <v>52280</v>
      </c>
      <c r="B2281">
        <v>31318</v>
      </c>
      <c r="C2281" t="s">
        <v>195</v>
      </c>
      <c r="D2281">
        <v>2311</v>
      </c>
      <c r="E2281">
        <v>1011</v>
      </c>
      <c r="F2281">
        <v>5</v>
      </c>
      <c r="G2281" t="s">
        <v>1516</v>
      </c>
      <c r="H2281" t="s">
        <v>9</v>
      </c>
      <c r="I2281" t="s">
        <v>136</v>
      </c>
      <c r="J2281" t="s">
        <v>634</v>
      </c>
    </row>
    <row r="2282" spans="1:10">
      <c r="A2282">
        <v>52281</v>
      </c>
      <c r="B2282">
        <v>31319</v>
      </c>
      <c r="C2282" t="s">
        <v>514</v>
      </c>
      <c r="D2282">
        <v>2068</v>
      </c>
      <c r="E2282">
        <v>1013</v>
      </c>
      <c r="F2282">
        <v>1</v>
      </c>
      <c r="G2282" t="s">
        <v>1474</v>
      </c>
      <c r="H2282" t="s">
        <v>12</v>
      </c>
      <c r="I2282" t="s">
        <v>1421</v>
      </c>
      <c r="J2282" t="s">
        <v>1421</v>
      </c>
    </row>
    <row r="2283" spans="1:10">
      <c r="A2283">
        <v>52282</v>
      </c>
      <c r="B2283">
        <v>31320</v>
      </c>
      <c r="C2283" t="s">
        <v>143</v>
      </c>
      <c r="D2283">
        <v>2091</v>
      </c>
      <c r="E2283">
        <v>1009</v>
      </c>
      <c r="F2283">
        <v>1</v>
      </c>
      <c r="G2283" t="s">
        <v>1473</v>
      </c>
      <c r="H2283" t="s">
        <v>9</v>
      </c>
      <c r="I2283" t="s">
        <v>566</v>
      </c>
      <c r="J2283" t="s">
        <v>1100</v>
      </c>
    </row>
    <row r="2284" spans="1:10">
      <c r="A2284">
        <v>52283</v>
      </c>
      <c r="B2284">
        <v>31321</v>
      </c>
      <c r="C2284" t="s">
        <v>789</v>
      </c>
      <c r="D2284">
        <v>2425</v>
      </c>
      <c r="E2284">
        <v>1015</v>
      </c>
      <c r="F2284">
        <v>1</v>
      </c>
      <c r="G2284" t="s">
        <v>1478</v>
      </c>
      <c r="H2284" t="s">
        <v>9</v>
      </c>
      <c r="I2284" t="s">
        <v>632</v>
      </c>
      <c r="J2284" t="s">
        <v>365</v>
      </c>
    </row>
    <row r="2285" spans="1:10">
      <c r="A2285">
        <v>52284</v>
      </c>
      <c r="B2285">
        <v>31321</v>
      </c>
      <c r="C2285" t="s">
        <v>1122</v>
      </c>
      <c r="D2285">
        <v>2425</v>
      </c>
      <c r="E2285">
        <v>1005</v>
      </c>
      <c r="F2285">
        <v>2</v>
      </c>
      <c r="G2285" t="s">
        <v>1458</v>
      </c>
      <c r="H2285" t="s">
        <v>9</v>
      </c>
      <c r="I2285" t="s">
        <v>23</v>
      </c>
      <c r="J2285" t="s">
        <v>790</v>
      </c>
    </row>
    <row r="2286" spans="1:10">
      <c r="A2286">
        <v>52285</v>
      </c>
      <c r="B2286">
        <v>31322</v>
      </c>
      <c r="C2286" t="s">
        <v>684</v>
      </c>
      <c r="D2286">
        <v>2205</v>
      </c>
      <c r="E2286">
        <v>1013</v>
      </c>
      <c r="F2286">
        <v>3</v>
      </c>
      <c r="G2286" t="s">
        <v>1490</v>
      </c>
      <c r="H2286" t="s">
        <v>9</v>
      </c>
      <c r="I2286" t="s">
        <v>1265</v>
      </c>
      <c r="J2286" t="s">
        <v>75</v>
      </c>
    </row>
    <row r="2287" spans="1:10">
      <c r="A2287">
        <v>52286</v>
      </c>
      <c r="B2287">
        <v>31322</v>
      </c>
      <c r="C2287" t="s">
        <v>684</v>
      </c>
      <c r="D2287">
        <v>2205</v>
      </c>
      <c r="E2287">
        <v>1010</v>
      </c>
      <c r="F2287">
        <v>1</v>
      </c>
      <c r="G2287" t="s">
        <v>1468</v>
      </c>
      <c r="H2287" t="s">
        <v>9</v>
      </c>
      <c r="I2287" t="s">
        <v>73</v>
      </c>
      <c r="J2287" t="s">
        <v>1050</v>
      </c>
    </row>
    <row r="2288" spans="1:10">
      <c r="A2288">
        <v>52287</v>
      </c>
      <c r="B2288">
        <v>31323</v>
      </c>
      <c r="C2288" t="s">
        <v>1249</v>
      </c>
      <c r="D2288">
        <v>2568</v>
      </c>
      <c r="E2288">
        <v>1010</v>
      </c>
      <c r="F2288">
        <v>1</v>
      </c>
      <c r="G2288" t="s">
        <v>1468</v>
      </c>
      <c r="H2288" t="s">
        <v>9</v>
      </c>
      <c r="I2288" t="s">
        <v>325</v>
      </c>
      <c r="J2288" t="s">
        <v>424</v>
      </c>
    </row>
    <row r="2289" spans="1:10">
      <c r="A2289">
        <v>52288</v>
      </c>
      <c r="B2289">
        <v>31324</v>
      </c>
      <c r="C2289" t="s">
        <v>294</v>
      </c>
      <c r="D2289">
        <v>2600</v>
      </c>
      <c r="E2289">
        <v>1015</v>
      </c>
      <c r="F2289">
        <v>5</v>
      </c>
      <c r="G2289" t="s">
        <v>1509</v>
      </c>
      <c r="H2289" t="s">
        <v>9</v>
      </c>
      <c r="I2289" t="s">
        <v>366</v>
      </c>
      <c r="J2289" t="s">
        <v>479</v>
      </c>
    </row>
    <row r="2290" spans="1:10">
      <c r="A2290">
        <v>52289</v>
      </c>
      <c r="B2290">
        <v>31325</v>
      </c>
      <c r="C2290" t="s">
        <v>421</v>
      </c>
      <c r="D2290">
        <v>2230</v>
      </c>
      <c r="E2290">
        <v>1001</v>
      </c>
      <c r="F2290">
        <v>1</v>
      </c>
      <c r="G2290" t="s">
        <v>1469</v>
      </c>
      <c r="H2290" t="s">
        <v>9</v>
      </c>
      <c r="I2290" t="s">
        <v>327</v>
      </c>
      <c r="J2290" t="s">
        <v>544</v>
      </c>
    </row>
    <row r="2291" spans="1:10">
      <c r="A2291">
        <v>52290</v>
      </c>
      <c r="B2291">
        <v>31326</v>
      </c>
      <c r="C2291" t="s">
        <v>645</v>
      </c>
      <c r="D2291">
        <v>2158</v>
      </c>
      <c r="E2291">
        <v>1016</v>
      </c>
      <c r="F2291">
        <v>1</v>
      </c>
      <c r="G2291" t="s">
        <v>1465</v>
      </c>
      <c r="H2291" t="s">
        <v>9</v>
      </c>
      <c r="I2291" t="s">
        <v>1078</v>
      </c>
      <c r="J2291" t="s">
        <v>839</v>
      </c>
    </row>
    <row r="2292" spans="1:10">
      <c r="A2292">
        <v>52291</v>
      </c>
      <c r="B2292">
        <v>31326</v>
      </c>
      <c r="C2292" t="s">
        <v>1020</v>
      </c>
      <c r="D2292">
        <v>2158</v>
      </c>
      <c r="E2292">
        <v>1004</v>
      </c>
      <c r="F2292">
        <v>1</v>
      </c>
      <c r="G2292" t="s">
        <v>1452</v>
      </c>
      <c r="H2292" t="s">
        <v>68</v>
      </c>
      <c r="I2292" t="s">
        <v>336</v>
      </c>
      <c r="J2292" t="s">
        <v>665</v>
      </c>
    </row>
    <row r="2293" spans="1:10">
      <c r="A2293">
        <v>52292</v>
      </c>
      <c r="B2293">
        <v>31327</v>
      </c>
      <c r="C2293" t="s">
        <v>1294</v>
      </c>
      <c r="D2293">
        <v>2295</v>
      </c>
      <c r="E2293">
        <v>1016</v>
      </c>
      <c r="F2293">
        <v>2</v>
      </c>
      <c r="G2293" t="s">
        <v>1500</v>
      </c>
      <c r="H2293" t="s">
        <v>9</v>
      </c>
      <c r="I2293" t="s">
        <v>659</v>
      </c>
      <c r="J2293" t="s">
        <v>1333</v>
      </c>
    </row>
    <row r="2294" spans="1:10">
      <c r="A2294">
        <v>52293</v>
      </c>
      <c r="B2294">
        <v>31328</v>
      </c>
      <c r="C2294" t="s">
        <v>590</v>
      </c>
      <c r="D2294">
        <v>2251</v>
      </c>
      <c r="E2294">
        <v>1009</v>
      </c>
      <c r="F2294">
        <v>1</v>
      </c>
      <c r="G2294" t="s">
        <v>1473</v>
      </c>
      <c r="H2294" t="s">
        <v>9</v>
      </c>
      <c r="I2294" t="s">
        <v>1334</v>
      </c>
      <c r="J2294" t="s">
        <v>215</v>
      </c>
    </row>
    <row r="2295" spans="1:10">
      <c r="A2295">
        <v>52294</v>
      </c>
      <c r="B2295">
        <v>31329</v>
      </c>
      <c r="C2295" t="s">
        <v>820</v>
      </c>
      <c r="D2295">
        <v>2505</v>
      </c>
      <c r="E2295">
        <v>1003</v>
      </c>
      <c r="F2295">
        <v>1</v>
      </c>
      <c r="G2295" t="s">
        <v>1471</v>
      </c>
      <c r="H2295" t="s">
        <v>11</v>
      </c>
      <c r="I2295" t="s">
        <v>78</v>
      </c>
      <c r="J2295" t="s">
        <v>958</v>
      </c>
    </row>
    <row r="2296" spans="1:10">
      <c r="A2296">
        <v>52295</v>
      </c>
      <c r="B2296">
        <v>31329</v>
      </c>
      <c r="C2296" t="s">
        <v>820</v>
      </c>
      <c r="D2296">
        <v>2505</v>
      </c>
      <c r="E2296">
        <v>1012</v>
      </c>
      <c r="F2296">
        <v>1</v>
      </c>
      <c r="G2296" t="s">
        <v>1449</v>
      </c>
      <c r="H2296" t="s">
        <v>11</v>
      </c>
      <c r="I2296" t="s">
        <v>987</v>
      </c>
      <c r="J2296" t="s">
        <v>496</v>
      </c>
    </row>
    <row r="2297" spans="1:10">
      <c r="A2297">
        <v>52296</v>
      </c>
      <c r="B2297">
        <v>31330</v>
      </c>
      <c r="C2297" t="s">
        <v>592</v>
      </c>
      <c r="D2297">
        <v>2596</v>
      </c>
      <c r="E2297">
        <v>1014</v>
      </c>
      <c r="F2297">
        <v>1</v>
      </c>
      <c r="G2297" t="s">
        <v>1463</v>
      </c>
      <c r="H2297" t="s">
        <v>9</v>
      </c>
      <c r="I2297" t="s">
        <v>33</v>
      </c>
      <c r="J2297" t="s">
        <v>69</v>
      </c>
    </row>
    <row r="2298" spans="1:10">
      <c r="A2298">
        <v>52297</v>
      </c>
      <c r="B2298">
        <v>31331</v>
      </c>
      <c r="C2298" t="s">
        <v>510</v>
      </c>
      <c r="D2298">
        <v>2265</v>
      </c>
      <c r="E2298">
        <v>1016</v>
      </c>
      <c r="F2298">
        <v>1</v>
      </c>
      <c r="G2298" t="s">
        <v>1465</v>
      </c>
      <c r="H2298" t="s">
        <v>9</v>
      </c>
      <c r="I2298" t="s">
        <v>519</v>
      </c>
      <c r="J2298" t="s">
        <v>1075</v>
      </c>
    </row>
    <row r="2299" spans="1:10">
      <c r="A2299">
        <v>52298</v>
      </c>
      <c r="B2299">
        <v>31332</v>
      </c>
      <c r="C2299" t="s">
        <v>919</v>
      </c>
      <c r="D2299">
        <v>2123</v>
      </c>
      <c r="E2299">
        <v>1001</v>
      </c>
      <c r="F2299">
        <v>1</v>
      </c>
      <c r="G2299" t="s">
        <v>1469</v>
      </c>
      <c r="H2299" t="s">
        <v>9</v>
      </c>
      <c r="I2299" t="s">
        <v>323</v>
      </c>
      <c r="J2299" t="s">
        <v>754</v>
      </c>
    </row>
    <row r="2300" spans="1:10">
      <c r="A2300">
        <v>52299</v>
      </c>
      <c r="B2300">
        <v>31332</v>
      </c>
      <c r="C2300" t="s">
        <v>938</v>
      </c>
      <c r="D2300">
        <v>2123</v>
      </c>
      <c r="E2300">
        <v>1009</v>
      </c>
      <c r="F2300">
        <v>1</v>
      </c>
      <c r="G2300" t="s">
        <v>1473</v>
      </c>
      <c r="H2300" t="s">
        <v>9</v>
      </c>
      <c r="I2300" t="s">
        <v>772</v>
      </c>
      <c r="J2300" t="s">
        <v>232</v>
      </c>
    </row>
    <row r="2301" spans="1:10">
      <c r="A2301">
        <v>52300</v>
      </c>
      <c r="B2301">
        <v>31332</v>
      </c>
      <c r="C2301" t="s">
        <v>173</v>
      </c>
      <c r="D2301">
        <v>2123</v>
      </c>
      <c r="E2301">
        <v>1006</v>
      </c>
      <c r="F2301">
        <v>1</v>
      </c>
      <c r="G2301" t="s">
        <v>1459</v>
      </c>
      <c r="H2301" t="s">
        <v>9</v>
      </c>
      <c r="I2301" t="s">
        <v>957</v>
      </c>
      <c r="J2301" t="s">
        <v>635</v>
      </c>
    </row>
    <row r="2302" spans="1:10">
      <c r="A2302">
        <v>52301</v>
      </c>
      <c r="B2302">
        <v>31333</v>
      </c>
      <c r="C2302" t="s">
        <v>856</v>
      </c>
      <c r="D2302">
        <v>2596</v>
      </c>
      <c r="E2302">
        <v>1011</v>
      </c>
      <c r="F2302">
        <v>3</v>
      </c>
      <c r="G2302" t="s">
        <v>1454</v>
      </c>
      <c r="H2302" t="s">
        <v>9</v>
      </c>
      <c r="I2302" t="s">
        <v>1107</v>
      </c>
      <c r="J2302" t="s">
        <v>1234</v>
      </c>
    </row>
    <row r="2303" spans="1:10">
      <c r="A2303">
        <v>52302</v>
      </c>
      <c r="B2303">
        <v>31333</v>
      </c>
      <c r="C2303" t="s">
        <v>858</v>
      </c>
      <c r="D2303">
        <v>2596</v>
      </c>
      <c r="E2303">
        <v>1015</v>
      </c>
      <c r="F2303">
        <v>2</v>
      </c>
      <c r="G2303" t="s">
        <v>1488</v>
      </c>
      <c r="H2303" t="s">
        <v>9</v>
      </c>
      <c r="I2303" t="s">
        <v>859</v>
      </c>
      <c r="J2303" t="s">
        <v>1017</v>
      </c>
    </row>
    <row r="2304" spans="1:10">
      <c r="A2304">
        <v>52303</v>
      </c>
      <c r="B2304">
        <v>31334</v>
      </c>
      <c r="C2304" t="s">
        <v>1107</v>
      </c>
      <c r="D2304">
        <v>2139</v>
      </c>
      <c r="E2304">
        <v>1002</v>
      </c>
      <c r="F2304">
        <v>1</v>
      </c>
      <c r="G2304" t="s">
        <v>1466</v>
      </c>
      <c r="H2304" t="s">
        <v>9</v>
      </c>
      <c r="I2304" t="s">
        <v>1017</v>
      </c>
      <c r="J2304" t="s">
        <v>712</v>
      </c>
    </row>
    <row r="2305" spans="1:10">
      <c r="A2305">
        <v>52304</v>
      </c>
      <c r="B2305">
        <v>31334</v>
      </c>
      <c r="C2305" t="s">
        <v>898</v>
      </c>
      <c r="D2305">
        <v>2139</v>
      </c>
      <c r="E2305">
        <v>1009</v>
      </c>
      <c r="F2305">
        <v>4</v>
      </c>
      <c r="G2305" t="s">
        <v>1494</v>
      </c>
      <c r="H2305" t="s">
        <v>9</v>
      </c>
      <c r="I2305" t="s">
        <v>1017</v>
      </c>
      <c r="J2305" t="s">
        <v>1235</v>
      </c>
    </row>
    <row r="2306" spans="1:10">
      <c r="A2306">
        <v>52305</v>
      </c>
      <c r="B2306">
        <v>31335</v>
      </c>
      <c r="C2306" t="s">
        <v>62</v>
      </c>
      <c r="D2306">
        <v>2370</v>
      </c>
      <c r="E2306">
        <v>1012</v>
      </c>
      <c r="F2306">
        <v>1</v>
      </c>
      <c r="G2306" t="s">
        <v>1449</v>
      </c>
      <c r="H2306" t="s">
        <v>9</v>
      </c>
      <c r="I2306" t="s">
        <v>63</v>
      </c>
      <c r="J2306" t="s">
        <v>565</v>
      </c>
    </row>
    <row r="2307" spans="1:10">
      <c r="A2307">
        <v>52306</v>
      </c>
      <c r="B2307">
        <v>31335</v>
      </c>
      <c r="C2307" t="s">
        <v>456</v>
      </c>
      <c r="D2307">
        <v>2370</v>
      </c>
      <c r="E2307">
        <v>1002</v>
      </c>
      <c r="F2307">
        <v>1</v>
      </c>
      <c r="G2307" t="s">
        <v>1466</v>
      </c>
      <c r="H2307" t="s">
        <v>9</v>
      </c>
      <c r="I2307" t="s">
        <v>1251</v>
      </c>
      <c r="J2307" t="s">
        <v>1127</v>
      </c>
    </row>
    <row r="2308" spans="1:10">
      <c r="A2308">
        <v>52307</v>
      </c>
      <c r="B2308">
        <v>31336</v>
      </c>
      <c r="C2308" t="s">
        <v>1053</v>
      </c>
      <c r="D2308">
        <v>2297</v>
      </c>
      <c r="E2308">
        <v>1003</v>
      </c>
      <c r="F2308">
        <v>3</v>
      </c>
      <c r="G2308" t="s">
        <v>1507</v>
      </c>
      <c r="H2308" t="s">
        <v>9</v>
      </c>
      <c r="I2308" t="s">
        <v>1136</v>
      </c>
      <c r="J2308" t="s">
        <v>799</v>
      </c>
    </row>
    <row r="2309" spans="1:10">
      <c r="A2309">
        <v>52308</v>
      </c>
      <c r="B2309">
        <v>31336</v>
      </c>
      <c r="C2309" t="s">
        <v>1053</v>
      </c>
      <c r="D2309">
        <v>2297</v>
      </c>
      <c r="E2309">
        <v>1007</v>
      </c>
      <c r="F2309">
        <v>1</v>
      </c>
      <c r="G2309" t="s">
        <v>1453</v>
      </c>
      <c r="H2309" t="s">
        <v>68</v>
      </c>
      <c r="I2309" t="s">
        <v>1136</v>
      </c>
      <c r="J2309" t="s">
        <v>1098</v>
      </c>
    </row>
    <row r="2310" spans="1:10">
      <c r="A2310">
        <v>52309</v>
      </c>
      <c r="B2310">
        <v>31336</v>
      </c>
      <c r="C2310" t="s">
        <v>838</v>
      </c>
      <c r="D2310">
        <v>2297</v>
      </c>
      <c r="E2310">
        <v>1006</v>
      </c>
      <c r="F2310">
        <v>1</v>
      </c>
      <c r="G2310" t="s">
        <v>1459</v>
      </c>
      <c r="H2310" t="s">
        <v>9</v>
      </c>
      <c r="I2310" t="s">
        <v>541</v>
      </c>
      <c r="J2310" t="s">
        <v>528</v>
      </c>
    </row>
    <row r="2311" spans="1:10">
      <c r="A2311">
        <v>52310</v>
      </c>
      <c r="B2311">
        <v>31337</v>
      </c>
      <c r="C2311" t="s">
        <v>1046</v>
      </c>
      <c r="D2311">
        <v>2097</v>
      </c>
      <c r="E2311">
        <v>1006</v>
      </c>
      <c r="F2311">
        <v>1</v>
      </c>
      <c r="G2311" t="s">
        <v>1459</v>
      </c>
      <c r="H2311" t="s">
        <v>9</v>
      </c>
      <c r="I2311" t="s">
        <v>208</v>
      </c>
      <c r="J2311" t="s">
        <v>617</v>
      </c>
    </row>
    <row r="2312" spans="1:10">
      <c r="A2312">
        <v>52311</v>
      </c>
      <c r="B2312">
        <v>31338</v>
      </c>
      <c r="C2312" t="s">
        <v>615</v>
      </c>
      <c r="D2312">
        <v>2557</v>
      </c>
      <c r="E2312">
        <v>1011</v>
      </c>
      <c r="F2312">
        <v>1</v>
      </c>
      <c r="G2312" t="s">
        <v>1472</v>
      </c>
      <c r="H2312" t="s">
        <v>9</v>
      </c>
      <c r="I2312" t="s">
        <v>484</v>
      </c>
      <c r="J2312" t="s">
        <v>257</v>
      </c>
    </row>
    <row r="2313" spans="1:10">
      <c r="A2313">
        <v>52312</v>
      </c>
      <c r="B2313">
        <v>31338</v>
      </c>
      <c r="C2313" t="s">
        <v>40</v>
      </c>
      <c r="D2313">
        <v>2557</v>
      </c>
      <c r="E2313">
        <v>1010</v>
      </c>
      <c r="F2313">
        <v>1</v>
      </c>
      <c r="G2313" t="s">
        <v>1468</v>
      </c>
      <c r="H2313" t="s">
        <v>68</v>
      </c>
      <c r="I2313" t="s">
        <v>1050</v>
      </c>
      <c r="J2313" t="s">
        <v>55</v>
      </c>
    </row>
    <row r="2314" spans="1:10">
      <c r="A2314">
        <v>52313</v>
      </c>
      <c r="B2314">
        <v>31338</v>
      </c>
      <c r="C2314" t="s">
        <v>483</v>
      </c>
      <c r="D2314">
        <v>2557</v>
      </c>
      <c r="E2314">
        <v>1009</v>
      </c>
      <c r="F2314">
        <v>1</v>
      </c>
      <c r="G2314" t="s">
        <v>1473</v>
      </c>
      <c r="H2314" t="s">
        <v>1462</v>
      </c>
      <c r="I2314" t="s">
        <v>1288</v>
      </c>
      <c r="J2314" t="s">
        <v>124</v>
      </c>
    </row>
    <row r="2315" spans="1:10">
      <c r="A2315">
        <v>52314</v>
      </c>
      <c r="B2315">
        <v>31339</v>
      </c>
      <c r="C2315" t="s">
        <v>1254</v>
      </c>
      <c r="D2315">
        <v>2372</v>
      </c>
      <c r="E2315">
        <v>1012</v>
      </c>
      <c r="F2315">
        <v>1</v>
      </c>
      <c r="G2315" t="s">
        <v>1449</v>
      </c>
      <c r="H2315" t="s">
        <v>9</v>
      </c>
      <c r="I2315" t="s">
        <v>154</v>
      </c>
      <c r="J2315" t="s">
        <v>1123</v>
      </c>
    </row>
    <row r="2316" spans="1:10">
      <c r="A2316">
        <v>52315</v>
      </c>
      <c r="B2316">
        <v>31339</v>
      </c>
      <c r="C2316" t="s">
        <v>164</v>
      </c>
      <c r="D2316">
        <v>2372</v>
      </c>
      <c r="E2316">
        <v>1005</v>
      </c>
      <c r="F2316">
        <v>2</v>
      </c>
      <c r="G2316" t="s">
        <v>1458</v>
      </c>
      <c r="H2316" t="s">
        <v>9</v>
      </c>
      <c r="I2316" t="s">
        <v>1123</v>
      </c>
      <c r="J2316" t="s">
        <v>1322</v>
      </c>
    </row>
    <row r="2317" spans="1:10">
      <c r="A2317">
        <v>52316</v>
      </c>
      <c r="B2317">
        <v>31340</v>
      </c>
      <c r="C2317" t="s">
        <v>1187</v>
      </c>
      <c r="D2317">
        <v>2014</v>
      </c>
      <c r="E2317">
        <v>1010</v>
      </c>
      <c r="F2317">
        <v>1</v>
      </c>
      <c r="G2317" t="s">
        <v>1468</v>
      </c>
      <c r="H2317" t="s">
        <v>9</v>
      </c>
      <c r="I2317" t="s">
        <v>150</v>
      </c>
      <c r="J2317" t="s">
        <v>1117</v>
      </c>
    </row>
    <row r="2318" spans="1:10">
      <c r="A2318">
        <v>52317</v>
      </c>
      <c r="B2318">
        <v>31340</v>
      </c>
      <c r="C2318" t="s">
        <v>505</v>
      </c>
      <c r="D2318">
        <v>2014</v>
      </c>
      <c r="E2318">
        <v>1012</v>
      </c>
      <c r="F2318">
        <v>1</v>
      </c>
      <c r="G2318" t="s">
        <v>1449</v>
      </c>
      <c r="H2318" t="s">
        <v>9</v>
      </c>
      <c r="I2318" t="s">
        <v>993</v>
      </c>
      <c r="J2318" t="s">
        <v>314</v>
      </c>
    </row>
    <row r="2319" spans="1:10">
      <c r="A2319">
        <v>52318</v>
      </c>
      <c r="B2319">
        <v>31341</v>
      </c>
      <c r="C2319" t="s">
        <v>86</v>
      </c>
      <c r="D2319">
        <v>2497</v>
      </c>
      <c r="E2319">
        <v>1006</v>
      </c>
      <c r="F2319">
        <v>3</v>
      </c>
      <c r="G2319" t="s">
        <v>1493</v>
      </c>
      <c r="H2319" t="s">
        <v>9</v>
      </c>
      <c r="I2319" t="s">
        <v>148</v>
      </c>
      <c r="J2319" t="s">
        <v>249</v>
      </c>
    </row>
    <row r="2320" spans="1:10">
      <c r="A2320">
        <v>52319</v>
      </c>
      <c r="B2320">
        <v>31342</v>
      </c>
      <c r="C2320" t="s">
        <v>373</v>
      </c>
      <c r="D2320">
        <v>2105</v>
      </c>
      <c r="E2320">
        <v>1008</v>
      </c>
      <c r="F2320">
        <v>1</v>
      </c>
      <c r="G2320" t="s">
        <v>1447</v>
      </c>
      <c r="H2320" t="s">
        <v>9</v>
      </c>
      <c r="I2320" t="s">
        <v>195</v>
      </c>
      <c r="J2320" t="s">
        <v>817</v>
      </c>
    </row>
    <row r="2321" spans="1:10">
      <c r="A2321">
        <v>52320</v>
      </c>
      <c r="B2321">
        <v>31342</v>
      </c>
      <c r="C2321" t="s">
        <v>373</v>
      </c>
      <c r="D2321">
        <v>2105</v>
      </c>
      <c r="E2321">
        <v>1007</v>
      </c>
      <c r="F2321">
        <v>2</v>
      </c>
      <c r="G2321" t="s">
        <v>1455</v>
      </c>
      <c r="H2321" t="s">
        <v>9</v>
      </c>
      <c r="I2321" t="s">
        <v>42</v>
      </c>
      <c r="J2321" t="s">
        <v>23</v>
      </c>
    </row>
    <row r="2322" spans="1:10">
      <c r="A2322">
        <v>52321</v>
      </c>
      <c r="B2322">
        <v>31342</v>
      </c>
      <c r="C2322" t="s">
        <v>247</v>
      </c>
      <c r="D2322">
        <v>2105</v>
      </c>
      <c r="E2322">
        <v>1004</v>
      </c>
      <c r="F2322">
        <v>3</v>
      </c>
      <c r="G2322" t="s">
        <v>1481</v>
      </c>
      <c r="H2322" t="s">
        <v>1462</v>
      </c>
      <c r="I2322" t="s">
        <v>393</v>
      </c>
      <c r="J2322" t="s">
        <v>1165</v>
      </c>
    </row>
    <row r="2323" spans="1:10">
      <c r="A2323">
        <v>52322</v>
      </c>
      <c r="B2323">
        <v>31342</v>
      </c>
      <c r="C2323" t="s">
        <v>373</v>
      </c>
      <c r="D2323">
        <v>2105</v>
      </c>
      <c r="E2323">
        <v>1014</v>
      </c>
      <c r="F2323">
        <v>1</v>
      </c>
      <c r="G2323" t="s">
        <v>1463</v>
      </c>
      <c r="H2323" t="s">
        <v>9</v>
      </c>
      <c r="I2323" t="s">
        <v>393</v>
      </c>
      <c r="J2323" t="s">
        <v>433</v>
      </c>
    </row>
    <row r="2324" spans="1:10">
      <c r="A2324">
        <v>52323</v>
      </c>
      <c r="B2324">
        <v>31343</v>
      </c>
      <c r="C2324" t="s">
        <v>17</v>
      </c>
      <c r="D2324">
        <v>2472</v>
      </c>
      <c r="E2324">
        <v>1004</v>
      </c>
      <c r="F2324">
        <v>2</v>
      </c>
      <c r="G2324" t="s">
        <v>1476</v>
      </c>
      <c r="H2324" t="s">
        <v>12</v>
      </c>
      <c r="I2324" t="s">
        <v>1421</v>
      </c>
      <c r="J2324" t="s">
        <v>1421</v>
      </c>
    </row>
    <row r="2325" spans="1:10">
      <c r="A2325">
        <v>52324</v>
      </c>
      <c r="B2325">
        <v>31343</v>
      </c>
      <c r="C2325" t="s">
        <v>264</v>
      </c>
      <c r="D2325">
        <v>2472</v>
      </c>
      <c r="E2325">
        <v>1005</v>
      </c>
      <c r="F2325">
        <v>1</v>
      </c>
      <c r="G2325" t="s">
        <v>1456</v>
      </c>
      <c r="H2325" t="s">
        <v>12</v>
      </c>
      <c r="I2325" t="s">
        <v>1421</v>
      </c>
      <c r="J2325" t="s">
        <v>1421</v>
      </c>
    </row>
    <row r="2326" spans="1:10">
      <c r="A2326">
        <v>52325</v>
      </c>
      <c r="B2326">
        <v>31343</v>
      </c>
      <c r="C2326" t="s">
        <v>264</v>
      </c>
      <c r="D2326">
        <v>2472</v>
      </c>
      <c r="E2326">
        <v>1001</v>
      </c>
      <c r="F2326">
        <v>4</v>
      </c>
      <c r="G2326" t="s">
        <v>1525</v>
      </c>
      <c r="H2326" t="s">
        <v>12</v>
      </c>
      <c r="I2326" t="s">
        <v>1421</v>
      </c>
      <c r="J2326" t="s">
        <v>1421</v>
      </c>
    </row>
    <row r="2327" spans="1:10">
      <c r="A2327">
        <v>52326</v>
      </c>
      <c r="B2327">
        <v>31344</v>
      </c>
      <c r="C2327" t="s">
        <v>120</v>
      </c>
      <c r="D2327">
        <v>2492</v>
      </c>
      <c r="E2327">
        <v>1012</v>
      </c>
      <c r="F2327">
        <v>1</v>
      </c>
      <c r="G2327" t="s">
        <v>1449</v>
      </c>
      <c r="H2327" t="s">
        <v>1462</v>
      </c>
      <c r="I2327" t="s">
        <v>220</v>
      </c>
      <c r="J2327" t="s">
        <v>535</v>
      </c>
    </row>
    <row r="2328" spans="1:10">
      <c r="A2328">
        <v>52327</v>
      </c>
      <c r="B2328">
        <v>31345</v>
      </c>
      <c r="C2328" t="s">
        <v>676</v>
      </c>
      <c r="D2328">
        <v>2143</v>
      </c>
      <c r="E2328">
        <v>1011</v>
      </c>
      <c r="F2328">
        <v>1</v>
      </c>
      <c r="G2328" t="s">
        <v>1472</v>
      </c>
      <c r="H2328" t="s">
        <v>16</v>
      </c>
      <c r="I2328" t="s">
        <v>439</v>
      </c>
      <c r="J2328" t="s">
        <v>1421</v>
      </c>
    </row>
    <row r="2329" spans="1:10">
      <c r="A2329">
        <v>52328</v>
      </c>
      <c r="B2329">
        <v>31345</v>
      </c>
      <c r="C2329" t="s">
        <v>676</v>
      </c>
      <c r="D2329">
        <v>2143</v>
      </c>
      <c r="E2329">
        <v>1010</v>
      </c>
      <c r="F2329">
        <v>3</v>
      </c>
      <c r="G2329" t="s">
        <v>1514</v>
      </c>
      <c r="H2329" t="s">
        <v>16</v>
      </c>
      <c r="I2329" t="s">
        <v>318</v>
      </c>
      <c r="J2329" t="s">
        <v>1421</v>
      </c>
    </row>
    <row r="2330" spans="1:10">
      <c r="A2330">
        <v>52329</v>
      </c>
      <c r="B2330">
        <v>31346</v>
      </c>
      <c r="C2330" t="s">
        <v>193</v>
      </c>
      <c r="D2330">
        <v>2122</v>
      </c>
      <c r="E2330">
        <v>1005</v>
      </c>
      <c r="F2330">
        <v>1</v>
      </c>
      <c r="G2330" t="s">
        <v>1456</v>
      </c>
      <c r="H2330" t="s">
        <v>9</v>
      </c>
      <c r="I2330" t="s">
        <v>766</v>
      </c>
      <c r="J2330" t="s">
        <v>28</v>
      </c>
    </row>
    <row r="2331" spans="1:10">
      <c r="A2331">
        <v>52330</v>
      </c>
      <c r="B2331">
        <v>31346</v>
      </c>
      <c r="C2331" t="s">
        <v>1152</v>
      </c>
      <c r="D2331">
        <v>2122</v>
      </c>
      <c r="E2331">
        <v>1008</v>
      </c>
      <c r="F2331">
        <v>4</v>
      </c>
      <c r="G2331" t="s">
        <v>1503</v>
      </c>
      <c r="H2331" t="s">
        <v>1495</v>
      </c>
      <c r="I2331" t="s">
        <v>1085</v>
      </c>
      <c r="J2331" t="s">
        <v>518</v>
      </c>
    </row>
    <row r="2332" spans="1:10">
      <c r="A2332">
        <v>52331</v>
      </c>
      <c r="B2332">
        <v>31347</v>
      </c>
      <c r="C2332" t="s">
        <v>291</v>
      </c>
      <c r="D2332">
        <v>2315</v>
      </c>
      <c r="E2332">
        <v>1005</v>
      </c>
      <c r="F2332">
        <v>1</v>
      </c>
      <c r="G2332" t="s">
        <v>1456</v>
      </c>
      <c r="H2332" t="s">
        <v>9</v>
      </c>
      <c r="I2332" t="s">
        <v>944</v>
      </c>
      <c r="J2332" t="s">
        <v>1164</v>
      </c>
    </row>
    <row r="2333" spans="1:10">
      <c r="A2333">
        <v>52332</v>
      </c>
      <c r="B2333">
        <v>31347</v>
      </c>
      <c r="C2333" t="s">
        <v>291</v>
      </c>
      <c r="D2333">
        <v>2315</v>
      </c>
      <c r="E2333">
        <v>1003</v>
      </c>
      <c r="F2333">
        <v>2</v>
      </c>
      <c r="G2333" t="s">
        <v>1464</v>
      </c>
      <c r="H2333" t="s">
        <v>9</v>
      </c>
      <c r="I2333" t="s">
        <v>1245</v>
      </c>
      <c r="J2333" t="s">
        <v>319</v>
      </c>
    </row>
    <row r="2334" spans="1:10">
      <c r="A2334">
        <v>52333</v>
      </c>
      <c r="B2334">
        <v>31348</v>
      </c>
      <c r="C2334" t="s">
        <v>1264</v>
      </c>
      <c r="D2334">
        <v>2436</v>
      </c>
      <c r="E2334">
        <v>1004</v>
      </c>
      <c r="F2334">
        <v>1</v>
      </c>
      <c r="G2334" t="s">
        <v>1452</v>
      </c>
      <c r="H2334" t="s">
        <v>9</v>
      </c>
      <c r="I2334" t="s">
        <v>234</v>
      </c>
      <c r="J2334" t="s">
        <v>383</v>
      </c>
    </row>
    <row r="2335" spans="1:10">
      <c r="A2335">
        <v>52334</v>
      </c>
      <c r="B2335">
        <v>31349</v>
      </c>
      <c r="C2335" t="s">
        <v>707</v>
      </c>
      <c r="D2335">
        <v>2080</v>
      </c>
      <c r="E2335">
        <v>1016</v>
      </c>
      <c r="F2335">
        <v>2</v>
      </c>
      <c r="G2335" t="s">
        <v>1500</v>
      </c>
      <c r="H2335" t="s">
        <v>9</v>
      </c>
      <c r="I2335" t="s">
        <v>1069</v>
      </c>
      <c r="J2335" t="s">
        <v>181</v>
      </c>
    </row>
    <row r="2336" spans="1:10">
      <c r="A2336">
        <v>52335</v>
      </c>
      <c r="B2336">
        <v>31350</v>
      </c>
      <c r="C2336" t="s">
        <v>420</v>
      </c>
      <c r="D2336">
        <v>2442</v>
      </c>
      <c r="E2336">
        <v>1004</v>
      </c>
      <c r="F2336">
        <v>1</v>
      </c>
      <c r="G2336" t="s">
        <v>1452</v>
      </c>
      <c r="H2336" t="s">
        <v>9</v>
      </c>
      <c r="I2336" t="s">
        <v>310</v>
      </c>
      <c r="J2336" t="s">
        <v>308</v>
      </c>
    </row>
    <row r="2337" spans="1:10">
      <c r="A2337">
        <v>52336</v>
      </c>
      <c r="B2337">
        <v>31350</v>
      </c>
      <c r="C2337" t="s">
        <v>1229</v>
      </c>
      <c r="D2337">
        <v>2442</v>
      </c>
      <c r="E2337">
        <v>1002</v>
      </c>
      <c r="F2337">
        <v>1</v>
      </c>
      <c r="G2337" t="s">
        <v>1466</v>
      </c>
      <c r="H2337" t="s">
        <v>9</v>
      </c>
      <c r="I2337" t="s">
        <v>929</v>
      </c>
      <c r="J2337" t="s">
        <v>928</v>
      </c>
    </row>
    <row r="2338" spans="1:10">
      <c r="A2338">
        <v>52337</v>
      </c>
      <c r="B2338">
        <v>31351</v>
      </c>
      <c r="C2338" t="s">
        <v>91</v>
      </c>
      <c r="D2338">
        <v>2526</v>
      </c>
      <c r="E2338">
        <v>1016</v>
      </c>
      <c r="F2338">
        <v>1</v>
      </c>
      <c r="G2338" t="s">
        <v>1465</v>
      </c>
      <c r="H2338" t="s">
        <v>9</v>
      </c>
      <c r="I2338" t="s">
        <v>63</v>
      </c>
      <c r="J2338" t="s">
        <v>1327</v>
      </c>
    </row>
    <row r="2339" spans="1:10">
      <c r="A2339">
        <v>52338</v>
      </c>
      <c r="B2339">
        <v>31352</v>
      </c>
      <c r="C2339" t="s">
        <v>1068</v>
      </c>
      <c r="D2339">
        <v>2122</v>
      </c>
      <c r="E2339">
        <v>1002</v>
      </c>
      <c r="F2339">
        <v>1</v>
      </c>
      <c r="G2339" t="s">
        <v>1466</v>
      </c>
      <c r="H2339" t="s">
        <v>12</v>
      </c>
      <c r="I2339" t="s">
        <v>1421</v>
      </c>
      <c r="J2339" t="s">
        <v>1421</v>
      </c>
    </row>
    <row r="2340" spans="1:10">
      <c r="A2340">
        <v>52339</v>
      </c>
      <c r="B2340">
        <v>31353</v>
      </c>
      <c r="C2340" t="s">
        <v>1131</v>
      </c>
      <c r="D2340">
        <v>2068</v>
      </c>
      <c r="E2340">
        <v>1001</v>
      </c>
      <c r="F2340">
        <v>2</v>
      </c>
      <c r="G2340" t="s">
        <v>1460</v>
      </c>
      <c r="H2340" t="s">
        <v>9</v>
      </c>
      <c r="I2340" t="s">
        <v>555</v>
      </c>
      <c r="J2340" t="s">
        <v>205</v>
      </c>
    </row>
    <row r="2341" spans="1:10">
      <c r="A2341">
        <v>52340</v>
      </c>
      <c r="B2341">
        <v>31354</v>
      </c>
      <c r="C2341" t="s">
        <v>509</v>
      </c>
      <c r="D2341">
        <v>2099</v>
      </c>
      <c r="E2341">
        <v>1007</v>
      </c>
      <c r="F2341">
        <v>1</v>
      </c>
      <c r="G2341" t="s">
        <v>1453</v>
      </c>
      <c r="H2341" t="s">
        <v>16</v>
      </c>
      <c r="I2341" t="s">
        <v>1421</v>
      </c>
      <c r="J2341" t="s">
        <v>1421</v>
      </c>
    </row>
    <row r="2342" spans="1:10">
      <c r="A2342">
        <v>52341</v>
      </c>
      <c r="B2342">
        <v>31354</v>
      </c>
      <c r="C2342" t="s">
        <v>1291</v>
      </c>
      <c r="D2342">
        <v>2099</v>
      </c>
      <c r="E2342">
        <v>1007</v>
      </c>
      <c r="F2342">
        <v>1</v>
      </c>
      <c r="G2342" t="s">
        <v>1453</v>
      </c>
      <c r="H2342" t="s">
        <v>16</v>
      </c>
      <c r="I2342" t="s">
        <v>1335</v>
      </c>
      <c r="J2342" t="s">
        <v>1421</v>
      </c>
    </row>
    <row r="2343" spans="1:10">
      <c r="A2343">
        <v>52342</v>
      </c>
      <c r="B2343">
        <v>31354</v>
      </c>
      <c r="C2343" t="s">
        <v>1291</v>
      </c>
      <c r="D2343">
        <v>2099</v>
      </c>
      <c r="E2343">
        <v>1012</v>
      </c>
      <c r="F2343">
        <v>2</v>
      </c>
      <c r="G2343" t="s">
        <v>1450</v>
      </c>
      <c r="H2343" t="s">
        <v>16</v>
      </c>
      <c r="I2343" t="s">
        <v>1335</v>
      </c>
      <c r="J2343" t="s">
        <v>1421</v>
      </c>
    </row>
    <row r="2344" spans="1:10">
      <c r="A2344">
        <v>52343</v>
      </c>
      <c r="B2344">
        <v>31355</v>
      </c>
      <c r="C2344" t="s">
        <v>1132</v>
      </c>
      <c r="D2344">
        <v>2150</v>
      </c>
      <c r="E2344">
        <v>1009</v>
      </c>
      <c r="F2344">
        <v>1</v>
      </c>
      <c r="G2344" t="s">
        <v>1473</v>
      </c>
      <c r="H2344" t="s">
        <v>16</v>
      </c>
      <c r="I2344" t="s">
        <v>1421</v>
      </c>
      <c r="J2344" t="s">
        <v>1421</v>
      </c>
    </row>
    <row r="2345" spans="1:10">
      <c r="A2345">
        <v>52344</v>
      </c>
      <c r="B2345">
        <v>31355</v>
      </c>
      <c r="C2345" t="s">
        <v>1132</v>
      </c>
      <c r="D2345">
        <v>2150</v>
      </c>
      <c r="E2345">
        <v>1012</v>
      </c>
      <c r="F2345">
        <v>2</v>
      </c>
      <c r="G2345" t="s">
        <v>1450</v>
      </c>
      <c r="H2345" t="s">
        <v>16</v>
      </c>
      <c r="I2345" t="s">
        <v>1421</v>
      </c>
      <c r="J2345" t="s">
        <v>1421</v>
      </c>
    </row>
    <row r="2346" spans="1:10">
      <c r="A2346">
        <v>52345</v>
      </c>
      <c r="B2346">
        <v>31356</v>
      </c>
      <c r="C2346" t="s">
        <v>617</v>
      </c>
      <c r="D2346">
        <v>2513</v>
      </c>
      <c r="E2346">
        <v>1008</v>
      </c>
      <c r="F2346">
        <v>2</v>
      </c>
      <c r="G2346" t="s">
        <v>1520</v>
      </c>
      <c r="H2346" t="s">
        <v>16</v>
      </c>
      <c r="I2346" t="s">
        <v>1421</v>
      </c>
      <c r="J2346" t="s">
        <v>1421</v>
      </c>
    </row>
    <row r="2347" spans="1:10">
      <c r="A2347">
        <v>52346</v>
      </c>
      <c r="B2347">
        <v>31356</v>
      </c>
      <c r="C2347" t="s">
        <v>1315</v>
      </c>
      <c r="D2347">
        <v>2513</v>
      </c>
      <c r="E2347">
        <v>1003</v>
      </c>
      <c r="F2347">
        <v>1</v>
      </c>
      <c r="G2347" t="s">
        <v>1471</v>
      </c>
      <c r="H2347" t="s">
        <v>16</v>
      </c>
      <c r="I2347" t="s">
        <v>451</v>
      </c>
      <c r="J2347" t="s">
        <v>1421</v>
      </c>
    </row>
    <row r="2348" spans="1:10">
      <c r="A2348">
        <v>52347</v>
      </c>
      <c r="B2348">
        <v>31356</v>
      </c>
      <c r="C2348" t="s">
        <v>83</v>
      </c>
      <c r="D2348">
        <v>2513</v>
      </c>
      <c r="E2348">
        <v>1001</v>
      </c>
      <c r="F2348">
        <v>1</v>
      </c>
      <c r="G2348" t="s">
        <v>1469</v>
      </c>
      <c r="H2348" t="s">
        <v>16</v>
      </c>
      <c r="I2348" t="s">
        <v>1421</v>
      </c>
      <c r="J2348" t="s">
        <v>1421</v>
      </c>
    </row>
    <row r="2349" spans="1:10">
      <c r="A2349">
        <v>52348</v>
      </c>
      <c r="B2349">
        <v>31357</v>
      </c>
      <c r="C2349" t="s">
        <v>226</v>
      </c>
      <c r="D2349">
        <v>2197</v>
      </c>
      <c r="E2349">
        <v>1006</v>
      </c>
      <c r="F2349">
        <v>4</v>
      </c>
      <c r="G2349" t="s">
        <v>1496</v>
      </c>
      <c r="H2349" t="s">
        <v>11</v>
      </c>
      <c r="I2349" t="s">
        <v>700</v>
      </c>
      <c r="J2349" t="s">
        <v>110</v>
      </c>
    </row>
    <row r="2350" spans="1:10">
      <c r="A2350">
        <v>52349</v>
      </c>
      <c r="B2350">
        <v>31358</v>
      </c>
      <c r="C2350" t="s">
        <v>637</v>
      </c>
      <c r="D2350">
        <v>2551</v>
      </c>
      <c r="E2350">
        <v>1004</v>
      </c>
      <c r="F2350">
        <v>1</v>
      </c>
      <c r="G2350" t="s">
        <v>1452</v>
      </c>
      <c r="H2350" t="s">
        <v>9</v>
      </c>
      <c r="I2350" t="s">
        <v>327</v>
      </c>
      <c r="J2350" t="s">
        <v>87</v>
      </c>
    </row>
    <row r="2351" spans="1:10">
      <c r="A2351">
        <v>52350</v>
      </c>
      <c r="B2351">
        <v>31359</v>
      </c>
      <c r="C2351" t="s">
        <v>450</v>
      </c>
      <c r="D2351">
        <v>2220</v>
      </c>
      <c r="E2351">
        <v>1016</v>
      </c>
      <c r="F2351">
        <v>3</v>
      </c>
      <c r="G2351" t="s">
        <v>1484</v>
      </c>
      <c r="H2351" t="s">
        <v>12</v>
      </c>
      <c r="I2351" t="s">
        <v>1421</v>
      </c>
      <c r="J2351" t="s">
        <v>1421</v>
      </c>
    </row>
    <row r="2352" spans="1:10">
      <c r="A2352">
        <v>52351</v>
      </c>
      <c r="B2352">
        <v>31360</v>
      </c>
      <c r="C2352" t="s">
        <v>932</v>
      </c>
      <c r="D2352">
        <v>2376</v>
      </c>
      <c r="E2352">
        <v>1006</v>
      </c>
      <c r="F2352">
        <v>1</v>
      </c>
      <c r="G2352" t="s">
        <v>1459</v>
      </c>
      <c r="H2352" t="s">
        <v>9</v>
      </c>
      <c r="I2352" t="s">
        <v>425</v>
      </c>
      <c r="J2352" t="s">
        <v>87</v>
      </c>
    </row>
    <row r="2353" spans="1:10">
      <c r="A2353">
        <v>52352</v>
      </c>
      <c r="B2353">
        <v>31361</v>
      </c>
      <c r="C2353" t="s">
        <v>555</v>
      </c>
      <c r="D2353">
        <v>2451</v>
      </c>
      <c r="E2353">
        <v>1004</v>
      </c>
      <c r="F2353">
        <v>3</v>
      </c>
      <c r="G2353" t="s">
        <v>1481</v>
      </c>
      <c r="H2353" t="s">
        <v>9</v>
      </c>
      <c r="I2353" t="s">
        <v>1321</v>
      </c>
      <c r="J2353" t="s">
        <v>299</v>
      </c>
    </row>
    <row r="2354" spans="1:10">
      <c r="A2354">
        <v>52353</v>
      </c>
      <c r="B2354">
        <v>31361</v>
      </c>
      <c r="C2354" t="s">
        <v>101</v>
      </c>
      <c r="D2354">
        <v>2451</v>
      </c>
      <c r="E2354">
        <v>1006</v>
      </c>
      <c r="F2354">
        <v>4</v>
      </c>
      <c r="G2354" t="s">
        <v>1496</v>
      </c>
      <c r="H2354" t="s">
        <v>9</v>
      </c>
      <c r="I2354" t="s">
        <v>104</v>
      </c>
      <c r="J2354" t="s">
        <v>105</v>
      </c>
    </row>
    <row r="2355" spans="1:10">
      <c r="A2355">
        <v>52354</v>
      </c>
      <c r="B2355">
        <v>31362</v>
      </c>
      <c r="C2355" t="s">
        <v>1280</v>
      </c>
      <c r="D2355">
        <v>2364</v>
      </c>
      <c r="E2355">
        <v>1014</v>
      </c>
      <c r="F2355">
        <v>1</v>
      </c>
      <c r="G2355" t="s">
        <v>1463</v>
      </c>
      <c r="H2355" t="s">
        <v>11</v>
      </c>
      <c r="I2355" t="s">
        <v>684</v>
      </c>
      <c r="J2355" t="s">
        <v>58</v>
      </c>
    </row>
    <row r="2356" spans="1:10">
      <c r="A2356">
        <v>52355</v>
      </c>
      <c r="B2356">
        <v>31363</v>
      </c>
      <c r="C2356" t="s">
        <v>1336</v>
      </c>
      <c r="D2356">
        <v>2220</v>
      </c>
      <c r="E2356">
        <v>1014</v>
      </c>
      <c r="F2356">
        <v>1</v>
      </c>
      <c r="G2356" t="s">
        <v>1463</v>
      </c>
      <c r="H2356" t="s">
        <v>9</v>
      </c>
      <c r="I2356" t="s">
        <v>460</v>
      </c>
      <c r="J2356" t="s">
        <v>1263</v>
      </c>
    </row>
    <row r="2357" spans="1:10">
      <c r="A2357">
        <v>52356</v>
      </c>
      <c r="B2357">
        <v>31364</v>
      </c>
      <c r="C2357" t="s">
        <v>256</v>
      </c>
      <c r="D2357">
        <v>2116</v>
      </c>
      <c r="E2357">
        <v>1011</v>
      </c>
      <c r="F2357">
        <v>2</v>
      </c>
      <c r="G2357" t="s">
        <v>1487</v>
      </c>
      <c r="H2357" t="s">
        <v>16</v>
      </c>
      <c r="I2357" t="s">
        <v>563</v>
      </c>
      <c r="J2357" t="s">
        <v>1421</v>
      </c>
    </row>
    <row r="2358" spans="1:10">
      <c r="A2358">
        <v>52357</v>
      </c>
      <c r="B2358">
        <v>31364</v>
      </c>
      <c r="C2358" t="s">
        <v>1279</v>
      </c>
      <c r="D2358">
        <v>2116</v>
      </c>
      <c r="E2358">
        <v>1004</v>
      </c>
      <c r="F2358">
        <v>1</v>
      </c>
      <c r="G2358" t="s">
        <v>1452</v>
      </c>
      <c r="H2358" t="s">
        <v>16</v>
      </c>
      <c r="I2358" t="s">
        <v>1421</v>
      </c>
      <c r="J2358" t="s">
        <v>1421</v>
      </c>
    </row>
    <row r="2359" spans="1:10">
      <c r="A2359">
        <v>52358</v>
      </c>
      <c r="B2359">
        <v>31364</v>
      </c>
      <c r="C2359" t="s">
        <v>1279</v>
      </c>
      <c r="D2359">
        <v>2116</v>
      </c>
      <c r="E2359">
        <v>1016</v>
      </c>
      <c r="F2359">
        <v>3</v>
      </c>
      <c r="G2359" t="s">
        <v>1484</v>
      </c>
      <c r="H2359" t="s">
        <v>16</v>
      </c>
      <c r="I2359" t="s">
        <v>1421</v>
      </c>
      <c r="J2359" t="s">
        <v>1421</v>
      </c>
    </row>
    <row r="2360" spans="1:10">
      <c r="A2360">
        <v>52359</v>
      </c>
      <c r="B2360">
        <v>31365</v>
      </c>
      <c r="C2360" t="s">
        <v>640</v>
      </c>
      <c r="D2360">
        <v>2296</v>
      </c>
      <c r="E2360">
        <v>1002</v>
      </c>
      <c r="F2360">
        <v>1</v>
      </c>
      <c r="G2360" t="s">
        <v>1466</v>
      </c>
      <c r="H2360" t="s">
        <v>1495</v>
      </c>
      <c r="I2360" t="s">
        <v>412</v>
      </c>
      <c r="J2360" t="s">
        <v>393</v>
      </c>
    </row>
    <row r="2361" spans="1:10">
      <c r="A2361">
        <v>52360</v>
      </c>
      <c r="B2361">
        <v>31366</v>
      </c>
      <c r="C2361" t="s">
        <v>589</v>
      </c>
      <c r="D2361">
        <v>2085</v>
      </c>
      <c r="E2361">
        <v>1004</v>
      </c>
      <c r="F2361">
        <v>2</v>
      </c>
      <c r="G2361" t="s">
        <v>1476</v>
      </c>
      <c r="H2361" t="s">
        <v>9</v>
      </c>
      <c r="I2361" t="s">
        <v>587</v>
      </c>
      <c r="J2361" t="s">
        <v>968</v>
      </c>
    </row>
    <row r="2362" spans="1:10">
      <c r="A2362">
        <v>52361</v>
      </c>
      <c r="B2362">
        <v>31367</v>
      </c>
      <c r="C2362" t="s">
        <v>1062</v>
      </c>
      <c r="D2362">
        <v>2395</v>
      </c>
      <c r="E2362">
        <v>1010</v>
      </c>
      <c r="F2362">
        <v>2</v>
      </c>
      <c r="G2362" t="s">
        <v>1483</v>
      </c>
      <c r="H2362" t="s">
        <v>9</v>
      </c>
      <c r="I2362" t="s">
        <v>528</v>
      </c>
      <c r="J2362" t="s">
        <v>898</v>
      </c>
    </row>
    <row r="2363" spans="1:10">
      <c r="A2363">
        <v>52362</v>
      </c>
      <c r="B2363">
        <v>31368</v>
      </c>
      <c r="C2363" t="s">
        <v>674</v>
      </c>
      <c r="D2363">
        <v>2455</v>
      </c>
      <c r="E2363">
        <v>1014</v>
      </c>
      <c r="F2363">
        <v>1</v>
      </c>
      <c r="G2363" t="s">
        <v>1463</v>
      </c>
      <c r="H2363" t="s">
        <v>9</v>
      </c>
      <c r="I2363" t="s">
        <v>815</v>
      </c>
      <c r="J2363" t="s">
        <v>759</v>
      </c>
    </row>
    <row r="2364" spans="1:10">
      <c r="A2364">
        <v>52363</v>
      </c>
      <c r="B2364">
        <v>31369</v>
      </c>
      <c r="C2364" t="s">
        <v>789</v>
      </c>
      <c r="D2364">
        <v>2298</v>
      </c>
      <c r="E2364">
        <v>1014</v>
      </c>
      <c r="F2364">
        <v>1</v>
      </c>
      <c r="G2364" t="s">
        <v>1463</v>
      </c>
      <c r="H2364" t="s">
        <v>11</v>
      </c>
      <c r="I2364" t="s">
        <v>23</v>
      </c>
      <c r="J2364" t="s">
        <v>1000</v>
      </c>
    </row>
    <row r="2365" spans="1:10">
      <c r="A2365">
        <v>52364</v>
      </c>
      <c r="B2365">
        <v>31370</v>
      </c>
      <c r="C2365" t="s">
        <v>855</v>
      </c>
      <c r="D2365">
        <v>2194</v>
      </c>
      <c r="E2365">
        <v>1016</v>
      </c>
      <c r="F2365">
        <v>2</v>
      </c>
      <c r="G2365" t="s">
        <v>1500</v>
      </c>
      <c r="H2365" t="s">
        <v>16</v>
      </c>
      <c r="I2365" t="s">
        <v>1421</v>
      </c>
      <c r="J2365" t="s">
        <v>1421</v>
      </c>
    </row>
    <row r="2366" spans="1:10">
      <c r="A2366">
        <v>52365</v>
      </c>
      <c r="B2366">
        <v>31371</v>
      </c>
      <c r="C2366" t="s">
        <v>1015</v>
      </c>
      <c r="D2366">
        <v>2377</v>
      </c>
      <c r="E2366">
        <v>1016</v>
      </c>
      <c r="F2366">
        <v>1</v>
      </c>
      <c r="G2366" t="s">
        <v>1465</v>
      </c>
      <c r="H2366" t="s">
        <v>9</v>
      </c>
      <c r="I2366" t="s">
        <v>87</v>
      </c>
      <c r="J2366" t="s">
        <v>1250</v>
      </c>
    </row>
    <row r="2367" spans="1:10">
      <c r="A2367">
        <v>52366</v>
      </c>
      <c r="B2367">
        <v>31371</v>
      </c>
      <c r="C2367" t="s">
        <v>560</v>
      </c>
      <c r="D2367">
        <v>2377</v>
      </c>
      <c r="E2367">
        <v>1004</v>
      </c>
      <c r="F2367">
        <v>1</v>
      </c>
      <c r="G2367" t="s">
        <v>1452</v>
      </c>
      <c r="H2367" t="s">
        <v>9</v>
      </c>
      <c r="I2367" t="s">
        <v>1202</v>
      </c>
      <c r="J2367" t="s">
        <v>207</v>
      </c>
    </row>
    <row r="2368" spans="1:10">
      <c r="A2368">
        <v>52367</v>
      </c>
      <c r="B2368">
        <v>31371</v>
      </c>
      <c r="C2368" t="s">
        <v>420</v>
      </c>
      <c r="D2368">
        <v>2377</v>
      </c>
      <c r="E2368">
        <v>1013</v>
      </c>
      <c r="F2368">
        <v>2</v>
      </c>
      <c r="G2368" t="s">
        <v>1492</v>
      </c>
      <c r="H2368" t="s">
        <v>9</v>
      </c>
      <c r="I2368" t="s">
        <v>1120</v>
      </c>
      <c r="J2368" t="s">
        <v>494</v>
      </c>
    </row>
    <row r="2369" spans="1:10">
      <c r="A2369">
        <v>52368</v>
      </c>
      <c r="B2369">
        <v>31371</v>
      </c>
      <c r="C2369" t="s">
        <v>560</v>
      </c>
      <c r="D2369">
        <v>2377</v>
      </c>
      <c r="E2369">
        <v>1015</v>
      </c>
      <c r="F2369">
        <v>4</v>
      </c>
      <c r="G2369" t="s">
        <v>1521</v>
      </c>
      <c r="H2369" t="s">
        <v>9</v>
      </c>
      <c r="I2369" t="s">
        <v>87</v>
      </c>
      <c r="J2369" t="s">
        <v>582</v>
      </c>
    </row>
    <row r="2370" spans="1:10">
      <c r="A2370">
        <v>52369</v>
      </c>
      <c r="B2370">
        <v>31372</v>
      </c>
      <c r="C2370" t="s">
        <v>712</v>
      </c>
      <c r="D2370">
        <v>2536</v>
      </c>
      <c r="E2370">
        <v>1003</v>
      </c>
      <c r="F2370">
        <v>1</v>
      </c>
      <c r="G2370" t="s">
        <v>1471</v>
      </c>
      <c r="H2370" t="s">
        <v>9</v>
      </c>
      <c r="I2370" t="s">
        <v>414</v>
      </c>
      <c r="J2370" t="s">
        <v>348</v>
      </c>
    </row>
    <row r="2371" spans="1:10">
      <c r="A2371">
        <v>52370</v>
      </c>
      <c r="B2371">
        <v>31373</v>
      </c>
      <c r="C2371" t="s">
        <v>661</v>
      </c>
      <c r="D2371">
        <v>2123</v>
      </c>
      <c r="E2371">
        <v>1013</v>
      </c>
      <c r="F2371">
        <v>1</v>
      </c>
      <c r="G2371" t="s">
        <v>1474</v>
      </c>
      <c r="H2371" t="s">
        <v>9</v>
      </c>
      <c r="I2371" t="s">
        <v>810</v>
      </c>
      <c r="J2371" t="s">
        <v>701</v>
      </c>
    </row>
    <row r="2372" spans="1:10">
      <c r="A2372">
        <v>52371</v>
      </c>
      <c r="B2372">
        <v>31373</v>
      </c>
      <c r="C2372" t="s">
        <v>146</v>
      </c>
      <c r="D2372">
        <v>2123</v>
      </c>
      <c r="E2372">
        <v>1004</v>
      </c>
      <c r="F2372">
        <v>2</v>
      </c>
      <c r="G2372" t="s">
        <v>1476</v>
      </c>
      <c r="H2372" t="s">
        <v>9</v>
      </c>
      <c r="I2372" t="s">
        <v>226</v>
      </c>
      <c r="J2372" t="s">
        <v>1311</v>
      </c>
    </row>
    <row r="2373" spans="1:10">
      <c r="A2373">
        <v>52372</v>
      </c>
      <c r="B2373">
        <v>31374</v>
      </c>
      <c r="C2373" t="s">
        <v>891</v>
      </c>
      <c r="D2373">
        <v>2173</v>
      </c>
      <c r="E2373">
        <v>1007</v>
      </c>
      <c r="F2373">
        <v>1</v>
      </c>
      <c r="G2373" t="s">
        <v>1453</v>
      </c>
      <c r="H2373" t="s">
        <v>9</v>
      </c>
      <c r="I2373" t="s">
        <v>859</v>
      </c>
      <c r="J2373" t="s">
        <v>886</v>
      </c>
    </row>
    <row r="2374" spans="1:10">
      <c r="A2374">
        <v>52373</v>
      </c>
      <c r="B2374">
        <v>31375</v>
      </c>
      <c r="C2374" t="s">
        <v>587</v>
      </c>
      <c r="D2374">
        <v>2347</v>
      </c>
      <c r="E2374">
        <v>1013</v>
      </c>
      <c r="F2374">
        <v>1</v>
      </c>
      <c r="G2374" t="s">
        <v>1474</v>
      </c>
      <c r="H2374" t="s">
        <v>9</v>
      </c>
      <c r="I2374" t="s">
        <v>1237</v>
      </c>
      <c r="J2374" t="s">
        <v>502</v>
      </c>
    </row>
    <row r="2375" spans="1:10">
      <c r="A2375">
        <v>52374</v>
      </c>
      <c r="B2375">
        <v>31376</v>
      </c>
      <c r="C2375" t="s">
        <v>1297</v>
      </c>
      <c r="D2375">
        <v>2126</v>
      </c>
      <c r="E2375">
        <v>1014</v>
      </c>
      <c r="F2375">
        <v>3</v>
      </c>
      <c r="G2375" t="s">
        <v>1505</v>
      </c>
      <c r="H2375" t="s">
        <v>9</v>
      </c>
      <c r="I2375" t="s">
        <v>1317</v>
      </c>
      <c r="J2375" t="s">
        <v>46</v>
      </c>
    </row>
    <row r="2376" spans="1:10">
      <c r="A2376">
        <v>52375</v>
      </c>
      <c r="B2376">
        <v>31377</v>
      </c>
      <c r="C2376" t="s">
        <v>1182</v>
      </c>
      <c r="D2376">
        <v>2512</v>
      </c>
      <c r="E2376">
        <v>1009</v>
      </c>
      <c r="F2376">
        <v>1</v>
      </c>
      <c r="G2376" t="s">
        <v>1473</v>
      </c>
      <c r="H2376" t="s">
        <v>9</v>
      </c>
      <c r="I2376" t="s">
        <v>400</v>
      </c>
      <c r="J2376" t="s">
        <v>923</v>
      </c>
    </row>
    <row r="2377" spans="1:10">
      <c r="A2377">
        <v>52376</v>
      </c>
      <c r="B2377">
        <v>31378</v>
      </c>
      <c r="C2377" t="s">
        <v>902</v>
      </c>
      <c r="D2377">
        <v>2410</v>
      </c>
      <c r="E2377">
        <v>1013</v>
      </c>
      <c r="F2377">
        <v>1</v>
      </c>
      <c r="G2377" t="s">
        <v>1474</v>
      </c>
      <c r="H2377" t="s">
        <v>9</v>
      </c>
      <c r="I2377" t="s">
        <v>1114</v>
      </c>
      <c r="J2377" t="s">
        <v>1332</v>
      </c>
    </row>
    <row r="2378" spans="1:10">
      <c r="A2378">
        <v>52377</v>
      </c>
      <c r="B2378">
        <v>31378</v>
      </c>
      <c r="C2378" t="s">
        <v>902</v>
      </c>
      <c r="D2378">
        <v>2410</v>
      </c>
      <c r="E2378">
        <v>1016</v>
      </c>
      <c r="F2378">
        <v>3</v>
      </c>
      <c r="G2378" t="s">
        <v>1484</v>
      </c>
      <c r="H2378" t="s">
        <v>9</v>
      </c>
      <c r="I2378" t="s">
        <v>1128</v>
      </c>
      <c r="J2378" t="s">
        <v>1311</v>
      </c>
    </row>
    <row r="2379" spans="1:10">
      <c r="A2379">
        <v>52378</v>
      </c>
      <c r="B2379">
        <v>31379</v>
      </c>
      <c r="C2379" t="s">
        <v>1122</v>
      </c>
      <c r="D2379">
        <v>2524</v>
      </c>
      <c r="E2379">
        <v>1015</v>
      </c>
      <c r="F2379">
        <v>1</v>
      </c>
      <c r="G2379" t="s">
        <v>1478</v>
      </c>
      <c r="H2379" t="s">
        <v>9</v>
      </c>
      <c r="I2379" t="s">
        <v>23</v>
      </c>
      <c r="J2379" t="s">
        <v>722</v>
      </c>
    </row>
    <row r="2380" spans="1:10">
      <c r="A2380">
        <v>52379</v>
      </c>
      <c r="B2380">
        <v>31380</v>
      </c>
      <c r="C2380" t="s">
        <v>422</v>
      </c>
      <c r="D2380">
        <v>2111</v>
      </c>
      <c r="E2380">
        <v>1016</v>
      </c>
      <c r="F2380">
        <v>2</v>
      </c>
      <c r="G2380" t="s">
        <v>1500</v>
      </c>
      <c r="H2380" t="s">
        <v>9</v>
      </c>
      <c r="I2380" t="s">
        <v>1182</v>
      </c>
      <c r="J2380" t="s">
        <v>1013</v>
      </c>
    </row>
    <row r="2381" spans="1:10">
      <c r="A2381">
        <v>52380</v>
      </c>
      <c r="B2381">
        <v>31380</v>
      </c>
      <c r="C2381" t="s">
        <v>327</v>
      </c>
      <c r="D2381">
        <v>2111</v>
      </c>
      <c r="E2381">
        <v>1016</v>
      </c>
      <c r="F2381">
        <v>1</v>
      </c>
      <c r="G2381" t="s">
        <v>1465</v>
      </c>
      <c r="H2381" t="s">
        <v>1457</v>
      </c>
      <c r="I2381" t="s">
        <v>424</v>
      </c>
      <c r="J2381" t="s">
        <v>986</v>
      </c>
    </row>
    <row r="2382" spans="1:10">
      <c r="A2382">
        <v>52381</v>
      </c>
      <c r="B2382">
        <v>31381</v>
      </c>
      <c r="C2382" t="s">
        <v>232</v>
      </c>
      <c r="D2382">
        <v>2237</v>
      </c>
      <c r="E2382">
        <v>1005</v>
      </c>
      <c r="F2382">
        <v>2</v>
      </c>
      <c r="G2382" t="s">
        <v>1458</v>
      </c>
      <c r="H2382" t="s">
        <v>9</v>
      </c>
      <c r="I2382" t="s">
        <v>868</v>
      </c>
      <c r="J2382" t="s">
        <v>1108</v>
      </c>
    </row>
    <row r="2383" spans="1:10">
      <c r="A2383">
        <v>52382</v>
      </c>
      <c r="B2383">
        <v>31382</v>
      </c>
      <c r="C2383" t="s">
        <v>486</v>
      </c>
      <c r="D2383">
        <v>2031</v>
      </c>
      <c r="E2383">
        <v>1002</v>
      </c>
      <c r="F2383">
        <v>1</v>
      </c>
      <c r="G2383" t="s">
        <v>1466</v>
      </c>
      <c r="H2383" t="s">
        <v>9</v>
      </c>
      <c r="I2383" t="s">
        <v>741</v>
      </c>
      <c r="J2383" t="s">
        <v>98</v>
      </c>
    </row>
    <row r="2384" spans="1:10">
      <c r="A2384">
        <v>52383</v>
      </c>
      <c r="B2384">
        <v>31382</v>
      </c>
      <c r="C2384" t="s">
        <v>486</v>
      </c>
      <c r="D2384">
        <v>2031</v>
      </c>
      <c r="E2384">
        <v>1003</v>
      </c>
      <c r="F2384">
        <v>1</v>
      </c>
      <c r="G2384" t="s">
        <v>1471</v>
      </c>
      <c r="H2384" t="s">
        <v>9</v>
      </c>
      <c r="I2384" t="s">
        <v>98</v>
      </c>
      <c r="J2384" t="s">
        <v>1139</v>
      </c>
    </row>
    <row r="2385" spans="1:10">
      <c r="A2385">
        <v>52384</v>
      </c>
      <c r="B2385">
        <v>31383</v>
      </c>
      <c r="C2385" t="s">
        <v>72</v>
      </c>
      <c r="D2385">
        <v>2511</v>
      </c>
      <c r="E2385">
        <v>1006</v>
      </c>
      <c r="F2385">
        <v>1</v>
      </c>
      <c r="G2385" t="s">
        <v>1459</v>
      </c>
      <c r="H2385" t="s">
        <v>9</v>
      </c>
      <c r="I2385" t="s">
        <v>217</v>
      </c>
      <c r="J2385" t="s">
        <v>613</v>
      </c>
    </row>
    <row r="2386" spans="1:10">
      <c r="A2386">
        <v>52385</v>
      </c>
      <c r="B2386">
        <v>31383</v>
      </c>
      <c r="C2386" t="s">
        <v>379</v>
      </c>
      <c r="D2386">
        <v>2511</v>
      </c>
      <c r="E2386">
        <v>1013</v>
      </c>
      <c r="F2386">
        <v>3</v>
      </c>
      <c r="G2386" t="s">
        <v>1490</v>
      </c>
      <c r="H2386" t="s">
        <v>9</v>
      </c>
      <c r="I2386" t="s">
        <v>581</v>
      </c>
      <c r="J2386" t="s">
        <v>1139</v>
      </c>
    </row>
    <row r="2387" spans="1:10">
      <c r="A2387">
        <v>52386</v>
      </c>
      <c r="B2387">
        <v>31384</v>
      </c>
      <c r="C2387" t="s">
        <v>310</v>
      </c>
      <c r="D2387">
        <v>2335</v>
      </c>
      <c r="E2387">
        <v>1004</v>
      </c>
      <c r="F2387">
        <v>3</v>
      </c>
      <c r="G2387" t="s">
        <v>1481</v>
      </c>
      <c r="H2387" t="s">
        <v>9</v>
      </c>
      <c r="I2387" t="s">
        <v>1068</v>
      </c>
      <c r="J2387" t="s">
        <v>208</v>
      </c>
    </row>
    <row r="2388" spans="1:10">
      <c r="A2388">
        <v>52387</v>
      </c>
      <c r="B2388">
        <v>31384</v>
      </c>
      <c r="C2388" t="s">
        <v>310</v>
      </c>
      <c r="D2388">
        <v>2335</v>
      </c>
      <c r="E2388">
        <v>1003</v>
      </c>
      <c r="F2388">
        <v>2</v>
      </c>
      <c r="G2388" t="s">
        <v>1464</v>
      </c>
      <c r="H2388" t="s">
        <v>9</v>
      </c>
      <c r="I2388" t="s">
        <v>707</v>
      </c>
      <c r="J2388" t="s">
        <v>235</v>
      </c>
    </row>
    <row r="2389" spans="1:10">
      <c r="A2389">
        <v>52388</v>
      </c>
      <c r="B2389">
        <v>31384</v>
      </c>
      <c r="C2389" t="s">
        <v>706</v>
      </c>
      <c r="D2389">
        <v>2335</v>
      </c>
      <c r="E2389">
        <v>1016</v>
      </c>
      <c r="F2389">
        <v>1</v>
      </c>
      <c r="G2389" t="s">
        <v>1465</v>
      </c>
      <c r="H2389" t="s">
        <v>9</v>
      </c>
      <c r="I2389" t="s">
        <v>956</v>
      </c>
      <c r="J2389" t="s">
        <v>810</v>
      </c>
    </row>
    <row r="2390" spans="1:10">
      <c r="A2390">
        <v>52389</v>
      </c>
      <c r="B2390">
        <v>31384</v>
      </c>
      <c r="C2390" t="s">
        <v>706</v>
      </c>
      <c r="D2390">
        <v>2335</v>
      </c>
      <c r="E2390">
        <v>1015</v>
      </c>
      <c r="F2390">
        <v>1</v>
      </c>
      <c r="G2390" t="s">
        <v>1478</v>
      </c>
      <c r="H2390" t="s">
        <v>9</v>
      </c>
      <c r="I2390" t="s">
        <v>663</v>
      </c>
      <c r="J2390" t="s">
        <v>700</v>
      </c>
    </row>
    <row r="2391" spans="1:10">
      <c r="A2391">
        <v>52390</v>
      </c>
      <c r="B2391">
        <v>31385</v>
      </c>
      <c r="C2391" t="s">
        <v>687</v>
      </c>
      <c r="D2391">
        <v>2207</v>
      </c>
      <c r="E2391">
        <v>1016</v>
      </c>
      <c r="F2391">
        <v>1</v>
      </c>
      <c r="G2391" t="s">
        <v>1465</v>
      </c>
      <c r="H2391" t="s">
        <v>9</v>
      </c>
      <c r="I2391" t="s">
        <v>786</v>
      </c>
      <c r="J2391" t="s">
        <v>634</v>
      </c>
    </row>
    <row r="2392" spans="1:10">
      <c r="A2392">
        <v>52391</v>
      </c>
      <c r="B2392">
        <v>31386</v>
      </c>
      <c r="C2392" t="s">
        <v>928</v>
      </c>
      <c r="D2392">
        <v>2503</v>
      </c>
      <c r="E2392">
        <v>1011</v>
      </c>
      <c r="F2392">
        <v>3</v>
      </c>
      <c r="G2392" t="s">
        <v>1454</v>
      </c>
      <c r="H2392" t="s">
        <v>9</v>
      </c>
      <c r="I2392" t="s">
        <v>513</v>
      </c>
      <c r="J2392" t="s">
        <v>484</v>
      </c>
    </row>
    <row r="2393" spans="1:10">
      <c r="A2393">
        <v>52392</v>
      </c>
      <c r="B2393">
        <v>31387</v>
      </c>
      <c r="C2393" t="s">
        <v>166</v>
      </c>
      <c r="D2393">
        <v>2554</v>
      </c>
      <c r="E2393">
        <v>1002</v>
      </c>
      <c r="F2393">
        <v>3</v>
      </c>
      <c r="G2393" t="s">
        <v>1508</v>
      </c>
      <c r="H2393" t="s">
        <v>9</v>
      </c>
      <c r="I2393" t="s">
        <v>43</v>
      </c>
      <c r="J2393" t="s">
        <v>408</v>
      </c>
    </row>
    <row r="2394" spans="1:10">
      <c r="A2394">
        <v>52393</v>
      </c>
      <c r="B2394">
        <v>31387</v>
      </c>
      <c r="C2394" t="s">
        <v>685</v>
      </c>
      <c r="D2394">
        <v>2554</v>
      </c>
      <c r="E2394">
        <v>1014</v>
      </c>
      <c r="F2394">
        <v>2</v>
      </c>
      <c r="G2394" t="s">
        <v>1475</v>
      </c>
      <c r="H2394" t="s">
        <v>9</v>
      </c>
      <c r="I2394" t="s">
        <v>931</v>
      </c>
      <c r="J2394" t="s">
        <v>741</v>
      </c>
    </row>
    <row r="2395" spans="1:10">
      <c r="A2395">
        <v>52394</v>
      </c>
      <c r="B2395">
        <v>31387</v>
      </c>
      <c r="C2395" t="s">
        <v>473</v>
      </c>
      <c r="D2395">
        <v>2554</v>
      </c>
      <c r="E2395">
        <v>1004</v>
      </c>
      <c r="F2395">
        <v>5</v>
      </c>
      <c r="G2395" t="s">
        <v>1533</v>
      </c>
      <c r="H2395" t="s">
        <v>9</v>
      </c>
      <c r="I2395" t="s">
        <v>489</v>
      </c>
      <c r="J2395" t="s">
        <v>728</v>
      </c>
    </row>
    <row r="2396" spans="1:10">
      <c r="A2396">
        <v>52395</v>
      </c>
      <c r="B2396">
        <v>31387</v>
      </c>
      <c r="C2396" t="s">
        <v>166</v>
      </c>
      <c r="D2396">
        <v>2554</v>
      </c>
      <c r="E2396">
        <v>1013</v>
      </c>
      <c r="F2396">
        <v>2</v>
      </c>
      <c r="G2396" t="s">
        <v>1492</v>
      </c>
      <c r="H2396" t="s">
        <v>9</v>
      </c>
      <c r="I2396" t="s">
        <v>486</v>
      </c>
      <c r="J2396" t="s">
        <v>246</v>
      </c>
    </row>
    <row r="2397" spans="1:10">
      <c r="A2397">
        <v>52396</v>
      </c>
      <c r="B2397">
        <v>31388</v>
      </c>
      <c r="C2397" t="s">
        <v>225</v>
      </c>
      <c r="D2397">
        <v>2461</v>
      </c>
      <c r="E2397">
        <v>1013</v>
      </c>
      <c r="F2397">
        <v>1</v>
      </c>
      <c r="G2397" t="s">
        <v>1474</v>
      </c>
      <c r="H2397" t="s">
        <v>9</v>
      </c>
      <c r="I2397" t="s">
        <v>1157</v>
      </c>
      <c r="J2397" t="s">
        <v>1042</v>
      </c>
    </row>
    <row r="2398" spans="1:10">
      <c r="A2398">
        <v>52397</v>
      </c>
      <c r="B2398">
        <v>31388</v>
      </c>
      <c r="C2398" t="s">
        <v>1173</v>
      </c>
      <c r="D2398">
        <v>2461</v>
      </c>
      <c r="E2398">
        <v>1015</v>
      </c>
      <c r="F2398">
        <v>1</v>
      </c>
      <c r="G2398" t="s">
        <v>1478</v>
      </c>
      <c r="H2398" t="s">
        <v>9</v>
      </c>
      <c r="I2398" t="s">
        <v>976</v>
      </c>
      <c r="J2398" t="s">
        <v>795</v>
      </c>
    </row>
    <row r="2399" spans="1:10">
      <c r="A2399">
        <v>52398</v>
      </c>
      <c r="B2399">
        <v>31388</v>
      </c>
      <c r="C2399" t="s">
        <v>1267</v>
      </c>
      <c r="D2399">
        <v>2461</v>
      </c>
      <c r="E2399">
        <v>1015</v>
      </c>
      <c r="F2399">
        <v>2</v>
      </c>
      <c r="G2399" t="s">
        <v>1488</v>
      </c>
      <c r="H2399" t="s">
        <v>9</v>
      </c>
      <c r="I2399" t="s">
        <v>794</v>
      </c>
      <c r="J2399" t="s">
        <v>1337</v>
      </c>
    </row>
    <row r="2400" spans="1:10">
      <c r="A2400">
        <v>52399</v>
      </c>
      <c r="B2400">
        <v>31389</v>
      </c>
      <c r="C2400" t="s">
        <v>211</v>
      </c>
      <c r="D2400">
        <v>2037</v>
      </c>
      <c r="E2400">
        <v>1010</v>
      </c>
      <c r="F2400">
        <v>1</v>
      </c>
      <c r="G2400" t="s">
        <v>1468</v>
      </c>
      <c r="H2400" t="s">
        <v>9</v>
      </c>
      <c r="I2400" t="s">
        <v>450</v>
      </c>
      <c r="J2400" t="s">
        <v>454</v>
      </c>
    </row>
    <row r="2401" spans="1:10">
      <c r="A2401">
        <v>52400</v>
      </c>
      <c r="B2401">
        <v>31390</v>
      </c>
      <c r="C2401" t="s">
        <v>450</v>
      </c>
      <c r="D2401">
        <v>2169</v>
      </c>
      <c r="E2401">
        <v>1005</v>
      </c>
      <c r="F2401">
        <v>4</v>
      </c>
      <c r="G2401" t="s">
        <v>1480</v>
      </c>
      <c r="H2401" t="s">
        <v>9</v>
      </c>
      <c r="I2401" t="s">
        <v>377</v>
      </c>
      <c r="J2401" t="s">
        <v>1025</v>
      </c>
    </row>
    <row r="2402" spans="1:10">
      <c r="A2402">
        <v>52401</v>
      </c>
      <c r="B2402">
        <v>31391</v>
      </c>
      <c r="C2402" t="s">
        <v>230</v>
      </c>
      <c r="D2402">
        <v>2320</v>
      </c>
      <c r="E2402">
        <v>1016</v>
      </c>
      <c r="F2402">
        <v>1</v>
      </c>
      <c r="G2402" t="s">
        <v>1465</v>
      </c>
      <c r="H2402" t="s">
        <v>9</v>
      </c>
      <c r="I2402" t="s">
        <v>47</v>
      </c>
      <c r="J2402" t="s">
        <v>305</v>
      </c>
    </row>
    <row r="2403" spans="1:10">
      <c r="A2403">
        <v>52402</v>
      </c>
      <c r="B2403">
        <v>31391</v>
      </c>
      <c r="C2403" t="s">
        <v>230</v>
      </c>
      <c r="D2403">
        <v>2320</v>
      </c>
      <c r="E2403">
        <v>1004</v>
      </c>
      <c r="F2403">
        <v>1</v>
      </c>
      <c r="G2403" t="s">
        <v>1452</v>
      </c>
      <c r="H2403" t="s">
        <v>9</v>
      </c>
      <c r="I2403" t="s">
        <v>657</v>
      </c>
      <c r="J2403" t="s">
        <v>418</v>
      </c>
    </row>
    <row r="2404" spans="1:10">
      <c r="A2404">
        <v>52403</v>
      </c>
      <c r="B2404">
        <v>31392</v>
      </c>
      <c r="C2404" t="s">
        <v>852</v>
      </c>
      <c r="D2404">
        <v>2583</v>
      </c>
      <c r="E2404">
        <v>1016</v>
      </c>
      <c r="F2404">
        <v>1</v>
      </c>
      <c r="G2404" t="s">
        <v>1465</v>
      </c>
      <c r="H2404" t="s">
        <v>9</v>
      </c>
      <c r="I2404" t="s">
        <v>141</v>
      </c>
      <c r="J2404" t="s">
        <v>446</v>
      </c>
    </row>
    <row r="2405" spans="1:10">
      <c r="A2405">
        <v>52404</v>
      </c>
      <c r="B2405">
        <v>31393</v>
      </c>
      <c r="C2405" t="s">
        <v>553</v>
      </c>
      <c r="D2405">
        <v>2488</v>
      </c>
      <c r="E2405">
        <v>1006</v>
      </c>
      <c r="F2405">
        <v>1</v>
      </c>
      <c r="G2405" t="s">
        <v>1459</v>
      </c>
      <c r="H2405" t="s">
        <v>1495</v>
      </c>
      <c r="I2405" t="s">
        <v>379</v>
      </c>
      <c r="J2405" t="s">
        <v>742</v>
      </c>
    </row>
    <row r="2406" spans="1:10">
      <c r="A2406">
        <v>52405</v>
      </c>
      <c r="B2406">
        <v>31393</v>
      </c>
      <c r="C2406" t="s">
        <v>55</v>
      </c>
      <c r="D2406">
        <v>2488</v>
      </c>
      <c r="E2406">
        <v>1002</v>
      </c>
      <c r="F2406">
        <v>4</v>
      </c>
      <c r="G2406" t="s">
        <v>1451</v>
      </c>
      <c r="H2406" t="s">
        <v>9</v>
      </c>
      <c r="I2406" t="s">
        <v>516</v>
      </c>
      <c r="J2406" t="s">
        <v>742</v>
      </c>
    </row>
    <row r="2407" spans="1:10">
      <c r="A2407">
        <v>52406</v>
      </c>
      <c r="B2407">
        <v>31394</v>
      </c>
      <c r="C2407" t="s">
        <v>469</v>
      </c>
      <c r="D2407">
        <v>2401</v>
      </c>
      <c r="E2407">
        <v>1013</v>
      </c>
      <c r="F2407">
        <v>1</v>
      </c>
      <c r="G2407" t="s">
        <v>1474</v>
      </c>
      <c r="H2407" t="s">
        <v>9</v>
      </c>
      <c r="I2407" t="s">
        <v>416</v>
      </c>
      <c r="J2407" t="s">
        <v>25</v>
      </c>
    </row>
    <row r="2408" spans="1:10">
      <c r="A2408">
        <v>52407</v>
      </c>
      <c r="B2408">
        <v>31395</v>
      </c>
      <c r="C2408" t="s">
        <v>144</v>
      </c>
      <c r="D2408">
        <v>2362</v>
      </c>
      <c r="E2408">
        <v>1010</v>
      </c>
      <c r="F2408">
        <v>1</v>
      </c>
      <c r="G2408" t="s">
        <v>1468</v>
      </c>
      <c r="H2408" t="s">
        <v>16</v>
      </c>
      <c r="I2408" t="s">
        <v>1421</v>
      </c>
      <c r="J2408" t="s">
        <v>1421</v>
      </c>
    </row>
    <row r="2409" spans="1:10">
      <c r="A2409">
        <v>52408</v>
      </c>
      <c r="B2409">
        <v>31396</v>
      </c>
      <c r="C2409" t="s">
        <v>362</v>
      </c>
      <c r="D2409">
        <v>2029</v>
      </c>
      <c r="E2409">
        <v>1005</v>
      </c>
      <c r="F2409">
        <v>1</v>
      </c>
      <c r="G2409" t="s">
        <v>1456</v>
      </c>
      <c r="H2409" t="s">
        <v>9</v>
      </c>
      <c r="I2409" t="s">
        <v>771</v>
      </c>
      <c r="J2409" t="s">
        <v>1338</v>
      </c>
    </row>
    <row r="2410" spans="1:10">
      <c r="A2410">
        <v>52409</v>
      </c>
      <c r="B2410">
        <v>31397</v>
      </c>
      <c r="C2410" t="s">
        <v>911</v>
      </c>
      <c r="D2410">
        <v>2376</v>
      </c>
      <c r="E2410">
        <v>1001</v>
      </c>
      <c r="F2410">
        <v>1</v>
      </c>
      <c r="G2410" t="s">
        <v>1469</v>
      </c>
      <c r="H2410" t="s">
        <v>1457</v>
      </c>
      <c r="I2410" t="s">
        <v>814</v>
      </c>
      <c r="J2410" t="s">
        <v>1292</v>
      </c>
    </row>
    <row r="2411" spans="1:10">
      <c r="A2411">
        <v>52410</v>
      </c>
      <c r="B2411">
        <v>31397</v>
      </c>
      <c r="C2411" t="s">
        <v>911</v>
      </c>
      <c r="D2411">
        <v>2376</v>
      </c>
      <c r="E2411">
        <v>1011</v>
      </c>
      <c r="F2411">
        <v>1</v>
      </c>
      <c r="G2411" t="s">
        <v>1472</v>
      </c>
      <c r="H2411" t="s">
        <v>9</v>
      </c>
      <c r="I2411" t="s">
        <v>144</v>
      </c>
      <c r="J2411" t="s">
        <v>1224</v>
      </c>
    </row>
    <row r="2412" spans="1:10">
      <c r="A2412">
        <v>52411</v>
      </c>
      <c r="B2412">
        <v>31398</v>
      </c>
      <c r="C2412" t="s">
        <v>837</v>
      </c>
      <c r="D2412">
        <v>2390</v>
      </c>
      <c r="E2412">
        <v>1012</v>
      </c>
      <c r="F2412">
        <v>2</v>
      </c>
      <c r="G2412" t="s">
        <v>1450</v>
      </c>
      <c r="H2412" t="s">
        <v>9</v>
      </c>
      <c r="I2412" t="s">
        <v>836</v>
      </c>
      <c r="J2412" t="s">
        <v>376</v>
      </c>
    </row>
    <row r="2413" spans="1:10">
      <c r="A2413">
        <v>52412</v>
      </c>
      <c r="B2413">
        <v>31399</v>
      </c>
      <c r="C2413" t="s">
        <v>1314</v>
      </c>
      <c r="D2413">
        <v>2366</v>
      </c>
      <c r="E2413">
        <v>1002</v>
      </c>
      <c r="F2413">
        <v>4</v>
      </c>
      <c r="G2413" t="s">
        <v>1451</v>
      </c>
      <c r="H2413" t="s">
        <v>9</v>
      </c>
      <c r="I2413" t="s">
        <v>701</v>
      </c>
      <c r="J2413" t="s">
        <v>717</v>
      </c>
    </row>
    <row r="2414" spans="1:10">
      <c r="A2414">
        <v>52413</v>
      </c>
      <c r="B2414">
        <v>31400</v>
      </c>
      <c r="C2414" t="s">
        <v>854</v>
      </c>
      <c r="D2414">
        <v>2251</v>
      </c>
      <c r="E2414">
        <v>1010</v>
      </c>
      <c r="F2414">
        <v>1</v>
      </c>
      <c r="G2414" t="s">
        <v>1468</v>
      </c>
      <c r="H2414" t="s">
        <v>9</v>
      </c>
      <c r="I2414" t="s">
        <v>1231</v>
      </c>
      <c r="J2414" t="s">
        <v>964</v>
      </c>
    </row>
    <row r="2415" spans="1:10">
      <c r="A2415">
        <v>52414</v>
      </c>
      <c r="B2415">
        <v>31400</v>
      </c>
      <c r="C2415" t="s">
        <v>385</v>
      </c>
      <c r="D2415">
        <v>2251</v>
      </c>
      <c r="E2415">
        <v>1003</v>
      </c>
      <c r="F2415">
        <v>2</v>
      </c>
      <c r="G2415" t="s">
        <v>1464</v>
      </c>
      <c r="H2415" t="s">
        <v>9</v>
      </c>
      <c r="I2415" t="s">
        <v>1117</v>
      </c>
      <c r="J2415" t="s">
        <v>218</v>
      </c>
    </row>
    <row r="2416" spans="1:10">
      <c r="A2416">
        <v>52415</v>
      </c>
      <c r="B2416">
        <v>31400</v>
      </c>
      <c r="C2416" t="s">
        <v>854</v>
      </c>
      <c r="D2416">
        <v>2251</v>
      </c>
      <c r="E2416">
        <v>1003</v>
      </c>
      <c r="F2416">
        <v>3</v>
      </c>
      <c r="G2416" t="s">
        <v>1507</v>
      </c>
      <c r="H2416" t="s">
        <v>9</v>
      </c>
      <c r="I2416" t="s">
        <v>387</v>
      </c>
      <c r="J2416" t="s">
        <v>460</v>
      </c>
    </row>
    <row r="2417" spans="1:10">
      <c r="A2417">
        <v>52416</v>
      </c>
      <c r="B2417">
        <v>31401</v>
      </c>
      <c r="C2417" t="s">
        <v>52</v>
      </c>
      <c r="D2417">
        <v>2313</v>
      </c>
      <c r="E2417">
        <v>1006</v>
      </c>
      <c r="F2417">
        <v>1</v>
      </c>
      <c r="G2417" t="s">
        <v>1459</v>
      </c>
      <c r="H2417" t="s">
        <v>9</v>
      </c>
      <c r="I2417" t="s">
        <v>689</v>
      </c>
      <c r="J2417" t="s">
        <v>315</v>
      </c>
    </row>
    <row r="2418" spans="1:10">
      <c r="A2418">
        <v>52417</v>
      </c>
      <c r="B2418">
        <v>31401</v>
      </c>
      <c r="C2418" t="s">
        <v>1033</v>
      </c>
      <c r="D2418">
        <v>2313</v>
      </c>
      <c r="E2418">
        <v>1001</v>
      </c>
      <c r="F2418">
        <v>1</v>
      </c>
      <c r="G2418" t="s">
        <v>1469</v>
      </c>
      <c r="H2418" t="s">
        <v>9</v>
      </c>
      <c r="I2418" t="s">
        <v>749</v>
      </c>
      <c r="J2418" t="s">
        <v>875</v>
      </c>
    </row>
    <row r="2419" spans="1:10">
      <c r="A2419">
        <v>52418</v>
      </c>
      <c r="B2419">
        <v>31401</v>
      </c>
      <c r="C2419" t="s">
        <v>447</v>
      </c>
      <c r="D2419">
        <v>2313</v>
      </c>
      <c r="E2419">
        <v>1011</v>
      </c>
      <c r="F2419">
        <v>1</v>
      </c>
      <c r="G2419" t="s">
        <v>1472</v>
      </c>
      <c r="H2419" t="s">
        <v>9</v>
      </c>
      <c r="I2419" t="s">
        <v>71</v>
      </c>
      <c r="J2419" t="s">
        <v>886</v>
      </c>
    </row>
    <row r="2420" spans="1:10">
      <c r="A2420">
        <v>52419</v>
      </c>
      <c r="B2420">
        <v>31402</v>
      </c>
      <c r="C2420" t="s">
        <v>273</v>
      </c>
      <c r="D2420">
        <v>2039</v>
      </c>
      <c r="E2420">
        <v>1014</v>
      </c>
      <c r="F2420">
        <v>1</v>
      </c>
      <c r="G2420" t="s">
        <v>1463</v>
      </c>
      <c r="H2420" t="s">
        <v>9</v>
      </c>
      <c r="I2420" t="s">
        <v>993</v>
      </c>
      <c r="J2420" t="s">
        <v>285</v>
      </c>
    </row>
    <row r="2421" spans="1:10">
      <c r="A2421">
        <v>52420</v>
      </c>
      <c r="B2421">
        <v>31403</v>
      </c>
      <c r="C2421" t="s">
        <v>521</v>
      </c>
      <c r="D2421">
        <v>2582</v>
      </c>
      <c r="E2421">
        <v>1014</v>
      </c>
      <c r="F2421">
        <v>1</v>
      </c>
      <c r="G2421" t="s">
        <v>1463</v>
      </c>
      <c r="H2421" t="s">
        <v>9</v>
      </c>
      <c r="I2421" t="s">
        <v>746</v>
      </c>
      <c r="J2421" t="s">
        <v>475</v>
      </c>
    </row>
    <row r="2422" spans="1:10">
      <c r="A2422">
        <v>52421</v>
      </c>
      <c r="B2422">
        <v>31403</v>
      </c>
      <c r="C2422" t="s">
        <v>521</v>
      </c>
      <c r="D2422">
        <v>2582</v>
      </c>
      <c r="E2422">
        <v>1009</v>
      </c>
      <c r="F2422">
        <v>1</v>
      </c>
      <c r="G2422" t="s">
        <v>1473</v>
      </c>
      <c r="H2422" t="s">
        <v>9</v>
      </c>
      <c r="I2422" t="s">
        <v>1180</v>
      </c>
      <c r="J2422" t="s">
        <v>1156</v>
      </c>
    </row>
    <row r="2423" spans="1:10">
      <c r="A2423">
        <v>52422</v>
      </c>
      <c r="B2423">
        <v>31403</v>
      </c>
      <c r="C2423" t="s">
        <v>70</v>
      </c>
      <c r="D2423">
        <v>2582</v>
      </c>
      <c r="E2423">
        <v>1001</v>
      </c>
      <c r="F2423">
        <v>2</v>
      </c>
      <c r="G2423" t="s">
        <v>1460</v>
      </c>
      <c r="H2423" t="s">
        <v>9</v>
      </c>
      <c r="I2423" t="s">
        <v>138</v>
      </c>
      <c r="J2423" t="s">
        <v>291</v>
      </c>
    </row>
    <row r="2424" spans="1:10">
      <c r="A2424">
        <v>52423</v>
      </c>
      <c r="B2424">
        <v>31404</v>
      </c>
      <c r="C2424" t="s">
        <v>167</v>
      </c>
      <c r="D2424">
        <v>2481</v>
      </c>
      <c r="E2424">
        <v>1011</v>
      </c>
      <c r="F2424">
        <v>2</v>
      </c>
      <c r="G2424" t="s">
        <v>1487</v>
      </c>
      <c r="H2424" t="s">
        <v>9</v>
      </c>
      <c r="I2424" t="s">
        <v>638</v>
      </c>
      <c r="J2424" t="s">
        <v>782</v>
      </c>
    </row>
    <row r="2425" spans="1:10">
      <c r="A2425">
        <v>52424</v>
      </c>
      <c r="B2425">
        <v>31404</v>
      </c>
      <c r="C2425" t="s">
        <v>735</v>
      </c>
      <c r="D2425">
        <v>2481</v>
      </c>
      <c r="E2425">
        <v>1013</v>
      </c>
      <c r="F2425">
        <v>1</v>
      </c>
      <c r="G2425" t="s">
        <v>1474</v>
      </c>
      <c r="H2425" t="s">
        <v>9</v>
      </c>
      <c r="I2425" t="s">
        <v>737</v>
      </c>
      <c r="J2425" t="s">
        <v>988</v>
      </c>
    </row>
    <row r="2426" spans="1:10">
      <c r="A2426">
        <v>52425</v>
      </c>
      <c r="B2426">
        <v>31405</v>
      </c>
      <c r="C2426" t="s">
        <v>1244</v>
      </c>
      <c r="D2426">
        <v>2585</v>
      </c>
      <c r="E2426">
        <v>1004</v>
      </c>
      <c r="F2426">
        <v>2</v>
      </c>
      <c r="G2426" t="s">
        <v>1476</v>
      </c>
      <c r="H2426" t="s">
        <v>9</v>
      </c>
      <c r="I2426" t="s">
        <v>10</v>
      </c>
      <c r="J2426" t="s">
        <v>438</v>
      </c>
    </row>
    <row r="2427" spans="1:10">
      <c r="A2427">
        <v>52426</v>
      </c>
      <c r="B2427">
        <v>31406</v>
      </c>
      <c r="C2427" t="s">
        <v>363</v>
      </c>
      <c r="D2427">
        <v>2501</v>
      </c>
      <c r="E2427">
        <v>1007</v>
      </c>
      <c r="F2427">
        <v>2</v>
      </c>
      <c r="G2427" t="s">
        <v>1455</v>
      </c>
      <c r="H2427" t="s">
        <v>9</v>
      </c>
      <c r="I2427" t="s">
        <v>716</v>
      </c>
      <c r="J2427" t="s">
        <v>655</v>
      </c>
    </row>
    <row r="2428" spans="1:10">
      <c r="A2428">
        <v>52427</v>
      </c>
      <c r="B2428">
        <v>31406</v>
      </c>
      <c r="C2428" t="s">
        <v>576</v>
      </c>
      <c r="D2428">
        <v>2501</v>
      </c>
      <c r="E2428">
        <v>1011</v>
      </c>
      <c r="F2428">
        <v>1</v>
      </c>
      <c r="G2428" t="s">
        <v>1472</v>
      </c>
      <c r="H2428" t="s">
        <v>9</v>
      </c>
      <c r="I2428" t="s">
        <v>930</v>
      </c>
      <c r="J2428" t="s">
        <v>1094</v>
      </c>
    </row>
    <row r="2429" spans="1:10">
      <c r="A2429">
        <v>52428</v>
      </c>
      <c r="B2429">
        <v>31406</v>
      </c>
      <c r="C2429" t="s">
        <v>576</v>
      </c>
      <c r="D2429">
        <v>2501</v>
      </c>
      <c r="E2429">
        <v>1016</v>
      </c>
      <c r="F2429">
        <v>1</v>
      </c>
      <c r="G2429" t="s">
        <v>1465</v>
      </c>
      <c r="H2429" t="s">
        <v>9</v>
      </c>
      <c r="I2429" t="s">
        <v>562</v>
      </c>
      <c r="J2429" t="s">
        <v>94</v>
      </c>
    </row>
    <row r="2430" spans="1:10">
      <c r="A2430">
        <v>52429</v>
      </c>
      <c r="B2430">
        <v>31407</v>
      </c>
      <c r="C2430" t="s">
        <v>382</v>
      </c>
      <c r="D2430">
        <v>2515</v>
      </c>
      <c r="E2430">
        <v>1011</v>
      </c>
      <c r="F2430">
        <v>3</v>
      </c>
      <c r="G2430" t="s">
        <v>1454</v>
      </c>
      <c r="H2430" t="s">
        <v>16</v>
      </c>
      <c r="I2430" t="s">
        <v>727</v>
      </c>
      <c r="J2430" t="s">
        <v>1421</v>
      </c>
    </row>
    <row r="2431" spans="1:10">
      <c r="A2431">
        <v>52430</v>
      </c>
      <c r="B2431">
        <v>31407</v>
      </c>
      <c r="C2431" t="s">
        <v>688</v>
      </c>
      <c r="D2431">
        <v>2515</v>
      </c>
      <c r="E2431">
        <v>1010</v>
      </c>
      <c r="F2431">
        <v>1</v>
      </c>
      <c r="G2431" t="s">
        <v>1468</v>
      </c>
      <c r="H2431" t="s">
        <v>16</v>
      </c>
      <c r="I2431" t="s">
        <v>1421</v>
      </c>
      <c r="J2431" t="s">
        <v>1421</v>
      </c>
    </row>
    <row r="2432" spans="1:10">
      <c r="A2432">
        <v>52431</v>
      </c>
      <c r="B2432">
        <v>31407</v>
      </c>
      <c r="C2432" t="s">
        <v>361</v>
      </c>
      <c r="D2432">
        <v>2515</v>
      </c>
      <c r="E2432">
        <v>1014</v>
      </c>
      <c r="F2432">
        <v>2</v>
      </c>
      <c r="G2432" t="s">
        <v>1475</v>
      </c>
      <c r="H2432" t="s">
        <v>16</v>
      </c>
      <c r="I2432" t="s">
        <v>1339</v>
      </c>
      <c r="J2432" t="s">
        <v>1421</v>
      </c>
    </row>
    <row r="2433" spans="1:10">
      <c r="A2433">
        <v>52432</v>
      </c>
      <c r="B2433">
        <v>31407</v>
      </c>
      <c r="C2433" t="s">
        <v>361</v>
      </c>
      <c r="D2433">
        <v>2515</v>
      </c>
      <c r="E2433">
        <v>1003</v>
      </c>
      <c r="F2433">
        <v>1</v>
      </c>
      <c r="G2433" t="s">
        <v>1471</v>
      </c>
      <c r="H2433" t="s">
        <v>16</v>
      </c>
      <c r="I2433" t="s">
        <v>1421</v>
      </c>
      <c r="J2433" t="s">
        <v>1421</v>
      </c>
    </row>
    <row r="2434" spans="1:10">
      <c r="A2434">
        <v>52433</v>
      </c>
      <c r="B2434">
        <v>31408</v>
      </c>
      <c r="C2434" t="s">
        <v>988</v>
      </c>
      <c r="D2434">
        <v>2549</v>
      </c>
      <c r="E2434">
        <v>1009</v>
      </c>
      <c r="F2434">
        <v>1</v>
      </c>
      <c r="G2434" t="s">
        <v>1473</v>
      </c>
      <c r="H2434" t="s">
        <v>9</v>
      </c>
      <c r="I2434" t="s">
        <v>543</v>
      </c>
      <c r="J2434" t="s">
        <v>798</v>
      </c>
    </row>
    <row r="2435" spans="1:10">
      <c r="A2435">
        <v>52434</v>
      </c>
      <c r="B2435">
        <v>31408</v>
      </c>
      <c r="C2435" t="s">
        <v>988</v>
      </c>
      <c r="D2435">
        <v>2549</v>
      </c>
      <c r="E2435">
        <v>1002</v>
      </c>
      <c r="F2435">
        <v>1</v>
      </c>
      <c r="G2435" t="s">
        <v>1466</v>
      </c>
      <c r="H2435" t="s">
        <v>9</v>
      </c>
      <c r="I2435" t="s">
        <v>1051</v>
      </c>
      <c r="J2435" t="s">
        <v>681</v>
      </c>
    </row>
    <row r="2436" spans="1:10">
      <c r="A2436">
        <v>52435</v>
      </c>
      <c r="B2436">
        <v>31408</v>
      </c>
      <c r="C2436" t="s">
        <v>531</v>
      </c>
      <c r="D2436">
        <v>2549</v>
      </c>
      <c r="E2436">
        <v>1010</v>
      </c>
      <c r="F2436">
        <v>1</v>
      </c>
      <c r="G2436" t="s">
        <v>1468</v>
      </c>
      <c r="H2436" t="s">
        <v>9</v>
      </c>
      <c r="I2436" t="s">
        <v>782</v>
      </c>
      <c r="J2436" t="s">
        <v>1221</v>
      </c>
    </row>
    <row r="2437" spans="1:10">
      <c r="A2437">
        <v>52436</v>
      </c>
      <c r="B2437">
        <v>31408</v>
      </c>
      <c r="C2437" t="s">
        <v>988</v>
      </c>
      <c r="D2437">
        <v>2549</v>
      </c>
      <c r="E2437">
        <v>1013</v>
      </c>
      <c r="F2437">
        <v>1</v>
      </c>
      <c r="G2437" t="s">
        <v>1474</v>
      </c>
      <c r="H2437" t="s">
        <v>9</v>
      </c>
      <c r="I2437" t="s">
        <v>782</v>
      </c>
      <c r="J2437" t="s">
        <v>798</v>
      </c>
    </row>
    <row r="2438" spans="1:10">
      <c r="A2438">
        <v>52437</v>
      </c>
      <c r="B2438">
        <v>31409</v>
      </c>
      <c r="C2438" t="s">
        <v>697</v>
      </c>
      <c r="D2438">
        <v>2232</v>
      </c>
      <c r="E2438">
        <v>1003</v>
      </c>
      <c r="F2438">
        <v>2</v>
      </c>
      <c r="G2438" t="s">
        <v>1464</v>
      </c>
      <c r="H2438" t="s">
        <v>9</v>
      </c>
      <c r="I2438" t="s">
        <v>402</v>
      </c>
      <c r="J2438" t="s">
        <v>403</v>
      </c>
    </row>
    <row r="2439" spans="1:10">
      <c r="A2439">
        <v>52438</v>
      </c>
      <c r="B2439">
        <v>31410</v>
      </c>
      <c r="C2439" t="s">
        <v>1155</v>
      </c>
      <c r="D2439">
        <v>2593</v>
      </c>
      <c r="E2439">
        <v>1011</v>
      </c>
      <c r="F2439">
        <v>1</v>
      </c>
      <c r="G2439" t="s">
        <v>1472</v>
      </c>
      <c r="H2439" t="s">
        <v>9</v>
      </c>
      <c r="I2439" t="s">
        <v>923</v>
      </c>
      <c r="J2439" t="s">
        <v>1330</v>
      </c>
    </row>
    <row r="2440" spans="1:10">
      <c r="A2440">
        <v>52439</v>
      </c>
      <c r="B2440">
        <v>31411</v>
      </c>
      <c r="C2440" t="s">
        <v>689</v>
      </c>
      <c r="D2440">
        <v>2280</v>
      </c>
      <c r="E2440">
        <v>1016</v>
      </c>
      <c r="F2440">
        <v>1</v>
      </c>
      <c r="G2440" t="s">
        <v>1465</v>
      </c>
      <c r="H2440" t="s">
        <v>9</v>
      </c>
      <c r="I2440" t="s">
        <v>392</v>
      </c>
      <c r="J2440" t="s">
        <v>1338</v>
      </c>
    </row>
    <row r="2441" spans="1:10">
      <c r="A2441">
        <v>52440</v>
      </c>
      <c r="B2441">
        <v>31411</v>
      </c>
      <c r="C2441" t="s">
        <v>561</v>
      </c>
      <c r="D2441">
        <v>2280</v>
      </c>
      <c r="E2441">
        <v>1014</v>
      </c>
      <c r="F2441">
        <v>1</v>
      </c>
      <c r="G2441" t="s">
        <v>1463</v>
      </c>
      <c r="H2441" t="s">
        <v>9</v>
      </c>
      <c r="I2441" t="s">
        <v>362</v>
      </c>
      <c r="J2441" t="s">
        <v>182</v>
      </c>
    </row>
    <row r="2442" spans="1:10">
      <c r="A2442">
        <v>52441</v>
      </c>
      <c r="B2442">
        <v>31412</v>
      </c>
      <c r="C2442" t="s">
        <v>75</v>
      </c>
      <c r="D2442">
        <v>2215</v>
      </c>
      <c r="E2442">
        <v>1003</v>
      </c>
      <c r="F2442">
        <v>3</v>
      </c>
      <c r="G2442" t="s">
        <v>1507</v>
      </c>
      <c r="H2442" t="s">
        <v>9</v>
      </c>
      <c r="I2442" t="s">
        <v>935</v>
      </c>
      <c r="J2442" t="s">
        <v>640</v>
      </c>
    </row>
    <row r="2443" spans="1:10">
      <c r="A2443">
        <v>52442</v>
      </c>
      <c r="B2443">
        <v>31413</v>
      </c>
      <c r="C2443" t="s">
        <v>1301</v>
      </c>
      <c r="D2443">
        <v>2310</v>
      </c>
      <c r="E2443">
        <v>1010</v>
      </c>
      <c r="F2443">
        <v>2</v>
      </c>
      <c r="G2443" t="s">
        <v>1483</v>
      </c>
      <c r="H2443" t="s">
        <v>9</v>
      </c>
      <c r="I2443" t="s">
        <v>394</v>
      </c>
      <c r="J2443" t="s">
        <v>395</v>
      </c>
    </row>
    <row r="2444" spans="1:10">
      <c r="A2444">
        <v>52443</v>
      </c>
      <c r="B2444">
        <v>31414</v>
      </c>
      <c r="C2444" t="s">
        <v>725</v>
      </c>
      <c r="D2444">
        <v>2444</v>
      </c>
      <c r="E2444">
        <v>1011</v>
      </c>
      <c r="F2444">
        <v>1</v>
      </c>
      <c r="G2444" t="s">
        <v>1472</v>
      </c>
      <c r="H2444" t="s">
        <v>9</v>
      </c>
      <c r="I2444" t="s">
        <v>311</v>
      </c>
      <c r="J2444" t="s">
        <v>395</v>
      </c>
    </row>
    <row r="2445" spans="1:10">
      <c r="A2445">
        <v>52444</v>
      </c>
      <c r="B2445">
        <v>31415</v>
      </c>
      <c r="C2445" t="s">
        <v>1315</v>
      </c>
      <c r="D2445">
        <v>2205</v>
      </c>
      <c r="E2445">
        <v>1009</v>
      </c>
      <c r="F2445">
        <v>2</v>
      </c>
      <c r="G2445" t="s">
        <v>1479</v>
      </c>
      <c r="H2445" t="s">
        <v>9</v>
      </c>
      <c r="I2445" t="s">
        <v>717</v>
      </c>
      <c r="J2445" t="s">
        <v>1189</v>
      </c>
    </row>
    <row r="2446" spans="1:10">
      <c r="A2446">
        <v>52445</v>
      </c>
      <c r="B2446">
        <v>31415</v>
      </c>
      <c r="C2446" t="s">
        <v>83</v>
      </c>
      <c r="D2446">
        <v>2205</v>
      </c>
      <c r="E2446">
        <v>1015</v>
      </c>
      <c r="F2446">
        <v>2</v>
      </c>
      <c r="G2446" t="s">
        <v>1488</v>
      </c>
      <c r="H2446" t="s">
        <v>9</v>
      </c>
      <c r="I2446" t="s">
        <v>717</v>
      </c>
      <c r="J2446" t="s">
        <v>347</v>
      </c>
    </row>
    <row r="2447" spans="1:10">
      <c r="A2447">
        <v>52446</v>
      </c>
      <c r="B2447">
        <v>31416</v>
      </c>
      <c r="C2447" t="s">
        <v>929</v>
      </c>
      <c r="D2447">
        <v>2561</v>
      </c>
      <c r="E2447">
        <v>1001</v>
      </c>
      <c r="F2447">
        <v>1</v>
      </c>
      <c r="G2447" t="s">
        <v>1469</v>
      </c>
      <c r="H2447" t="s">
        <v>9</v>
      </c>
      <c r="I2447" t="s">
        <v>1083</v>
      </c>
      <c r="J2447" t="s">
        <v>747</v>
      </c>
    </row>
    <row r="2448" spans="1:10">
      <c r="A2448">
        <v>52447</v>
      </c>
      <c r="B2448">
        <v>31416</v>
      </c>
      <c r="C2448" t="s">
        <v>1155</v>
      </c>
      <c r="D2448">
        <v>2561</v>
      </c>
      <c r="E2448">
        <v>1006</v>
      </c>
      <c r="F2448">
        <v>1</v>
      </c>
      <c r="G2448" t="s">
        <v>1459</v>
      </c>
      <c r="H2448" t="s">
        <v>9</v>
      </c>
      <c r="I2448" t="s">
        <v>696</v>
      </c>
      <c r="J2448" t="s">
        <v>590</v>
      </c>
    </row>
    <row r="2449" spans="1:10">
      <c r="A2449">
        <v>52448</v>
      </c>
      <c r="B2449">
        <v>31416</v>
      </c>
      <c r="C2449" t="s">
        <v>929</v>
      </c>
      <c r="D2449">
        <v>2561</v>
      </c>
      <c r="E2449">
        <v>1016</v>
      </c>
      <c r="F2449">
        <v>2</v>
      </c>
      <c r="G2449" t="s">
        <v>1500</v>
      </c>
      <c r="H2449" t="s">
        <v>9</v>
      </c>
      <c r="I2449" t="s">
        <v>1025</v>
      </c>
      <c r="J2449" t="s">
        <v>925</v>
      </c>
    </row>
    <row r="2450" spans="1:10">
      <c r="A2450">
        <v>52449</v>
      </c>
      <c r="B2450">
        <v>31417</v>
      </c>
      <c r="C2450" t="s">
        <v>666</v>
      </c>
      <c r="D2450">
        <v>2219</v>
      </c>
      <c r="E2450">
        <v>1015</v>
      </c>
      <c r="F2450">
        <v>1</v>
      </c>
      <c r="G2450" t="s">
        <v>1478</v>
      </c>
      <c r="H2450" t="s">
        <v>9</v>
      </c>
      <c r="I2450" t="s">
        <v>1194</v>
      </c>
      <c r="J2450" t="s">
        <v>631</v>
      </c>
    </row>
    <row r="2451" spans="1:10">
      <c r="A2451">
        <v>52450</v>
      </c>
      <c r="B2451">
        <v>31418</v>
      </c>
      <c r="C2451" t="s">
        <v>268</v>
      </c>
      <c r="D2451">
        <v>2275</v>
      </c>
      <c r="E2451">
        <v>1014</v>
      </c>
      <c r="F2451">
        <v>2</v>
      </c>
      <c r="G2451" t="s">
        <v>1475</v>
      </c>
      <c r="H2451" t="s">
        <v>12</v>
      </c>
      <c r="I2451" t="s">
        <v>1421</v>
      </c>
      <c r="J2451" t="s">
        <v>1421</v>
      </c>
    </row>
    <row r="2452" spans="1:10">
      <c r="A2452">
        <v>52451</v>
      </c>
      <c r="B2452">
        <v>31419</v>
      </c>
      <c r="C2452" t="s">
        <v>156</v>
      </c>
      <c r="D2452">
        <v>2580</v>
      </c>
      <c r="E2452">
        <v>1002</v>
      </c>
      <c r="F2452">
        <v>1</v>
      </c>
      <c r="G2452" t="s">
        <v>1466</v>
      </c>
      <c r="H2452" t="s">
        <v>9</v>
      </c>
      <c r="I2452" t="s">
        <v>832</v>
      </c>
      <c r="J2452" t="s">
        <v>996</v>
      </c>
    </row>
    <row r="2453" spans="1:10">
      <c r="A2453">
        <v>52452</v>
      </c>
      <c r="B2453">
        <v>31420</v>
      </c>
      <c r="C2453" t="s">
        <v>348</v>
      </c>
      <c r="D2453">
        <v>2535</v>
      </c>
      <c r="E2453">
        <v>1015</v>
      </c>
      <c r="F2453">
        <v>2</v>
      </c>
      <c r="G2453" t="s">
        <v>1488</v>
      </c>
      <c r="H2453" t="s">
        <v>9</v>
      </c>
      <c r="I2453" t="s">
        <v>1054</v>
      </c>
      <c r="J2453" t="s">
        <v>507</v>
      </c>
    </row>
    <row r="2454" spans="1:10">
      <c r="A2454">
        <v>52453</v>
      </c>
      <c r="B2454">
        <v>31421</v>
      </c>
      <c r="C2454" t="s">
        <v>1091</v>
      </c>
      <c r="D2454">
        <v>2152</v>
      </c>
      <c r="E2454">
        <v>1010</v>
      </c>
      <c r="F2454">
        <v>1</v>
      </c>
      <c r="G2454" t="s">
        <v>1468</v>
      </c>
      <c r="H2454" t="s">
        <v>9</v>
      </c>
      <c r="I2454" t="s">
        <v>436</v>
      </c>
      <c r="J2454" t="s">
        <v>921</v>
      </c>
    </row>
    <row r="2455" spans="1:10">
      <c r="A2455">
        <v>52454</v>
      </c>
      <c r="B2455">
        <v>31421</v>
      </c>
      <c r="C2455" t="s">
        <v>565</v>
      </c>
      <c r="D2455">
        <v>2152</v>
      </c>
      <c r="E2455">
        <v>1014</v>
      </c>
      <c r="F2455">
        <v>1</v>
      </c>
      <c r="G2455" t="s">
        <v>1463</v>
      </c>
      <c r="H2455" t="s">
        <v>9</v>
      </c>
      <c r="I2455" t="s">
        <v>911</v>
      </c>
      <c r="J2455" t="s">
        <v>921</v>
      </c>
    </row>
    <row r="2456" spans="1:10">
      <c r="A2456">
        <v>52455</v>
      </c>
      <c r="B2456">
        <v>31422</v>
      </c>
      <c r="C2456" t="s">
        <v>606</v>
      </c>
      <c r="D2456">
        <v>2421</v>
      </c>
      <c r="E2456">
        <v>1003</v>
      </c>
      <c r="F2456">
        <v>1</v>
      </c>
      <c r="G2456" t="s">
        <v>1471</v>
      </c>
      <c r="H2456" t="s">
        <v>9</v>
      </c>
      <c r="I2456" t="s">
        <v>433</v>
      </c>
      <c r="J2456" t="s">
        <v>229</v>
      </c>
    </row>
    <row r="2457" spans="1:10">
      <c r="A2457">
        <v>52456</v>
      </c>
      <c r="B2457">
        <v>31422</v>
      </c>
      <c r="C2457" t="s">
        <v>606</v>
      </c>
      <c r="D2457">
        <v>2421</v>
      </c>
      <c r="E2457">
        <v>1007</v>
      </c>
      <c r="F2457">
        <v>3</v>
      </c>
      <c r="G2457" t="s">
        <v>1446</v>
      </c>
      <c r="H2457" t="s">
        <v>9</v>
      </c>
      <c r="I2457" t="s">
        <v>393</v>
      </c>
      <c r="J2457" t="s">
        <v>607</v>
      </c>
    </row>
    <row r="2458" spans="1:10">
      <c r="A2458">
        <v>52457</v>
      </c>
      <c r="B2458">
        <v>31423</v>
      </c>
      <c r="C2458" t="s">
        <v>288</v>
      </c>
      <c r="D2458">
        <v>2423</v>
      </c>
      <c r="E2458">
        <v>1010</v>
      </c>
      <c r="F2458">
        <v>1</v>
      </c>
      <c r="G2458" t="s">
        <v>1468</v>
      </c>
      <c r="H2458" t="s">
        <v>9</v>
      </c>
      <c r="I2458" t="s">
        <v>989</v>
      </c>
      <c r="J2458" t="s">
        <v>729</v>
      </c>
    </row>
    <row r="2459" spans="1:10">
      <c r="A2459">
        <v>52458</v>
      </c>
      <c r="B2459">
        <v>31423</v>
      </c>
      <c r="C2459" t="s">
        <v>288</v>
      </c>
      <c r="D2459">
        <v>2423</v>
      </c>
      <c r="E2459">
        <v>1006</v>
      </c>
      <c r="F2459">
        <v>2</v>
      </c>
      <c r="G2459" t="s">
        <v>1501</v>
      </c>
      <c r="H2459" t="s">
        <v>9</v>
      </c>
      <c r="I2459" t="s">
        <v>1156</v>
      </c>
      <c r="J2459" t="s">
        <v>147</v>
      </c>
    </row>
    <row r="2460" spans="1:10">
      <c r="A2460">
        <v>52459</v>
      </c>
      <c r="B2460">
        <v>31423</v>
      </c>
      <c r="C2460" t="s">
        <v>185</v>
      </c>
      <c r="D2460">
        <v>2423</v>
      </c>
      <c r="E2460">
        <v>1009</v>
      </c>
      <c r="F2460">
        <v>1</v>
      </c>
      <c r="G2460" t="s">
        <v>1473</v>
      </c>
      <c r="H2460" t="s">
        <v>9</v>
      </c>
      <c r="I2460" t="s">
        <v>808</v>
      </c>
      <c r="J2460" t="s">
        <v>811</v>
      </c>
    </row>
    <row r="2461" spans="1:10">
      <c r="A2461">
        <v>52460</v>
      </c>
      <c r="B2461">
        <v>31424</v>
      </c>
      <c r="C2461" t="s">
        <v>568</v>
      </c>
      <c r="D2461">
        <v>2242</v>
      </c>
      <c r="E2461">
        <v>1004</v>
      </c>
      <c r="F2461">
        <v>1</v>
      </c>
      <c r="G2461" t="s">
        <v>1452</v>
      </c>
      <c r="H2461" t="s">
        <v>9</v>
      </c>
      <c r="I2461" t="s">
        <v>771</v>
      </c>
      <c r="J2461" t="s">
        <v>991</v>
      </c>
    </row>
    <row r="2462" spans="1:10">
      <c r="A2462">
        <v>52461</v>
      </c>
      <c r="B2462">
        <v>31425</v>
      </c>
      <c r="C2462" t="s">
        <v>280</v>
      </c>
      <c r="D2462">
        <v>2154</v>
      </c>
      <c r="E2462">
        <v>1008</v>
      </c>
      <c r="F2462">
        <v>1</v>
      </c>
      <c r="G2462" t="s">
        <v>1447</v>
      </c>
      <c r="H2462" t="s">
        <v>9</v>
      </c>
      <c r="I2462" t="s">
        <v>282</v>
      </c>
      <c r="J2462" t="s">
        <v>198</v>
      </c>
    </row>
    <row r="2463" spans="1:10">
      <c r="A2463">
        <v>52462</v>
      </c>
      <c r="B2463">
        <v>31425</v>
      </c>
      <c r="C2463" t="s">
        <v>251</v>
      </c>
      <c r="D2463">
        <v>2154</v>
      </c>
      <c r="E2463">
        <v>1010</v>
      </c>
      <c r="F2463">
        <v>3</v>
      </c>
      <c r="G2463" t="s">
        <v>1514</v>
      </c>
      <c r="H2463" t="s">
        <v>9</v>
      </c>
      <c r="I2463" t="s">
        <v>281</v>
      </c>
      <c r="J2463" t="s">
        <v>490</v>
      </c>
    </row>
    <row r="2464" spans="1:10">
      <c r="A2464">
        <v>52463</v>
      </c>
      <c r="B2464">
        <v>31426</v>
      </c>
      <c r="C2464" t="s">
        <v>518</v>
      </c>
      <c r="D2464">
        <v>2476</v>
      </c>
      <c r="E2464">
        <v>1014</v>
      </c>
      <c r="F2464">
        <v>3</v>
      </c>
      <c r="G2464" t="s">
        <v>1505</v>
      </c>
      <c r="H2464" t="s">
        <v>9</v>
      </c>
      <c r="I2464" t="s">
        <v>432</v>
      </c>
      <c r="J2464" t="s">
        <v>802</v>
      </c>
    </row>
    <row r="2465" spans="1:10">
      <c r="A2465">
        <v>52464</v>
      </c>
      <c r="B2465">
        <v>31426</v>
      </c>
      <c r="C2465" t="s">
        <v>539</v>
      </c>
      <c r="D2465">
        <v>2476</v>
      </c>
      <c r="E2465">
        <v>1014</v>
      </c>
      <c r="F2465">
        <v>3</v>
      </c>
      <c r="G2465" t="s">
        <v>1505</v>
      </c>
      <c r="H2465" t="s">
        <v>9</v>
      </c>
      <c r="I2465" t="s">
        <v>432</v>
      </c>
      <c r="J2465" t="s">
        <v>800</v>
      </c>
    </row>
    <row r="2466" spans="1:10">
      <c r="A2466">
        <v>52465</v>
      </c>
      <c r="B2466">
        <v>31427</v>
      </c>
      <c r="C2466" t="s">
        <v>1340</v>
      </c>
      <c r="D2466">
        <v>2038</v>
      </c>
      <c r="E2466">
        <v>1009</v>
      </c>
      <c r="F2466">
        <v>4</v>
      </c>
      <c r="G2466" t="s">
        <v>1494</v>
      </c>
      <c r="H2466" t="s">
        <v>9</v>
      </c>
      <c r="I2466" t="s">
        <v>662</v>
      </c>
      <c r="J2466" t="s">
        <v>1087</v>
      </c>
    </row>
    <row r="2467" spans="1:10">
      <c r="A2467">
        <v>52466</v>
      </c>
      <c r="B2467">
        <v>31428</v>
      </c>
      <c r="C2467" t="s">
        <v>739</v>
      </c>
      <c r="D2467">
        <v>2140</v>
      </c>
      <c r="E2467">
        <v>1009</v>
      </c>
      <c r="F2467">
        <v>1</v>
      </c>
      <c r="G2467" t="s">
        <v>1473</v>
      </c>
      <c r="H2467" t="s">
        <v>9</v>
      </c>
      <c r="I2467" t="s">
        <v>625</v>
      </c>
      <c r="J2467" t="s">
        <v>1178</v>
      </c>
    </row>
    <row r="2468" spans="1:10">
      <c r="A2468">
        <v>52467</v>
      </c>
      <c r="B2468">
        <v>31429</v>
      </c>
      <c r="C2468" t="s">
        <v>157</v>
      </c>
      <c r="D2468">
        <v>2564</v>
      </c>
      <c r="E2468">
        <v>1002</v>
      </c>
      <c r="F2468">
        <v>3</v>
      </c>
      <c r="G2468" t="s">
        <v>1508</v>
      </c>
      <c r="H2468" t="s">
        <v>9</v>
      </c>
      <c r="I2468" t="s">
        <v>765</v>
      </c>
      <c r="J2468" t="s">
        <v>48</v>
      </c>
    </row>
    <row r="2469" spans="1:10">
      <c r="A2469">
        <v>52468</v>
      </c>
      <c r="B2469">
        <v>31429</v>
      </c>
      <c r="C2469" t="s">
        <v>157</v>
      </c>
      <c r="D2469">
        <v>2564</v>
      </c>
      <c r="E2469">
        <v>1016</v>
      </c>
      <c r="F2469">
        <v>1</v>
      </c>
      <c r="G2469" t="s">
        <v>1465</v>
      </c>
      <c r="H2469" t="s">
        <v>9</v>
      </c>
      <c r="I2469" t="s">
        <v>895</v>
      </c>
      <c r="J2469" t="s">
        <v>302</v>
      </c>
    </row>
    <row r="2470" spans="1:10">
      <c r="A2470">
        <v>52469</v>
      </c>
      <c r="B2470">
        <v>31429</v>
      </c>
      <c r="C2470" t="s">
        <v>157</v>
      </c>
      <c r="D2470">
        <v>2564</v>
      </c>
      <c r="E2470">
        <v>1001</v>
      </c>
      <c r="F2470">
        <v>1</v>
      </c>
      <c r="G2470" t="s">
        <v>1469</v>
      </c>
      <c r="H2470" t="s">
        <v>9</v>
      </c>
      <c r="I2470" t="s">
        <v>764</v>
      </c>
      <c r="J2470" t="s">
        <v>866</v>
      </c>
    </row>
    <row r="2471" spans="1:10">
      <c r="A2471">
        <v>52470</v>
      </c>
      <c r="B2471">
        <v>31430</v>
      </c>
      <c r="C2471" t="s">
        <v>466</v>
      </c>
      <c r="D2471">
        <v>2057</v>
      </c>
      <c r="E2471">
        <v>1003</v>
      </c>
      <c r="F2471">
        <v>2</v>
      </c>
      <c r="G2471" t="s">
        <v>1464</v>
      </c>
      <c r="H2471" t="s">
        <v>16</v>
      </c>
      <c r="I2471" t="s">
        <v>1421</v>
      </c>
      <c r="J2471" t="s">
        <v>1421</v>
      </c>
    </row>
    <row r="2472" spans="1:10">
      <c r="A2472">
        <v>52471</v>
      </c>
      <c r="B2472">
        <v>31431</v>
      </c>
      <c r="C2472" t="s">
        <v>169</v>
      </c>
      <c r="D2472">
        <v>2306</v>
      </c>
      <c r="E2472">
        <v>1014</v>
      </c>
      <c r="F2472">
        <v>1</v>
      </c>
      <c r="G2472" t="s">
        <v>1463</v>
      </c>
      <c r="H2472" t="s">
        <v>12</v>
      </c>
      <c r="I2472" t="s">
        <v>1421</v>
      </c>
      <c r="J2472" t="s">
        <v>1421</v>
      </c>
    </row>
    <row r="2473" spans="1:10">
      <c r="A2473">
        <v>52472</v>
      </c>
      <c r="B2473">
        <v>31431</v>
      </c>
      <c r="C2473" t="s">
        <v>1073</v>
      </c>
      <c r="D2473">
        <v>2306</v>
      </c>
      <c r="E2473">
        <v>1012</v>
      </c>
      <c r="F2473">
        <v>1</v>
      </c>
      <c r="G2473" t="s">
        <v>1449</v>
      </c>
      <c r="H2473" t="s">
        <v>12</v>
      </c>
      <c r="I2473" t="s">
        <v>1421</v>
      </c>
      <c r="J2473" t="s">
        <v>1421</v>
      </c>
    </row>
    <row r="2474" spans="1:10">
      <c r="A2474">
        <v>52473</v>
      </c>
      <c r="B2474">
        <v>31431</v>
      </c>
      <c r="C2474" t="s">
        <v>169</v>
      </c>
      <c r="D2474">
        <v>2306</v>
      </c>
      <c r="E2474">
        <v>1003</v>
      </c>
      <c r="F2474">
        <v>1</v>
      </c>
      <c r="G2474" t="s">
        <v>1471</v>
      </c>
      <c r="H2474" t="s">
        <v>12</v>
      </c>
      <c r="I2474" t="s">
        <v>1421</v>
      </c>
      <c r="J2474" t="s">
        <v>1421</v>
      </c>
    </row>
    <row r="2475" spans="1:10">
      <c r="A2475">
        <v>52474</v>
      </c>
      <c r="B2475">
        <v>31431</v>
      </c>
      <c r="C2475" t="s">
        <v>1028</v>
      </c>
      <c r="D2475">
        <v>2306</v>
      </c>
      <c r="E2475">
        <v>1013</v>
      </c>
      <c r="F2475">
        <v>1</v>
      </c>
      <c r="G2475" t="s">
        <v>1474</v>
      </c>
      <c r="H2475" t="s">
        <v>12</v>
      </c>
      <c r="I2475" t="s">
        <v>1421</v>
      </c>
      <c r="J2475" t="s">
        <v>1421</v>
      </c>
    </row>
    <row r="2476" spans="1:10">
      <c r="A2476">
        <v>52475</v>
      </c>
      <c r="B2476">
        <v>31432</v>
      </c>
      <c r="C2476" t="s">
        <v>1158</v>
      </c>
      <c r="D2476">
        <v>2144</v>
      </c>
      <c r="E2476">
        <v>1004</v>
      </c>
      <c r="F2476">
        <v>1</v>
      </c>
      <c r="G2476" t="s">
        <v>1452</v>
      </c>
      <c r="H2476" t="s">
        <v>9</v>
      </c>
      <c r="I2476" t="s">
        <v>282</v>
      </c>
      <c r="J2476" t="s">
        <v>715</v>
      </c>
    </row>
    <row r="2477" spans="1:10">
      <c r="A2477">
        <v>52476</v>
      </c>
      <c r="B2477">
        <v>31432</v>
      </c>
      <c r="C2477" t="s">
        <v>468</v>
      </c>
      <c r="D2477">
        <v>2144</v>
      </c>
      <c r="E2477">
        <v>1009</v>
      </c>
      <c r="F2477">
        <v>3</v>
      </c>
      <c r="G2477" t="s">
        <v>1461</v>
      </c>
      <c r="H2477" t="s">
        <v>9</v>
      </c>
      <c r="I2477" t="s">
        <v>1210</v>
      </c>
      <c r="J2477" t="s">
        <v>1105</v>
      </c>
    </row>
    <row r="2478" spans="1:10">
      <c r="A2478">
        <v>52477</v>
      </c>
      <c r="B2478">
        <v>31433</v>
      </c>
      <c r="C2478" t="s">
        <v>782</v>
      </c>
      <c r="D2478">
        <v>2509</v>
      </c>
      <c r="E2478">
        <v>1008</v>
      </c>
      <c r="F2478">
        <v>2</v>
      </c>
      <c r="G2478" t="s">
        <v>1520</v>
      </c>
      <c r="H2478" t="s">
        <v>228</v>
      </c>
      <c r="I2478" t="s">
        <v>1421</v>
      </c>
      <c r="J2478" t="s">
        <v>1421</v>
      </c>
    </row>
    <row r="2479" spans="1:10">
      <c r="A2479">
        <v>52478</v>
      </c>
      <c r="B2479">
        <v>31433</v>
      </c>
      <c r="C2479" t="s">
        <v>178</v>
      </c>
      <c r="D2479">
        <v>2509</v>
      </c>
      <c r="E2479">
        <v>1004</v>
      </c>
      <c r="F2479">
        <v>3</v>
      </c>
      <c r="G2479" t="s">
        <v>1481</v>
      </c>
      <c r="H2479" t="s">
        <v>12</v>
      </c>
      <c r="I2479" t="s">
        <v>1421</v>
      </c>
      <c r="J2479" t="s">
        <v>1421</v>
      </c>
    </row>
    <row r="2480" spans="1:10">
      <c r="A2480">
        <v>52479</v>
      </c>
      <c r="B2480">
        <v>31434</v>
      </c>
      <c r="C2480" t="s">
        <v>1329</v>
      </c>
      <c r="D2480">
        <v>2321</v>
      </c>
      <c r="E2480">
        <v>1013</v>
      </c>
      <c r="F2480">
        <v>2</v>
      </c>
      <c r="G2480" t="s">
        <v>1492</v>
      </c>
      <c r="H2480" t="s">
        <v>9</v>
      </c>
      <c r="I2480" t="s">
        <v>345</v>
      </c>
      <c r="J2480" t="s">
        <v>978</v>
      </c>
    </row>
    <row r="2481" spans="1:10">
      <c r="A2481">
        <v>52480</v>
      </c>
      <c r="B2481">
        <v>31434</v>
      </c>
      <c r="C2481" t="s">
        <v>748</v>
      </c>
      <c r="D2481">
        <v>2321</v>
      </c>
      <c r="E2481">
        <v>1008</v>
      </c>
      <c r="F2481">
        <v>1</v>
      </c>
      <c r="G2481" t="s">
        <v>1447</v>
      </c>
      <c r="H2481" t="s">
        <v>9</v>
      </c>
      <c r="I2481" t="s">
        <v>590</v>
      </c>
      <c r="J2481" t="s">
        <v>241</v>
      </c>
    </row>
    <row r="2482" spans="1:10">
      <c r="A2482">
        <v>52481</v>
      </c>
      <c r="B2482">
        <v>31434</v>
      </c>
      <c r="C2482" t="s">
        <v>748</v>
      </c>
      <c r="D2482">
        <v>2321</v>
      </c>
      <c r="E2482">
        <v>1014</v>
      </c>
      <c r="F2482">
        <v>1</v>
      </c>
      <c r="G2482" t="s">
        <v>1463</v>
      </c>
      <c r="H2482" t="s">
        <v>9</v>
      </c>
      <c r="I2482" t="s">
        <v>590</v>
      </c>
      <c r="J2482" t="s">
        <v>1284</v>
      </c>
    </row>
    <row r="2483" spans="1:10">
      <c r="A2483">
        <v>52482</v>
      </c>
      <c r="B2483">
        <v>31435</v>
      </c>
      <c r="C2483" t="s">
        <v>1075</v>
      </c>
      <c r="D2483">
        <v>2224</v>
      </c>
      <c r="E2483">
        <v>1006</v>
      </c>
      <c r="F2483">
        <v>1</v>
      </c>
      <c r="G2483" t="s">
        <v>1459</v>
      </c>
      <c r="H2483" t="s">
        <v>9</v>
      </c>
      <c r="I2483" t="s">
        <v>429</v>
      </c>
      <c r="J2483" t="s">
        <v>1331</v>
      </c>
    </row>
    <row r="2484" spans="1:10">
      <c r="A2484">
        <v>52483</v>
      </c>
      <c r="B2484">
        <v>31436</v>
      </c>
      <c r="C2484" t="s">
        <v>311</v>
      </c>
      <c r="D2484">
        <v>2220</v>
      </c>
      <c r="E2484">
        <v>1015</v>
      </c>
      <c r="F2484">
        <v>1</v>
      </c>
      <c r="G2484" t="s">
        <v>1478</v>
      </c>
      <c r="H2484" t="s">
        <v>11</v>
      </c>
      <c r="I2484" t="s">
        <v>318</v>
      </c>
      <c r="J2484" t="s">
        <v>548</v>
      </c>
    </row>
    <row r="2485" spans="1:10">
      <c r="A2485">
        <v>52484</v>
      </c>
      <c r="B2485">
        <v>31436</v>
      </c>
      <c r="C2485" t="s">
        <v>311</v>
      </c>
      <c r="D2485">
        <v>2220</v>
      </c>
      <c r="E2485">
        <v>1014</v>
      </c>
      <c r="F2485">
        <v>1</v>
      </c>
      <c r="G2485" t="s">
        <v>1463</v>
      </c>
      <c r="H2485" t="s">
        <v>11</v>
      </c>
      <c r="I2485" t="s">
        <v>891</v>
      </c>
      <c r="J2485" t="s">
        <v>396</v>
      </c>
    </row>
    <row r="2486" spans="1:10">
      <c r="A2486">
        <v>52485</v>
      </c>
      <c r="B2486">
        <v>31437</v>
      </c>
      <c r="C2486" t="s">
        <v>929</v>
      </c>
      <c r="D2486">
        <v>2261</v>
      </c>
      <c r="E2486">
        <v>1002</v>
      </c>
      <c r="F2486">
        <v>1</v>
      </c>
      <c r="G2486" t="s">
        <v>1466</v>
      </c>
      <c r="H2486" t="s">
        <v>12</v>
      </c>
      <c r="I2486" t="s">
        <v>1421</v>
      </c>
      <c r="J2486" t="s">
        <v>1421</v>
      </c>
    </row>
    <row r="2487" spans="1:10">
      <c r="A2487">
        <v>52486</v>
      </c>
      <c r="B2487">
        <v>31437</v>
      </c>
      <c r="C2487" t="s">
        <v>1183</v>
      </c>
      <c r="D2487">
        <v>2261</v>
      </c>
      <c r="E2487">
        <v>1016</v>
      </c>
      <c r="F2487">
        <v>4</v>
      </c>
      <c r="G2487" t="s">
        <v>1522</v>
      </c>
      <c r="H2487" t="s">
        <v>199</v>
      </c>
      <c r="I2487" t="s">
        <v>1421</v>
      </c>
      <c r="J2487" t="s">
        <v>1421</v>
      </c>
    </row>
    <row r="2488" spans="1:10">
      <c r="A2488">
        <v>52487</v>
      </c>
      <c r="B2488">
        <v>31438</v>
      </c>
      <c r="C2488" t="s">
        <v>1058</v>
      </c>
      <c r="D2488">
        <v>2547</v>
      </c>
      <c r="E2488">
        <v>1004</v>
      </c>
      <c r="F2488">
        <v>2</v>
      </c>
      <c r="G2488" t="s">
        <v>1476</v>
      </c>
      <c r="H2488" t="s">
        <v>68</v>
      </c>
      <c r="I2488" t="s">
        <v>808</v>
      </c>
      <c r="J2488" t="s">
        <v>248</v>
      </c>
    </row>
    <row r="2489" spans="1:10">
      <c r="A2489">
        <v>52488</v>
      </c>
      <c r="B2489">
        <v>31438</v>
      </c>
      <c r="C2489" t="s">
        <v>1055</v>
      </c>
      <c r="D2489">
        <v>2547</v>
      </c>
      <c r="E2489">
        <v>1011</v>
      </c>
      <c r="F2489">
        <v>2</v>
      </c>
      <c r="G2489" t="s">
        <v>1487</v>
      </c>
      <c r="H2489" t="s">
        <v>9</v>
      </c>
      <c r="I2489" t="s">
        <v>808</v>
      </c>
      <c r="J2489" t="s">
        <v>1146</v>
      </c>
    </row>
    <row r="2490" spans="1:10">
      <c r="A2490">
        <v>52489</v>
      </c>
      <c r="B2490">
        <v>31439</v>
      </c>
      <c r="C2490" t="s">
        <v>740</v>
      </c>
      <c r="D2490">
        <v>2559</v>
      </c>
      <c r="E2490">
        <v>1008</v>
      </c>
      <c r="F2490">
        <v>1</v>
      </c>
      <c r="G2490" t="s">
        <v>1447</v>
      </c>
      <c r="H2490" t="s">
        <v>9</v>
      </c>
      <c r="I2490" t="s">
        <v>300</v>
      </c>
      <c r="J2490" t="s">
        <v>623</v>
      </c>
    </row>
    <row r="2491" spans="1:10">
      <c r="A2491">
        <v>52490</v>
      </c>
      <c r="B2491">
        <v>31440</v>
      </c>
      <c r="C2491" t="s">
        <v>622</v>
      </c>
      <c r="D2491">
        <v>2285</v>
      </c>
      <c r="E2491">
        <v>1005</v>
      </c>
      <c r="F2491">
        <v>1</v>
      </c>
      <c r="G2491" t="s">
        <v>1456</v>
      </c>
      <c r="H2491" t="s">
        <v>12</v>
      </c>
      <c r="I2491" t="s">
        <v>1421</v>
      </c>
      <c r="J2491" t="s">
        <v>1421</v>
      </c>
    </row>
    <row r="2492" spans="1:10">
      <c r="A2492">
        <v>52491</v>
      </c>
      <c r="B2492">
        <v>31440</v>
      </c>
      <c r="C2492" t="s">
        <v>622</v>
      </c>
      <c r="D2492">
        <v>2285</v>
      </c>
      <c r="E2492">
        <v>1012</v>
      </c>
      <c r="F2492">
        <v>1</v>
      </c>
      <c r="G2492" t="s">
        <v>1449</v>
      </c>
      <c r="H2492" t="s">
        <v>12</v>
      </c>
      <c r="I2492" t="s">
        <v>1421</v>
      </c>
      <c r="J2492" t="s">
        <v>1421</v>
      </c>
    </row>
    <row r="2493" spans="1:10">
      <c r="A2493">
        <v>52492</v>
      </c>
      <c r="B2493">
        <v>31441</v>
      </c>
      <c r="C2493" t="s">
        <v>542</v>
      </c>
      <c r="D2493">
        <v>2487</v>
      </c>
      <c r="E2493">
        <v>1010</v>
      </c>
      <c r="F2493">
        <v>1</v>
      </c>
      <c r="G2493" t="s">
        <v>1468</v>
      </c>
      <c r="H2493" t="s">
        <v>9</v>
      </c>
      <c r="I2493" t="s">
        <v>329</v>
      </c>
      <c r="J2493" t="s">
        <v>523</v>
      </c>
    </row>
    <row r="2494" spans="1:10">
      <c r="A2494">
        <v>52493</v>
      </c>
      <c r="B2494">
        <v>31441</v>
      </c>
      <c r="C2494" t="s">
        <v>306</v>
      </c>
      <c r="D2494">
        <v>2487</v>
      </c>
      <c r="E2494">
        <v>1001</v>
      </c>
      <c r="F2494">
        <v>2</v>
      </c>
      <c r="G2494" t="s">
        <v>1460</v>
      </c>
      <c r="H2494" t="s">
        <v>9</v>
      </c>
      <c r="I2494" t="s">
        <v>843</v>
      </c>
      <c r="J2494" t="s">
        <v>464</v>
      </c>
    </row>
    <row r="2495" spans="1:10">
      <c r="A2495">
        <v>52494</v>
      </c>
      <c r="B2495">
        <v>31442</v>
      </c>
      <c r="C2495" t="s">
        <v>753</v>
      </c>
      <c r="D2495">
        <v>2036</v>
      </c>
      <c r="E2495">
        <v>1002</v>
      </c>
      <c r="F2495">
        <v>2</v>
      </c>
      <c r="G2495" t="s">
        <v>1482</v>
      </c>
      <c r="H2495" t="s">
        <v>16</v>
      </c>
      <c r="I2495" t="s">
        <v>1421</v>
      </c>
      <c r="J2495" t="s">
        <v>1421</v>
      </c>
    </row>
    <row r="2496" spans="1:10">
      <c r="A2496">
        <v>52495</v>
      </c>
      <c r="B2496">
        <v>31443</v>
      </c>
      <c r="C2496" t="s">
        <v>1210</v>
      </c>
      <c r="D2496">
        <v>2246</v>
      </c>
      <c r="E2496">
        <v>1013</v>
      </c>
      <c r="F2496">
        <v>1</v>
      </c>
      <c r="G2496" t="s">
        <v>1474</v>
      </c>
      <c r="H2496" t="s">
        <v>9</v>
      </c>
      <c r="I2496" t="s">
        <v>1169</v>
      </c>
      <c r="J2496" t="s">
        <v>1243</v>
      </c>
    </row>
    <row r="2497" spans="1:10">
      <c r="A2497">
        <v>52496</v>
      </c>
      <c r="B2497">
        <v>31443</v>
      </c>
      <c r="C2497" t="s">
        <v>918</v>
      </c>
      <c r="D2497">
        <v>2246</v>
      </c>
      <c r="E2497">
        <v>1010</v>
      </c>
      <c r="F2497">
        <v>1</v>
      </c>
      <c r="G2497" t="s">
        <v>1468</v>
      </c>
      <c r="H2497" t="s">
        <v>9</v>
      </c>
      <c r="I2497" t="s">
        <v>1341</v>
      </c>
      <c r="J2497" t="s">
        <v>1143</v>
      </c>
    </row>
    <row r="2498" spans="1:10">
      <c r="A2498">
        <v>52497</v>
      </c>
      <c r="B2498">
        <v>31443</v>
      </c>
      <c r="C2498" t="s">
        <v>918</v>
      </c>
      <c r="D2498">
        <v>2246</v>
      </c>
      <c r="E2498">
        <v>1012</v>
      </c>
      <c r="F2498">
        <v>3</v>
      </c>
      <c r="G2498" t="s">
        <v>1448</v>
      </c>
      <c r="H2498" t="s">
        <v>9</v>
      </c>
      <c r="I2498" t="s">
        <v>1169</v>
      </c>
      <c r="J2498" t="s">
        <v>940</v>
      </c>
    </row>
    <row r="2499" spans="1:10">
      <c r="A2499">
        <v>52498</v>
      </c>
      <c r="B2499">
        <v>31444</v>
      </c>
      <c r="C2499" t="s">
        <v>19</v>
      </c>
      <c r="D2499">
        <v>2125</v>
      </c>
      <c r="E2499">
        <v>1008</v>
      </c>
      <c r="F2499">
        <v>3</v>
      </c>
      <c r="G2499" t="s">
        <v>1491</v>
      </c>
      <c r="H2499" t="s">
        <v>9</v>
      </c>
      <c r="I2499" t="s">
        <v>244</v>
      </c>
      <c r="J2499" t="s">
        <v>964</v>
      </c>
    </row>
    <row r="2500" spans="1:10">
      <c r="A2500">
        <v>52499</v>
      </c>
      <c r="B2500">
        <v>31444</v>
      </c>
      <c r="C2500" t="s">
        <v>19</v>
      </c>
      <c r="D2500">
        <v>2125</v>
      </c>
      <c r="E2500">
        <v>1015</v>
      </c>
      <c r="F2500">
        <v>3</v>
      </c>
      <c r="G2500" t="s">
        <v>1470</v>
      </c>
      <c r="H2500" t="s">
        <v>9</v>
      </c>
      <c r="I2500" t="s">
        <v>312</v>
      </c>
      <c r="J2500" t="s">
        <v>964</v>
      </c>
    </row>
    <row r="2501" spans="1:10">
      <c r="A2501">
        <v>52500</v>
      </c>
      <c r="B2501">
        <v>31445</v>
      </c>
      <c r="C2501" t="s">
        <v>1342</v>
      </c>
      <c r="D2501">
        <v>2398</v>
      </c>
      <c r="E2501">
        <v>1013</v>
      </c>
      <c r="F2501">
        <v>2</v>
      </c>
      <c r="G2501" t="s">
        <v>1492</v>
      </c>
      <c r="H2501" t="s">
        <v>9</v>
      </c>
      <c r="I2501" t="s">
        <v>1238</v>
      </c>
      <c r="J2501" t="s">
        <v>459</v>
      </c>
    </row>
    <row r="2502" spans="1:10">
      <c r="A2502">
        <v>52501</v>
      </c>
      <c r="B2502">
        <v>31446</v>
      </c>
      <c r="C2502" t="s">
        <v>83</v>
      </c>
      <c r="D2502">
        <v>2262</v>
      </c>
      <c r="E2502">
        <v>1008</v>
      </c>
      <c r="F2502">
        <v>1</v>
      </c>
      <c r="G2502" t="s">
        <v>1447</v>
      </c>
      <c r="H2502" t="s">
        <v>9</v>
      </c>
      <c r="I2502" t="s">
        <v>519</v>
      </c>
      <c r="J2502" t="s">
        <v>1044</v>
      </c>
    </row>
    <row r="2503" spans="1:10">
      <c r="A2503">
        <v>52502</v>
      </c>
      <c r="B2503">
        <v>31447</v>
      </c>
      <c r="C2503" t="s">
        <v>587</v>
      </c>
      <c r="D2503">
        <v>2305</v>
      </c>
      <c r="E2503">
        <v>1006</v>
      </c>
      <c r="F2503">
        <v>1</v>
      </c>
      <c r="G2503" t="s">
        <v>1459</v>
      </c>
      <c r="H2503" t="s">
        <v>9</v>
      </c>
      <c r="I2503" t="s">
        <v>641</v>
      </c>
      <c r="J2503" t="s">
        <v>968</v>
      </c>
    </row>
    <row r="2504" spans="1:10">
      <c r="A2504">
        <v>52503</v>
      </c>
      <c r="B2504">
        <v>31447</v>
      </c>
      <c r="C2504" t="s">
        <v>236</v>
      </c>
      <c r="D2504">
        <v>2305</v>
      </c>
      <c r="E2504">
        <v>1015</v>
      </c>
      <c r="F2504">
        <v>1</v>
      </c>
      <c r="G2504" t="s">
        <v>1478</v>
      </c>
      <c r="H2504" t="s">
        <v>9</v>
      </c>
      <c r="I2504" t="s">
        <v>299</v>
      </c>
      <c r="J2504" t="s">
        <v>249</v>
      </c>
    </row>
    <row r="2505" spans="1:10">
      <c r="A2505">
        <v>52504</v>
      </c>
      <c r="B2505">
        <v>31448</v>
      </c>
      <c r="C2505" t="s">
        <v>274</v>
      </c>
      <c r="D2505">
        <v>2325</v>
      </c>
      <c r="E2505">
        <v>1014</v>
      </c>
      <c r="F2505">
        <v>2</v>
      </c>
      <c r="G2505" t="s">
        <v>1475</v>
      </c>
      <c r="H2505" t="s">
        <v>12</v>
      </c>
      <c r="I2505" t="s">
        <v>1421</v>
      </c>
      <c r="J2505" t="s">
        <v>1421</v>
      </c>
    </row>
    <row r="2506" spans="1:10">
      <c r="A2506">
        <v>52505</v>
      </c>
      <c r="B2506">
        <v>31449</v>
      </c>
      <c r="C2506" t="s">
        <v>189</v>
      </c>
      <c r="D2506">
        <v>2035</v>
      </c>
      <c r="E2506">
        <v>1003</v>
      </c>
      <c r="F2506">
        <v>1</v>
      </c>
      <c r="G2506" t="s">
        <v>1471</v>
      </c>
      <c r="H2506" t="s">
        <v>9</v>
      </c>
      <c r="I2506" t="s">
        <v>398</v>
      </c>
      <c r="J2506" t="s">
        <v>978</v>
      </c>
    </row>
    <row r="2507" spans="1:10">
      <c r="A2507">
        <v>52506</v>
      </c>
      <c r="B2507">
        <v>31450</v>
      </c>
      <c r="C2507" t="s">
        <v>1310</v>
      </c>
      <c r="D2507">
        <v>2504</v>
      </c>
      <c r="E2507">
        <v>1014</v>
      </c>
      <c r="F2507">
        <v>1</v>
      </c>
      <c r="G2507" t="s">
        <v>1463</v>
      </c>
      <c r="H2507" t="s">
        <v>1457</v>
      </c>
      <c r="I2507" t="s">
        <v>75</v>
      </c>
      <c r="J2507" t="s">
        <v>581</v>
      </c>
    </row>
    <row r="2508" spans="1:10">
      <c r="A2508">
        <v>52507</v>
      </c>
      <c r="B2508">
        <v>31450</v>
      </c>
      <c r="C2508" t="s">
        <v>1265</v>
      </c>
      <c r="D2508">
        <v>2504</v>
      </c>
      <c r="E2508">
        <v>1011</v>
      </c>
      <c r="F2508">
        <v>2</v>
      </c>
      <c r="G2508" t="s">
        <v>1487</v>
      </c>
      <c r="H2508" t="s">
        <v>9</v>
      </c>
      <c r="I2508" t="s">
        <v>1071</v>
      </c>
      <c r="J2508" t="s">
        <v>516</v>
      </c>
    </row>
    <row r="2509" spans="1:10">
      <c r="A2509">
        <v>52508</v>
      </c>
      <c r="B2509">
        <v>31450</v>
      </c>
      <c r="C2509" t="s">
        <v>74</v>
      </c>
      <c r="D2509">
        <v>2504</v>
      </c>
      <c r="E2509">
        <v>1014</v>
      </c>
      <c r="F2509">
        <v>2</v>
      </c>
      <c r="G2509" t="s">
        <v>1475</v>
      </c>
      <c r="H2509" t="s">
        <v>9</v>
      </c>
      <c r="I2509" t="s">
        <v>40</v>
      </c>
      <c r="J2509" t="s">
        <v>935</v>
      </c>
    </row>
    <row r="2510" spans="1:10">
      <c r="A2510">
        <v>52509</v>
      </c>
      <c r="B2510">
        <v>31451</v>
      </c>
      <c r="C2510" t="s">
        <v>1023</v>
      </c>
      <c r="D2510">
        <v>2103</v>
      </c>
      <c r="E2510">
        <v>1009</v>
      </c>
      <c r="F2510">
        <v>1</v>
      </c>
      <c r="G2510" t="s">
        <v>1473</v>
      </c>
      <c r="H2510" t="s">
        <v>16</v>
      </c>
      <c r="I2510" t="s">
        <v>1421</v>
      </c>
      <c r="J2510" t="s">
        <v>1421</v>
      </c>
    </row>
    <row r="2511" spans="1:10">
      <c r="A2511">
        <v>52510</v>
      </c>
      <c r="B2511">
        <v>31451</v>
      </c>
      <c r="C2511" t="s">
        <v>1191</v>
      </c>
      <c r="D2511">
        <v>2103</v>
      </c>
      <c r="E2511">
        <v>1012</v>
      </c>
      <c r="F2511">
        <v>1</v>
      </c>
      <c r="G2511" t="s">
        <v>1449</v>
      </c>
      <c r="H2511" t="s">
        <v>16</v>
      </c>
      <c r="I2511" t="s">
        <v>1421</v>
      </c>
      <c r="J2511" t="s">
        <v>1421</v>
      </c>
    </row>
    <row r="2512" spans="1:10">
      <c r="A2512">
        <v>52511</v>
      </c>
      <c r="B2512">
        <v>31452</v>
      </c>
      <c r="C2512" t="s">
        <v>1096</v>
      </c>
      <c r="D2512">
        <v>2561</v>
      </c>
      <c r="E2512">
        <v>1015</v>
      </c>
      <c r="F2512">
        <v>2</v>
      </c>
      <c r="G2512" t="s">
        <v>1488</v>
      </c>
      <c r="H2512" t="s">
        <v>9</v>
      </c>
      <c r="I2512" t="s">
        <v>1125</v>
      </c>
      <c r="J2512" t="s">
        <v>1277</v>
      </c>
    </row>
    <row r="2513" spans="1:10">
      <c r="A2513">
        <v>52512</v>
      </c>
      <c r="B2513">
        <v>31453</v>
      </c>
      <c r="C2513" t="s">
        <v>758</v>
      </c>
      <c r="D2513">
        <v>2029</v>
      </c>
      <c r="E2513">
        <v>1006</v>
      </c>
      <c r="F2513">
        <v>3</v>
      </c>
      <c r="G2513" t="s">
        <v>1493</v>
      </c>
      <c r="H2513" t="s">
        <v>16</v>
      </c>
      <c r="I2513" t="s">
        <v>1421</v>
      </c>
      <c r="J2513" t="s">
        <v>1421</v>
      </c>
    </row>
    <row r="2514" spans="1:10">
      <c r="A2514">
        <v>52513</v>
      </c>
      <c r="B2514">
        <v>31454</v>
      </c>
      <c r="C2514" t="s">
        <v>664</v>
      </c>
      <c r="D2514">
        <v>2140</v>
      </c>
      <c r="E2514">
        <v>1007</v>
      </c>
      <c r="F2514">
        <v>4</v>
      </c>
      <c r="G2514" t="s">
        <v>1504</v>
      </c>
      <c r="H2514" t="s">
        <v>9</v>
      </c>
      <c r="I2514" t="s">
        <v>332</v>
      </c>
      <c r="J2514" t="s">
        <v>638</v>
      </c>
    </row>
    <row r="2515" spans="1:10">
      <c r="A2515">
        <v>52514</v>
      </c>
      <c r="B2515">
        <v>31454</v>
      </c>
      <c r="C2515" t="s">
        <v>592</v>
      </c>
      <c r="D2515">
        <v>2140</v>
      </c>
      <c r="E2515">
        <v>1010</v>
      </c>
      <c r="F2515">
        <v>2</v>
      </c>
      <c r="G2515" t="s">
        <v>1483</v>
      </c>
      <c r="H2515" t="s">
        <v>9</v>
      </c>
      <c r="I2515" t="s">
        <v>950</v>
      </c>
      <c r="J2515" t="s">
        <v>31</v>
      </c>
    </row>
    <row r="2516" spans="1:10">
      <c r="A2516">
        <v>52515</v>
      </c>
      <c r="B2516">
        <v>31455</v>
      </c>
      <c r="C2516" t="s">
        <v>811</v>
      </c>
      <c r="D2516">
        <v>2322</v>
      </c>
      <c r="E2516">
        <v>1004</v>
      </c>
      <c r="F2516">
        <v>1</v>
      </c>
      <c r="G2516" t="s">
        <v>1452</v>
      </c>
      <c r="H2516" t="s">
        <v>9</v>
      </c>
      <c r="I2516" t="s">
        <v>318</v>
      </c>
      <c r="J2516" t="s">
        <v>320</v>
      </c>
    </row>
    <row r="2517" spans="1:10">
      <c r="A2517">
        <v>52516</v>
      </c>
      <c r="B2517">
        <v>31456</v>
      </c>
      <c r="C2517" t="s">
        <v>1343</v>
      </c>
      <c r="D2517">
        <v>2162</v>
      </c>
      <c r="E2517">
        <v>1005</v>
      </c>
      <c r="F2517">
        <v>2</v>
      </c>
      <c r="G2517" t="s">
        <v>1458</v>
      </c>
      <c r="H2517" t="s">
        <v>68</v>
      </c>
      <c r="I2517" t="s">
        <v>553</v>
      </c>
      <c r="J2517" t="s">
        <v>728</v>
      </c>
    </row>
    <row r="2518" spans="1:10">
      <c r="A2518">
        <v>52517</v>
      </c>
      <c r="B2518">
        <v>31457</v>
      </c>
      <c r="C2518" t="s">
        <v>321</v>
      </c>
      <c r="D2518">
        <v>2421</v>
      </c>
      <c r="E2518">
        <v>1011</v>
      </c>
      <c r="F2518">
        <v>4</v>
      </c>
      <c r="G2518" t="s">
        <v>1499</v>
      </c>
      <c r="H2518" t="s">
        <v>16</v>
      </c>
      <c r="I2518" t="s">
        <v>1421</v>
      </c>
      <c r="J2518" t="s">
        <v>1421</v>
      </c>
    </row>
    <row r="2519" spans="1:10">
      <c r="A2519">
        <v>52518</v>
      </c>
      <c r="B2519">
        <v>31458</v>
      </c>
      <c r="C2519" t="s">
        <v>296</v>
      </c>
      <c r="D2519">
        <v>2137</v>
      </c>
      <c r="E2519">
        <v>1011</v>
      </c>
      <c r="F2519">
        <v>1</v>
      </c>
      <c r="G2519" t="s">
        <v>1472</v>
      </c>
      <c r="H2519" t="s">
        <v>9</v>
      </c>
      <c r="I2519" t="s">
        <v>85</v>
      </c>
      <c r="J2519" t="s">
        <v>259</v>
      </c>
    </row>
    <row r="2520" spans="1:10">
      <c r="A2520">
        <v>52519</v>
      </c>
      <c r="B2520">
        <v>31458</v>
      </c>
      <c r="C2520" t="s">
        <v>903</v>
      </c>
      <c r="D2520">
        <v>2137</v>
      </c>
      <c r="E2520">
        <v>1010</v>
      </c>
      <c r="F2520">
        <v>1</v>
      </c>
      <c r="G2520" t="s">
        <v>1468</v>
      </c>
      <c r="H2520" t="s">
        <v>9</v>
      </c>
      <c r="I2520" t="s">
        <v>24</v>
      </c>
      <c r="J2520" t="s">
        <v>943</v>
      </c>
    </row>
    <row r="2521" spans="1:10">
      <c r="A2521">
        <v>52520</v>
      </c>
      <c r="B2521">
        <v>31458</v>
      </c>
      <c r="C2521" t="s">
        <v>296</v>
      </c>
      <c r="D2521">
        <v>2137</v>
      </c>
      <c r="E2521">
        <v>1007</v>
      </c>
      <c r="F2521">
        <v>1</v>
      </c>
      <c r="G2521" t="s">
        <v>1453</v>
      </c>
      <c r="H2521" t="s">
        <v>9</v>
      </c>
      <c r="I2521" t="s">
        <v>85</v>
      </c>
      <c r="J2521" t="s">
        <v>1342</v>
      </c>
    </row>
    <row r="2522" spans="1:10">
      <c r="A2522">
        <v>52521</v>
      </c>
      <c r="B2522">
        <v>31459</v>
      </c>
      <c r="C2522" t="s">
        <v>1333</v>
      </c>
      <c r="D2522">
        <v>2087</v>
      </c>
      <c r="E2522">
        <v>1006</v>
      </c>
      <c r="F2522">
        <v>2</v>
      </c>
      <c r="G2522" t="s">
        <v>1501</v>
      </c>
      <c r="H2522" t="s">
        <v>1495</v>
      </c>
      <c r="I2522" t="s">
        <v>922</v>
      </c>
      <c r="J2522" t="s">
        <v>995</v>
      </c>
    </row>
    <row r="2523" spans="1:10">
      <c r="A2523">
        <v>52522</v>
      </c>
      <c r="B2523">
        <v>31459</v>
      </c>
      <c r="C2523" t="s">
        <v>308</v>
      </c>
      <c r="D2523">
        <v>2087</v>
      </c>
      <c r="E2523">
        <v>1013</v>
      </c>
      <c r="F2523">
        <v>2</v>
      </c>
      <c r="G2523" t="s">
        <v>1492</v>
      </c>
      <c r="H2523" t="s">
        <v>68</v>
      </c>
      <c r="I2523" t="s">
        <v>1044</v>
      </c>
      <c r="J2523" t="s">
        <v>192</v>
      </c>
    </row>
    <row r="2524" spans="1:10">
      <c r="A2524">
        <v>52523</v>
      </c>
      <c r="B2524">
        <v>31460</v>
      </c>
      <c r="C2524" t="s">
        <v>953</v>
      </c>
      <c r="D2524">
        <v>2387</v>
      </c>
      <c r="E2524">
        <v>1008</v>
      </c>
      <c r="F2524">
        <v>1</v>
      </c>
      <c r="G2524" t="s">
        <v>1447</v>
      </c>
      <c r="H2524" t="s">
        <v>11</v>
      </c>
      <c r="I2524" t="s">
        <v>1201</v>
      </c>
      <c r="J2524" t="s">
        <v>128</v>
      </c>
    </row>
    <row r="2525" spans="1:10">
      <c r="A2525">
        <v>52524</v>
      </c>
      <c r="B2525">
        <v>31461</v>
      </c>
      <c r="C2525" t="s">
        <v>1072</v>
      </c>
      <c r="D2525">
        <v>2022</v>
      </c>
      <c r="E2525">
        <v>1008</v>
      </c>
      <c r="F2525">
        <v>5</v>
      </c>
      <c r="G2525" t="s">
        <v>1502</v>
      </c>
      <c r="H2525" t="s">
        <v>11</v>
      </c>
      <c r="I2525" t="s">
        <v>210</v>
      </c>
      <c r="J2525" t="s">
        <v>711</v>
      </c>
    </row>
    <row r="2526" spans="1:10">
      <c r="A2526">
        <v>52525</v>
      </c>
      <c r="B2526">
        <v>31461</v>
      </c>
      <c r="C2526" t="s">
        <v>657</v>
      </c>
      <c r="D2526">
        <v>2022</v>
      </c>
      <c r="E2526">
        <v>1003</v>
      </c>
      <c r="F2526">
        <v>2</v>
      </c>
      <c r="G2526" t="s">
        <v>1464</v>
      </c>
      <c r="H2526" t="s">
        <v>11</v>
      </c>
      <c r="I2526" t="s">
        <v>214</v>
      </c>
      <c r="J2526" t="s">
        <v>711</v>
      </c>
    </row>
    <row r="2527" spans="1:10">
      <c r="A2527">
        <v>52526</v>
      </c>
      <c r="B2527">
        <v>31462</v>
      </c>
      <c r="C2527" t="s">
        <v>311</v>
      </c>
      <c r="D2527">
        <v>2474</v>
      </c>
      <c r="E2527">
        <v>1006</v>
      </c>
      <c r="F2527">
        <v>2</v>
      </c>
      <c r="G2527" t="s">
        <v>1501</v>
      </c>
      <c r="H2527" t="s">
        <v>9</v>
      </c>
      <c r="I2527" t="s">
        <v>330</v>
      </c>
      <c r="J2527" t="s">
        <v>67</v>
      </c>
    </row>
    <row r="2528" spans="1:10">
      <c r="A2528">
        <v>52527</v>
      </c>
      <c r="B2528">
        <v>31463</v>
      </c>
      <c r="C2528" t="s">
        <v>27</v>
      </c>
      <c r="D2528">
        <v>2051</v>
      </c>
      <c r="E2528">
        <v>1014</v>
      </c>
      <c r="F2528">
        <v>1</v>
      </c>
      <c r="G2528" t="s">
        <v>1463</v>
      </c>
      <c r="H2528" t="s">
        <v>9</v>
      </c>
      <c r="I2528" t="s">
        <v>361</v>
      </c>
      <c r="J2528" t="s">
        <v>279</v>
      </c>
    </row>
    <row r="2529" spans="1:10">
      <c r="A2529">
        <v>52528</v>
      </c>
      <c r="B2529">
        <v>31464</v>
      </c>
      <c r="C2529" t="s">
        <v>86</v>
      </c>
      <c r="D2529">
        <v>2267</v>
      </c>
      <c r="E2529">
        <v>1012</v>
      </c>
      <c r="F2529">
        <v>1</v>
      </c>
      <c r="G2529" t="s">
        <v>1449</v>
      </c>
      <c r="H2529" t="s">
        <v>9</v>
      </c>
      <c r="I2529" t="s">
        <v>105</v>
      </c>
      <c r="J2529" t="s">
        <v>363</v>
      </c>
    </row>
    <row r="2530" spans="1:10">
      <c r="A2530">
        <v>52529</v>
      </c>
      <c r="B2530">
        <v>31464</v>
      </c>
      <c r="C2530" t="s">
        <v>86</v>
      </c>
      <c r="D2530">
        <v>2267</v>
      </c>
      <c r="E2530">
        <v>1006</v>
      </c>
      <c r="F2530">
        <v>1</v>
      </c>
      <c r="G2530" t="s">
        <v>1459</v>
      </c>
      <c r="H2530" t="s">
        <v>9</v>
      </c>
      <c r="I2530" t="s">
        <v>299</v>
      </c>
      <c r="J2530" t="s">
        <v>1110</v>
      </c>
    </row>
    <row r="2531" spans="1:10">
      <c r="A2531">
        <v>52530</v>
      </c>
      <c r="B2531">
        <v>31464</v>
      </c>
      <c r="C2531" t="s">
        <v>86</v>
      </c>
      <c r="D2531">
        <v>2267</v>
      </c>
      <c r="E2531">
        <v>1004</v>
      </c>
      <c r="F2531">
        <v>1</v>
      </c>
      <c r="G2531" t="s">
        <v>1452</v>
      </c>
      <c r="H2531" t="s">
        <v>9</v>
      </c>
      <c r="I2531" t="s">
        <v>589</v>
      </c>
      <c r="J2531" t="s">
        <v>459</v>
      </c>
    </row>
    <row r="2532" spans="1:10">
      <c r="A2532">
        <v>52531</v>
      </c>
      <c r="B2532">
        <v>31464</v>
      </c>
      <c r="C2532" t="s">
        <v>1196</v>
      </c>
      <c r="D2532">
        <v>2267</v>
      </c>
      <c r="E2532">
        <v>1001</v>
      </c>
      <c r="F2532">
        <v>1</v>
      </c>
      <c r="G2532" t="s">
        <v>1469</v>
      </c>
      <c r="H2532" t="s">
        <v>1457</v>
      </c>
      <c r="I2532" t="s">
        <v>148</v>
      </c>
      <c r="J2532" t="s">
        <v>1110</v>
      </c>
    </row>
    <row r="2533" spans="1:10">
      <c r="A2533">
        <v>52532</v>
      </c>
      <c r="B2533">
        <v>31465</v>
      </c>
      <c r="C2533" t="s">
        <v>1179</v>
      </c>
      <c r="D2533">
        <v>2539</v>
      </c>
      <c r="E2533">
        <v>1015</v>
      </c>
      <c r="F2533">
        <v>1</v>
      </c>
      <c r="G2533" t="s">
        <v>1478</v>
      </c>
      <c r="H2533" t="s">
        <v>9</v>
      </c>
      <c r="I2533" t="s">
        <v>1344</v>
      </c>
      <c r="J2533" t="s">
        <v>547</v>
      </c>
    </row>
    <row r="2534" spans="1:10">
      <c r="A2534">
        <v>52533</v>
      </c>
      <c r="B2534">
        <v>31466</v>
      </c>
      <c r="C2534" t="s">
        <v>941</v>
      </c>
      <c r="D2534">
        <v>2507</v>
      </c>
      <c r="E2534">
        <v>1007</v>
      </c>
      <c r="F2534">
        <v>1</v>
      </c>
      <c r="G2534" t="s">
        <v>1453</v>
      </c>
      <c r="H2534" t="s">
        <v>9</v>
      </c>
      <c r="I2534" t="s">
        <v>1130</v>
      </c>
      <c r="J2534" t="s">
        <v>1140</v>
      </c>
    </row>
    <row r="2535" spans="1:10">
      <c r="A2535">
        <v>52534</v>
      </c>
      <c r="B2535">
        <v>31467</v>
      </c>
      <c r="C2535" t="s">
        <v>1256</v>
      </c>
      <c r="D2535">
        <v>2196</v>
      </c>
      <c r="E2535">
        <v>1009</v>
      </c>
      <c r="F2535">
        <v>1</v>
      </c>
      <c r="G2535" t="s">
        <v>1473</v>
      </c>
      <c r="H2535" t="s">
        <v>11</v>
      </c>
      <c r="I2535" t="s">
        <v>702</v>
      </c>
      <c r="J2535" t="s">
        <v>301</v>
      </c>
    </row>
    <row r="2536" spans="1:10">
      <c r="A2536">
        <v>52535</v>
      </c>
      <c r="B2536">
        <v>31468</v>
      </c>
      <c r="C2536" t="s">
        <v>964</v>
      </c>
      <c r="D2536">
        <v>2295</v>
      </c>
      <c r="E2536">
        <v>1013</v>
      </c>
      <c r="F2536">
        <v>1</v>
      </c>
      <c r="G2536" t="s">
        <v>1474</v>
      </c>
      <c r="H2536" t="s">
        <v>9</v>
      </c>
      <c r="I2536" t="s">
        <v>601</v>
      </c>
      <c r="J2536" t="s">
        <v>1253</v>
      </c>
    </row>
    <row r="2537" spans="1:10">
      <c r="A2537">
        <v>52536</v>
      </c>
      <c r="B2537">
        <v>31468</v>
      </c>
      <c r="C2537" t="s">
        <v>1336</v>
      </c>
      <c r="D2537">
        <v>2295</v>
      </c>
      <c r="E2537">
        <v>1005</v>
      </c>
      <c r="F2537">
        <v>1</v>
      </c>
      <c r="G2537" t="s">
        <v>1456</v>
      </c>
      <c r="H2537" t="s">
        <v>9</v>
      </c>
      <c r="I2537" t="s">
        <v>624</v>
      </c>
      <c r="J2537" t="s">
        <v>1174</v>
      </c>
    </row>
    <row r="2538" spans="1:10">
      <c r="A2538">
        <v>52537</v>
      </c>
      <c r="B2538">
        <v>31469</v>
      </c>
      <c r="C2538" t="s">
        <v>1123</v>
      </c>
      <c r="D2538">
        <v>2442</v>
      </c>
      <c r="E2538">
        <v>1007</v>
      </c>
      <c r="F2538">
        <v>1</v>
      </c>
      <c r="G2538" t="s">
        <v>1453</v>
      </c>
      <c r="H2538" t="s">
        <v>16</v>
      </c>
      <c r="I2538" t="s">
        <v>1421</v>
      </c>
      <c r="J2538" t="s">
        <v>1421</v>
      </c>
    </row>
    <row r="2539" spans="1:10">
      <c r="A2539">
        <v>52538</v>
      </c>
      <c r="B2539">
        <v>31470</v>
      </c>
      <c r="C2539" t="s">
        <v>945</v>
      </c>
      <c r="D2539">
        <v>2290</v>
      </c>
      <c r="E2539">
        <v>1007</v>
      </c>
      <c r="F2539">
        <v>1</v>
      </c>
      <c r="G2539" t="s">
        <v>1453</v>
      </c>
      <c r="H2539" t="s">
        <v>9</v>
      </c>
      <c r="I2539" t="s">
        <v>1332</v>
      </c>
      <c r="J2539" t="s">
        <v>453</v>
      </c>
    </row>
    <row r="2540" spans="1:10">
      <c r="A2540">
        <v>52539</v>
      </c>
      <c r="B2540">
        <v>31470</v>
      </c>
      <c r="C2540" t="s">
        <v>1227</v>
      </c>
      <c r="D2540">
        <v>2290</v>
      </c>
      <c r="E2540">
        <v>1014</v>
      </c>
      <c r="F2540">
        <v>2</v>
      </c>
      <c r="G2540" t="s">
        <v>1475</v>
      </c>
      <c r="H2540" t="s">
        <v>9</v>
      </c>
      <c r="I2540" t="s">
        <v>701</v>
      </c>
      <c r="J2540" t="s">
        <v>907</v>
      </c>
    </row>
    <row r="2541" spans="1:10">
      <c r="A2541">
        <v>52540</v>
      </c>
      <c r="B2541">
        <v>31471</v>
      </c>
      <c r="C2541" t="s">
        <v>261</v>
      </c>
      <c r="D2541">
        <v>2185</v>
      </c>
      <c r="E2541">
        <v>1005</v>
      </c>
      <c r="F2541">
        <v>4</v>
      </c>
      <c r="G2541" t="s">
        <v>1480</v>
      </c>
      <c r="H2541" t="s">
        <v>9</v>
      </c>
      <c r="I2541" t="s">
        <v>1225</v>
      </c>
      <c r="J2541" t="s">
        <v>251</v>
      </c>
    </row>
    <row r="2542" spans="1:10">
      <c r="A2542">
        <v>52541</v>
      </c>
      <c r="B2542">
        <v>31471</v>
      </c>
      <c r="C2542" t="s">
        <v>1109</v>
      </c>
      <c r="D2542">
        <v>2185</v>
      </c>
      <c r="E2542">
        <v>1001</v>
      </c>
      <c r="F2542">
        <v>1</v>
      </c>
      <c r="G2542" t="s">
        <v>1469</v>
      </c>
      <c r="H2542" t="s">
        <v>9</v>
      </c>
      <c r="I2542" t="s">
        <v>458</v>
      </c>
      <c r="J2542" t="s">
        <v>363</v>
      </c>
    </row>
    <row r="2543" spans="1:10">
      <c r="A2543">
        <v>52542</v>
      </c>
      <c r="B2543">
        <v>31471</v>
      </c>
      <c r="C2543" t="s">
        <v>261</v>
      </c>
      <c r="D2543">
        <v>2185</v>
      </c>
      <c r="E2543">
        <v>1010</v>
      </c>
      <c r="F2543">
        <v>2</v>
      </c>
      <c r="G2543" t="s">
        <v>1483</v>
      </c>
      <c r="H2543" t="s">
        <v>9</v>
      </c>
      <c r="I2543" t="s">
        <v>1197</v>
      </c>
      <c r="J2543" t="s">
        <v>859</v>
      </c>
    </row>
    <row r="2544" spans="1:10">
      <c r="A2544">
        <v>52543</v>
      </c>
      <c r="B2544">
        <v>31472</v>
      </c>
      <c r="C2544" t="s">
        <v>774</v>
      </c>
      <c r="D2544">
        <v>2269</v>
      </c>
      <c r="E2544">
        <v>1015</v>
      </c>
      <c r="F2544">
        <v>1</v>
      </c>
      <c r="G2544" t="s">
        <v>1478</v>
      </c>
      <c r="H2544" t="s">
        <v>9</v>
      </c>
      <c r="I2544" t="s">
        <v>334</v>
      </c>
      <c r="J2544" t="s">
        <v>115</v>
      </c>
    </row>
    <row r="2545" spans="1:10">
      <c r="A2545">
        <v>52544</v>
      </c>
      <c r="B2545">
        <v>31473</v>
      </c>
      <c r="C2545" t="s">
        <v>162</v>
      </c>
      <c r="D2545">
        <v>2255</v>
      </c>
      <c r="E2545">
        <v>1015</v>
      </c>
      <c r="F2545">
        <v>1</v>
      </c>
      <c r="G2545" t="s">
        <v>1478</v>
      </c>
      <c r="H2545" t="s">
        <v>9</v>
      </c>
      <c r="I2545" t="s">
        <v>828</v>
      </c>
      <c r="J2545" t="s">
        <v>549</v>
      </c>
    </row>
    <row r="2546" spans="1:10">
      <c r="A2546">
        <v>52545</v>
      </c>
      <c r="B2546">
        <v>31474</v>
      </c>
      <c r="C2546" t="s">
        <v>794</v>
      </c>
      <c r="D2546">
        <v>2088</v>
      </c>
      <c r="E2546">
        <v>1005</v>
      </c>
      <c r="F2546">
        <v>4</v>
      </c>
      <c r="G2546" t="s">
        <v>1480</v>
      </c>
      <c r="H2546" t="s">
        <v>9</v>
      </c>
      <c r="I2546" t="s">
        <v>878</v>
      </c>
      <c r="J2546" t="s">
        <v>1082</v>
      </c>
    </row>
    <row r="2547" spans="1:10">
      <c r="A2547">
        <v>52546</v>
      </c>
      <c r="B2547">
        <v>31474</v>
      </c>
      <c r="C2547" t="s">
        <v>967</v>
      </c>
      <c r="D2547">
        <v>2088</v>
      </c>
      <c r="E2547">
        <v>1011</v>
      </c>
      <c r="F2547">
        <v>1</v>
      </c>
      <c r="G2547" t="s">
        <v>1472</v>
      </c>
      <c r="H2547" t="s">
        <v>9</v>
      </c>
      <c r="I2547" t="s">
        <v>595</v>
      </c>
      <c r="J2547" t="s">
        <v>347</v>
      </c>
    </row>
    <row r="2548" spans="1:10">
      <c r="A2548">
        <v>52547</v>
      </c>
      <c r="B2548">
        <v>31475</v>
      </c>
      <c r="C2548" t="s">
        <v>985</v>
      </c>
      <c r="D2548">
        <v>2408</v>
      </c>
      <c r="E2548">
        <v>1013</v>
      </c>
      <c r="F2548">
        <v>1</v>
      </c>
      <c r="G2548" t="s">
        <v>1474</v>
      </c>
      <c r="H2548" t="s">
        <v>9</v>
      </c>
      <c r="I2548" t="s">
        <v>218</v>
      </c>
      <c r="J2548" t="s">
        <v>484</v>
      </c>
    </row>
    <row r="2549" spans="1:10">
      <c r="A2549">
        <v>52548</v>
      </c>
      <c r="B2549">
        <v>31476</v>
      </c>
      <c r="C2549" t="s">
        <v>612</v>
      </c>
      <c r="D2549">
        <v>2434</v>
      </c>
      <c r="E2549">
        <v>1009</v>
      </c>
      <c r="F2549">
        <v>5</v>
      </c>
      <c r="G2549" t="s">
        <v>1529</v>
      </c>
      <c r="H2549" t="s">
        <v>9</v>
      </c>
      <c r="I2549" t="s">
        <v>664</v>
      </c>
      <c r="J2549" t="s">
        <v>699</v>
      </c>
    </row>
    <row r="2550" spans="1:10">
      <c r="A2550">
        <v>52549</v>
      </c>
      <c r="B2550">
        <v>31476</v>
      </c>
      <c r="C2550" t="s">
        <v>610</v>
      </c>
      <c r="D2550">
        <v>2434</v>
      </c>
      <c r="E2550">
        <v>1003</v>
      </c>
      <c r="F2550">
        <v>2</v>
      </c>
      <c r="G2550" t="s">
        <v>1464</v>
      </c>
      <c r="H2550" t="s">
        <v>9</v>
      </c>
      <c r="I2550" t="s">
        <v>992</v>
      </c>
      <c r="J2550" t="s">
        <v>403</v>
      </c>
    </row>
    <row r="2551" spans="1:10">
      <c r="A2551">
        <v>52550</v>
      </c>
      <c r="B2551">
        <v>31476</v>
      </c>
      <c r="C2551" t="s">
        <v>612</v>
      </c>
      <c r="D2551">
        <v>2434</v>
      </c>
      <c r="E2551">
        <v>1004</v>
      </c>
      <c r="F2551">
        <v>2</v>
      </c>
      <c r="G2551" t="s">
        <v>1476</v>
      </c>
      <c r="H2551" t="s">
        <v>9</v>
      </c>
      <c r="I2551" t="s">
        <v>697</v>
      </c>
      <c r="J2551" t="s">
        <v>775</v>
      </c>
    </row>
    <row r="2552" spans="1:10">
      <c r="A2552">
        <v>52551</v>
      </c>
      <c r="B2552">
        <v>31477</v>
      </c>
      <c r="C2552" t="s">
        <v>489</v>
      </c>
      <c r="D2552">
        <v>2571</v>
      </c>
      <c r="E2552">
        <v>1011</v>
      </c>
      <c r="F2552">
        <v>3</v>
      </c>
      <c r="G2552" t="s">
        <v>1454</v>
      </c>
      <c r="H2552" t="s">
        <v>9</v>
      </c>
      <c r="I2552" t="s">
        <v>411</v>
      </c>
      <c r="J2552" t="s">
        <v>1022</v>
      </c>
    </row>
    <row r="2553" spans="1:10">
      <c r="A2553">
        <v>52552</v>
      </c>
      <c r="B2553">
        <v>31477</v>
      </c>
      <c r="C2553" t="s">
        <v>1138</v>
      </c>
      <c r="D2553">
        <v>2571</v>
      </c>
      <c r="E2553">
        <v>1008</v>
      </c>
      <c r="F2553">
        <v>2</v>
      </c>
      <c r="G2553" t="s">
        <v>1520</v>
      </c>
      <c r="H2553" t="s">
        <v>9</v>
      </c>
      <c r="I2553" t="s">
        <v>43</v>
      </c>
      <c r="J2553" t="s">
        <v>640</v>
      </c>
    </row>
    <row r="2554" spans="1:10">
      <c r="A2554">
        <v>52553</v>
      </c>
      <c r="B2554">
        <v>31478</v>
      </c>
      <c r="C2554" t="s">
        <v>596</v>
      </c>
      <c r="D2554">
        <v>2483</v>
      </c>
      <c r="E2554">
        <v>1002</v>
      </c>
      <c r="F2554">
        <v>2</v>
      </c>
      <c r="G2554" t="s">
        <v>1482</v>
      </c>
      <c r="H2554" t="s">
        <v>12</v>
      </c>
      <c r="I2554" t="s">
        <v>1421</v>
      </c>
      <c r="J2554" t="s">
        <v>1421</v>
      </c>
    </row>
    <row r="2555" spans="1:10">
      <c r="A2555">
        <v>52554</v>
      </c>
      <c r="B2555">
        <v>31478</v>
      </c>
      <c r="C2555" t="s">
        <v>1280</v>
      </c>
      <c r="D2555">
        <v>2483</v>
      </c>
      <c r="E2555">
        <v>1001</v>
      </c>
      <c r="F2555">
        <v>1</v>
      </c>
      <c r="G2555" t="s">
        <v>1469</v>
      </c>
      <c r="H2555" t="s">
        <v>12</v>
      </c>
      <c r="I2555" t="s">
        <v>1421</v>
      </c>
      <c r="J2555" t="s">
        <v>1421</v>
      </c>
    </row>
    <row r="2556" spans="1:10">
      <c r="A2556">
        <v>52555</v>
      </c>
      <c r="B2556">
        <v>31479</v>
      </c>
      <c r="C2556" t="s">
        <v>1193</v>
      </c>
      <c r="D2556">
        <v>2260</v>
      </c>
      <c r="E2556">
        <v>1013</v>
      </c>
      <c r="F2556">
        <v>1</v>
      </c>
      <c r="G2556" t="s">
        <v>1474</v>
      </c>
      <c r="H2556" t="s">
        <v>9</v>
      </c>
      <c r="I2556" t="s">
        <v>1269</v>
      </c>
      <c r="J2556" t="s">
        <v>1261</v>
      </c>
    </row>
    <row r="2557" spans="1:10">
      <c r="A2557">
        <v>52556</v>
      </c>
      <c r="B2557">
        <v>31480</v>
      </c>
      <c r="C2557" t="s">
        <v>343</v>
      </c>
      <c r="D2557">
        <v>2310</v>
      </c>
      <c r="E2557">
        <v>1012</v>
      </c>
      <c r="F2557">
        <v>1</v>
      </c>
      <c r="G2557" t="s">
        <v>1449</v>
      </c>
      <c r="H2557" t="s">
        <v>11</v>
      </c>
      <c r="I2557" t="s">
        <v>1052</v>
      </c>
      <c r="J2557" t="s">
        <v>556</v>
      </c>
    </row>
    <row r="2558" spans="1:10">
      <c r="A2558">
        <v>52557</v>
      </c>
      <c r="B2558">
        <v>31480</v>
      </c>
      <c r="C2558" t="s">
        <v>343</v>
      </c>
      <c r="D2558">
        <v>2310</v>
      </c>
      <c r="E2558">
        <v>1005</v>
      </c>
      <c r="F2558">
        <v>1</v>
      </c>
      <c r="G2558" t="s">
        <v>1456</v>
      </c>
      <c r="H2558" t="s">
        <v>11</v>
      </c>
      <c r="I2558" t="s">
        <v>268</v>
      </c>
      <c r="J2558" t="s">
        <v>298</v>
      </c>
    </row>
    <row r="2559" spans="1:10">
      <c r="A2559">
        <v>52558</v>
      </c>
      <c r="B2559">
        <v>31480</v>
      </c>
      <c r="C2559" t="s">
        <v>341</v>
      </c>
      <c r="D2559">
        <v>2310</v>
      </c>
      <c r="E2559">
        <v>1002</v>
      </c>
      <c r="F2559">
        <v>1</v>
      </c>
      <c r="G2559" t="s">
        <v>1466</v>
      </c>
      <c r="H2559" t="s">
        <v>11</v>
      </c>
      <c r="I2559" t="s">
        <v>621</v>
      </c>
      <c r="J2559" t="s">
        <v>469</v>
      </c>
    </row>
    <row r="2560" spans="1:10">
      <c r="A2560">
        <v>52559</v>
      </c>
      <c r="B2560">
        <v>31481</v>
      </c>
      <c r="C2560" t="s">
        <v>384</v>
      </c>
      <c r="D2560">
        <v>2595</v>
      </c>
      <c r="E2560">
        <v>1006</v>
      </c>
      <c r="F2560">
        <v>2</v>
      </c>
      <c r="G2560" t="s">
        <v>1501</v>
      </c>
      <c r="H2560" t="s">
        <v>9</v>
      </c>
      <c r="I2560" t="s">
        <v>965</v>
      </c>
      <c r="J2560" t="s">
        <v>1050</v>
      </c>
    </row>
    <row r="2561" spans="1:10">
      <c r="A2561">
        <v>52560</v>
      </c>
      <c r="B2561">
        <v>31481</v>
      </c>
      <c r="C2561" t="s">
        <v>1263</v>
      </c>
      <c r="D2561">
        <v>2595</v>
      </c>
      <c r="E2561">
        <v>1016</v>
      </c>
      <c r="F2561">
        <v>1</v>
      </c>
      <c r="G2561" t="s">
        <v>1465</v>
      </c>
      <c r="H2561" t="s">
        <v>9</v>
      </c>
      <c r="I2561" t="s">
        <v>596</v>
      </c>
      <c r="J2561" t="s">
        <v>1279</v>
      </c>
    </row>
    <row r="2562" spans="1:10">
      <c r="A2562">
        <v>52561</v>
      </c>
      <c r="B2562">
        <v>31482</v>
      </c>
      <c r="C2562" t="s">
        <v>900</v>
      </c>
      <c r="D2562">
        <v>2348</v>
      </c>
      <c r="E2562">
        <v>1005</v>
      </c>
      <c r="F2562">
        <v>1</v>
      </c>
      <c r="G2562" t="s">
        <v>1456</v>
      </c>
      <c r="H2562" t="s">
        <v>12</v>
      </c>
      <c r="I2562" t="s">
        <v>1421</v>
      </c>
      <c r="J2562" t="s">
        <v>1421</v>
      </c>
    </row>
    <row r="2563" spans="1:10">
      <c r="A2563">
        <v>52562</v>
      </c>
      <c r="B2563">
        <v>31482</v>
      </c>
      <c r="C2563" t="s">
        <v>181</v>
      </c>
      <c r="D2563">
        <v>2348</v>
      </c>
      <c r="E2563">
        <v>1003</v>
      </c>
      <c r="F2563">
        <v>1</v>
      </c>
      <c r="G2563" t="s">
        <v>1471</v>
      </c>
      <c r="H2563" t="s">
        <v>12</v>
      </c>
      <c r="I2563" t="s">
        <v>1421</v>
      </c>
      <c r="J2563" t="s">
        <v>1421</v>
      </c>
    </row>
    <row r="2564" spans="1:10">
      <c r="A2564">
        <v>52563</v>
      </c>
      <c r="B2564">
        <v>31483</v>
      </c>
      <c r="C2564" t="s">
        <v>271</v>
      </c>
      <c r="D2564">
        <v>2325</v>
      </c>
      <c r="E2564">
        <v>1014</v>
      </c>
      <c r="F2564">
        <v>1</v>
      </c>
      <c r="G2564" t="s">
        <v>1463</v>
      </c>
      <c r="H2564" t="s">
        <v>9</v>
      </c>
      <c r="I2564" t="s">
        <v>413</v>
      </c>
      <c r="J2564" t="s">
        <v>529</v>
      </c>
    </row>
    <row r="2565" spans="1:10">
      <c r="A2565">
        <v>52564</v>
      </c>
      <c r="B2565">
        <v>31483</v>
      </c>
      <c r="C2565" t="s">
        <v>875</v>
      </c>
      <c r="D2565">
        <v>2325</v>
      </c>
      <c r="E2565">
        <v>1005</v>
      </c>
      <c r="F2565">
        <v>2</v>
      </c>
      <c r="G2565" t="s">
        <v>1458</v>
      </c>
      <c r="H2565" t="s">
        <v>9</v>
      </c>
      <c r="I2565" t="s">
        <v>415</v>
      </c>
      <c r="J2565" t="s">
        <v>851</v>
      </c>
    </row>
    <row r="2566" spans="1:10">
      <c r="A2566">
        <v>52565</v>
      </c>
      <c r="B2566">
        <v>31484</v>
      </c>
      <c r="C2566" t="s">
        <v>608</v>
      </c>
      <c r="D2566">
        <v>2267</v>
      </c>
      <c r="E2566">
        <v>1002</v>
      </c>
      <c r="F2566">
        <v>2</v>
      </c>
      <c r="G2566" t="s">
        <v>1482</v>
      </c>
      <c r="H2566" t="s">
        <v>9</v>
      </c>
      <c r="I2566" t="s">
        <v>276</v>
      </c>
      <c r="J2566" t="s">
        <v>609</v>
      </c>
    </row>
    <row r="2567" spans="1:10">
      <c r="A2567">
        <v>52566</v>
      </c>
      <c r="B2567">
        <v>31484</v>
      </c>
      <c r="C2567" t="s">
        <v>608</v>
      </c>
      <c r="D2567">
        <v>2267</v>
      </c>
      <c r="E2567">
        <v>1005</v>
      </c>
      <c r="F2567">
        <v>1</v>
      </c>
      <c r="G2567" t="s">
        <v>1456</v>
      </c>
      <c r="H2567" t="s">
        <v>9</v>
      </c>
      <c r="I2567" t="s">
        <v>276</v>
      </c>
      <c r="J2567" t="s">
        <v>567</v>
      </c>
    </row>
    <row r="2568" spans="1:10">
      <c r="A2568">
        <v>52567</v>
      </c>
      <c r="B2568">
        <v>31484</v>
      </c>
      <c r="C2568" t="s">
        <v>90</v>
      </c>
      <c r="D2568">
        <v>2267</v>
      </c>
      <c r="E2568">
        <v>1016</v>
      </c>
      <c r="F2568">
        <v>2</v>
      </c>
      <c r="G2568" t="s">
        <v>1500</v>
      </c>
      <c r="H2568" t="s">
        <v>9</v>
      </c>
      <c r="I2568" t="s">
        <v>82</v>
      </c>
      <c r="J2568" t="s">
        <v>64</v>
      </c>
    </row>
    <row r="2569" spans="1:10">
      <c r="A2569">
        <v>52568</v>
      </c>
      <c r="B2569">
        <v>31485</v>
      </c>
      <c r="C2569" t="s">
        <v>1070</v>
      </c>
      <c r="D2569">
        <v>2288</v>
      </c>
      <c r="E2569">
        <v>1014</v>
      </c>
      <c r="F2569">
        <v>1</v>
      </c>
      <c r="G2569" t="s">
        <v>1463</v>
      </c>
      <c r="H2569" t="s">
        <v>9</v>
      </c>
      <c r="I2569" t="s">
        <v>755</v>
      </c>
      <c r="J2569" t="s">
        <v>325</v>
      </c>
    </row>
    <row r="2570" spans="1:10">
      <c r="A2570">
        <v>52569</v>
      </c>
      <c r="B2570">
        <v>31486</v>
      </c>
      <c r="C2570" t="s">
        <v>890</v>
      </c>
      <c r="D2570">
        <v>2290</v>
      </c>
      <c r="E2570">
        <v>1009</v>
      </c>
      <c r="F2570">
        <v>1</v>
      </c>
      <c r="G2570" t="s">
        <v>1473</v>
      </c>
      <c r="H2570" t="s">
        <v>12</v>
      </c>
      <c r="I2570" t="s">
        <v>1421</v>
      </c>
      <c r="J2570" t="s">
        <v>1421</v>
      </c>
    </row>
    <row r="2571" spans="1:10">
      <c r="A2571">
        <v>52570</v>
      </c>
      <c r="B2571">
        <v>31487</v>
      </c>
      <c r="C2571" t="s">
        <v>949</v>
      </c>
      <c r="D2571">
        <v>2271</v>
      </c>
      <c r="E2571">
        <v>1014</v>
      </c>
      <c r="F2571">
        <v>1</v>
      </c>
      <c r="G2571" t="s">
        <v>1463</v>
      </c>
      <c r="H2571" t="s">
        <v>1462</v>
      </c>
      <c r="I2571" t="s">
        <v>1298</v>
      </c>
      <c r="J2571" t="s">
        <v>519</v>
      </c>
    </row>
    <row r="2572" spans="1:10">
      <c r="A2572">
        <v>52571</v>
      </c>
      <c r="B2572">
        <v>31487</v>
      </c>
      <c r="C2572" t="s">
        <v>949</v>
      </c>
      <c r="D2572">
        <v>2271</v>
      </c>
      <c r="E2572">
        <v>1006</v>
      </c>
      <c r="F2572">
        <v>1</v>
      </c>
      <c r="G2572" t="s">
        <v>1459</v>
      </c>
      <c r="H2572" t="s">
        <v>9</v>
      </c>
      <c r="I2572" t="s">
        <v>906</v>
      </c>
      <c r="J2572" t="s">
        <v>416</v>
      </c>
    </row>
    <row r="2573" spans="1:10">
      <c r="A2573">
        <v>52572</v>
      </c>
      <c r="B2573">
        <v>31488</v>
      </c>
      <c r="C2573" t="s">
        <v>743</v>
      </c>
      <c r="D2573">
        <v>2324</v>
      </c>
      <c r="E2573">
        <v>1016</v>
      </c>
      <c r="F2573">
        <v>1</v>
      </c>
      <c r="G2573" t="s">
        <v>1465</v>
      </c>
      <c r="H2573" t="s">
        <v>9</v>
      </c>
      <c r="I2573" t="s">
        <v>1183</v>
      </c>
      <c r="J2573" t="s">
        <v>1111</v>
      </c>
    </row>
    <row r="2574" spans="1:10">
      <c r="A2574">
        <v>52573</v>
      </c>
      <c r="B2574">
        <v>31488</v>
      </c>
      <c r="C2574" t="s">
        <v>659</v>
      </c>
      <c r="D2574">
        <v>2324</v>
      </c>
      <c r="E2574">
        <v>1005</v>
      </c>
      <c r="F2574">
        <v>1</v>
      </c>
      <c r="G2574" t="s">
        <v>1456</v>
      </c>
      <c r="H2574" t="s">
        <v>9</v>
      </c>
      <c r="I2574" t="s">
        <v>310</v>
      </c>
      <c r="J2574" t="s">
        <v>1114</v>
      </c>
    </row>
    <row r="2575" spans="1:10">
      <c r="A2575">
        <v>52574</v>
      </c>
      <c r="B2575">
        <v>31489</v>
      </c>
      <c r="C2575" t="s">
        <v>725</v>
      </c>
      <c r="D2575">
        <v>2570</v>
      </c>
      <c r="E2575">
        <v>1015</v>
      </c>
      <c r="F2575">
        <v>1</v>
      </c>
      <c r="G2575" t="s">
        <v>1478</v>
      </c>
      <c r="H2575" t="s">
        <v>16</v>
      </c>
      <c r="I2575" t="s">
        <v>891</v>
      </c>
      <c r="J2575" t="s">
        <v>1421</v>
      </c>
    </row>
    <row r="2576" spans="1:10">
      <c r="A2576">
        <v>52575</v>
      </c>
      <c r="B2576">
        <v>31489</v>
      </c>
      <c r="C2576" t="s">
        <v>725</v>
      </c>
      <c r="D2576">
        <v>2570</v>
      </c>
      <c r="E2576">
        <v>1005</v>
      </c>
      <c r="F2576">
        <v>3</v>
      </c>
      <c r="G2576" t="s">
        <v>1498</v>
      </c>
      <c r="H2576" t="s">
        <v>16</v>
      </c>
      <c r="I2576" t="s">
        <v>279</v>
      </c>
      <c r="J2576" t="s">
        <v>1421</v>
      </c>
    </row>
    <row r="2577" spans="1:10">
      <c r="A2577">
        <v>52576</v>
      </c>
      <c r="B2577">
        <v>31489</v>
      </c>
      <c r="C2577" t="s">
        <v>887</v>
      </c>
      <c r="D2577">
        <v>2570</v>
      </c>
      <c r="E2577">
        <v>1006</v>
      </c>
      <c r="F2577">
        <v>1</v>
      </c>
      <c r="G2577" t="s">
        <v>1459</v>
      </c>
      <c r="H2577" t="s">
        <v>16</v>
      </c>
      <c r="I2577" t="s">
        <v>591</v>
      </c>
      <c r="J2577" t="s">
        <v>1421</v>
      </c>
    </row>
    <row r="2578" spans="1:10">
      <c r="A2578">
        <v>52577</v>
      </c>
      <c r="B2578">
        <v>31489</v>
      </c>
      <c r="C2578" t="s">
        <v>725</v>
      </c>
      <c r="D2578">
        <v>2570</v>
      </c>
      <c r="E2578">
        <v>1009</v>
      </c>
      <c r="F2578">
        <v>2</v>
      </c>
      <c r="G2578" t="s">
        <v>1479</v>
      </c>
      <c r="H2578" t="s">
        <v>16</v>
      </c>
      <c r="I2578" t="s">
        <v>591</v>
      </c>
      <c r="J2578" t="s">
        <v>1421</v>
      </c>
    </row>
    <row r="2579" spans="1:10">
      <c r="A2579">
        <v>52578</v>
      </c>
      <c r="B2579">
        <v>31490</v>
      </c>
      <c r="C2579" t="s">
        <v>748</v>
      </c>
      <c r="D2579">
        <v>2479</v>
      </c>
      <c r="E2579">
        <v>1016</v>
      </c>
      <c r="F2579">
        <v>1</v>
      </c>
      <c r="G2579" t="s">
        <v>1465</v>
      </c>
      <c r="H2579" t="s">
        <v>9</v>
      </c>
      <c r="I2579" t="s">
        <v>241</v>
      </c>
      <c r="J2579" t="s">
        <v>1205</v>
      </c>
    </row>
    <row r="2580" spans="1:10">
      <c r="A2580">
        <v>52579</v>
      </c>
      <c r="B2580">
        <v>31490</v>
      </c>
      <c r="C2580" t="s">
        <v>129</v>
      </c>
      <c r="D2580">
        <v>2479</v>
      </c>
      <c r="E2580">
        <v>1002</v>
      </c>
      <c r="F2580">
        <v>1</v>
      </c>
      <c r="G2580" t="s">
        <v>1466</v>
      </c>
      <c r="H2580" t="s">
        <v>9</v>
      </c>
      <c r="I2580" t="s">
        <v>241</v>
      </c>
      <c r="J2580" t="s">
        <v>242</v>
      </c>
    </row>
    <row r="2581" spans="1:10">
      <c r="A2581">
        <v>52580</v>
      </c>
      <c r="B2581">
        <v>31490</v>
      </c>
      <c r="C2581" t="s">
        <v>1244</v>
      </c>
      <c r="D2581">
        <v>2479</v>
      </c>
      <c r="E2581">
        <v>1015</v>
      </c>
      <c r="F2581">
        <v>2</v>
      </c>
      <c r="G2581" t="s">
        <v>1488</v>
      </c>
      <c r="H2581" t="s">
        <v>9</v>
      </c>
      <c r="I2581" t="s">
        <v>240</v>
      </c>
      <c r="J2581" t="s">
        <v>215</v>
      </c>
    </row>
    <row r="2582" spans="1:10">
      <c r="A2582">
        <v>52581</v>
      </c>
      <c r="B2582">
        <v>31490</v>
      </c>
      <c r="C2582" t="s">
        <v>1244</v>
      </c>
      <c r="D2582">
        <v>2479</v>
      </c>
      <c r="E2582">
        <v>1012</v>
      </c>
      <c r="F2582">
        <v>1</v>
      </c>
      <c r="G2582" t="s">
        <v>1449</v>
      </c>
      <c r="H2582" t="s">
        <v>9</v>
      </c>
      <c r="I2582" t="s">
        <v>1307</v>
      </c>
      <c r="J2582" t="s">
        <v>437</v>
      </c>
    </row>
    <row r="2583" spans="1:10">
      <c r="A2583">
        <v>52582</v>
      </c>
      <c r="B2583">
        <v>31491</v>
      </c>
      <c r="C2583" t="s">
        <v>157</v>
      </c>
      <c r="D2583">
        <v>2575</v>
      </c>
      <c r="E2583">
        <v>1016</v>
      </c>
      <c r="F2583">
        <v>1</v>
      </c>
      <c r="G2583" t="s">
        <v>1465</v>
      </c>
      <c r="H2583" t="s">
        <v>9</v>
      </c>
      <c r="I2583" t="s">
        <v>193</v>
      </c>
      <c r="J2583" t="s">
        <v>678</v>
      </c>
    </row>
    <row r="2584" spans="1:10">
      <c r="A2584">
        <v>52583</v>
      </c>
      <c r="B2584">
        <v>31492</v>
      </c>
      <c r="C2584" t="s">
        <v>547</v>
      </c>
      <c r="D2584">
        <v>2116</v>
      </c>
      <c r="E2584">
        <v>1005</v>
      </c>
      <c r="F2584">
        <v>3</v>
      </c>
      <c r="G2584" t="s">
        <v>1498</v>
      </c>
      <c r="H2584" t="s">
        <v>16</v>
      </c>
      <c r="I2584" t="s">
        <v>591</v>
      </c>
      <c r="J2584" t="s">
        <v>1421</v>
      </c>
    </row>
    <row r="2585" spans="1:10">
      <c r="A2585">
        <v>52584</v>
      </c>
      <c r="B2585">
        <v>31492</v>
      </c>
      <c r="C2585" t="s">
        <v>279</v>
      </c>
      <c r="D2585">
        <v>2116</v>
      </c>
      <c r="E2585">
        <v>1003</v>
      </c>
      <c r="F2585">
        <v>2</v>
      </c>
      <c r="G2585" t="s">
        <v>1464</v>
      </c>
      <c r="H2585" t="s">
        <v>16</v>
      </c>
      <c r="I2585" t="s">
        <v>891</v>
      </c>
      <c r="J2585" t="s">
        <v>1421</v>
      </c>
    </row>
    <row r="2586" spans="1:10">
      <c r="A2586">
        <v>52585</v>
      </c>
      <c r="B2586">
        <v>31493</v>
      </c>
      <c r="C2586" t="s">
        <v>86</v>
      </c>
      <c r="D2586">
        <v>2291</v>
      </c>
      <c r="E2586">
        <v>1006</v>
      </c>
      <c r="F2586">
        <v>2</v>
      </c>
      <c r="G2586" t="s">
        <v>1501</v>
      </c>
      <c r="H2586" t="s">
        <v>9</v>
      </c>
      <c r="I2586" t="s">
        <v>1236</v>
      </c>
      <c r="J2586" t="s">
        <v>539</v>
      </c>
    </row>
    <row r="2587" spans="1:10">
      <c r="A2587">
        <v>52586</v>
      </c>
      <c r="B2587">
        <v>31493</v>
      </c>
      <c r="C2587" t="s">
        <v>1196</v>
      </c>
      <c r="D2587">
        <v>2291</v>
      </c>
      <c r="E2587">
        <v>1009</v>
      </c>
      <c r="F2587">
        <v>3</v>
      </c>
      <c r="G2587" t="s">
        <v>1461</v>
      </c>
      <c r="H2587" t="s">
        <v>9</v>
      </c>
      <c r="I2587" t="s">
        <v>1236</v>
      </c>
      <c r="J2587" t="s">
        <v>250</v>
      </c>
    </row>
    <row r="2588" spans="1:10">
      <c r="A2588">
        <v>52587</v>
      </c>
      <c r="B2588">
        <v>31493</v>
      </c>
      <c r="C2588" t="s">
        <v>1321</v>
      </c>
      <c r="D2588">
        <v>2291</v>
      </c>
      <c r="E2588">
        <v>1007</v>
      </c>
      <c r="F2588">
        <v>1</v>
      </c>
      <c r="G2588" t="s">
        <v>1453</v>
      </c>
      <c r="H2588" t="s">
        <v>9</v>
      </c>
      <c r="I2588" t="s">
        <v>1342</v>
      </c>
      <c r="J2588" t="s">
        <v>857</v>
      </c>
    </row>
    <row r="2589" spans="1:10">
      <c r="A2589">
        <v>52588</v>
      </c>
      <c r="B2589">
        <v>31494</v>
      </c>
      <c r="C2589" t="s">
        <v>728</v>
      </c>
      <c r="D2589">
        <v>2598</v>
      </c>
      <c r="E2589">
        <v>1001</v>
      </c>
      <c r="F2589">
        <v>1</v>
      </c>
      <c r="G2589" t="s">
        <v>1469</v>
      </c>
      <c r="H2589" t="s">
        <v>11</v>
      </c>
      <c r="I2589" t="s">
        <v>1012</v>
      </c>
      <c r="J2589" t="s">
        <v>816</v>
      </c>
    </row>
    <row r="2590" spans="1:10">
      <c r="A2590">
        <v>52589</v>
      </c>
      <c r="B2590">
        <v>31494</v>
      </c>
      <c r="C2590" t="s">
        <v>742</v>
      </c>
      <c r="D2590">
        <v>2598</v>
      </c>
      <c r="E2590">
        <v>1006</v>
      </c>
      <c r="F2590">
        <v>1</v>
      </c>
      <c r="G2590" t="s">
        <v>1459</v>
      </c>
      <c r="H2590" t="s">
        <v>11</v>
      </c>
      <c r="I2590" t="s">
        <v>1139</v>
      </c>
      <c r="J2590" t="s">
        <v>733</v>
      </c>
    </row>
    <row r="2591" spans="1:10">
      <c r="A2591">
        <v>52590</v>
      </c>
      <c r="B2591">
        <v>31494</v>
      </c>
      <c r="C2591" t="s">
        <v>728</v>
      </c>
      <c r="D2591">
        <v>2598</v>
      </c>
      <c r="E2591">
        <v>1014</v>
      </c>
      <c r="F2591">
        <v>4</v>
      </c>
      <c r="G2591" t="s">
        <v>1518</v>
      </c>
      <c r="H2591" t="s">
        <v>11</v>
      </c>
      <c r="I2591" t="s">
        <v>534</v>
      </c>
      <c r="J2591" t="s">
        <v>784</v>
      </c>
    </row>
    <row r="2592" spans="1:10">
      <c r="A2592">
        <v>52591</v>
      </c>
      <c r="B2592">
        <v>31495</v>
      </c>
      <c r="C2592" t="s">
        <v>1247</v>
      </c>
      <c r="D2592">
        <v>2079</v>
      </c>
      <c r="E2592">
        <v>1016</v>
      </c>
      <c r="F2592">
        <v>1</v>
      </c>
      <c r="G2592" t="s">
        <v>1465</v>
      </c>
      <c r="H2592" t="s">
        <v>9</v>
      </c>
      <c r="I2592" t="s">
        <v>363</v>
      </c>
      <c r="J2592" t="s">
        <v>578</v>
      </c>
    </row>
    <row r="2593" spans="1:10">
      <c r="A2593">
        <v>52592</v>
      </c>
      <c r="B2593">
        <v>31495</v>
      </c>
      <c r="C2593" t="s">
        <v>1241</v>
      </c>
      <c r="D2593">
        <v>2079</v>
      </c>
      <c r="E2593">
        <v>1004</v>
      </c>
      <c r="F2593">
        <v>1</v>
      </c>
      <c r="G2593" t="s">
        <v>1452</v>
      </c>
      <c r="H2593" t="s">
        <v>9</v>
      </c>
      <c r="I2593" t="s">
        <v>362</v>
      </c>
      <c r="J2593" t="s">
        <v>390</v>
      </c>
    </row>
    <row r="2594" spans="1:10">
      <c r="A2594">
        <v>52593</v>
      </c>
      <c r="B2594">
        <v>31496</v>
      </c>
      <c r="C2594" t="s">
        <v>420</v>
      </c>
      <c r="D2594">
        <v>2337</v>
      </c>
      <c r="E2594">
        <v>1004</v>
      </c>
      <c r="F2594">
        <v>5</v>
      </c>
      <c r="G2594" t="s">
        <v>1533</v>
      </c>
      <c r="H2594" t="s">
        <v>9</v>
      </c>
      <c r="I2594" t="s">
        <v>974</v>
      </c>
      <c r="J2594" t="s">
        <v>59</v>
      </c>
    </row>
    <row r="2595" spans="1:10">
      <c r="A2595">
        <v>52594</v>
      </c>
      <c r="B2595">
        <v>31496</v>
      </c>
      <c r="C2595" t="s">
        <v>420</v>
      </c>
      <c r="D2595">
        <v>2337</v>
      </c>
      <c r="E2595">
        <v>1013</v>
      </c>
      <c r="F2595">
        <v>1</v>
      </c>
      <c r="G2595" t="s">
        <v>1474</v>
      </c>
      <c r="H2595" t="s">
        <v>9</v>
      </c>
      <c r="I2595" t="s">
        <v>207</v>
      </c>
      <c r="J2595" t="s">
        <v>959</v>
      </c>
    </row>
    <row r="2596" spans="1:10">
      <c r="A2596">
        <v>52595</v>
      </c>
      <c r="B2596">
        <v>31497</v>
      </c>
      <c r="C2596" t="s">
        <v>756</v>
      </c>
      <c r="D2596">
        <v>2383</v>
      </c>
      <c r="E2596">
        <v>1004</v>
      </c>
      <c r="F2596">
        <v>1</v>
      </c>
      <c r="G2596" t="s">
        <v>1452</v>
      </c>
      <c r="H2596" t="s">
        <v>1495</v>
      </c>
      <c r="I2596" t="s">
        <v>1249</v>
      </c>
      <c r="J2596" t="s">
        <v>908</v>
      </c>
    </row>
    <row r="2597" spans="1:10">
      <c r="A2597">
        <v>52596</v>
      </c>
      <c r="B2597">
        <v>31498</v>
      </c>
      <c r="C2597" t="s">
        <v>27</v>
      </c>
      <c r="D2597">
        <v>2332</v>
      </c>
      <c r="E2597">
        <v>1003</v>
      </c>
      <c r="F2597">
        <v>3</v>
      </c>
      <c r="G2597" t="s">
        <v>1507</v>
      </c>
      <c r="H2597" t="s">
        <v>9</v>
      </c>
      <c r="I2597" t="s">
        <v>28</v>
      </c>
      <c r="J2597" t="s">
        <v>285</v>
      </c>
    </row>
    <row r="2598" spans="1:10">
      <c r="A2598">
        <v>52597</v>
      </c>
      <c r="B2598">
        <v>31498</v>
      </c>
      <c r="C2598" t="s">
        <v>303</v>
      </c>
      <c r="D2598">
        <v>2332</v>
      </c>
      <c r="E2598">
        <v>1015</v>
      </c>
      <c r="F2598">
        <v>1</v>
      </c>
      <c r="G2598" t="s">
        <v>1478</v>
      </c>
      <c r="H2598" t="s">
        <v>9</v>
      </c>
      <c r="I2598" t="s">
        <v>882</v>
      </c>
      <c r="J2598" t="s">
        <v>237</v>
      </c>
    </row>
    <row r="2599" spans="1:10">
      <c r="A2599">
        <v>52598</v>
      </c>
      <c r="B2599">
        <v>31499</v>
      </c>
      <c r="C2599" t="s">
        <v>830</v>
      </c>
      <c r="D2599">
        <v>2492</v>
      </c>
      <c r="E2599">
        <v>1009</v>
      </c>
      <c r="F2599">
        <v>1</v>
      </c>
      <c r="G2599" t="s">
        <v>1473</v>
      </c>
      <c r="H2599" t="s">
        <v>9</v>
      </c>
      <c r="I2599" t="s">
        <v>1179</v>
      </c>
      <c r="J2599" t="s">
        <v>1322</v>
      </c>
    </row>
    <row r="2600" spans="1:10">
      <c r="A2600">
        <v>52599</v>
      </c>
      <c r="B2600">
        <v>31500</v>
      </c>
      <c r="C2600" t="s">
        <v>1076</v>
      </c>
      <c r="D2600">
        <v>2006</v>
      </c>
      <c r="E2600">
        <v>1002</v>
      </c>
      <c r="F2600">
        <v>3</v>
      </c>
      <c r="G2600" t="s">
        <v>1508</v>
      </c>
      <c r="H2600" t="s">
        <v>9</v>
      </c>
      <c r="I2600" t="s">
        <v>1119</v>
      </c>
      <c r="J2600" t="s">
        <v>252</v>
      </c>
    </row>
    <row r="2601" spans="1:10">
      <c r="A2601">
        <v>52600</v>
      </c>
      <c r="B2601">
        <v>31500</v>
      </c>
      <c r="C2601" t="s">
        <v>908</v>
      </c>
      <c r="D2601">
        <v>2006</v>
      </c>
      <c r="E2601">
        <v>1015</v>
      </c>
      <c r="F2601">
        <v>2</v>
      </c>
      <c r="G2601" t="s">
        <v>1488</v>
      </c>
      <c r="H2601" t="s">
        <v>9</v>
      </c>
      <c r="I2601" t="s">
        <v>440</v>
      </c>
      <c r="J2601" t="s">
        <v>695</v>
      </c>
    </row>
    <row r="2602" spans="1:10">
      <c r="A2602">
        <v>52601</v>
      </c>
      <c r="B2602">
        <v>31501</v>
      </c>
      <c r="C2602" t="s">
        <v>574</v>
      </c>
      <c r="D2602">
        <v>2333</v>
      </c>
      <c r="E2602">
        <v>1005</v>
      </c>
      <c r="F2602">
        <v>1</v>
      </c>
      <c r="G2602" t="s">
        <v>1456</v>
      </c>
      <c r="H2602" t="s">
        <v>11</v>
      </c>
      <c r="I2602" t="s">
        <v>1214</v>
      </c>
      <c r="J2602" t="s">
        <v>1198</v>
      </c>
    </row>
    <row r="2603" spans="1:10">
      <c r="A2603">
        <v>52602</v>
      </c>
      <c r="B2603">
        <v>31502</v>
      </c>
      <c r="C2603" t="s">
        <v>82</v>
      </c>
      <c r="D2603">
        <v>2217</v>
      </c>
      <c r="E2603">
        <v>1010</v>
      </c>
      <c r="F2603">
        <v>1</v>
      </c>
      <c r="G2603" t="s">
        <v>1468</v>
      </c>
      <c r="H2603" t="s">
        <v>12</v>
      </c>
      <c r="I2603" t="s">
        <v>1421</v>
      </c>
      <c r="J2603" t="s">
        <v>1421</v>
      </c>
    </row>
    <row r="2604" spans="1:10">
      <c r="A2604">
        <v>52603</v>
      </c>
      <c r="B2604">
        <v>31503</v>
      </c>
      <c r="C2604" t="s">
        <v>62</v>
      </c>
      <c r="D2604">
        <v>2331</v>
      </c>
      <c r="E2604">
        <v>1003</v>
      </c>
      <c r="F2604">
        <v>1</v>
      </c>
      <c r="G2604" t="s">
        <v>1471</v>
      </c>
      <c r="H2604" t="s">
        <v>16</v>
      </c>
      <c r="I2604" t="s">
        <v>1421</v>
      </c>
      <c r="J2604" t="s">
        <v>1421</v>
      </c>
    </row>
    <row r="2605" spans="1:10">
      <c r="A2605">
        <v>52604</v>
      </c>
      <c r="B2605">
        <v>31504</v>
      </c>
      <c r="C2605" t="s">
        <v>1345</v>
      </c>
      <c r="D2605">
        <v>2391</v>
      </c>
      <c r="E2605">
        <v>1009</v>
      </c>
      <c r="F2605">
        <v>1</v>
      </c>
      <c r="G2605" t="s">
        <v>1473</v>
      </c>
      <c r="H2605" t="s">
        <v>9</v>
      </c>
      <c r="I2605" t="s">
        <v>180</v>
      </c>
      <c r="J2605" t="s">
        <v>910</v>
      </c>
    </row>
    <row r="2606" spans="1:10">
      <c r="A2606">
        <v>52605</v>
      </c>
      <c r="B2606">
        <v>31505</v>
      </c>
      <c r="C2606" t="s">
        <v>1017</v>
      </c>
      <c r="D2606">
        <v>2183</v>
      </c>
      <c r="E2606">
        <v>1013</v>
      </c>
      <c r="F2606">
        <v>1</v>
      </c>
      <c r="G2606" t="s">
        <v>1474</v>
      </c>
      <c r="H2606" t="s">
        <v>9</v>
      </c>
      <c r="I2606" t="s">
        <v>872</v>
      </c>
      <c r="J2606" t="s">
        <v>939</v>
      </c>
    </row>
    <row r="2607" spans="1:10">
      <c r="A2607">
        <v>52606</v>
      </c>
      <c r="B2607">
        <v>31506</v>
      </c>
      <c r="C2607" t="s">
        <v>142</v>
      </c>
      <c r="D2607">
        <v>2092</v>
      </c>
      <c r="E2607">
        <v>1007</v>
      </c>
      <c r="F2607">
        <v>1</v>
      </c>
      <c r="G2607" t="s">
        <v>1453</v>
      </c>
      <c r="H2607" t="s">
        <v>9</v>
      </c>
      <c r="I2607" t="s">
        <v>110</v>
      </c>
      <c r="J2607" t="s">
        <v>158</v>
      </c>
    </row>
    <row r="2608" spans="1:10">
      <c r="A2608">
        <v>52607</v>
      </c>
      <c r="B2608">
        <v>31506</v>
      </c>
      <c r="C2608" t="s">
        <v>1258</v>
      </c>
      <c r="D2608">
        <v>2092</v>
      </c>
      <c r="E2608">
        <v>1006</v>
      </c>
      <c r="F2608">
        <v>1</v>
      </c>
      <c r="G2608" t="s">
        <v>1459</v>
      </c>
      <c r="H2608" t="s">
        <v>9</v>
      </c>
      <c r="I2608" t="s">
        <v>1039</v>
      </c>
      <c r="J2608" t="s">
        <v>117</v>
      </c>
    </row>
    <row r="2609" spans="1:10">
      <c r="A2609">
        <v>52608</v>
      </c>
      <c r="B2609">
        <v>31507</v>
      </c>
      <c r="C2609" t="s">
        <v>697</v>
      </c>
      <c r="D2609">
        <v>2398</v>
      </c>
      <c r="E2609">
        <v>1010</v>
      </c>
      <c r="F2609">
        <v>1</v>
      </c>
      <c r="G2609" t="s">
        <v>1468</v>
      </c>
      <c r="H2609" t="s">
        <v>16</v>
      </c>
      <c r="I2609" t="s">
        <v>1421</v>
      </c>
      <c r="J2609" t="s">
        <v>1421</v>
      </c>
    </row>
    <row r="2610" spans="1:10">
      <c r="A2610">
        <v>52609</v>
      </c>
      <c r="B2610">
        <v>31508</v>
      </c>
      <c r="C2610" t="s">
        <v>67</v>
      </c>
      <c r="D2610">
        <v>2158</v>
      </c>
      <c r="E2610">
        <v>1016</v>
      </c>
      <c r="F2610">
        <v>4</v>
      </c>
      <c r="G2610" t="s">
        <v>1522</v>
      </c>
      <c r="H2610" t="s">
        <v>9</v>
      </c>
      <c r="I2610" t="s">
        <v>429</v>
      </c>
      <c r="J2610" t="s">
        <v>1156</v>
      </c>
    </row>
    <row r="2611" spans="1:10">
      <c r="A2611">
        <v>52610</v>
      </c>
      <c r="B2611">
        <v>31508</v>
      </c>
      <c r="C2611" t="s">
        <v>67</v>
      </c>
      <c r="D2611">
        <v>2158</v>
      </c>
      <c r="E2611">
        <v>1014</v>
      </c>
      <c r="F2611">
        <v>2</v>
      </c>
      <c r="G2611" t="s">
        <v>1475</v>
      </c>
      <c r="H2611" t="s">
        <v>9</v>
      </c>
      <c r="I2611" t="s">
        <v>286</v>
      </c>
      <c r="J2611" t="s">
        <v>803</v>
      </c>
    </row>
    <row r="2612" spans="1:10">
      <c r="A2612">
        <v>52611</v>
      </c>
      <c r="B2612">
        <v>31509</v>
      </c>
      <c r="C2612" t="s">
        <v>993</v>
      </c>
      <c r="D2612">
        <v>2318</v>
      </c>
      <c r="E2612">
        <v>1005</v>
      </c>
      <c r="F2612">
        <v>1</v>
      </c>
      <c r="G2612" t="s">
        <v>1456</v>
      </c>
      <c r="H2612" t="s">
        <v>12</v>
      </c>
      <c r="I2612" t="s">
        <v>1421</v>
      </c>
      <c r="J2612" t="s">
        <v>1421</v>
      </c>
    </row>
    <row r="2613" spans="1:10">
      <c r="A2613">
        <v>52612</v>
      </c>
      <c r="B2613">
        <v>31510</v>
      </c>
      <c r="C2613" t="s">
        <v>299</v>
      </c>
      <c r="D2613">
        <v>2368</v>
      </c>
      <c r="E2613">
        <v>1012</v>
      </c>
      <c r="F2613">
        <v>1</v>
      </c>
      <c r="G2613" t="s">
        <v>1449</v>
      </c>
      <c r="H2613" t="s">
        <v>9</v>
      </c>
      <c r="I2613" t="s">
        <v>1197</v>
      </c>
      <c r="J2613" t="s">
        <v>1239</v>
      </c>
    </row>
    <row r="2614" spans="1:10">
      <c r="A2614">
        <v>52613</v>
      </c>
      <c r="B2614">
        <v>31510</v>
      </c>
      <c r="C2614" t="s">
        <v>1109</v>
      </c>
      <c r="D2614">
        <v>2368</v>
      </c>
      <c r="E2614">
        <v>1007</v>
      </c>
      <c r="F2614">
        <v>5</v>
      </c>
      <c r="G2614" t="s">
        <v>1510</v>
      </c>
      <c r="H2614" t="s">
        <v>9</v>
      </c>
      <c r="I2614" t="s">
        <v>1154</v>
      </c>
      <c r="J2614" t="s">
        <v>168</v>
      </c>
    </row>
    <row r="2615" spans="1:10">
      <c r="A2615">
        <v>52614</v>
      </c>
      <c r="B2615">
        <v>31511</v>
      </c>
      <c r="C2615" t="s">
        <v>450</v>
      </c>
      <c r="D2615">
        <v>2502</v>
      </c>
      <c r="E2615">
        <v>1013</v>
      </c>
      <c r="F2615">
        <v>2</v>
      </c>
      <c r="G2615" t="s">
        <v>1492</v>
      </c>
      <c r="H2615" t="s">
        <v>9</v>
      </c>
      <c r="I2615" t="s">
        <v>802</v>
      </c>
      <c r="J2615" t="s">
        <v>989</v>
      </c>
    </row>
    <row r="2616" spans="1:10">
      <c r="A2616">
        <v>52615</v>
      </c>
      <c r="B2616">
        <v>31511</v>
      </c>
      <c r="C2616" t="s">
        <v>519</v>
      </c>
      <c r="D2616">
        <v>2502</v>
      </c>
      <c r="E2616">
        <v>1016</v>
      </c>
      <c r="F2616">
        <v>2</v>
      </c>
      <c r="G2616" t="s">
        <v>1500</v>
      </c>
      <c r="H2616" t="s">
        <v>9</v>
      </c>
      <c r="I2616" t="s">
        <v>863</v>
      </c>
      <c r="J2616" t="s">
        <v>803</v>
      </c>
    </row>
    <row r="2617" spans="1:10">
      <c r="A2617">
        <v>52616</v>
      </c>
      <c r="B2617">
        <v>31511</v>
      </c>
      <c r="C2617" t="s">
        <v>519</v>
      </c>
      <c r="D2617">
        <v>2502</v>
      </c>
      <c r="E2617">
        <v>1009</v>
      </c>
      <c r="F2617">
        <v>2</v>
      </c>
      <c r="G2617" t="s">
        <v>1479</v>
      </c>
      <c r="H2617" t="s">
        <v>9</v>
      </c>
      <c r="I2617" t="s">
        <v>863</v>
      </c>
      <c r="J2617" t="s">
        <v>475</v>
      </c>
    </row>
    <row r="2618" spans="1:10">
      <c r="A2618">
        <v>52617</v>
      </c>
      <c r="B2618">
        <v>31511</v>
      </c>
      <c r="C2618" t="s">
        <v>672</v>
      </c>
      <c r="D2618">
        <v>2502</v>
      </c>
      <c r="E2618">
        <v>1014</v>
      </c>
      <c r="F2618">
        <v>2</v>
      </c>
      <c r="G2618" t="s">
        <v>1475</v>
      </c>
      <c r="H2618" t="s">
        <v>9</v>
      </c>
      <c r="I2618" t="s">
        <v>521</v>
      </c>
      <c r="J2618" t="s">
        <v>138</v>
      </c>
    </row>
    <row r="2619" spans="1:10">
      <c r="A2619">
        <v>52618</v>
      </c>
      <c r="B2619">
        <v>31512</v>
      </c>
      <c r="C2619" t="s">
        <v>450</v>
      </c>
      <c r="D2619">
        <v>2093</v>
      </c>
      <c r="E2619">
        <v>1012</v>
      </c>
      <c r="F2619">
        <v>1</v>
      </c>
      <c r="G2619" t="s">
        <v>1449</v>
      </c>
      <c r="H2619" t="s">
        <v>9</v>
      </c>
      <c r="I2619" t="s">
        <v>802</v>
      </c>
      <c r="J2619" t="s">
        <v>1055</v>
      </c>
    </row>
    <row r="2620" spans="1:10">
      <c r="A2620">
        <v>52619</v>
      </c>
      <c r="B2620">
        <v>31513</v>
      </c>
      <c r="C2620" t="s">
        <v>15</v>
      </c>
      <c r="D2620">
        <v>2191</v>
      </c>
      <c r="E2620">
        <v>1014</v>
      </c>
      <c r="F2620">
        <v>2</v>
      </c>
      <c r="G2620" t="s">
        <v>1475</v>
      </c>
      <c r="H2620" t="s">
        <v>9</v>
      </c>
      <c r="I2620" t="s">
        <v>1157</v>
      </c>
      <c r="J2620" t="s">
        <v>1042</v>
      </c>
    </row>
    <row r="2621" spans="1:10">
      <c r="A2621">
        <v>52620</v>
      </c>
      <c r="B2621">
        <v>31513</v>
      </c>
      <c r="C2621" t="s">
        <v>267</v>
      </c>
      <c r="D2621">
        <v>2191</v>
      </c>
      <c r="E2621">
        <v>1003</v>
      </c>
      <c r="F2621">
        <v>1</v>
      </c>
      <c r="G2621" t="s">
        <v>1471</v>
      </c>
      <c r="H2621" t="s">
        <v>9</v>
      </c>
      <c r="I2621" t="s">
        <v>225</v>
      </c>
      <c r="J2621" t="s">
        <v>1297</v>
      </c>
    </row>
    <row r="2622" spans="1:10">
      <c r="A2622">
        <v>52621</v>
      </c>
      <c r="B2622">
        <v>31513</v>
      </c>
      <c r="C2622" t="s">
        <v>1029</v>
      </c>
      <c r="D2622">
        <v>2191</v>
      </c>
      <c r="E2622">
        <v>1002</v>
      </c>
      <c r="F2622">
        <v>1</v>
      </c>
      <c r="G2622" t="s">
        <v>1466</v>
      </c>
      <c r="H2622" t="s">
        <v>9</v>
      </c>
      <c r="I2622" t="s">
        <v>209</v>
      </c>
      <c r="J2622" t="s">
        <v>967</v>
      </c>
    </row>
    <row r="2623" spans="1:10">
      <c r="A2623">
        <v>52622</v>
      </c>
      <c r="B2623">
        <v>31514</v>
      </c>
      <c r="C2623" t="s">
        <v>369</v>
      </c>
      <c r="D2623">
        <v>2526</v>
      </c>
      <c r="E2623">
        <v>1015</v>
      </c>
      <c r="F2623">
        <v>1</v>
      </c>
      <c r="G2623" t="s">
        <v>1478</v>
      </c>
      <c r="H2623" t="s">
        <v>9</v>
      </c>
      <c r="I2623" t="s">
        <v>606</v>
      </c>
      <c r="J2623" t="s">
        <v>630</v>
      </c>
    </row>
    <row r="2624" spans="1:10">
      <c r="A2624">
        <v>52623</v>
      </c>
      <c r="B2624">
        <v>31515</v>
      </c>
      <c r="C2624" t="s">
        <v>583</v>
      </c>
      <c r="D2624">
        <v>2230</v>
      </c>
      <c r="E2624">
        <v>1005</v>
      </c>
      <c r="F2624">
        <v>1</v>
      </c>
      <c r="G2624" t="s">
        <v>1456</v>
      </c>
      <c r="H2624" t="s">
        <v>68</v>
      </c>
      <c r="I2624" t="s">
        <v>1037</v>
      </c>
      <c r="J2624" t="s">
        <v>274</v>
      </c>
    </row>
    <row r="2625" spans="1:10">
      <c r="A2625">
        <v>52624</v>
      </c>
      <c r="B2625">
        <v>31516</v>
      </c>
      <c r="C2625" t="s">
        <v>1132</v>
      </c>
      <c r="D2625">
        <v>2508</v>
      </c>
      <c r="E2625">
        <v>1003</v>
      </c>
      <c r="F2625">
        <v>1</v>
      </c>
      <c r="G2625" t="s">
        <v>1471</v>
      </c>
      <c r="H2625" t="s">
        <v>9</v>
      </c>
      <c r="I2625" t="s">
        <v>604</v>
      </c>
      <c r="J2625" t="s">
        <v>39</v>
      </c>
    </row>
    <row r="2626" spans="1:10">
      <c r="A2626">
        <v>52625</v>
      </c>
      <c r="B2626">
        <v>31516</v>
      </c>
      <c r="C2626" t="s">
        <v>1132</v>
      </c>
      <c r="D2626">
        <v>2508</v>
      </c>
      <c r="E2626">
        <v>1010</v>
      </c>
      <c r="F2626">
        <v>4</v>
      </c>
      <c r="G2626" t="s">
        <v>1517</v>
      </c>
      <c r="H2626" t="s">
        <v>9</v>
      </c>
      <c r="I2626" t="s">
        <v>1004</v>
      </c>
      <c r="J2626" t="s">
        <v>1005</v>
      </c>
    </row>
    <row r="2627" spans="1:10">
      <c r="A2627">
        <v>52626</v>
      </c>
      <c r="B2627">
        <v>31517</v>
      </c>
      <c r="C2627" t="s">
        <v>976</v>
      </c>
      <c r="D2627">
        <v>2480</v>
      </c>
      <c r="E2627">
        <v>1016</v>
      </c>
      <c r="F2627">
        <v>1</v>
      </c>
      <c r="G2627" t="s">
        <v>1465</v>
      </c>
      <c r="H2627" t="s">
        <v>9</v>
      </c>
      <c r="I2627" t="s">
        <v>268</v>
      </c>
      <c r="J2627" t="s">
        <v>480</v>
      </c>
    </row>
    <row r="2628" spans="1:10">
      <c r="A2628">
        <v>52627</v>
      </c>
      <c r="B2628">
        <v>31517</v>
      </c>
      <c r="C2628" t="s">
        <v>967</v>
      </c>
      <c r="D2628">
        <v>2480</v>
      </c>
      <c r="E2628">
        <v>1010</v>
      </c>
      <c r="F2628">
        <v>3</v>
      </c>
      <c r="G2628" t="s">
        <v>1514</v>
      </c>
      <c r="H2628" t="s">
        <v>9</v>
      </c>
      <c r="I2628" t="s">
        <v>1041</v>
      </c>
      <c r="J2628" t="s">
        <v>1042</v>
      </c>
    </row>
    <row r="2629" spans="1:10">
      <c r="A2629">
        <v>52628</v>
      </c>
      <c r="B2629">
        <v>31518</v>
      </c>
      <c r="C2629" t="s">
        <v>490</v>
      </c>
      <c r="D2629">
        <v>2153</v>
      </c>
      <c r="E2629">
        <v>1010</v>
      </c>
      <c r="F2629">
        <v>2</v>
      </c>
      <c r="G2629" t="s">
        <v>1483</v>
      </c>
      <c r="H2629" t="s">
        <v>11</v>
      </c>
      <c r="I2629" t="s">
        <v>874</v>
      </c>
      <c r="J2629" t="s">
        <v>732</v>
      </c>
    </row>
    <row r="2630" spans="1:10">
      <c r="A2630">
        <v>52629</v>
      </c>
      <c r="B2630">
        <v>31519</v>
      </c>
      <c r="C2630" t="s">
        <v>261</v>
      </c>
      <c r="D2630">
        <v>2255</v>
      </c>
      <c r="E2630">
        <v>1010</v>
      </c>
      <c r="F2630">
        <v>4</v>
      </c>
      <c r="G2630" t="s">
        <v>1517</v>
      </c>
      <c r="H2630" t="s">
        <v>9</v>
      </c>
      <c r="I2630" t="s">
        <v>692</v>
      </c>
      <c r="J2630" t="s">
        <v>1252</v>
      </c>
    </row>
    <row r="2631" spans="1:10">
      <c r="A2631">
        <v>52630</v>
      </c>
      <c r="B2631">
        <v>31520</v>
      </c>
      <c r="C2631" t="s">
        <v>107</v>
      </c>
      <c r="D2631">
        <v>2583</v>
      </c>
      <c r="E2631">
        <v>1003</v>
      </c>
      <c r="F2631">
        <v>1</v>
      </c>
      <c r="G2631" t="s">
        <v>1471</v>
      </c>
      <c r="H2631" t="s">
        <v>9</v>
      </c>
      <c r="I2631" t="s">
        <v>1346</v>
      </c>
      <c r="J2631" t="s">
        <v>71</v>
      </c>
    </row>
    <row r="2632" spans="1:10">
      <c r="A2632">
        <v>52631</v>
      </c>
      <c r="B2632">
        <v>31520</v>
      </c>
      <c r="C2632" t="s">
        <v>828</v>
      </c>
      <c r="D2632">
        <v>2583</v>
      </c>
      <c r="E2632">
        <v>1002</v>
      </c>
      <c r="F2632">
        <v>3</v>
      </c>
      <c r="G2632" t="s">
        <v>1508</v>
      </c>
      <c r="H2632" t="s">
        <v>9</v>
      </c>
      <c r="I2632" t="s">
        <v>1060</v>
      </c>
      <c r="J2632" t="s">
        <v>999</v>
      </c>
    </row>
    <row r="2633" spans="1:10">
      <c r="A2633">
        <v>52632</v>
      </c>
      <c r="B2633">
        <v>31520</v>
      </c>
      <c r="C2633" t="s">
        <v>107</v>
      </c>
      <c r="D2633">
        <v>2583</v>
      </c>
      <c r="E2633">
        <v>1004</v>
      </c>
      <c r="F2633">
        <v>1</v>
      </c>
      <c r="G2633" t="s">
        <v>1452</v>
      </c>
      <c r="H2633" t="s">
        <v>9</v>
      </c>
      <c r="I2633" t="s">
        <v>1254</v>
      </c>
      <c r="J2633" t="s">
        <v>443</v>
      </c>
    </row>
    <row r="2634" spans="1:10">
      <c r="A2634">
        <v>52633</v>
      </c>
      <c r="B2634">
        <v>31520</v>
      </c>
      <c r="C2634" t="s">
        <v>831</v>
      </c>
      <c r="D2634">
        <v>2583</v>
      </c>
      <c r="E2634">
        <v>1014</v>
      </c>
      <c r="F2634">
        <v>1</v>
      </c>
      <c r="G2634" t="s">
        <v>1463</v>
      </c>
      <c r="H2634" t="s">
        <v>9</v>
      </c>
      <c r="I2634" t="s">
        <v>1344</v>
      </c>
      <c r="J2634" t="s">
        <v>279</v>
      </c>
    </row>
    <row r="2635" spans="1:10">
      <c r="A2635">
        <v>52634</v>
      </c>
      <c r="B2635">
        <v>31521</v>
      </c>
      <c r="C2635" t="s">
        <v>1347</v>
      </c>
      <c r="D2635">
        <v>2423</v>
      </c>
      <c r="E2635">
        <v>1009</v>
      </c>
      <c r="F2635">
        <v>2</v>
      </c>
      <c r="G2635" t="s">
        <v>1479</v>
      </c>
      <c r="H2635" t="s">
        <v>9</v>
      </c>
      <c r="I2635" t="s">
        <v>1252</v>
      </c>
      <c r="J2635" t="s">
        <v>251</v>
      </c>
    </row>
    <row r="2636" spans="1:10">
      <c r="A2636">
        <v>52635</v>
      </c>
      <c r="B2636">
        <v>31522</v>
      </c>
      <c r="C2636" t="s">
        <v>892</v>
      </c>
      <c r="D2636">
        <v>2364</v>
      </c>
      <c r="E2636">
        <v>1003</v>
      </c>
      <c r="F2636">
        <v>1</v>
      </c>
      <c r="G2636" t="s">
        <v>1471</v>
      </c>
      <c r="H2636" t="s">
        <v>9</v>
      </c>
      <c r="I2636" t="s">
        <v>758</v>
      </c>
      <c r="J2636" t="s">
        <v>327</v>
      </c>
    </row>
    <row r="2637" spans="1:10">
      <c r="A2637">
        <v>52636</v>
      </c>
      <c r="B2637">
        <v>31522</v>
      </c>
      <c r="C2637" t="s">
        <v>1268</v>
      </c>
      <c r="D2637">
        <v>2364</v>
      </c>
      <c r="E2637">
        <v>1001</v>
      </c>
      <c r="F2637">
        <v>2</v>
      </c>
      <c r="G2637" t="s">
        <v>1460</v>
      </c>
      <c r="H2637" t="s">
        <v>9</v>
      </c>
      <c r="I2637" t="s">
        <v>324</v>
      </c>
      <c r="J2637" t="s">
        <v>770</v>
      </c>
    </row>
    <row r="2638" spans="1:10">
      <c r="A2638">
        <v>52637</v>
      </c>
      <c r="B2638">
        <v>31523</v>
      </c>
      <c r="C2638" t="s">
        <v>1013</v>
      </c>
      <c r="D2638">
        <v>2117</v>
      </c>
      <c r="E2638">
        <v>1015</v>
      </c>
      <c r="F2638">
        <v>3</v>
      </c>
      <c r="G2638" t="s">
        <v>1470</v>
      </c>
      <c r="H2638" t="s">
        <v>1457</v>
      </c>
      <c r="I2638" t="s">
        <v>355</v>
      </c>
      <c r="J2638" t="s">
        <v>666</v>
      </c>
    </row>
    <row r="2639" spans="1:10">
      <c r="A2639">
        <v>52638</v>
      </c>
      <c r="B2639">
        <v>31524</v>
      </c>
      <c r="C2639" t="s">
        <v>475</v>
      </c>
      <c r="D2639">
        <v>2184</v>
      </c>
      <c r="E2639">
        <v>1013</v>
      </c>
      <c r="F2639">
        <v>2</v>
      </c>
      <c r="G2639" t="s">
        <v>1492</v>
      </c>
      <c r="H2639" t="s">
        <v>16</v>
      </c>
      <c r="I2639" t="s">
        <v>806</v>
      </c>
      <c r="J2639" t="s">
        <v>1421</v>
      </c>
    </row>
    <row r="2640" spans="1:10">
      <c r="A2640">
        <v>52639</v>
      </c>
      <c r="B2640">
        <v>31524</v>
      </c>
      <c r="C2640" t="s">
        <v>475</v>
      </c>
      <c r="D2640">
        <v>2184</v>
      </c>
      <c r="E2640">
        <v>1014</v>
      </c>
      <c r="F2640">
        <v>2</v>
      </c>
      <c r="G2640" t="s">
        <v>1475</v>
      </c>
      <c r="H2640" t="s">
        <v>16</v>
      </c>
      <c r="I2640" t="s">
        <v>1421</v>
      </c>
      <c r="J2640" t="s">
        <v>1421</v>
      </c>
    </row>
    <row r="2641" spans="1:10">
      <c r="A2641">
        <v>52640</v>
      </c>
      <c r="B2641">
        <v>31525</v>
      </c>
      <c r="C2641" t="s">
        <v>832</v>
      </c>
      <c r="D2641">
        <v>2305</v>
      </c>
      <c r="E2641">
        <v>1015</v>
      </c>
      <c r="F2641">
        <v>5</v>
      </c>
      <c r="G2641" t="s">
        <v>1509</v>
      </c>
      <c r="H2641" t="s">
        <v>9</v>
      </c>
      <c r="I2641" t="s">
        <v>1179</v>
      </c>
      <c r="J2641" t="s">
        <v>447</v>
      </c>
    </row>
    <row r="2642" spans="1:10">
      <c r="A2642">
        <v>52641</v>
      </c>
      <c r="B2642">
        <v>31525</v>
      </c>
      <c r="C2642" t="s">
        <v>832</v>
      </c>
      <c r="D2642">
        <v>2305</v>
      </c>
      <c r="E2642">
        <v>1015</v>
      </c>
      <c r="F2642">
        <v>2</v>
      </c>
      <c r="G2642" t="s">
        <v>1488</v>
      </c>
      <c r="H2642" t="s">
        <v>9</v>
      </c>
      <c r="I2642" t="s">
        <v>141</v>
      </c>
      <c r="J2642" t="s">
        <v>1254</v>
      </c>
    </row>
    <row r="2643" spans="1:10">
      <c r="A2643">
        <v>52642</v>
      </c>
      <c r="B2643">
        <v>31526</v>
      </c>
      <c r="C2643" t="s">
        <v>669</v>
      </c>
      <c r="D2643">
        <v>2272</v>
      </c>
      <c r="E2643">
        <v>1006</v>
      </c>
      <c r="F2643">
        <v>4</v>
      </c>
      <c r="G2643" t="s">
        <v>1496</v>
      </c>
      <c r="H2643" t="s">
        <v>9</v>
      </c>
      <c r="I2643" t="s">
        <v>728</v>
      </c>
      <c r="J2643" t="s">
        <v>1012</v>
      </c>
    </row>
    <row r="2644" spans="1:10">
      <c r="A2644">
        <v>52643</v>
      </c>
      <c r="B2644">
        <v>31526</v>
      </c>
      <c r="C2644" t="s">
        <v>43</v>
      </c>
      <c r="D2644">
        <v>2272</v>
      </c>
      <c r="E2644">
        <v>1007</v>
      </c>
      <c r="F2644">
        <v>1</v>
      </c>
      <c r="G2644" t="s">
        <v>1453</v>
      </c>
      <c r="H2644" t="s">
        <v>9</v>
      </c>
      <c r="I2644" t="s">
        <v>640</v>
      </c>
      <c r="J2644" t="s">
        <v>783</v>
      </c>
    </row>
    <row r="2645" spans="1:10">
      <c r="A2645">
        <v>52644</v>
      </c>
      <c r="B2645">
        <v>31526</v>
      </c>
      <c r="C2645" t="s">
        <v>741</v>
      </c>
      <c r="D2645">
        <v>2272</v>
      </c>
      <c r="E2645">
        <v>1006</v>
      </c>
      <c r="F2645">
        <v>1</v>
      </c>
      <c r="G2645" t="s">
        <v>1459</v>
      </c>
      <c r="H2645" t="s">
        <v>9</v>
      </c>
      <c r="I2645" t="s">
        <v>405</v>
      </c>
      <c r="J2645" t="s">
        <v>281</v>
      </c>
    </row>
    <row r="2646" spans="1:10">
      <c r="A2646">
        <v>52645</v>
      </c>
      <c r="B2646">
        <v>31527</v>
      </c>
      <c r="C2646" t="s">
        <v>898</v>
      </c>
      <c r="D2646">
        <v>2081</v>
      </c>
      <c r="E2646">
        <v>1009</v>
      </c>
      <c r="F2646">
        <v>1</v>
      </c>
      <c r="G2646" t="s">
        <v>1473</v>
      </c>
      <c r="H2646" t="s">
        <v>9</v>
      </c>
      <c r="I2646" t="s">
        <v>468</v>
      </c>
      <c r="J2646" t="s">
        <v>715</v>
      </c>
    </row>
    <row r="2647" spans="1:10">
      <c r="A2647">
        <v>52646</v>
      </c>
      <c r="B2647">
        <v>31527</v>
      </c>
      <c r="C2647" t="s">
        <v>1107</v>
      </c>
      <c r="D2647">
        <v>2081</v>
      </c>
      <c r="E2647">
        <v>1004</v>
      </c>
      <c r="F2647">
        <v>1</v>
      </c>
      <c r="G2647" t="s">
        <v>1452</v>
      </c>
      <c r="H2647" t="s">
        <v>9</v>
      </c>
      <c r="I2647" t="s">
        <v>251</v>
      </c>
      <c r="J2647" t="s">
        <v>920</v>
      </c>
    </row>
    <row r="2648" spans="1:10">
      <c r="A2648">
        <v>52647</v>
      </c>
      <c r="B2648">
        <v>31527</v>
      </c>
      <c r="C2648" t="s">
        <v>1212</v>
      </c>
      <c r="D2648">
        <v>2081</v>
      </c>
      <c r="E2648">
        <v>1014</v>
      </c>
      <c r="F2648">
        <v>1</v>
      </c>
      <c r="G2648" t="s">
        <v>1463</v>
      </c>
      <c r="H2648" t="s">
        <v>9</v>
      </c>
      <c r="I2648" t="s">
        <v>427</v>
      </c>
      <c r="J2648" t="s">
        <v>460</v>
      </c>
    </row>
    <row r="2649" spans="1:10">
      <c r="A2649">
        <v>52648</v>
      </c>
      <c r="B2649">
        <v>31528</v>
      </c>
      <c r="C2649" t="s">
        <v>908</v>
      </c>
      <c r="D2649">
        <v>2548</v>
      </c>
      <c r="E2649">
        <v>1013</v>
      </c>
      <c r="F2649">
        <v>2</v>
      </c>
      <c r="G2649" t="s">
        <v>1492</v>
      </c>
      <c r="H2649" t="s">
        <v>9</v>
      </c>
      <c r="I2649" t="s">
        <v>421</v>
      </c>
      <c r="J2649" t="s">
        <v>743</v>
      </c>
    </row>
    <row r="2650" spans="1:10">
      <c r="A2650">
        <v>52649</v>
      </c>
      <c r="B2650">
        <v>31528</v>
      </c>
      <c r="C2650" t="s">
        <v>754</v>
      </c>
      <c r="D2650">
        <v>2548</v>
      </c>
      <c r="E2650">
        <v>1004</v>
      </c>
      <c r="F2650">
        <v>1</v>
      </c>
      <c r="G2650" t="s">
        <v>1452</v>
      </c>
      <c r="H2650" t="s">
        <v>9</v>
      </c>
      <c r="I2650" t="s">
        <v>421</v>
      </c>
      <c r="J2650" t="s">
        <v>1097</v>
      </c>
    </row>
    <row r="2651" spans="1:10">
      <c r="A2651">
        <v>52650</v>
      </c>
      <c r="B2651">
        <v>31529</v>
      </c>
      <c r="C2651" t="s">
        <v>453</v>
      </c>
      <c r="D2651">
        <v>2014</v>
      </c>
      <c r="E2651">
        <v>1016</v>
      </c>
      <c r="F2651">
        <v>4</v>
      </c>
      <c r="G2651" t="s">
        <v>1522</v>
      </c>
      <c r="H2651" t="s">
        <v>9</v>
      </c>
      <c r="I2651" t="s">
        <v>740</v>
      </c>
      <c r="J2651" t="s">
        <v>301</v>
      </c>
    </row>
    <row r="2652" spans="1:10">
      <c r="A2652">
        <v>52651</v>
      </c>
      <c r="B2652">
        <v>31529</v>
      </c>
      <c r="C2652" t="s">
        <v>625</v>
      </c>
      <c r="D2652">
        <v>2014</v>
      </c>
      <c r="E2652">
        <v>1015</v>
      </c>
      <c r="F2652">
        <v>1</v>
      </c>
      <c r="G2652" t="s">
        <v>1478</v>
      </c>
      <c r="H2652" t="s">
        <v>9</v>
      </c>
      <c r="I2652" t="s">
        <v>298</v>
      </c>
      <c r="J2652" t="s">
        <v>259</v>
      </c>
    </row>
    <row r="2653" spans="1:10">
      <c r="A2653">
        <v>52652</v>
      </c>
      <c r="B2653">
        <v>31529</v>
      </c>
      <c r="C2653" t="s">
        <v>416</v>
      </c>
      <c r="D2653">
        <v>2014</v>
      </c>
      <c r="E2653">
        <v>1013</v>
      </c>
      <c r="F2653">
        <v>2</v>
      </c>
      <c r="G2653" t="s">
        <v>1492</v>
      </c>
      <c r="H2653" t="s">
        <v>9</v>
      </c>
      <c r="I2653" t="s">
        <v>776</v>
      </c>
      <c r="J2653" t="s">
        <v>588</v>
      </c>
    </row>
    <row r="2654" spans="1:10">
      <c r="A2654">
        <v>52653</v>
      </c>
      <c r="B2654">
        <v>31529</v>
      </c>
      <c r="C2654" t="s">
        <v>453</v>
      </c>
      <c r="D2654">
        <v>2014</v>
      </c>
      <c r="E2654">
        <v>1016</v>
      </c>
      <c r="F2654">
        <v>1</v>
      </c>
      <c r="G2654" t="s">
        <v>1465</v>
      </c>
      <c r="H2654" t="s">
        <v>9</v>
      </c>
      <c r="I2654" t="s">
        <v>441</v>
      </c>
      <c r="J2654" t="s">
        <v>296</v>
      </c>
    </row>
    <row r="2655" spans="1:10">
      <c r="A2655">
        <v>52654</v>
      </c>
      <c r="B2655">
        <v>31530</v>
      </c>
      <c r="C2655" t="s">
        <v>204</v>
      </c>
      <c r="D2655">
        <v>2311</v>
      </c>
      <c r="E2655">
        <v>1012</v>
      </c>
      <c r="F2655">
        <v>1</v>
      </c>
      <c r="G2655" t="s">
        <v>1449</v>
      </c>
      <c r="H2655" t="s">
        <v>9</v>
      </c>
      <c r="I2655" t="s">
        <v>458</v>
      </c>
      <c r="J2655" t="s">
        <v>457</v>
      </c>
    </row>
    <row r="2656" spans="1:10">
      <c r="A2656">
        <v>52655</v>
      </c>
      <c r="B2656">
        <v>31531</v>
      </c>
      <c r="C2656" t="s">
        <v>222</v>
      </c>
      <c r="D2656">
        <v>2405</v>
      </c>
      <c r="E2656">
        <v>1003</v>
      </c>
      <c r="F2656">
        <v>1</v>
      </c>
      <c r="G2656" t="s">
        <v>1471</v>
      </c>
      <c r="H2656" t="s">
        <v>16</v>
      </c>
      <c r="I2656" t="s">
        <v>583</v>
      </c>
      <c r="J2656" t="s">
        <v>1421</v>
      </c>
    </row>
    <row r="2657" spans="1:10">
      <c r="A2657">
        <v>52656</v>
      </c>
      <c r="B2657">
        <v>31531</v>
      </c>
      <c r="C2657" t="s">
        <v>1255</v>
      </c>
      <c r="D2657">
        <v>2405</v>
      </c>
      <c r="E2657">
        <v>1001</v>
      </c>
      <c r="F2657">
        <v>1</v>
      </c>
      <c r="G2657" t="s">
        <v>1469</v>
      </c>
      <c r="H2657" t="s">
        <v>16</v>
      </c>
      <c r="I2657" t="s">
        <v>465</v>
      </c>
      <c r="J2657" t="s">
        <v>1421</v>
      </c>
    </row>
    <row r="2658" spans="1:10">
      <c r="A2658">
        <v>52657</v>
      </c>
      <c r="B2658">
        <v>31532</v>
      </c>
      <c r="C2658" t="s">
        <v>328</v>
      </c>
      <c r="D2658">
        <v>2017</v>
      </c>
      <c r="E2658">
        <v>1007</v>
      </c>
      <c r="F2658">
        <v>4</v>
      </c>
      <c r="G2658" t="s">
        <v>1504</v>
      </c>
      <c r="H2658" t="s">
        <v>9</v>
      </c>
      <c r="I2658" t="s">
        <v>771</v>
      </c>
      <c r="J2658" t="s">
        <v>770</v>
      </c>
    </row>
    <row r="2659" spans="1:10">
      <c r="A2659">
        <v>52658</v>
      </c>
      <c r="B2659">
        <v>31532</v>
      </c>
      <c r="C2659" t="s">
        <v>232</v>
      </c>
      <c r="D2659">
        <v>2017</v>
      </c>
      <c r="E2659">
        <v>1001</v>
      </c>
      <c r="F2659">
        <v>3</v>
      </c>
      <c r="G2659" t="s">
        <v>1515</v>
      </c>
      <c r="H2659" t="s">
        <v>9</v>
      </c>
      <c r="I2659" t="s">
        <v>119</v>
      </c>
      <c r="J2659" t="s">
        <v>1182</v>
      </c>
    </row>
    <row r="2660" spans="1:10">
      <c r="A2660">
        <v>52659</v>
      </c>
      <c r="B2660">
        <v>31533</v>
      </c>
      <c r="C2660" t="s">
        <v>1216</v>
      </c>
      <c r="D2660">
        <v>2215</v>
      </c>
      <c r="E2660">
        <v>1005</v>
      </c>
      <c r="F2660">
        <v>1</v>
      </c>
      <c r="G2660" t="s">
        <v>1456</v>
      </c>
      <c r="H2660" t="s">
        <v>9</v>
      </c>
      <c r="I2660" t="s">
        <v>687</v>
      </c>
      <c r="J2660" t="s">
        <v>632</v>
      </c>
    </row>
    <row r="2661" spans="1:10">
      <c r="A2661">
        <v>52660</v>
      </c>
      <c r="B2661">
        <v>31534</v>
      </c>
      <c r="C2661" t="s">
        <v>1241</v>
      </c>
      <c r="D2661">
        <v>2248</v>
      </c>
      <c r="E2661">
        <v>1007</v>
      </c>
      <c r="F2661">
        <v>2</v>
      </c>
      <c r="G2661" t="s">
        <v>1455</v>
      </c>
      <c r="H2661" t="s">
        <v>9</v>
      </c>
      <c r="I2661" t="s">
        <v>576</v>
      </c>
      <c r="J2661" t="s">
        <v>719</v>
      </c>
    </row>
    <row r="2662" spans="1:10">
      <c r="A2662">
        <v>52661</v>
      </c>
      <c r="B2662">
        <v>31534</v>
      </c>
      <c r="C2662" t="s">
        <v>1247</v>
      </c>
      <c r="D2662">
        <v>2248</v>
      </c>
      <c r="E2662">
        <v>1003</v>
      </c>
      <c r="F2662">
        <v>1</v>
      </c>
      <c r="G2662" t="s">
        <v>1471</v>
      </c>
      <c r="H2662" t="s">
        <v>9</v>
      </c>
      <c r="I2662" t="s">
        <v>561</v>
      </c>
      <c r="J2662" t="s">
        <v>1339</v>
      </c>
    </row>
    <row r="2663" spans="1:10">
      <c r="A2663">
        <v>52662</v>
      </c>
      <c r="B2663">
        <v>31534</v>
      </c>
      <c r="C2663" t="s">
        <v>779</v>
      </c>
      <c r="D2663">
        <v>2248</v>
      </c>
      <c r="E2663">
        <v>1010</v>
      </c>
      <c r="F2663">
        <v>1</v>
      </c>
      <c r="G2663" t="s">
        <v>1468</v>
      </c>
      <c r="H2663" t="s">
        <v>9</v>
      </c>
      <c r="I2663" t="s">
        <v>1348</v>
      </c>
      <c r="J2663" t="s">
        <v>870</v>
      </c>
    </row>
    <row r="2664" spans="1:10">
      <c r="A2664">
        <v>52663</v>
      </c>
      <c r="B2664">
        <v>31534</v>
      </c>
      <c r="C2664" t="s">
        <v>389</v>
      </c>
      <c r="D2664">
        <v>2248</v>
      </c>
      <c r="E2664">
        <v>1015</v>
      </c>
      <c r="F2664">
        <v>1</v>
      </c>
      <c r="G2664" t="s">
        <v>1478</v>
      </c>
      <c r="H2664" t="s">
        <v>9</v>
      </c>
      <c r="I2664" t="s">
        <v>363</v>
      </c>
      <c r="J2664" t="s">
        <v>654</v>
      </c>
    </row>
    <row r="2665" spans="1:10">
      <c r="A2665">
        <v>52664</v>
      </c>
      <c r="B2665">
        <v>31535</v>
      </c>
      <c r="C2665" t="s">
        <v>1283</v>
      </c>
      <c r="D2665">
        <v>2152</v>
      </c>
      <c r="E2665">
        <v>1001</v>
      </c>
      <c r="F2665">
        <v>3</v>
      </c>
      <c r="G2665" t="s">
        <v>1515</v>
      </c>
      <c r="H2665" t="s">
        <v>9</v>
      </c>
      <c r="I2665" t="s">
        <v>752</v>
      </c>
      <c r="J2665" t="s">
        <v>508</v>
      </c>
    </row>
    <row r="2666" spans="1:10">
      <c r="A2666">
        <v>52665</v>
      </c>
      <c r="B2666">
        <v>31535</v>
      </c>
      <c r="C2666" t="s">
        <v>1283</v>
      </c>
      <c r="D2666">
        <v>2152</v>
      </c>
      <c r="E2666">
        <v>1004</v>
      </c>
      <c r="F2666">
        <v>2</v>
      </c>
      <c r="G2666" t="s">
        <v>1476</v>
      </c>
      <c r="H2666" t="s">
        <v>9</v>
      </c>
      <c r="I2666" t="s">
        <v>1044</v>
      </c>
      <c r="J2666" t="s">
        <v>1251</v>
      </c>
    </row>
    <row r="2667" spans="1:10">
      <c r="A2667">
        <v>52666</v>
      </c>
      <c r="B2667">
        <v>31536</v>
      </c>
      <c r="C2667" t="s">
        <v>686</v>
      </c>
      <c r="D2667">
        <v>2171</v>
      </c>
      <c r="E2667">
        <v>1015</v>
      </c>
      <c r="F2667">
        <v>1</v>
      </c>
      <c r="G2667" t="s">
        <v>1478</v>
      </c>
      <c r="H2667" t="s">
        <v>12</v>
      </c>
      <c r="I2667" t="s">
        <v>1421</v>
      </c>
      <c r="J2667" t="s">
        <v>1421</v>
      </c>
    </row>
    <row r="2668" spans="1:10">
      <c r="A2668">
        <v>52667</v>
      </c>
      <c r="B2668">
        <v>31537</v>
      </c>
      <c r="C2668" t="s">
        <v>315</v>
      </c>
      <c r="D2668">
        <v>2497</v>
      </c>
      <c r="E2668">
        <v>1015</v>
      </c>
      <c r="F2668">
        <v>1</v>
      </c>
      <c r="G2668" t="s">
        <v>1478</v>
      </c>
      <c r="H2668" t="s">
        <v>9</v>
      </c>
      <c r="I2668" t="s">
        <v>1087</v>
      </c>
      <c r="J2668" t="s">
        <v>611</v>
      </c>
    </row>
    <row r="2669" spans="1:10">
      <c r="A2669">
        <v>52668</v>
      </c>
      <c r="B2669">
        <v>31538</v>
      </c>
      <c r="C2669" t="s">
        <v>1010</v>
      </c>
      <c r="D2669">
        <v>2600</v>
      </c>
      <c r="E2669">
        <v>1010</v>
      </c>
      <c r="F2669">
        <v>1</v>
      </c>
      <c r="G2669" t="s">
        <v>1468</v>
      </c>
      <c r="H2669" t="s">
        <v>9</v>
      </c>
      <c r="I2669" t="s">
        <v>233</v>
      </c>
      <c r="J2669" t="s">
        <v>1059</v>
      </c>
    </row>
    <row r="2670" spans="1:10">
      <c r="A2670">
        <v>52669</v>
      </c>
      <c r="B2670">
        <v>31538</v>
      </c>
      <c r="C2670" t="s">
        <v>288</v>
      </c>
      <c r="D2670">
        <v>2600</v>
      </c>
      <c r="E2670">
        <v>1013</v>
      </c>
      <c r="F2670">
        <v>1</v>
      </c>
      <c r="G2670" t="s">
        <v>1474</v>
      </c>
      <c r="H2670" t="s">
        <v>9</v>
      </c>
      <c r="I2670" t="s">
        <v>233</v>
      </c>
      <c r="J2670" t="s">
        <v>801</v>
      </c>
    </row>
    <row r="2671" spans="1:10">
      <c r="A2671">
        <v>52670</v>
      </c>
      <c r="B2671">
        <v>31539</v>
      </c>
      <c r="C2671" t="s">
        <v>369</v>
      </c>
      <c r="D2671">
        <v>2053</v>
      </c>
      <c r="E2671">
        <v>1004</v>
      </c>
      <c r="F2671">
        <v>1</v>
      </c>
      <c r="G2671" t="s">
        <v>1452</v>
      </c>
      <c r="H2671" t="s">
        <v>9</v>
      </c>
      <c r="I2671" t="s">
        <v>1349</v>
      </c>
      <c r="J2671" t="s">
        <v>1122</v>
      </c>
    </row>
    <row r="2672" spans="1:10">
      <c r="A2672">
        <v>52671</v>
      </c>
      <c r="B2672">
        <v>31540</v>
      </c>
      <c r="C2672" t="s">
        <v>172</v>
      </c>
      <c r="D2672">
        <v>2443</v>
      </c>
      <c r="E2672">
        <v>1016</v>
      </c>
      <c r="F2672">
        <v>2</v>
      </c>
      <c r="G2672" t="s">
        <v>1500</v>
      </c>
      <c r="H2672" t="s">
        <v>11</v>
      </c>
      <c r="I2672" t="s">
        <v>1213</v>
      </c>
      <c r="J2672" t="s">
        <v>1060</v>
      </c>
    </row>
    <row r="2673" spans="1:10">
      <c r="A2673">
        <v>52672</v>
      </c>
      <c r="B2673">
        <v>31541</v>
      </c>
      <c r="C2673" t="s">
        <v>1126</v>
      </c>
      <c r="D2673">
        <v>2593</v>
      </c>
      <c r="E2673">
        <v>1010</v>
      </c>
      <c r="F2673">
        <v>1</v>
      </c>
      <c r="G2673" t="s">
        <v>1468</v>
      </c>
      <c r="H2673" t="s">
        <v>9</v>
      </c>
      <c r="I2673" t="s">
        <v>603</v>
      </c>
      <c r="J2673" t="s">
        <v>605</v>
      </c>
    </row>
    <row r="2674" spans="1:10">
      <c r="A2674">
        <v>52673</v>
      </c>
      <c r="B2674">
        <v>31541</v>
      </c>
      <c r="C2674" t="s">
        <v>1125</v>
      </c>
      <c r="D2674">
        <v>2593</v>
      </c>
      <c r="E2674">
        <v>1002</v>
      </c>
      <c r="F2674">
        <v>1</v>
      </c>
      <c r="G2674" t="s">
        <v>1466</v>
      </c>
      <c r="H2674" t="s">
        <v>9</v>
      </c>
      <c r="I2674" t="s">
        <v>62</v>
      </c>
      <c r="J2674" t="s">
        <v>1251</v>
      </c>
    </row>
    <row r="2675" spans="1:10">
      <c r="A2675">
        <v>52674</v>
      </c>
      <c r="B2675">
        <v>31542</v>
      </c>
      <c r="C2675" t="s">
        <v>645</v>
      </c>
      <c r="D2675">
        <v>2500</v>
      </c>
      <c r="E2675">
        <v>1016</v>
      </c>
      <c r="F2675">
        <v>3</v>
      </c>
      <c r="G2675" t="s">
        <v>1484</v>
      </c>
      <c r="H2675" t="s">
        <v>9</v>
      </c>
      <c r="I2675" t="s">
        <v>336</v>
      </c>
      <c r="J2675" t="s">
        <v>644</v>
      </c>
    </row>
    <row r="2676" spans="1:10">
      <c r="A2676">
        <v>52675</v>
      </c>
      <c r="B2676">
        <v>31542</v>
      </c>
      <c r="C2676" t="s">
        <v>504</v>
      </c>
      <c r="D2676">
        <v>2500</v>
      </c>
      <c r="E2676">
        <v>1008</v>
      </c>
      <c r="F2676">
        <v>5</v>
      </c>
      <c r="G2676" t="s">
        <v>1502</v>
      </c>
      <c r="H2676" t="s">
        <v>1462</v>
      </c>
      <c r="I2676" t="s">
        <v>125</v>
      </c>
      <c r="J2676" t="s">
        <v>177</v>
      </c>
    </row>
    <row r="2677" spans="1:10">
      <c r="A2677">
        <v>52676</v>
      </c>
      <c r="B2677">
        <v>31543</v>
      </c>
      <c r="C2677" t="s">
        <v>1241</v>
      </c>
      <c r="D2677">
        <v>2063</v>
      </c>
      <c r="E2677">
        <v>1014</v>
      </c>
      <c r="F2677">
        <v>2</v>
      </c>
      <c r="G2677" t="s">
        <v>1475</v>
      </c>
      <c r="H2677" t="s">
        <v>9</v>
      </c>
      <c r="I2677" t="s">
        <v>725</v>
      </c>
      <c r="J2677" t="s">
        <v>724</v>
      </c>
    </row>
    <row r="2678" spans="1:10">
      <c r="A2678">
        <v>52677</v>
      </c>
      <c r="B2678">
        <v>31543</v>
      </c>
      <c r="C2678" t="s">
        <v>779</v>
      </c>
      <c r="D2678">
        <v>2063</v>
      </c>
      <c r="E2678">
        <v>1011</v>
      </c>
      <c r="F2678">
        <v>1</v>
      </c>
      <c r="G2678" t="s">
        <v>1472</v>
      </c>
      <c r="H2678" t="s">
        <v>9</v>
      </c>
      <c r="I2678" t="s">
        <v>362</v>
      </c>
      <c r="J2678" t="s">
        <v>1134</v>
      </c>
    </row>
    <row r="2679" spans="1:10">
      <c r="A2679">
        <v>52678</v>
      </c>
      <c r="B2679">
        <v>31544</v>
      </c>
      <c r="C2679" t="s">
        <v>929</v>
      </c>
      <c r="D2679">
        <v>2567</v>
      </c>
      <c r="E2679">
        <v>1014</v>
      </c>
      <c r="F2679">
        <v>1</v>
      </c>
      <c r="G2679" t="s">
        <v>1463</v>
      </c>
      <c r="H2679" t="s">
        <v>1462</v>
      </c>
      <c r="I2679" t="s">
        <v>310</v>
      </c>
      <c r="J2679" t="s">
        <v>308</v>
      </c>
    </row>
    <row r="2680" spans="1:10">
      <c r="A2680">
        <v>52679</v>
      </c>
      <c r="B2680">
        <v>31544</v>
      </c>
      <c r="C2680" t="s">
        <v>929</v>
      </c>
      <c r="D2680">
        <v>2567</v>
      </c>
      <c r="E2680">
        <v>1016</v>
      </c>
      <c r="F2680">
        <v>1</v>
      </c>
      <c r="G2680" t="s">
        <v>1465</v>
      </c>
      <c r="H2680" t="s">
        <v>9</v>
      </c>
      <c r="I2680" t="s">
        <v>310</v>
      </c>
      <c r="J2680" t="s">
        <v>1112</v>
      </c>
    </row>
    <row r="2681" spans="1:10">
      <c r="A2681">
        <v>52680</v>
      </c>
      <c r="B2681">
        <v>31545</v>
      </c>
      <c r="C2681" t="s">
        <v>1285</v>
      </c>
      <c r="D2681">
        <v>2120</v>
      </c>
      <c r="E2681">
        <v>1012</v>
      </c>
      <c r="F2681">
        <v>3</v>
      </c>
      <c r="G2681" t="s">
        <v>1448</v>
      </c>
      <c r="H2681" t="s">
        <v>9</v>
      </c>
      <c r="I2681" t="s">
        <v>201</v>
      </c>
      <c r="J2681" t="s">
        <v>835</v>
      </c>
    </row>
    <row r="2682" spans="1:10">
      <c r="A2682">
        <v>52681</v>
      </c>
      <c r="B2682">
        <v>31546</v>
      </c>
      <c r="C2682" t="s">
        <v>778</v>
      </c>
      <c r="D2682">
        <v>2460</v>
      </c>
      <c r="E2682">
        <v>1001</v>
      </c>
      <c r="F2682">
        <v>1</v>
      </c>
      <c r="G2682" t="s">
        <v>1469</v>
      </c>
      <c r="H2682" t="s">
        <v>9</v>
      </c>
      <c r="I2682" t="s">
        <v>1099</v>
      </c>
      <c r="J2682" t="s">
        <v>743</v>
      </c>
    </row>
    <row r="2683" spans="1:10">
      <c r="A2683">
        <v>52682</v>
      </c>
      <c r="B2683">
        <v>31546</v>
      </c>
      <c r="C2683" t="s">
        <v>1176</v>
      </c>
      <c r="D2683">
        <v>2460</v>
      </c>
      <c r="E2683">
        <v>1006</v>
      </c>
      <c r="F2683">
        <v>1</v>
      </c>
      <c r="G2683" t="s">
        <v>1459</v>
      </c>
      <c r="H2683" t="s">
        <v>9</v>
      </c>
      <c r="I2683" t="s">
        <v>916</v>
      </c>
      <c r="J2683" t="s">
        <v>469</v>
      </c>
    </row>
    <row r="2684" spans="1:10">
      <c r="A2684">
        <v>52683</v>
      </c>
      <c r="B2684">
        <v>31547</v>
      </c>
      <c r="C2684" t="s">
        <v>1221</v>
      </c>
      <c r="D2684">
        <v>2295</v>
      </c>
      <c r="E2684">
        <v>1016</v>
      </c>
      <c r="F2684">
        <v>1</v>
      </c>
      <c r="G2684" t="s">
        <v>1465</v>
      </c>
      <c r="H2684" t="s">
        <v>9</v>
      </c>
      <c r="I2684" t="s">
        <v>542</v>
      </c>
      <c r="J2684" t="s">
        <v>341</v>
      </c>
    </row>
    <row r="2685" spans="1:10">
      <c r="A2685">
        <v>52684</v>
      </c>
      <c r="B2685">
        <v>31547</v>
      </c>
      <c r="C2685" t="s">
        <v>342</v>
      </c>
      <c r="D2685">
        <v>2295</v>
      </c>
      <c r="E2685">
        <v>1012</v>
      </c>
      <c r="F2685">
        <v>3</v>
      </c>
      <c r="G2685" t="s">
        <v>1448</v>
      </c>
      <c r="H2685" t="s">
        <v>9</v>
      </c>
      <c r="I2685" t="s">
        <v>797</v>
      </c>
      <c r="J2685" t="s">
        <v>799</v>
      </c>
    </row>
    <row r="2686" spans="1:10">
      <c r="A2686">
        <v>52685</v>
      </c>
      <c r="B2686">
        <v>31547</v>
      </c>
      <c r="C2686" t="s">
        <v>1221</v>
      </c>
      <c r="D2686">
        <v>2295</v>
      </c>
      <c r="E2686">
        <v>1015</v>
      </c>
      <c r="F2686">
        <v>1</v>
      </c>
      <c r="G2686" t="s">
        <v>1478</v>
      </c>
      <c r="H2686" t="s">
        <v>9</v>
      </c>
      <c r="I2686" t="s">
        <v>362</v>
      </c>
      <c r="J2686" t="s">
        <v>1022</v>
      </c>
    </row>
    <row r="2687" spans="1:10">
      <c r="A2687">
        <v>52686</v>
      </c>
      <c r="B2687">
        <v>31548</v>
      </c>
      <c r="C2687" t="s">
        <v>564</v>
      </c>
      <c r="D2687">
        <v>2238</v>
      </c>
      <c r="E2687">
        <v>1011</v>
      </c>
      <c r="F2687">
        <v>1</v>
      </c>
      <c r="G2687" t="s">
        <v>1472</v>
      </c>
      <c r="H2687" t="s">
        <v>1495</v>
      </c>
      <c r="I2687" t="s">
        <v>58</v>
      </c>
      <c r="J2687" t="s">
        <v>473</v>
      </c>
    </row>
    <row r="2688" spans="1:10">
      <c r="A2688">
        <v>52687</v>
      </c>
      <c r="B2688">
        <v>31548</v>
      </c>
      <c r="C2688" t="s">
        <v>564</v>
      </c>
      <c r="D2688">
        <v>2238</v>
      </c>
      <c r="E2688">
        <v>1015</v>
      </c>
      <c r="F2688">
        <v>2</v>
      </c>
      <c r="G2688" t="s">
        <v>1488</v>
      </c>
      <c r="H2688" t="s">
        <v>9</v>
      </c>
      <c r="I2688" t="s">
        <v>482</v>
      </c>
      <c r="J2688" t="s">
        <v>826</v>
      </c>
    </row>
    <row r="2689" spans="1:10">
      <c r="A2689">
        <v>52688</v>
      </c>
      <c r="B2689">
        <v>31549</v>
      </c>
      <c r="C2689" t="s">
        <v>1245</v>
      </c>
      <c r="D2689">
        <v>2135</v>
      </c>
      <c r="E2689">
        <v>1013</v>
      </c>
      <c r="F2689">
        <v>1</v>
      </c>
      <c r="G2689" t="s">
        <v>1474</v>
      </c>
      <c r="H2689" t="s">
        <v>12</v>
      </c>
      <c r="I2689" t="s">
        <v>1421</v>
      </c>
      <c r="J2689" t="s">
        <v>1421</v>
      </c>
    </row>
    <row r="2690" spans="1:10">
      <c r="A2690">
        <v>52689</v>
      </c>
      <c r="B2690">
        <v>31550</v>
      </c>
      <c r="C2690" t="s">
        <v>485</v>
      </c>
      <c r="D2690">
        <v>2427</v>
      </c>
      <c r="E2690">
        <v>1012</v>
      </c>
      <c r="F2690">
        <v>4</v>
      </c>
      <c r="G2690" t="s">
        <v>1485</v>
      </c>
      <c r="H2690" t="s">
        <v>16</v>
      </c>
      <c r="I2690" t="s">
        <v>1421</v>
      </c>
      <c r="J2690" t="s">
        <v>1421</v>
      </c>
    </row>
    <row r="2691" spans="1:10">
      <c r="A2691">
        <v>52690</v>
      </c>
      <c r="B2691">
        <v>31551</v>
      </c>
      <c r="C2691" t="s">
        <v>861</v>
      </c>
      <c r="D2691">
        <v>2166</v>
      </c>
      <c r="E2691">
        <v>1010</v>
      </c>
      <c r="F2691">
        <v>1</v>
      </c>
      <c r="G2691" t="s">
        <v>1468</v>
      </c>
      <c r="H2691" t="s">
        <v>9</v>
      </c>
      <c r="I2691" t="s">
        <v>651</v>
      </c>
      <c r="J2691" t="s">
        <v>781</v>
      </c>
    </row>
    <row r="2692" spans="1:10">
      <c r="A2692">
        <v>52691</v>
      </c>
      <c r="B2692">
        <v>31551</v>
      </c>
      <c r="C2692" t="s">
        <v>316</v>
      </c>
      <c r="D2692">
        <v>2166</v>
      </c>
      <c r="E2692">
        <v>1003</v>
      </c>
      <c r="F2692">
        <v>1</v>
      </c>
      <c r="G2692" t="s">
        <v>1471</v>
      </c>
      <c r="H2692" t="s">
        <v>9</v>
      </c>
      <c r="I2692" t="s">
        <v>878</v>
      </c>
      <c r="J2692" t="s">
        <v>317</v>
      </c>
    </row>
    <row r="2693" spans="1:10">
      <c r="A2693">
        <v>52692</v>
      </c>
      <c r="B2693">
        <v>31552</v>
      </c>
      <c r="C2693" t="s">
        <v>903</v>
      </c>
      <c r="D2693">
        <v>2495</v>
      </c>
      <c r="E2693">
        <v>1007</v>
      </c>
      <c r="F2693">
        <v>3</v>
      </c>
      <c r="G2693" t="s">
        <v>1446</v>
      </c>
      <c r="H2693" t="s">
        <v>9</v>
      </c>
      <c r="I2693" t="s">
        <v>588</v>
      </c>
      <c r="J2693" t="s">
        <v>100</v>
      </c>
    </row>
    <row r="2694" spans="1:10">
      <c r="A2694">
        <v>52693</v>
      </c>
      <c r="B2694">
        <v>31553</v>
      </c>
      <c r="C2694" t="s">
        <v>88</v>
      </c>
      <c r="D2694">
        <v>2161</v>
      </c>
      <c r="E2694">
        <v>1004</v>
      </c>
      <c r="F2694">
        <v>2</v>
      </c>
      <c r="G2694" t="s">
        <v>1476</v>
      </c>
      <c r="H2694" t="s">
        <v>9</v>
      </c>
      <c r="I2694" t="s">
        <v>165</v>
      </c>
      <c r="J2694" t="s">
        <v>494</v>
      </c>
    </row>
    <row r="2695" spans="1:10">
      <c r="A2695">
        <v>52694</v>
      </c>
      <c r="B2695">
        <v>31553</v>
      </c>
      <c r="C2695" t="s">
        <v>1027</v>
      </c>
      <c r="D2695">
        <v>2161</v>
      </c>
      <c r="E2695">
        <v>1014</v>
      </c>
      <c r="F2695">
        <v>3</v>
      </c>
      <c r="G2695" t="s">
        <v>1505</v>
      </c>
      <c r="H2695" t="s">
        <v>9</v>
      </c>
      <c r="I2695" t="s">
        <v>545</v>
      </c>
      <c r="J2695" t="s">
        <v>1190</v>
      </c>
    </row>
    <row r="2696" spans="1:10">
      <c r="A2696">
        <v>52695</v>
      </c>
      <c r="B2696">
        <v>31553</v>
      </c>
      <c r="C2696" t="s">
        <v>761</v>
      </c>
      <c r="D2696">
        <v>2161</v>
      </c>
      <c r="E2696">
        <v>1016</v>
      </c>
      <c r="F2696">
        <v>1</v>
      </c>
      <c r="G2696" t="s">
        <v>1465</v>
      </c>
      <c r="H2696" t="s">
        <v>9</v>
      </c>
      <c r="I2696" t="s">
        <v>165</v>
      </c>
      <c r="J2696" t="s">
        <v>222</v>
      </c>
    </row>
    <row r="2697" spans="1:10">
      <c r="A2697">
        <v>52696</v>
      </c>
      <c r="B2697">
        <v>31553</v>
      </c>
      <c r="C2697" t="s">
        <v>88</v>
      </c>
      <c r="D2697">
        <v>2161</v>
      </c>
      <c r="E2697">
        <v>1010</v>
      </c>
      <c r="F2697">
        <v>3</v>
      </c>
      <c r="G2697" t="s">
        <v>1514</v>
      </c>
      <c r="H2697" t="s">
        <v>9</v>
      </c>
      <c r="I2697" t="s">
        <v>987</v>
      </c>
      <c r="J2697" t="s">
        <v>975</v>
      </c>
    </row>
    <row r="2698" spans="1:10">
      <c r="A2698">
        <v>52697</v>
      </c>
      <c r="B2698">
        <v>31554</v>
      </c>
      <c r="C2698" t="s">
        <v>841</v>
      </c>
      <c r="D2698">
        <v>2241</v>
      </c>
      <c r="E2698">
        <v>1002</v>
      </c>
      <c r="F2698">
        <v>1</v>
      </c>
      <c r="G2698" t="s">
        <v>1466</v>
      </c>
      <c r="H2698" t="s">
        <v>9</v>
      </c>
      <c r="I2698" t="s">
        <v>773</v>
      </c>
      <c r="J2698" t="s">
        <v>759</v>
      </c>
    </row>
    <row r="2699" spans="1:10">
      <c r="A2699">
        <v>52698</v>
      </c>
      <c r="B2699">
        <v>31554</v>
      </c>
      <c r="C2699" t="s">
        <v>152</v>
      </c>
      <c r="D2699">
        <v>2241</v>
      </c>
      <c r="E2699">
        <v>1001</v>
      </c>
      <c r="F2699">
        <v>2</v>
      </c>
      <c r="G2699" t="s">
        <v>1460</v>
      </c>
      <c r="H2699" t="s">
        <v>9</v>
      </c>
      <c r="I2699" t="s">
        <v>768</v>
      </c>
      <c r="J2699" t="s">
        <v>328</v>
      </c>
    </row>
    <row r="2700" spans="1:10">
      <c r="A2700">
        <v>52699</v>
      </c>
      <c r="B2700">
        <v>31555</v>
      </c>
      <c r="C2700" t="s">
        <v>1164</v>
      </c>
      <c r="D2700">
        <v>2368</v>
      </c>
      <c r="E2700">
        <v>1012</v>
      </c>
      <c r="F2700">
        <v>1</v>
      </c>
      <c r="G2700" t="s">
        <v>1449</v>
      </c>
      <c r="H2700" t="s">
        <v>12</v>
      </c>
      <c r="I2700" t="s">
        <v>1421</v>
      </c>
      <c r="J2700" t="s">
        <v>1421</v>
      </c>
    </row>
    <row r="2701" spans="1:10">
      <c r="A2701">
        <v>52700</v>
      </c>
      <c r="B2701">
        <v>31556</v>
      </c>
      <c r="C2701" t="s">
        <v>1236</v>
      </c>
      <c r="D2701">
        <v>2163</v>
      </c>
      <c r="E2701">
        <v>1002</v>
      </c>
      <c r="F2701">
        <v>2</v>
      </c>
      <c r="G2701" t="s">
        <v>1482</v>
      </c>
      <c r="H2701" t="s">
        <v>9</v>
      </c>
      <c r="I2701" t="s">
        <v>299</v>
      </c>
      <c r="J2701" t="s">
        <v>205</v>
      </c>
    </row>
    <row r="2702" spans="1:10">
      <c r="A2702">
        <v>52701</v>
      </c>
      <c r="B2702">
        <v>31557</v>
      </c>
      <c r="C2702" t="s">
        <v>794</v>
      </c>
      <c r="D2702">
        <v>2066</v>
      </c>
      <c r="E2702">
        <v>1004</v>
      </c>
      <c r="F2702">
        <v>4</v>
      </c>
      <c r="G2702" t="s">
        <v>1489</v>
      </c>
      <c r="H2702" t="s">
        <v>9</v>
      </c>
      <c r="I2702" t="s">
        <v>1088</v>
      </c>
      <c r="J2702" t="s">
        <v>1041</v>
      </c>
    </row>
    <row r="2703" spans="1:10">
      <c r="A2703">
        <v>52702</v>
      </c>
      <c r="B2703">
        <v>31557</v>
      </c>
      <c r="C2703" t="s">
        <v>432</v>
      </c>
      <c r="D2703">
        <v>2066</v>
      </c>
      <c r="E2703">
        <v>1008</v>
      </c>
      <c r="F2703">
        <v>1</v>
      </c>
      <c r="G2703" t="s">
        <v>1447</v>
      </c>
      <c r="H2703" t="s">
        <v>9</v>
      </c>
      <c r="I2703" t="s">
        <v>795</v>
      </c>
      <c r="J2703" t="s">
        <v>463</v>
      </c>
    </row>
    <row r="2704" spans="1:10">
      <c r="A2704">
        <v>52703</v>
      </c>
      <c r="B2704">
        <v>31557</v>
      </c>
      <c r="C2704" t="s">
        <v>794</v>
      </c>
      <c r="D2704">
        <v>2066</v>
      </c>
      <c r="E2704">
        <v>1004</v>
      </c>
      <c r="F2704">
        <v>1</v>
      </c>
      <c r="G2704" t="s">
        <v>1452</v>
      </c>
      <c r="H2704" t="s">
        <v>9</v>
      </c>
      <c r="I2704" t="s">
        <v>1088</v>
      </c>
      <c r="J2704" t="s">
        <v>1042</v>
      </c>
    </row>
    <row r="2705" spans="1:10">
      <c r="A2705">
        <v>52704</v>
      </c>
      <c r="B2705">
        <v>31558</v>
      </c>
      <c r="C2705" t="s">
        <v>148</v>
      </c>
      <c r="D2705">
        <v>2576</v>
      </c>
      <c r="E2705">
        <v>1009</v>
      </c>
      <c r="F2705">
        <v>2</v>
      </c>
      <c r="G2705" t="s">
        <v>1479</v>
      </c>
      <c r="H2705" t="s">
        <v>9</v>
      </c>
      <c r="I2705" t="s">
        <v>261</v>
      </c>
      <c r="J2705" t="s">
        <v>205</v>
      </c>
    </row>
    <row r="2706" spans="1:10">
      <c r="A2706">
        <v>52705</v>
      </c>
      <c r="B2706">
        <v>31558</v>
      </c>
      <c r="C2706" t="s">
        <v>589</v>
      </c>
      <c r="D2706">
        <v>2576</v>
      </c>
      <c r="E2706">
        <v>1011</v>
      </c>
      <c r="F2706">
        <v>4</v>
      </c>
      <c r="G2706" t="s">
        <v>1499</v>
      </c>
      <c r="H2706" t="s">
        <v>9</v>
      </c>
      <c r="I2706" t="s">
        <v>261</v>
      </c>
      <c r="J2706" t="s">
        <v>1084</v>
      </c>
    </row>
    <row r="2707" spans="1:10">
      <c r="A2707">
        <v>52706</v>
      </c>
      <c r="B2707">
        <v>31558</v>
      </c>
      <c r="C2707" t="s">
        <v>1342</v>
      </c>
      <c r="D2707">
        <v>2576</v>
      </c>
      <c r="E2707">
        <v>1012</v>
      </c>
      <c r="F2707">
        <v>1</v>
      </c>
      <c r="G2707" t="s">
        <v>1449</v>
      </c>
      <c r="H2707" t="s">
        <v>1495</v>
      </c>
      <c r="I2707" t="s">
        <v>261</v>
      </c>
      <c r="J2707" t="s">
        <v>168</v>
      </c>
    </row>
    <row r="2708" spans="1:10">
      <c r="A2708">
        <v>52707</v>
      </c>
      <c r="B2708">
        <v>31559</v>
      </c>
      <c r="C2708" t="s">
        <v>967</v>
      </c>
      <c r="D2708">
        <v>2048</v>
      </c>
      <c r="E2708">
        <v>1009</v>
      </c>
      <c r="F2708">
        <v>1</v>
      </c>
      <c r="G2708" t="s">
        <v>1473</v>
      </c>
      <c r="H2708" t="s">
        <v>16</v>
      </c>
      <c r="I2708" t="s">
        <v>1421</v>
      </c>
      <c r="J2708" t="s">
        <v>1421</v>
      </c>
    </row>
    <row r="2709" spans="1:10">
      <c r="A2709">
        <v>52708</v>
      </c>
      <c r="B2709">
        <v>31559</v>
      </c>
      <c r="C2709" t="s">
        <v>432</v>
      </c>
      <c r="D2709">
        <v>2048</v>
      </c>
      <c r="E2709">
        <v>1004</v>
      </c>
      <c r="F2709">
        <v>2</v>
      </c>
      <c r="G2709" t="s">
        <v>1476</v>
      </c>
      <c r="H2709" t="s">
        <v>1477</v>
      </c>
      <c r="I2709" t="s">
        <v>1421</v>
      </c>
      <c r="J2709" t="s">
        <v>1421</v>
      </c>
    </row>
    <row r="2710" spans="1:10">
      <c r="A2710">
        <v>52709</v>
      </c>
      <c r="B2710">
        <v>31559</v>
      </c>
      <c r="C2710" t="s">
        <v>794</v>
      </c>
      <c r="D2710">
        <v>2048</v>
      </c>
      <c r="E2710">
        <v>1015</v>
      </c>
      <c r="F2710">
        <v>1</v>
      </c>
      <c r="G2710" t="s">
        <v>1478</v>
      </c>
      <c r="H2710" t="s">
        <v>16</v>
      </c>
      <c r="I2710" t="s">
        <v>1421</v>
      </c>
      <c r="J2710" t="s">
        <v>1421</v>
      </c>
    </row>
    <row r="2711" spans="1:10">
      <c r="A2711">
        <v>52710</v>
      </c>
      <c r="B2711">
        <v>31560</v>
      </c>
      <c r="C2711" t="s">
        <v>982</v>
      </c>
      <c r="D2711">
        <v>2114</v>
      </c>
      <c r="E2711">
        <v>1004</v>
      </c>
      <c r="F2711">
        <v>2</v>
      </c>
      <c r="G2711" t="s">
        <v>1476</v>
      </c>
      <c r="H2711" t="s">
        <v>11</v>
      </c>
      <c r="I2711" t="s">
        <v>164</v>
      </c>
      <c r="J2711" t="s">
        <v>1322</v>
      </c>
    </row>
    <row r="2712" spans="1:10">
      <c r="A2712">
        <v>52711</v>
      </c>
      <c r="B2712">
        <v>31560</v>
      </c>
      <c r="C2712" t="s">
        <v>132</v>
      </c>
      <c r="D2712">
        <v>2114</v>
      </c>
      <c r="E2712">
        <v>1002</v>
      </c>
      <c r="F2712">
        <v>1</v>
      </c>
      <c r="G2712" t="s">
        <v>1466</v>
      </c>
      <c r="H2712" t="s">
        <v>11</v>
      </c>
      <c r="I2712" t="s">
        <v>537</v>
      </c>
      <c r="J2712" t="s">
        <v>725</v>
      </c>
    </row>
    <row r="2713" spans="1:10">
      <c r="A2713">
        <v>52712</v>
      </c>
      <c r="B2713">
        <v>31560</v>
      </c>
      <c r="C2713" t="s">
        <v>1217</v>
      </c>
      <c r="D2713">
        <v>2114</v>
      </c>
      <c r="E2713">
        <v>1004</v>
      </c>
      <c r="F2713">
        <v>1</v>
      </c>
      <c r="G2713" t="s">
        <v>1452</v>
      </c>
      <c r="H2713" t="s">
        <v>11</v>
      </c>
      <c r="I2713" t="s">
        <v>828</v>
      </c>
      <c r="J2713" t="s">
        <v>131</v>
      </c>
    </row>
    <row r="2714" spans="1:10">
      <c r="A2714">
        <v>52713</v>
      </c>
      <c r="B2714">
        <v>31561</v>
      </c>
      <c r="C2714" t="s">
        <v>926</v>
      </c>
      <c r="D2714">
        <v>2172</v>
      </c>
      <c r="E2714">
        <v>1007</v>
      </c>
      <c r="F2714">
        <v>1</v>
      </c>
      <c r="G2714" t="s">
        <v>1453</v>
      </c>
      <c r="H2714" t="s">
        <v>9</v>
      </c>
      <c r="I2714" t="s">
        <v>179</v>
      </c>
      <c r="J2714" t="s">
        <v>273</v>
      </c>
    </row>
    <row r="2715" spans="1:10">
      <c r="A2715">
        <v>52714</v>
      </c>
      <c r="B2715">
        <v>31562</v>
      </c>
      <c r="C2715" t="s">
        <v>1203</v>
      </c>
      <c r="D2715">
        <v>2371</v>
      </c>
      <c r="E2715">
        <v>1010</v>
      </c>
      <c r="F2715">
        <v>1</v>
      </c>
      <c r="G2715" t="s">
        <v>1468</v>
      </c>
      <c r="H2715" t="s">
        <v>9</v>
      </c>
      <c r="I2715" t="s">
        <v>1014</v>
      </c>
      <c r="J2715" t="s">
        <v>1190</v>
      </c>
    </row>
    <row r="2716" spans="1:10">
      <c r="A2716">
        <v>52715</v>
      </c>
      <c r="B2716">
        <v>31563</v>
      </c>
      <c r="C2716" t="s">
        <v>1062</v>
      </c>
      <c r="D2716">
        <v>2453</v>
      </c>
      <c r="E2716">
        <v>1016</v>
      </c>
      <c r="F2716">
        <v>1</v>
      </c>
      <c r="G2716" t="s">
        <v>1465</v>
      </c>
      <c r="H2716" t="s">
        <v>16</v>
      </c>
      <c r="I2716" t="s">
        <v>1421</v>
      </c>
      <c r="J2716" t="s">
        <v>1421</v>
      </c>
    </row>
    <row r="2717" spans="1:10">
      <c r="A2717">
        <v>52716</v>
      </c>
      <c r="B2717">
        <v>31564</v>
      </c>
      <c r="C2717" t="s">
        <v>464</v>
      </c>
      <c r="D2717">
        <v>2102</v>
      </c>
      <c r="E2717">
        <v>1012</v>
      </c>
      <c r="F2717">
        <v>1</v>
      </c>
      <c r="G2717" t="s">
        <v>1449</v>
      </c>
      <c r="H2717" t="s">
        <v>9</v>
      </c>
      <c r="I2717" t="s">
        <v>1086</v>
      </c>
      <c r="J2717" t="s">
        <v>475</v>
      </c>
    </row>
    <row r="2718" spans="1:10">
      <c r="A2718">
        <v>52717</v>
      </c>
      <c r="B2718">
        <v>31564</v>
      </c>
      <c r="C2718" t="s">
        <v>184</v>
      </c>
      <c r="D2718">
        <v>2102</v>
      </c>
      <c r="E2718">
        <v>1011</v>
      </c>
      <c r="F2718">
        <v>1</v>
      </c>
      <c r="G2718" t="s">
        <v>1472</v>
      </c>
      <c r="H2718" t="s">
        <v>9</v>
      </c>
      <c r="I2718" t="s">
        <v>99</v>
      </c>
      <c r="J2718" t="s">
        <v>1030</v>
      </c>
    </row>
    <row r="2719" spans="1:10">
      <c r="A2719">
        <v>52718</v>
      </c>
      <c r="B2719">
        <v>31564</v>
      </c>
      <c r="C2719" t="s">
        <v>286</v>
      </c>
      <c r="D2719">
        <v>2102</v>
      </c>
      <c r="E2719">
        <v>1005</v>
      </c>
      <c r="F2719">
        <v>1</v>
      </c>
      <c r="G2719" t="s">
        <v>1456</v>
      </c>
      <c r="H2719" t="s">
        <v>9</v>
      </c>
      <c r="I2719" t="s">
        <v>153</v>
      </c>
      <c r="J2719" t="s">
        <v>188</v>
      </c>
    </row>
    <row r="2720" spans="1:10">
      <c r="A2720">
        <v>52719</v>
      </c>
      <c r="B2720">
        <v>31564</v>
      </c>
      <c r="C2720" t="s">
        <v>184</v>
      </c>
      <c r="D2720">
        <v>2102</v>
      </c>
      <c r="E2720">
        <v>1004</v>
      </c>
      <c r="F2720">
        <v>2</v>
      </c>
      <c r="G2720" t="s">
        <v>1476</v>
      </c>
      <c r="H2720" t="s">
        <v>9</v>
      </c>
      <c r="I2720" t="s">
        <v>1010</v>
      </c>
      <c r="J2720" t="s">
        <v>206</v>
      </c>
    </row>
    <row r="2721" spans="1:10">
      <c r="A2721">
        <v>52720</v>
      </c>
      <c r="B2721">
        <v>31565</v>
      </c>
      <c r="C2721" t="s">
        <v>488</v>
      </c>
      <c r="D2721">
        <v>2207</v>
      </c>
      <c r="E2721">
        <v>1014</v>
      </c>
      <c r="F2721">
        <v>3</v>
      </c>
      <c r="G2721" t="s">
        <v>1505</v>
      </c>
      <c r="H2721" t="s">
        <v>9</v>
      </c>
      <c r="I2721" t="s">
        <v>552</v>
      </c>
      <c r="J2721" t="s">
        <v>669</v>
      </c>
    </row>
    <row r="2722" spans="1:10">
      <c r="A2722">
        <v>52721</v>
      </c>
      <c r="B2722">
        <v>31565</v>
      </c>
      <c r="C2722" t="s">
        <v>1288</v>
      </c>
      <c r="D2722">
        <v>2207</v>
      </c>
      <c r="E2722">
        <v>1001</v>
      </c>
      <c r="F2722">
        <v>1</v>
      </c>
      <c r="G2722" t="s">
        <v>1469</v>
      </c>
      <c r="H2722" t="s">
        <v>9</v>
      </c>
      <c r="I2722" t="s">
        <v>935</v>
      </c>
      <c r="J2722" t="s">
        <v>1139</v>
      </c>
    </row>
    <row r="2723" spans="1:10">
      <c r="A2723">
        <v>52722</v>
      </c>
      <c r="B2723">
        <v>31565</v>
      </c>
      <c r="C2723" t="s">
        <v>488</v>
      </c>
      <c r="D2723">
        <v>2207</v>
      </c>
      <c r="E2723">
        <v>1008</v>
      </c>
      <c r="F2723">
        <v>2</v>
      </c>
      <c r="G2723" t="s">
        <v>1520</v>
      </c>
      <c r="H2723" t="s">
        <v>9</v>
      </c>
      <c r="I2723" t="s">
        <v>124</v>
      </c>
      <c r="J2723" t="s">
        <v>826</v>
      </c>
    </row>
    <row r="2724" spans="1:10">
      <c r="A2724">
        <v>52723</v>
      </c>
      <c r="B2724">
        <v>31566</v>
      </c>
      <c r="C2724" t="s">
        <v>947</v>
      </c>
      <c r="D2724">
        <v>2486</v>
      </c>
      <c r="E2724">
        <v>1006</v>
      </c>
      <c r="F2724">
        <v>1</v>
      </c>
      <c r="G2724" t="s">
        <v>1459</v>
      </c>
      <c r="H2724" t="s">
        <v>9</v>
      </c>
      <c r="I2724" t="s">
        <v>1298</v>
      </c>
      <c r="J2724" t="s">
        <v>373</v>
      </c>
    </row>
    <row r="2725" spans="1:10">
      <c r="A2725">
        <v>52724</v>
      </c>
      <c r="B2725">
        <v>31566</v>
      </c>
      <c r="C2725" t="s">
        <v>947</v>
      </c>
      <c r="D2725">
        <v>2486</v>
      </c>
      <c r="E2725">
        <v>1003</v>
      </c>
      <c r="F2725">
        <v>1</v>
      </c>
      <c r="G2725" t="s">
        <v>1471</v>
      </c>
      <c r="H2725" t="s">
        <v>9</v>
      </c>
      <c r="I2725" t="s">
        <v>1350</v>
      </c>
      <c r="J2725" t="s">
        <v>247</v>
      </c>
    </row>
    <row r="2726" spans="1:10">
      <c r="A2726">
        <v>52725</v>
      </c>
      <c r="B2726">
        <v>31566</v>
      </c>
      <c r="C2726" t="s">
        <v>907</v>
      </c>
      <c r="D2726">
        <v>2486</v>
      </c>
      <c r="E2726">
        <v>1009</v>
      </c>
      <c r="F2726">
        <v>1</v>
      </c>
      <c r="G2726" t="s">
        <v>1473</v>
      </c>
      <c r="H2726" t="s">
        <v>9</v>
      </c>
      <c r="I2726" t="s">
        <v>519</v>
      </c>
      <c r="J2726" t="s">
        <v>413</v>
      </c>
    </row>
    <row r="2727" spans="1:10">
      <c r="A2727">
        <v>52726</v>
      </c>
      <c r="B2727">
        <v>31567</v>
      </c>
      <c r="C2727" t="s">
        <v>1116</v>
      </c>
      <c r="D2727">
        <v>2382</v>
      </c>
      <c r="E2727">
        <v>1014</v>
      </c>
      <c r="F2727">
        <v>1</v>
      </c>
      <c r="G2727" t="s">
        <v>1463</v>
      </c>
      <c r="H2727" t="s">
        <v>9</v>
      </c>
      <c r="I2727" t="s">
        <v>764</v>
      </c>
      <c r="J2727" t="s">
        <v>305</v>
      </c>
    </row>
    <row r="2728" spans="1:10">
      <c r="A2728">
        <v>52727</v>
      </c>
      <c r="B2728">
        <v>31567</v>
      </c>
      <c r="C2728" t="s">
        <v>214</v>
      </c>
      <c r="D2728">
        <v>2382</v>
      </c>
      <c r="E2728">
        <v>1012</v>
      </c>
      <c r="F2728">
        <v>1</v>
      </c>
      <c r="G2728" t="s">
        <v>1449</v>
      </c>
      <c r="H2728" t="s">
        <v>9</v>
      </c>
      <c r="I2728" t="s">
        <v>895</v>
      </c>
      <c r="J2728" t="s">
        <v>866</v>
      </c>
    </row>
    <row r="2729" spans="1:10">
      <c r="A2729">
        <v>52728</v>
      </c>
      <c r="B2729">
        <v>31567</v>
      </c>
      <c r="C2729" t="s">
        <v>214</v>
      </c>
      <c r="D2729">
        <v>2382</v>
      </c>
      <c r="E2729">
        <v>1008</v>
      </c>
      <c r="F2729">
        <v>4</v>
      </c>
      <c r="G2729" t="s">
        <v>1503</v>
      </c>
      <c r="H2729" t="s">
        <v>9</v>
      </c>
      <c r="I2729" t="s">
        <v>895</v>
      </c>
      <c r="J2729" t="s">
        <v>1325</v>
      </c>
    </row>
    <row r="2730" spans="1:10">
      <c r="A2730">
        <v>52729</v>
      </c>
      <c r="B2730">
        <v>31567</v>
      </c>
      <c r="C2730" t="s">
        <v>418</v>
      </c>
      <c r="D2730">
        <v>2382</v>
      </c>
      <c r="E2730">
        <v>1005</v>
      </c>
      <c r="F2730">
        <v>1</v>
      </c>
      <c r="G2730" t="s">
        <v>1456</v>
      </c>
      <c r="H2730" t="s">
        <v>9</v>
      </c>
      <c r="I2730" t="s">
        <v>765</v>
      </c>
      <c r="J2730" t="s">
        <v>766</v>
      </c>
    </row>
    <row r="2731" spans="1:10">
      <c r="A2731">
        <v>52730</v>
      </c>
      <c r="B2731">
        <v>31568</v>
      </c>
      <c r="C2731" t="s">
        <v>1349</v>
      </c>
      <c r="D2731">
        <v>2543</v>
      </c>
      <c r="E2731">
        <v>1008</v>
      </c>
      <c r="F2731">
        <v>1</v>
      </c>
      <c r="G2731" t="s">
        <v>1447</v>
      </c>
      <c r="H2731" t="s">
        <v>9</v>
      </c>
      <c r="I2731" t="s">
        <v>264</v>
      </c>
      <c r="J2731" t="s">
        <v>607</v>
      </c>
    </row>
    <row r="2732" spans="1:10">
      <c r="A2732">
        <v>52731</v>
      </c>
      <c r="B2732">
        <v>31568</v>
      </c>
      <c r="C2732" t="s">
        <v>687</v>
      </c>
      <c r="D2732">
        <v>2543</v>
      </c>
      <c r="E2732">
        <v>1005</v>
      </c>
      <c r="F2732">
        <v>1</v>
      </c>
      <c r="G2732" t="s">
        <v>1456</v>
      </c>
      <c r="H2732" t="s">
        <v>9</v>
      </c>
      <c r="I2732" t="s">
        <v>607</v>
      </c>
      <c r="J2732" t="s">
        <v>628</v>
      </c>
    </row>
    <row r="2733" spans="1:10">
      <c r="A2733">
        <v>52732</v>
      </c>
      <c r="B2733">
        <v>31569</v>
      </c>
      <c r="C2733" t="s">
        <v>13</v>
      </c>
      <c r="D2733">
        <v>2440</v>
      </c>
      <c r="E2733">
        <v>1014</v>
      </c>
      <c r="F2733">
        <v>2</v>
      </c>
      <c r="G2733" t="s">
        <v>1475</v>
      </c>
      <c r="H2733" t="s">
        <v>9</v>
      </c>
      <c r="I2733" t="s">
        <v>981</v>
      </c>
      <c r="J2733" t="s">
        <v>538</v>
      </c>
    </row>
    <row r="2734" spans="1:10">
      <c r="A2734">
        <v>52733</v>
      </c>
      <c r="B2734">
        <v>31570</v>
      </c>
      <c r="C2734" t="s">
        <v>985</v>
      </c>
      <c r="D2734">
        <v>2470</v>
      </c>
      <c r="E2734">
        <v>1012</v>
      </c>
      <c r="F2734">
        <v>1</v>
      </c>
      <c r="G2734" t="s">
        <v>1449</v>
      </c>
      <c r="H2734" t="s">
        <v>11</v>
      </c>
      <c r="I2734" t="s">
        <v>663</v>
      </c>
      <c r="J2734" t="s">
        <v>192</v>
      </c>
    </row>
    <row r="2735" spans="1:10">
      <c r="A2735">
        <v>52734</v>
      </c>
      <c r="B2735">
        <v>31570</v>
      </c>
      <c r="C2735" t="s">
        <v>985</v>
      </c>
      <c r="D2735">
        <v>2470</v>
      </c>
      <c r="E2735">
        <v>1001</v>
      </c>
      <c r="F2735">
        <v>5</v>
      </c>
      <c r="G2735" t="s">
        <v>1534</v>
      </c>
      <c r="H2735" t="s">
        <v>11</v>
      </c>
      <c r="I2735" t="s">
        <v>368</v>
      </c>
      <c r="J2735" t="s">
        <v>1128</v>
      </c>
    </row>
    <row r="2736" spans="1:10">
      <c r="A2736">
        <v>52735</v>
      </c>
      <c r="B2736">
        <v>31570</v>
      </c>
      <c r="C2736" t="s">
        <v>1200</v>
      </c>
      <c r="D2736">
        <v>2470</v>
      </c>
      <c r="E2736">
        <v>1015</v>
      </c>
      <c r="F2736">
        <v>1</v>
      </c>
      <c r="G2736" t="s">
        <v>1478</v>
      </c>
      <c r="H2736" t="s">
        <v>11</v>
      </c>
      <c r="I2736" t="s">
        <v>308</v>
      </c>
      <c r="J2736" t="s">
        <v>922</v>
      </c>
    </row>
    <row r="2737" spans="1:10">
      <c r="A2737">
        <v>52736</v>
      </c>
      <c r="B2737">
        <v>31571</v>
      </c>
      <c r="C2737" t="s">
        <v>1272</v>
      </c>
      <c r="D2737">
        <v>2150</v>
      </c>
      <c r="E2737">
        <v>1003</v>
      </c>
      <c r="F2737">
        <v>1</v>
      </c>
      <c r="G2737" t="s">
        <v>1471</v>
      </c>
      <c r="H2737" t="s">
        <v>16</v>
      </c>
      <c r="I2737" t="s">
        <v>319</v>
      </c>
      <c r="J2737" t="s">
        <v>1421</v>
      </c>
    </row>
    <row r="2738" spans="1:10">
      <c r="A2738">
        <v>52737</v>
      </c>
      <c r="B2738">
        <v>31572</v>
      </c>
      <c r="C2738" t="s">
        <v>788</v>
      </c>
      <c r="D2738">
        <v>2323</v>
      </c>
      <c r="E2738">
        <v>1006</v>
      </c>
      <c r="F2738">
        <v>1</v>
      </c>
      <c r="G2738" t="s">
        <v>1459</v>
      </c>
      <c r="H2738" t="s">
        <v>9</v>
      </c>
      <c r="I2738" t="s">
        <v>45</v>
      </c>
      <c r="J2738" t="s">
        <v>575</v>
      </c>
    </row>
    <row r="2739" spans="1:10">
      <c r="A2739">
        <v>52738</v>
      </c>
      <c r="B2739">
        <v>31572</v>
      </c>
      <c r="C2739" t="s">
        <v>788</v>
      </c>
      <c r="D2739">
        <v>2323</v>
      </c>
      <c r="E2739">
        <v>1014</v>
      </c>
      <c r="F2739">
        <v>1</v>
      </c>
      <c r="G2739" t="s">
        <v>1463</v>
      </c>
      <c r="H2739" t="s">
        <v>9</v>
      </c>
      <c r="I2739" t="s">
        <v>629</v>
      </c>
      <c r="J2739" t="s">
        <v>575</v>
      </c>
    </row>
    <row r="2740" spans="1:10">
      <c r="A2740">
        <v>52739</v>
      </c>
      <c r="B2740">
        <v>31572</v>
      </c>
      <c r="C2740" t="s">
        <v>788</v>
      </c>
      <c r="D2740">
        <v>2323</v>
      </c>
      <c r="E2740">
        <v>1002</v>
      </c>
      <c r="F2740">
        <v>2</v>
      </c>
      <c r="G2740" t="s">
        <v>1482</v>
      </c>
      <c r="H2740" t="s">
        <v>9</v>
      </c>
      <c r="I2740" t="s">
        <v>1000</v>
      </c>
      <c r="J2740" t="s">
        <v>575</v>
      </c>
    </row>
    <row r="2741" spans="1:10">
      <c r="A2741">
        <v>52740</v>
      </c>
      <c r="B2741">
        <v>31572</v>
      </c>
      <c r="C2741" t="s">
        <v>128</v>
      </c>
      <c r="D2741">
        <v>2323</v>
      </c>
      <c r="E2741">
        <v>1013</v>
      </c>
      <c r="F2741">
        <v>2</v>
      </c>
      <c r="G2741" t="s">
        <v>1492</v>
      </c>
      <c r="H2741" t="s">
        <v>9</v>
      </c>
      <c r="I2741" t="s">
        <v>263</v>
      </c>
      <c r="J2741" t="s">
        <v>364</v>
      </c>
    </row>
    <row r="2742" spans="1:10">
      <c r="A2742">
        <v>52741</v>
      </c>
      <c r="B2742">
        <v>31573</v>
      </c>
      <c r="C2742" t="s">
        <v>600</v>
      </c>
      <c r="D2742">
        <v>2038</v>
      </c>
      <c r="E2742">
        <v>1005</v>
      </c>
      <c r="F2742">
        <v>1</v>
      </c>
      <c r="G2742" t="s">
        <v>1456</v>
      </c>
      <c r="H2742" t="s">
        <v>9</v>
      </c>
      <c r="I2742" t="s">
        <v>244</v>
      </c>
      <c r="J2742" t="s">
        <v>619</v>
      </c>
    </row>
    <row r="2743" spans="1:10">
      <c r="A2743">
        <v>52742</v>
      </c>
      <c r="B2743">
        <v>31573</v>
      </c>
      <c r="C2743" t="s">
        <v>19</v>
      </c>
      <c r="D2743">
        <v>2038</v>
      </c>
      <c r="E2743">
        <v>1002</v>
      </c>
      <c r="F2743">
        <v>1</v>
      </c>
      <c r="G2743" t="s">
        <v>1466</v>
      </c>
      <c r="H2743" t="s">
        <v>9</v>
      </c>
      <c r="I2743" t="s">
        <v>244</v>
      </c>
      <c r="J2743" t="s">
        <v>312</v>
      </c>
    </row>
    <row r="2744" spans="1:10">
      <c r="A2744">
        <v>52743</v>
      </c>
      <c r="B2744">
        <v>31573</v>
      </c>
      <c r="C2744" t="s">
        <v>270</v>
      </c>
      <c r="D2744">
        <v>2038</v>
      </c>
      <c r="E2744">
        <v>1010</v>
      </c>
      <c r="F2744">
        <v>1</v>
      </c>
      <c r="G2744" t="s">
        <v>1468</v>
      </c>
      <c r="H2744" t="s">
        <v>9</v>
      </c>
      <c r="I2744" t="s">
        <v>313</v>
      </c>
      <c r="J2744" t="s">
        <v>285</v>
      </c>
    </row>
    <row r="2745" spans="1:10">
      <c r="A2745">
        <v>52744</v>
      </c>
      <c r="B2745">
        <v>31574</v>
      </c>
      <c r="C2745" t="s">
        <v>1287</v>
      </c>
      <c r="D2745">
        <v>2430</v>
      </c>
      <c r="E2745">
        <v>1010</v>
      </c>
      <c r="F2745">
        <v>2</v>
      </c>
      <c r="G2745" t="s">
        <v>1483</v>
      </c>
      <c r="H2745" t="s">
        <v>9</v>
      </c>
      <c r="I2745" t="s">
        <v>184</v>
      </c>
      <c r="J2745" t="s">
        <v>989</v>
      </c>
    </row>
    <row r="2746" spans="1:10">
      <c r="A2746">
        <v>52745</v>
      </c>
      <c r="B2746">
        <v>31575</v>
      </c>
      <c r="C2746" t="s">
        <v>406</v>
      </c>
      <c r="D2746">
        <v>2322</v>
      </c>
      <c r="E2746">
        <v>1001</v>
      </c>
      <c r="F2746">
        <v>1</v>
      </c>
      <c r="G2746" t="s">
        <v>1469</v>
      </c>
      <c r="H2746" t="s">
        <v>12</v>
      </c>
      <c r="I2746" t="s">
        <v>1421</v>
      </c>
      <c r="J2746" t="s">
        <v>1421</v>
      </c>
    </row>
    <row r="2747" spans="1:10">
      <c r="A2747">
        <v>52746</v>
      </c>
      <c r="B2747">
        <v>31575</v>
      </c>
      <c r="C2747" t="s">
        <v>440</v>
      </c>
      <c r="D2747">
        <v>2322</v>
      </c>
      <c r="E2747">
        <v>1009</v>
      </c>
      <c r="F2747">
        <v>2</v>
      </c>
      <c r="G2747" t="s">
        <v>1479</v>
      </c>
      <c r="H2747" t="s">
        <v>12</v>
      </c>
      <c r="I2747" t="s">
        <v>1421</v>
      </c>
      <c r="J2747" t="s">
        <v>1421</v>
      </c>
    </row>
    <row r="2748" spans="1:10">
      <c r="A2748">
        <v>52747</v>
      </c>
      <c r="B2748">
        <v>31575</v>
      </c>
      <c r="C2748" t="s">
        <v>406</v>
      </c>
      <c r="D2748">
        <v>2322</v>
      </c>
      <c r="E2748">
        <v>1005</v>
      </c>
      <c r="F2748">
        <v>4</v>
      </c>
      <c r="G2748" t="s">
        <v>1480</v>
      </c>
      <c r="H2748" t="s">
        <v>12</v>
      </c>
      <c r="I2748" t="s">
        <v>1421</v>
      </c>
      <c r="J2748" t="s">
        <v>1421</v>
      </c>
    </row>
    <row r="2749" spans="1:10">
      <c r="A2749">
        <v>52748</v>
      </c>
      <c r="B2749">
        <v>31575</v>
      </c>
      <c r="C2749" t="s">
        <v>317</v>
      </c>
      <c r="D2749">
        <v>2322</v>
      </c>
      <c r="E2749">
        <v>1013</v>
      </c>
      <c r="F2749">
        <v>3</v>
      </c>
      <c r="G2749" t="s">
        <v>1490</v>
      </c>
      <c r="H2749" t="s">
        <v>12</v>
      </c>
      <c r="I2749" t="s">
        <v>1421</v>
      </c>
      <c r="J2749" t="s">
        <v>1421</v>
      </c>
    </row>
    <row r="2750" spans="1:10">
      <c r="A2750">
        <v>52749</v>
      </c>
      <c r="B2750">
        <v>31576</v>
      </c>
      <c r="C2750" t="s">
        <v>1296</v>
      </c>
      <c r="D2750">
        <v>2457</v>
      </c>
      <c r="E2750">
        <v>1015</v>
      </c>
      <c r="F2750">
        <v>1</v>
      </c>
      <c r="G2750" t="s">
        <v>1478</v>
      </c>
      <c r="H2750" t="s">
        <v>9</v>
      </c>
      <c r="I2750" t="s">
        <v>1267</v>
      </c>
      <c r="J2750" t="s">
        <v>1137</v>
      </c>
    </row>
    <row r="2751" spans="1:10">
      <c r="A2751">
        <v>52750</v>
      </c>
      <c r="B2751">
        <v>31576</v>
      </c>
      <c r="C2751" t="s">
        <v>267</v>
      </c>
      <c r="D2751">
        <v>2457</v>
      </c>
      <c r="E2751">
        <v>1012</v>
      </c>
      <c r="F2751">
        <v>1</v>
      </c>
      <c r="G2751" t="s">
        <v>1449</v>
      </c>
      <c r="H2751" t="s">
        <v>9</v>
      </c>
      <c r="I2751" t="s">
        <v>1192</v>
      </c>
      <c r="J2751" t="s">
        <v>1261</v>
      </c>
    </row>
    <row r="2752" spans="1:10">
      <c r="A2752">
        <v>52751</v>
      </c>
      <c r="B2752">
        <v>31577</v>
      </c>
      <c r="C2752" t="s">
        <v>711</v>
      </c>
      <c r="D2752">
        <v>2415</v>
      </c>
      <c r="E2752">
        <v>1010</v>
      </c>
      <c r="F2752">
        <v>1</v>
      </c>
      <c r="G2752" t="s">
        <v>1468</v>
      </c>
      <c r="H2752" t="s">
        <v>16</v>
      </c>
      <c r="I2752" t="s">
        <v>311</v>
      </c>
      <c r="J2752" t="s">
        <v>1421</v>
      </c>
    </row>
    <row r="2753" spans="1:10">
      <c r="A2753">
        <v>52752</v>
      </c>
      <c r="B2753">
        <v>31578</v>
      </c>
      <c r="C2753" t="s">
        <v>991</v>
      </c>
      <c r="D2753">
        <v>2551</v>
      </c>
      <c r="E2753">
        <v>1005</v>
      </c>
      <c r="F2753">
        <v>3</v>
      </c>
      <c r="G2753" t="s">
        <v>1498</v>
      </c>
      <c r="H2753" t="s">
        <v>9</v>
      </c>
      <c r="I2753" t="s">
        <v>881</v>
      </c>
      <c r="J2753" t="s">
        <v>752</v>
      </c>
    </row>
    <row r="2754" spans="1:10">
      <c r="A2754">
        <v>52753</v>
      </c>
      <c r="B2754">
        <v>31578</v>
      </c>
      <c r="C2754" t="s">
        <v>1350</v>
      </c>
      <c r="D2754">
        <v>2551</v>
      </c>
      <c r="E2754">
        <v>1010</v>
      </c>
      <c r="F2754">
        <v>1</v>
      </c>
      <c r="G2754" t="s">
        <v>1468</v>
      </c>
      <c r="H2754" t="s">
        <v>9</v>
      </c>
      <c r="I2754" t="s">
        <v>881</v>
      </c>
      <c r="J2754" t="s">
        <v>377</v>
      </c>
    </row>
    <row r="2755" spans="1:10">
      <c r="A2755">
        <v>52754</v>
      </c>
      <c r="B2755">
        <v>31578</v>
      </c>
      <c r="C2755" t="s">
        <v>717</v>
      </c>
      <c r="D2755">
        <v>2551</v>
      </c>
      <c r="E2755">
        <v>1007</v>
      </c>
      <c r="F2755">
        <v>2</v>
      </c>
      <c r="G2755" t="s">
        <v>1455</v>
      </c>
      <c r="H2755" t="s">
        <v>9</v>
      </c>
      <c r="I2755" t="s">
        <v>415</v>
      </c>
      <c r="J2755" t="s">
        <v>707</v>
      </c>
    </row>
    <row r="2756" spans="1:10">
      <c r="A2756">
        <v>52755</v>
      </c>
      <c r="B2756">
        <v>31579</v>
      </c>
      <c r="C2756" t="s">
        <v>903</v>
      </c>
      <c r="D2756">
        <v>2096</v>
      </c>
      <c r="E2756">
        <v>1010</v>
      </c>
      <c r="F2756">
        <v>1</v>
      </c>
      <c r="G2756" t="s">
        <v>1468</v>
      </c>
      <c r="H2756" t="s">
        <v>9</v>
      </c>
      <c r="I2756" t="s">
        <v>942</v>
      </c>
      <c r="J2756" t="s">
        <v>693</v>
      </c>
    </row>
    <row r="2757" spans="1:10">
      <c r="A2757">
        <v>52756</v>
      </c>
      <c r="B2757">
        <v>31580</v>
      </c>
      <c r="C2757" t="s">
        <v>888</v>
      </c>
      <c r="D2757">
        <v>2534</v>
      </c>
      <c r="E2757">
        <v>1006</v>
      </c>
      <c r="F2757">
        <v>1</v>
      </c>
      <c r="G2757" t="s">
        <v>1459</v>
      </c>
      <c r="H2757" t="s">
        <v>9</v>
      </c>
      <c r="I2757" t="s">
        <v>278</v>
      </c>
      <c r="J2757" t="s">
        <v>445</v>
      </c>
    </row>
    <row r="2758" spans="1:10">
      <c r="A2758">
        <v>52757</v>
      </c>
      <c r="B2758">
        <v>31581</v>
      </c>
      <c r="C2758" t="s">
        <v>553</v>
      </c>
      <c r="D2758">
        <v>2024</v>
      </c>
      <c r="E2758">
        <v>1009</v>
      </c>
      <c r="F2758">
        <v>2</v>
      </c>
      <c r="G2758" t="s">
        <v>1479</v>
      </c>
      <c r="H2758" t="s">
        <v>9</v>
      </c>
      <c r="I2758" t="s">
        <v>931</v>
      </c>
      <c r="J2758" t="s">
        <v>412</v>
      </c>
    </row>
    <row r="2759" spans="1:10">
      <c r="A2759">
        <v>52758</v>
      </c>
      <c r="B2759">
        <v>31581</v>
      </c>
      <c r="C2759" t="s">
        <v>598</v>
      </c>
      <c r="D2759">
        <v>2024</v>
      </c>
      <c r="E2759">
        <v>1008</v>
      </c>
      <c r="F2759">
        <v>1</v>
      </c>
      <c r="G2759" t="s">
        <v>1447</v>
      </c>
      <c r="H2759" t="s">
        <v>9</v>
      </c>
      <c r="I2759" t="s">
        <v>217</v>
      </c>
      <c r="J2759" t="s">
        <v>1139</v>
      </c>
    </row>
    <row r="2760" spans="1:10">
      <c r="A2760">
        <v>52759</v>
      </c>
      <c r="B2760">
        <v>31582</v>
      </c>
      <c r="C2760" t="s">
        <v>449</v>
      </c>
      <c r="D2760">
        <v>2312</v>
      </c>
      <c r="E2760">
        <v>1004</v>
      </c>
      <c r="F2760">
        <v>1</v>
      </c>
      <c r="G2760" t="s">
        <v>1452</v>
      </c>
      <c r="H2760" t="s">
        <v>9</v>
      </c>
      <c r="I2760" t="s">
        <v>273</v>
      </c>
      <c r="J2760" t="s">
        <v>37</v>
      </c>
    </row>
    <row r="2761" spans="1:10">
      <c r="A2761">
        <v>52760</v>
      </c>
      <c r="B2761">
        <v>31583</v>
      </c>
      <c r="C2761" t="s">
        <v>461</v>
      </c>
      <c r="D2761">
        <v>2062</v>
      </c>
      <c r="E2761">
        <v>1009</v>
      </c>
      <c r="F2761">
        <v>1</v>
      </c>
      <c r="G2761" t="s">
        <v>1473</v>
      </c>
      <c r="H2761" t="s">
        <v>16</v>
      </c>
      <c r="I2761" t="s">
        <v>1421</v>
      </c>
      <c r="J2761" t="s">
        <v>1421</v>
      </c>
    </row>
    <row r="2762" spans="1:10">
      <c r="A2762">
        <v>52761</v>
      </c>
      <c r="B2762">
        <v>31583</v>
      </c>
      <c r="C2762" t="s">
        <v>461</v>
      </c>
      <c r="D2762">
        <v>2062</v>
      </c>
      <c r="E2762">
        <v>1012</v>
      </c>
      <c r="F2762">
        <v>1</v>
      </c>
      <c r="G2762" t="s">
        <v>1449</v>
      </c>
      <c r="H2762" t="s">
        <v>16</v>
      </c>
      <c r="I2762" t="s">
        <v>1082</v>
      </c>
      <c r="J2762" t="s">
        <v>1421</v>
      </c>
    </row>
    <row r="2763" spans="1:10">
      <c r="A2763">
        <v>52762</v>
      </c>
      <c r="B2763">
        <v>31583</v>
      </c>
      <c r="C2763" t="s">
        <v>1041</v>
      </c>
      <c r="D2763">
        <v>2062</v>
      </c>
      <c r="E2763">
        <v>1004</v>
      </c>
      <c r="F2763">
        <v>1</v>
      </c>
      <c r="G2763" t="s">
        <v>1452</v>
      </c>
      <c r="H2763" t="s">
        <v>16</v>
      </c>
      <c r="I2763" t="s">
        <v>1421</v>
      </c>
      <c r="J2763" t="s">
        <v>1421</v>
      </c>
    </row>
    <row r="2764" spans="1:10">
      <c r="A2764">
        <v>52763</v>
      </c>
      <c r="B2764">
        <v>31583</v>
      </c>
      <c r="C2764" t="s">
        <v>1041</v>
      </c>
      <c r="D2764">
        <v>2062</v>
      </c>
      <c r="E2764">
        <v>1001</v>
      </c>
      <c r="F2764">
        <v>2</v>
      </c>
      <c r="G2764" t="s">
        <v>1460</v>
      </c>
      <c r="H2764" t="s">
        <v>16</v>
      </c>
      <c r="I2764" t="s">
        <v>1421</v>
      </c>
      <c r="J2764" t="s">
        <v>1421</v>
      </c>
    </row>
    <row r="2765" spans="1:10">
      <c r="A2765">
        <v>52764</v>
      </c>
      <c r="B2765">
        <v>31584</v>
      </c>
      <c r="C2765" t="s">
        <v>402</v>
      </c>
      <c r="D2765">
        <v>2242</v>
      </c>
      <c r="E2765">
        <v>1008</v>
      </c>
      <c r="F2765">
        <v>3</v>
      </c>
      <c r="G2765" t="s">
        <v>1491</v>
      </c>
      <c r="H2765" t="s">
        <v>16</v>
      </c>
      <c r="I2765" t="s">
        <v>1421</v>
      </c>
      <c r="J2765" t="s">
        <v>1421</v>
      </c>
    </row>
    <row r="2766" spans="1:10">
      <c r="A2766">
        <v>52765</v>
      </c>
      <c r="B2766">
        <v>31585</v>
      </c>
      <c r="C2766" t="s">
        <v>1182</v>
      </c>
      <c r="D2766">
        <v>2292</v>
      </c>
      <c r="E2766">
        <v>1005</v>
      </c>
      <c r="F2766">
        <v>1</v>
      </c>
      <c r="G2766" t="s">
        <v>1456</v>
      </c>
      <c r="H2766" t="s">
        <v>9</v>
      </c>
      <c r="I2766" t="s">
        <v>1137</v>
      </c>
      <c r="J2766" t="s">
        <v>1306</v>
      </c>
    </row>
    <row r="2767" spans="1:10">
      <c r="A2767">
        <v>52766</v>
      </c>
      <c r="B2767">
        <v>31586</v>
      </c>
      <c r="C2767" t="s">
        <v>713</v>
      </c>
      <c r="D2767">
        <v>2387</v>
      </c>
      <c r="E2767">
        <v>1008</v>
      </c>
      <c r="F2767">
        <v>1</v>
      </c>
      <c r="G2767" t="s">
        <v>1447</v>
      </c>
      <c r="H2767" t="s">
        <v>1457</v>
      </c>
      <c r="I2767" t="s">
        <v>198</v>
      </c>
      <c r="J2767" t="s">
        <v>940</v>
      </c>
    </row>
    <row r="2768" spans="1:10">
      <c r="A2768">
        <v>52767</v>
      </c>
      <c r="B2768">
        <v>31587</v>
      </c>
      <c r="C2768" t="s">
        <v>968</v>
      </c>
      <c r="D2768">
        <v>2108</v>
      </c>
      <c r="E2768">
        <v>1007</v>
      </c>
      <c r="F2768">
        <v>1</v>
      </c>
      <c r="G2768" t="s">
        <v>1453</v>
      </c>
      <c r="H2768" t="s">
        <v>9</v>
      </c>
      <c r="I2768" t="s">
        <v>1286</v>
      </c>
      <c r="J2768" t="s">
        <v>1243</v>
      </c>
    </row>
    <row r="2769" spans="1:10">
      <c r="A2769">
        <v>52768</v>
      </c>
      <c r="B2769">
        <v>31587</v>
      </c>
      <c r="C2769" t="s">
        <v>1347</v>
      </c>
      <c r="D2769">
        <v>2108</v>
      </c>
      <c r="E2769">
        <v>1012</v>
      </c>
      <c r="F2769">
        <v>1</v>
      </c>
      <c r="G2769" t="s">
        <v>1449</v>
      </c>
      <c r="H2769" t="s">
        <v>9</v>
      </c>
      <c r="I2769" t="s">
        <v>1107</v>
      </c>
      <c r="J2769" t="s">
        <v>1235</v>
      </c>
    </row>
    <row r="2770" spans="1:10">
      <c r="A2770">
        <v>52769</v>
      </c>
      <c r="B2770">
        <v>31587</v>
      </c>
      <c r="C2770" t="s">
        <v>968</v>
      </c>
      <c r="D2770">
        <v>2108</v>
      </c>
      <c r="E2770">
        <v>1015</v>
      </c>
      <c r="F2770">
        <v>1</v>
      </c>
      <c r="G2770" t="s">
        <v>1478</v>
      </c>
      <c r="H2770" t="s">
        <v>9</v>
      </c>
      <c r="I2770" t="s">
        <v>898</v>
      </c>
      <c r="J2770" t="s">
        <v>114</v>
      </c>
    </row>
    <row r="2771" spans="1:10">
      <c r="A2771">
        <v>52770</v>
      </c>
      <c r="B2771">
        <v>31588</v>
      </c>
      <c r="C2771" t="s">
        <v>236</v>
      </c>
      <c r="D2771">
        <v>2101</v>
      </c>
      <c r="E2771">
        <v>1014</v>
      </c>
      <c r="F2771">
        <v>1</v>
      </c>
      <c r="G2771" t="s">
        <v>1463</v>
      </c>
      <c r="H2771" t="s">
        <v>9</v>
      </c>
      <c r="I2771" t="s">
        <v>105</v>
      </c>
      <c r="J2771" t="s">
        <v>1197</v>
      </c>
    </row>
    <row r="2772" spans="1:10">
      <c r="A2772">
        <v>52771</v>
      </c>
      <c r="B2772">
        <v>31589</v>
      </c>
      <c r="C2772" t="s">
        <v>1134</v>
      </c>
      <c r="D2772">
        <v>2422</v>
      </c>
      <c r="E2772">
        <v>1002</v>
      </c>
      <c r="F2772">
        <v>5</v>
      </c>
      <c r="G2772" t="s">
        <v>1526</v>
      </c>
      <c r="H2772" t="s">
        <v>9</v>
      </c>
      <c r="I2772" t="s">
        <v>721</v>
      </c>
      <c r="J2772" t="s">
        <v>833</v>
      </c>
    </row>
    <row r="2773" spans="1:10">
      <c r="A2773">
        <v>52772</v>
      </c>
      <c r="B2773">
        <v>31589</v>
      </c>
      <c r="C2773" t="s">
        <v>562</v>
      </c>
      <c r="D2773">
        <v>2422</v>
      </c>
      <c r="E2773">
        <v>1014</v>
      </c>
      <c r="F2773">
        <v>1</v>
      </c>
      <c r="G2773" t="s">
        <v>1463</v>
      </c>
      <c r="H2773" t="s">
        <v>9</v>
      </c>
      <c r="I2773" t="s">
        <v>721</v>
      </c>
      <c r="J2773" t="s">
        <v>723</v>
      </c>
    </row>
    <row r="2774" spans="1:10">
      <c r="A2774">
        <v>52773</v>
      </c>
      <c r="B2774">
        <v>31589</v>
      </c>
      <c r="C2774" t="s">
        <v>562</v>
      </c>
      <c r="D2774">
        <v>2422</v>
      </c>
      <c r="E2774">
        <v>1005</v>
      </c>
      <c r="F2774">
        <v>2</v>
      </c>
      <c r="G2774" t="s">
        <v>1458</v>
      </c>
      <c r="H2774" t="s">
        <v>9</v>
      </c>
      <c r="I2774" t="s">
        <v>719</v>
      </c>
      <c r="J2774" t="s">
        <v>658</v>
      </c>
    </row>
    <row r="2775" spans="1:10">
      <c r="A2775">
        <v>52774</v>
      </c>
      <c r="B2775">
        <v>31590</v>
      </c>
      <c r="C2775" t="s">
        <v>488</v>
      </c>
      <c r="D2775">
        <v>2488</v>
      </c>
      <c r="E2775">
        <v>1003</v>
      </c>
      <c r="F2775">
        <v>1</v>
      </c>
      <c r="G2775" t="s">
        <v>1471</v>
      </c>
      <c r="H2775" t="s">
        <v>9</v>
      </c>
      <c r="I2775" t="s">
        <v>936</v>
      </c>
      <c r="J2775" t="s">
        <v>257</v>
      </c>
    </row>
    <row r="2776" spans="1:10">
      <c r="A2776">
        <v>52775</v>
      </c>
      <c r="B2776">
        <v>31590</v>
      </c>
      <c r="C2776" t="s">
        <v>1288</v>
      </c>
      <c r="D2776">
        <v>2488</v>
      </c>
      <c r="E2776">
        <v>1012</v>
      </c>
      <c r="F2776">
        <v>2</v>
      </c>
      <c r="G2776" t="s">
        <v>1450</v>
      </c>
      <c r="H2776" t="s">
        <v>9</v>
      </c>
      <c r="I2776" t="s">
        <v>1343</v>
      </c>
      <c r="J2776" t="s">
        <v>669</v>
      </c>
    </row>
    <row r="2777" spans="1:10">
      <c r="A2777">
        <v>52776</v>
      </c>
      <c r="B2777">
        <v>31591</v>
      </c>
      <c r="C2777" t="s">
        <v>367</v>
      </c>
      <c r="D2777">
        <v>2539</v>
      </c>
      <c r="E2777">
        <v>1013</v>
      </c>
      <c r="F2777">
        <v>1</v>
      </c>
      <c r="G2777" t="s">
        <v>1474</v>
      </c>
      <c r="H2777" t="s">
        <v>9</v>
      </c>
      <c r="I2777" t="s">
        <v>253</v>
      </c>
      <c r="J2777" t="s">
        <v>963</v>
      </c>
    </row>
    <row r="2778" spans="1:10">
      <c r="A2778">
        <v>52777</v>
      </c>
      <c r="B2778">
        <v>31592</v>
      </c>
      <c r="C2778" t="s">
        <v>298</v>
      </c>
      <c r="D2778">
        <v>2271</v>
      </c>
      <c r="E2778">
        <v>1014</v>
      </c>
      <c r="F2778">
        <v>2</v>
      </c>
      <c r="G2778" t="s">
        <v>1475</v>
      </c>
      <c r="H2778" t="s">
        <v>9</v>
      </c>
      <c r="I2778" t="s">
        <v>24</v>
      </c>
      <c r="J2778" t="s">
        <v>1130</v>
      </c>
    </row>
    <row r="2779" spans="1:10">
      <c r="A2779">
        <v>52778</v>
      </c>
      <c r="B2779">
        <v>31592</v>
      </c>
      <c r="C2779" t="s">
        <v>298</v>
      </c>
      <c r="D2779">
        <v>2271</v>
      </c>
      <c r="E2779">
        <v>1015</v>
      </c>
      <c r="F2779">
        <v>2</v>
      </c>
      <c r="G2779" t="s">
        <v>1488</v>
      </c>
      <c r="H2779" t="s">
        <v>9</v>
      </c>
      <c r="I2779" t="s">
        <v>111</v>
      </c>
      <c r="J2779" t="s">
        <v>693</v>
      </c>
    </row>
    <row r="2780" spans="1:10">
      <c r="A2780">
        <v>52779</v>
      </c>
      <c r="B2780">
        <v>31592</v>
      </c>
      <c r="C2780" t="s">
        <v>298</v>
      </c>
      <c r="D2780">
        <v>2271</v>
      </c>
      <c r="E2780">
        <v>1016</v>
      </c>
      <c r="F2780">
        <v>1</v>
      </c>
      <c r="G2780" t="s">
        <v>1465</v>
      </c>
      <c r="H2780" t="s">
        <v>9</v>
      </c>
      <c r="I2780" t="s">
        <v>442</v>
      </c>
      <c r="J2780" t="s">
        <v>259</v>
      </c>
    </row>
    <row r="2781" spans="1:10">
      <c r="A2781">
        <v>52780</v>
      </c>
      <c r="B2781">
        <v>31593</v>
      </c>
      <c r="C2781" t="s">
        <v>512</v>
      </c>
      <c r="D2781">
        <v>2427</v>
      </c>
      <c r="E2781">
        <v>1005</v>
      </c>
      <c r="F2781">
        <v>1</v>
      </c>
      <c r="G2781" t="s">
        <v>1456</v>
      </c>
      <c r="H2781" t="s">
        <v>16</v>
      </c>
      <c r="I2781" t="s">
        <v>1421</v>
      </c>
      <c r="J2781" t="s">
        <v>1421</v>
      </c>
    </row>
    <row r="2782" spans="1:10">
      <c r="A2782">
        <v>52781</v>
      </c>
      <c r="B2782">
        <v>31593</v>
      </c>
      <c r="C2782" t="s">
        <v>515</v>
      </c>
      <c r="D2782">
        <v>2427</v>
      </c>
      <c r="E2782">
        <v>1016</v>
      </c>
      <c r="F2782">
        <v>3</v>
      </c>
      <c r="G2782" t="s">
        <v>1484</v>
      </c>
      <c r="H2782" t="s">
        <v>16</v>
      </c>
      <c r="I2782" t="s">
        <v>1421</v>
      </c>
      <c r="J2782" t="s">
        <v>1421</v>
      </c>
    </row>
    <row r="2783" spans="1:10">
      <c r="A2783">
        <v>52782</v>
      </c>
      <c r="B2783">
        <v>31594</v>
      </c>
      <c r="C2783" t="s">
        <v>322</v>
      </c>
      <c r="D2783">
        <v>2133</v>
      </c>
      <c r="E2783">
        <v>1004</v>
      </c>
      <c r="F2783">
        <v>1</v>
      </c>
      <c r="G2783" t="s">
        <v>1452</v>
      </c>
      <c r="H2783" t="s">
        <v>11</v>
      </c>
      <c r="I2783" t="s">
        <v>170</v>
      </c>
      <c r="J2783" t="s">
        <v>329</v>
      </c>
    </row>
    <row r="2784" spans="1:10">
      <c r="A2784">
        <v>52783</v>
      </c>
      <c r="B2784">
        <v>31595</v>
      </c>
      <c r="C2784" t="s">
        <v>848</v>
      </c>
      <c r="D2784">
        <v>2218</v>
      </c>
      <c r="E2784">
        <v>1002</v>
      </c>
      <c r="F2784">
        <v>1</v>
      </c>
      <c r="G2784" t="s">
        <v>1466</v>
      </c>
      <c r="H2784" t="s">
        <v>9</v>
      </c>
      <c r="I2784" t="s">
        <v>897</v>
      </c>
      <c r="J2784" t="s">
        <v>766</v>
      </c>
    </row>
    <row r="2785" spans="1:10">
      <c r="A2785">
        <v>52784</v>
      </c>
      <c r="B2785">
        <v>31596</v>
      </c>
      <c r="C2785" t="s">
        <v>1078</v>
      </c>
      <c r="D2785">
        <v>2161</v>
      </c>
      <c r="E2785">
        <v>1012</v>
      </c>
      <c r="F2785">
        <v>2</v>
      </c>
      <c r="G2785" t="s">
        <v>1450</v>
      </c>
      <c r="H2785" t="s">
        <v>11</v>
      </c>
      <c r="I2785" t="s">
        <v>699</v>
      </c>
      <c r="J2785" t="s">
        <v>151</v>
      </c>
    </row>
    <row r="2786" spans="1:10">
      <c r="A2786">
        <v>52785</v>
      </c>
      <c r="B2786">
        <v>31597</v>
      </c>
      <c r="C2786" t="s">
        <v>962</v>
      </c>
      <c r="D2786">
        <v>2122</v>
      </c>
      <c r="E2786">
        <v>1014</v>
      </c>
      <c r="F2786">
        <v>1</v>
      </c>
      <c r="G2786" t="s">
        <v>1463</v>
      </c>
      <c r="H2786" t="s">
        <v>9</v>
      </c>
      <c r="I2786" t="s">
        <v>793</v>
      </c>
      <c r="J2786" t="s">
        <v>606</v>
      </c>
    </row>
    <row r="2787" spans="1:10">
      <c r="A2787">
        <v>52786</v>
      </c>
      <c r="B2787">
        <v>31598</v>
      </c>
      <c r="C2787" t="s">
        <v>1013</v>
      </c>
      <c r="D2787">
        <v>2113</v>
      </c>
      <c r="E2787">
        <v>1010</v>
      </c>
      <c r="F2787">
        <v>1</v>
      </c>
      <c r="G2787" t="s">
        <v>1468</v>
      </c>
      <c r="H2787" t="s">
        <v>1457</v>
      </c>
      <c r="I2787" t="s">
        <v>784</v>
      </c>
      <c r="J2787" t="s">
        <v>706</v>
      </c>
    </row>
    <row r="2788" spans="1:10">
      <c r="A2788">
        <v>52787</v>
      </c>
      <c r="B2788">
        <v>31599</v>
      </c>
      <c r="C2788" t="s">
        <v>652</v>
      </c>
      <c r="D2788">
        <v>2042</v>
      </c>
      <c r="E2788">
        <v>1004</v>
      </c>
      <c r="F2788">
        <v>1</v>
      </c>
      <c r="G2788" t="s">
        <v>1452</v>
      </c>
      <c r="H2788" t="s">
        <v>9</v>
      </c>
      <c r="I2788" t="s">
        <v>395</v>
      </c>
      <c r="J2788" t="s">
        <v>26</v>
      </c>
    </row>
    <row r="2789" spans="1:10">
      <c r="A2789">
        <v>52788</v>
      </c>
      <c r="B2789">
        <v>31599</v>
      </c>
      <c r="C2789" t="s">
        <v>238</v>
      </c>
      <c r="D2789">
        <v>2042</v>
      </c>
      <c r="E2789">
        <v>1012</v>
      </c>
      <c r="F2789">
        <v>1</v>
      </c>
      <c r="G2789" t="s">
        <v>1449</v>
      </c>
      <c r="H2789" t="s">
        <v>9</v>
      </c>
      <c r="I2789" t="s">
        <v>639</v>
      </c>
      <c r="J2789" t="s">
        <v>898</v>
      </c>
    </row>
    <row r="2790" spans="1:10">
      <c r="A2790">
        <v>52789</v>
      </c>
      <c r="B2790">
        <v>31599</v>
      </c>
      <c r="C2790" t="s">
        <v>238</v>
      </c>
      <c r="D2790">
        <v>2042</v>
      </c>
      <c r="E2790">
        <v>1010</v>
      </c>
      <c r="F2790">
        <v>4</v>
      </c>
      <c r="G2790" t="s">
        <v>1517</v>
      </c>
      <c r="H2790" t="s">
        <v>9</v>
      </c>
      <c r="I2790" t="s">
        <v>798</v>
      </c>
      <c r="J2790" t="s">
        <v>462</v>
      </c>
    </row>
    <row r="2791" spans="1:10">
      <c r="A2791">
        <v>52790</v>
      </c>
      <c r="B2791">
        <v>31599</v>
      </c>
      <c r="C2791" t="s">
        <v>652</v>
      </c>
      <c r="D2791">
        <v>2042</v>
      </c>
      <c r="E2791">
        <v>1012</v>
      </c>
      <c r="F2791">
        <v>2</v>
      </c>
      <c r="G2791" t="s">
        <v>1450</v>
      </c>
      <c r="H2791" t="s">
        <v>9</v>
      </c>
      <c r="I2791" t="s">
        <v>639</v>
      </c>
      <c r="J2791" t="s">
        <v>298</v>
      </c>
    </row>
    <row r="2792" spans="1:10">
      <c r="A2792">
        <v>52791</v>
      </c>
      <c r="B2792">
        <v>31600</v>
      </c>
      <c r="C2792" t="s">
        <v>152</v>
      </c>
      <c r="D2792">
        <v>2311</v>
      </c>
      <c r="E2792">
        <v>1001</v>
      </c>
      <c r="F2792">
        <v>1</v>
      </c>
      <c r="G2792" t="s">
        <v>1469</v>
      </c>
      <c r="H2792" t="s">
        <v>9</v>
      </c>
      <c r="I2792" t="s">
        <v>759</v>
      </c>
      <c r="J2792" t="s">
        <v>325</v>
      </c>
    </row>
    <row r="2793" spans="1:10">
      <c r="A2793">
        <v>52792</v>
      </c>
      <c r="B2793">
        <v>31601</v>
      </c>
      <c r="C2793" t="s">
        <v>1230</v>
      </c>
      <c r="D2793">
        <v>2147</v>
      </c>
      <c r="E2793">
        <v>1014</v>
      </c>
      <c r="F2793">
        <v>1</v>
      </c>
      <c r="G2793" t="s">
        <v>1463</v>
      </c>
      <c r="H2793" t="s">
        <v>9</v>
      </c>
      <c r="I2793" t="s">
        <v>657</v>
      </c>
      <c r="J2793" t="s">
        <v>27</v>
      </c>
    </row>
    <row r="2794" spans="1:10">
      <c r="A2794">
        <v>52793</v>
      </c>
      <c r="B2794">
        <v>31602</v>
      </c>
      <c r="C2794" t="s">
        <v>1074</v>
      </c>
      <c r="D2794">
        <v>2050</v>
      </c>
      <c r="E2794">
        <v>1010</v>
      </c>
      <c r="F2794">
        <v>1</v>
      </c>
      <c r="G2794" t="s">
        <v>1468</v>
      </c>
      <c r="H2794" t="s">
        <v>12</v>
      </c>
      <c r="I2794" t="s">
        <v>1421</v>
      </c>
      <c r="J2794" t="s">
        <v>1421</v>
      </c>
    </row>
    <row r="2795" spans="1:10">
      <c r="A2795">
        <v>52794</v>
      </c>
      <c r="B2795">
        <v>31603</v>
      </c>
      <c r="C2795" t="s">
        <v>1336</v>
      </c>
      <c r="D2795">
        <v>2291</v>
      </c>
      <c r="E2795">
        <v>1016</v>
      </c>
      <c r="F2795">
        <v>3</v>
      </c>
      <c r="G2795" t="s">
        <v>1484</v>
      </c>
      <c r="H2795" t="s">
        <v>9</v>
      </c>
      <c r="I2795" t="s">
        <v>969</v>
      </c>
      <c r="J2795" t="s">
        <v>386</v>
      </c>
    </row>
    <row r="2796" spans="1:10">
      <c r="A2796">
        <v>52795</v>
      </c>
      <c r="B2796">
        <v>31603</v>
      </c>
      <c r="C2796" t="s">
        <v>964</v>
      </c>
      <c r="D2796">
        <v>2291</v>
      </c>
      <c r="E2796">
        <v>1001</v>
      </c>
      <c r="F2796">
        <v>1</v>
      </c>
      <c r="G2796" t="s">
        <v>1469</v>
      </c>
      <c r="H2796" t="s">
        <v>9</v>
      </c>
      <c r="I2796" t="s">
        <v>601</v>
      </c>
      <c r="J2796" t="s">
        <v>596</v>
      </c>
    </row>
    <row r="2797" spans="1:10">
      <c r="A2797">
        <v>52796</v>
      </c>
      <c r="B2797">
        <v>31604</v>
      </c>
      <c r="C2797" t="s">
        <v>891</v>
      </c>
      <c r="D2797">
        <v>2126</v>
      </c>
      <c r="E2797">
        <v>1003</v>
      </c>
      <c r="F2797">
        <v>1</v>
      </c>
      <c r="G2797" t="s">
        <v>1471</v>
      </c>
      <c r="H2797" t="s">
        <v>9</v>
      </c>
      <c r="I2797" t="s">
        <v>595</v>
      </c>
      <c r="J2797" t="s">
        <v>697</v>
      </c>
    </row>
    <row r="2798" spans="1:10">
      <c r="A2798">
        <v>52797</v>
      </c>
      <c r="B2798">
        <v>31604</v>
      </c>
      <c r="C2798" t="s">
        <v>591</v>
      </c>
      <c r="D2798">
        <v>2126</v>
      </c>
      <c r="E2798">
        <v>1002</v>
      </c>
      <c r="F2798">
        <v>1</v>
      </c>
      <c r="G2798" t="s">
        <v>1466</v>
      </c>
      <c r="H2798" t="s">
        <v>9</v>
      </c>
      <c r="I2798" t="s">
        <v>445</v>
      </c>
      <c r="J2798" t="s">
        <v>966</v>
      </c>
    </row>
    <row r="2799" spans="1:10">
      <c r="A2799">
        <v>52798</v>
      </c>
      <c r="B2799">
        <v>31604</v>
      </c>
      <c r="C2799" t="s">
        <v>591</v>
      </c>
      <c r="D2799">
        <v>2126</v>
      </c>
      <c r="E2799">
        <v>1014</v>
      </c>
      <c r="F2799">
        <v>3</v>
      </c>
      <c r="G2799" t="s">
        <v>1505</v>
      </c>
      <c r="H2799" t="s">
        <v>9</v>
      </c>
      <c r="I2799" t="s">
        <v>445</v>
      </c>
      <c r="J2799" t="s">
        <v>1020</v>
      </c>
    </row>
    <row r="2800" spans="1:10">
      <c r="A2800">
        <v>52799</v>
      </c>
      <c r="B2800">
        <v>31605</v>
      </c>
      <c r="C2800" t="s">
        <v>654</v>
      </c>
      <c r="D2800">
        <v>2493</v>
      </c>
      <c r="E2800">
        <v>1015</v>
      </c>
      <c r="F2800">
        <v>3</v>
      </c>
      <c r="G2800" t="s">
        <v>1470</v>
      </c>
      <c r="H2800" t="s">
        <v>9</v>
      </c>
      <c r="I2800" t="s">
        <v>655</v>
      </c>
      <c r="J2800" t="s">
        <v>187</v>
      </c>
    </row>
    <row r="2801" spans="1:10">
      <c r="A2801">
        <v>52800</v>
      </c>
      <c r="B2801">
        <v>31605</v>
      </c>
      <c r="C2801" t="s">
        <v>391</v>
      </c>
      <c r="D2801">
        <v>2493</v>
      </c>
      <c r="E2801">
        <v>1011</v>
      </c>
      <c r="F2801">
        <v>2</v>
      </c>
      <c r="G2801" t="s">
        <v>1487</v>
      </c>
      <c r="H2801" t="s">
        <v>9</v>
      </c>
      <c r="I2801" t="s">
        <v>653</v>
      </c>
      <c r="J2801" t="s">
        <v>897</v>
      </c>
    </row>
    <row r="2802" spans="1:10">
      <c r="A2802">
        <v>52801</v>
      </c>
      <c r="B2802">
        <v>31606</v>
      </c>
      <c r="C2802" t="s">
        <v>294</v>
      </c>
      <c r="D2802">
        <v>2387</v>
      </c>
      <c r="E2802">
        <v>1005</v>
      </c>
      <c r="F2802">
        <v>1</v>
      </c>
      <c r="G2802" t="s">
        <v>1456</v>
      </c>
      <c r="H2802" t="s">
        <v>9</v>
      </c>
      <c r="I2802" t="s">
        <v>620</v>
      </c>
      <c r="J2802" t="s">
        <v>579</v>
      </c>
    </row>
    <row r="2803" spans="1:10">
      <c r="A2803">
        <v>52802</v>
      </c>
      <c r="B2803">
        <v>31607</v>
      </c>
      <c r="C2803" t="s">
        <v>1127</v>
      </c>
      <c r="D2803">
        <v>2142</v>
      </c>
      <c r="E2803">
        <v>1015</v>
      </c>
      <c r="F2803">
        <v>1</v>
      </c>
      <c r="G2803" t="s">
        <v>1478</v>
      </c>
      <c r="H2803" t="s">
        <v>9</v>
      </c>
      <c r="I2803" t="s">
        <v>565</v>
      </c>
      <c r="J2803" t="s">
        <v>911</v>
      </c>
    </row>
    <row r="2804" spans="1:10">
      <c r="A2804">
        <v>52803</v>
      </c>
      <c r="B2804">
        <v>31607</v>
      </c>
      <c r="C2804" t="s">
        <v>275</v>
      </c>
      <c r="D2804">
        <v>2142</v>
      </c>
      <c r="E2804">
        <v>1015</v>
      </c>
      <c r="F2804">
        <v>1</v>
      </c>
      <c r="G2804" t="s">
        <v>1478</v>
      </c>
      <c r="H2804" t="s">
        <v>9</v>
      </c>
      <c r="I2804" t="s">
        <v>64</v>
      </c>
      <c r="J2804" t="s">
        <v>143</v>
      </c>
    </row>
    <row r="2805" spans="1:10">
      <c r="A2805">
        <v>52804</v>
      </c>
      <c r="B2805">
        <v>31607</v>
      </c>
      <c r="C2805" t="s">
        <v>1127</v>
      </c>
      <c r="D2805">
        <v>2142</v>
      </c>
      <c r="E2805">
        <v>1015</v>
      </c>
      <c r="F2805">
        <v>3</v>
      </c>
      <c r="G2805" t="s">
        <v>1470</v>
      </c>
      <c r="H2805" t="s">
        <v>9</v>
      </c>
      <c r="I2805" t="s">
        <v>277</v>
      </c>
      <c r="J2805" t="s">
        <v>911</v>
      </c>
    </row>
    <row r="2806" spans="1:10">
      <c r="A2806">
        <v>52805</v>
      </c>
      <c r="B2806">
        <v>31608</v>
      </c>
      <c r="C2806" t="s">
        <v>1186</v>
      </c>
      <c r="D2806">
        <v>2153</v>
      </c>
      <c r="E2806">
        <v>1011</v>
      </c>
      <c r="F2806">
        <v>1</v>
      </c>
      <c r="G2806" t="s">
        <v>1472</v>
      </c>
      <c r="H2806" t="s">
        <v>12</v>
      </c>
      <c r="I2806" t="s">
        <v>1421</v>
      </c>
      <c r="J2806" t="s">
        <v>1421</v>
      </c>
    </row>
    <row r="2807" spans="1:10">
      <c r="A2807">
        <v>52806</v>
      </c>
      <c r="B2807">
        <v>31608</v>
      </c>
      <c r="C2807" t="s">
        <v>1332</v>
      </c>
      <c r="D2807">
        <v>2153</v>
      </c>
      <c r="E2807">
        <v>1003</v>
      </c>
      <c r="F2807">
        <v>1</v>
      </c>
      <c r="G2807" t="s">
        <v>1471</v>
      </c>
      <c r="H2807" t="s">
        <v>12</v>
      </c>
      <c r="I2807" t="s">
        <v>1421</v>
      </c>
      <c r="J2807" t="s">
        <v>1421</v>
      </c>
    </row>
    <row r="2808" spans="1:10">
      <c r="A2808">
        <v>52807</v>
      </c>
      <c r="B2808">
        <v>31609</v>
      </c>
      <c r="C2808" t="s">
        <v>136</v>
      </c>
      <c r="D2808">
        <v>2420</v>
      </c>
      <c r="E2808">
        <v>1013</v>
      </c>
      <c r="F2808">
        <v>2</v>
      </c>
      <c r="G2808" t="s">
        <v>1492</v>
      </c>
      <c r="H2808" t="s">
        <v>9</v>
      </c>
      <c r="I2808" t="s">
        <v>433</v>
      </c>
      <c r="J2808" t="s">
        <v>229</v>
      </c>
    </row>
    <row r="2809" spans="1:10">
      <c r="A2809">
        <v>52808</v>
      </c>
      <c r="B2809">
        <v>31609</v>
      </c>
      <c r="C2809" t="s">
        <v>136</v>
      </c>
      <c r="D2809">
        <v>2420</v>
      </c>
      <c r="E2809">
        <v>1011</v>
      </c>
      <c r="F2809">
        <v>1</v>
      </c>
      <c r="G2809" t="s">
        <v>1472</v>
      </c>
      <c r="H2809" t="s">
        <v>68</v>
      </c>
      <c r="I2809" t="s">
        <v>264</v>
      </c>
      <c r="J2809" t="s">
        <v>834</v>
      </c>
    </row>
    <row r="2810" spans="1:10">
      <c r="A2810">
        <v>52809</v>
      </c>
      <c r="B2810">
        <v>31609</v>
      </c>
      <c r="C2810" t="s">
        <v>1349</v>
      </c>
      <c r="D2810">
        <v>2420</v>
      </c>
      <c r="E2810">
        <v>1002</v>
      </c>
      <c r="F2810">
        <v>3</v>
      </c>
      <c r="G2810" t="s">
        <v>1508</v>
      </c>
      <c r="H2810" t="s">
        <v>9</v>
      </c>
      <c r="I2810" t="s">
        <v>221</v>
      </c>
      <c r="J2810" t="s">
        <v>120</v>
      </c>
    </row>
    <row r="2811" spans="1:10">
      <c r="A2811">
        <v>52810</v>
      </c>
      <c r="B2811">
        <v>31609</v>
      </c>
      <c r="C2811" t="s">
        <v>687</v>
      </c>
      <c r="D2811">
        <v>2420</v>
      </c>
      <c r="E2811">
        <v>1015</v>
      </c>
      <c r="F2811">
        <v>2</v>
      </c>
      <c r="G2811" t="s">
        <v>1488</v>
      </c>
      <c r="H2811" t="s">
        <v>9</v>
      </c>
      <c r="I2811" t="s">
        <v>51</v>
      </c>
      <c r="J2811" t="s">
        <v>1168</v>
      </c>
    </row>
    <row r="2812" spans="1:10">
      <c r="A2812">
        <v>52811</v>
      </c>
      <c r="B2812">
        <v>31610</v>
      </c>
      <c r="C2812" t="s">
        <v>37</v>
      </c>
      <c r="D2812">
        <v>2285</v>
      </c>
      <c r="E2812">
        <v>1006</v>
      </c>
      <c r="F2812">
        <v>1</v>
      </c>
      <c r="G2812" t="s">
        <v>1459</v>
      </c>
      <c r="H2812" t="s">
        <v>9</v>
      </c>
      <c r="I2812" t="s">
        <v>385</v>
      </c>
      <c r="J2812" t="s">
        <v>460</v>
      </c>
    </row>
    <row r="2813" spans="1:10">
      <c r="A2813">
        <v>52812</v>
      </c>
      <c r="B2813">
        <v>31610</v>
      </c>
      <c r="C2813" t="s">
        <v>37</v>
      </c>
      <c r="D2813">
        <v>2285</v>
      </c>
      <c r="E2813">
        <v>1001</v>
      </c>
      <c r="F2813">
        <v>5</v>
      </c>
      <c r="G2813" t="s">
        <v>1534</v>
      </c>
      <c r="H2813" t="s">
        <v>9</v>
      </c>
      <c r="I2813" t="s">
        <v>285</v>
      </c>
      <c r="J2813" t="s">
        <v>886</v>
      </c>
    </row>
    <row r="2814" spans="1:10">
      <c r="A2814">
        <v>52813</v>
      </c>
      <c r="B2814">
        <v>31611</v>
      </c>
      <c r="C2814" t="s">
        <v>276</v>
      </c>
      <c r="D2814">
        <v>2586</v>
      </c>
      <c r="E2814">
        <v>1010</v>
      </c>
      <c r="F2814">
        <v>1</v>
      </c>
      <c r="G2814" t="s">
        <v>1468</v>
      </c>
      <c r="H2814" t="s">
        <v>9</v>
      </c>
      <c r="I2814" t="s">
        <v>565</v>
      </c>
      <c r="J2814" t="s">
        <v>1351</v>
      </c>
    </row>
    <row r="2815" spans="1:10">
      <c r="A2815">
        <v>52814</v>
      </c>
      <c r="B2815">
        <v>31612</v>
      </c>
      <c r="C2815" t="s">
        <v>771</v>
      </c>
      <c r="D2815">
        <v>2575</v>
      </c>
      <c r="E2815">
        <v>1003</v>
      </c>
      <c r="F2815">
        <v>1</v>
      </c>
      <c r="G2815" t="s">
        <v>1471</v>
      </c>
      <c r="H2815" t="s">
        <v>9</v>
      </c>
      <c r="I2815" t="s">
        <v>1048</v>
      </c>
      <c r="J2815" t="s">
        <v>391</v>
      </c>
    </row>
    <row r="2816" spans="1:10">
      <c r="A2816">
        <v>52815</v>
      </c>
      <c r="B2816">
        <v>31612</v>
      </c>
      <c r="C2816" t="s">
        <v>577</v>
      </c>
      <c r="D2816">
        <v>2575</v>
      </c>
      <c r="E2816">
        <v>1007</v>
      </c>
      <c r="F2816">
        <v>3</v>
      </c>
      <c r="G2816" t="s">
        <v>1446</v>
      </c>
      <c r="H2816" t="s">
        <v>9</v>
      </c>
      <c r="I2816" t="s">
        <v>1093</v>
      </c>
      <c r="J2816" t="s">
        <v>1103</v>
      </c>
    </row>
    <row r="2817" spans="1:10">
      <c r="A2817">
        <v>52816</v>
      </c>
      <c r="B2817">
        <v>31613</v>
      </c>
      <c r="C2817" t="s">
        <v>733</v>
      </c>
      <c r="D2817">
        <v>2555</v>
      </c>
      <c r="E2817">
        <v>1002</v>
      </c>
      <c r="F2817">
        <v>2</v>
      </c>
      <c r="G2817" t="s">
        <v>1482</v>
      </c>
      <c r="H2817" t="s">
        <v>9</v>
      </c>
      <c r="I2817" t="s">
        <v>961</v>
      </c>
      <c r="J2817" t="s">
        <v>393</v>
      </c>
    </row>
    <row r="2818" spans="1:10">
      <c r="A2818">
        <v>52817</v>
      </c>
      <c r="B2818">
        <v>31613</v>
      </c>
      <c r="C2818" t="s">
        <v>784</v>
      </c>
      <c r="D2818">
        <v>2555</v>
      </c>
      <c r="E2818">
        <v>1007</v>
      </c>
      <c r="F2818">
        <v>1</v>
      </c>
      <c r="G2818" t="s">
        <v>1453</v>
      </c>
      <c r="H2818" t="s">
        <v>9</v>
      </c>
      <c r="I2818" t="s">
        <v>359</v>
      </c>
      <c r="J2818" t="s">
        <v>102</v>
      </c>
    </row>
    <row r="2819" spans="1:10">
      <c r="A2819">
        <v>52818</v>
      </c>
      <c r="B2819">
        <v>31614</v>
      </c>
      <c r="C2819" t="s">
        <v>341</v>
      </c>
      <c r="D2819">
        <v>2488</v>
      </c>
      <c r="E2819">
        <v>1001</v>
      </c>
      <c r="F2819">
        <v>2</v>
      </c>
      <c r="G2819" t="s">
        <v>1460</v>
      </c>
      <c r="H2819" t="s">
        <v>9</v>
      </c>
      <c r="I2819" t="s">
        <v>569</v>
      </c>
      <c r="J2819" t="s">
        <v>941</v>
      </c>
    </row>
    <row r="2820" spans="1:10">
      <c r="A2820">
        <v>52819</v>
      </c>
      <c r="B2820">
        <v>31614</v>
      </c>
      <c r="C2820" t="s">
        <v>343</v>
      </c>
      <c r="D2820">
        <v>2488</v>
      </c>
      <c r="E2820">
        <v>1004</v>
      </c>
      <c r="F2820">
        <v>1</v>
      </c>
      <c r="G2820" t="s">
        <v>1452</v>
      </c>
      <c r="H2820" t="s">
        <v>9</v>
      </c>
      <c r="I2820" t="s">
        <v>621</v>
      </c>
      <c r="J2820" t="s">
        <v>625</v>
      </c>
    </row>
    <row r="2821" spans="1:10">
      <c r="A2821">
        <v>52820</v>
      </c>
      <c r="B2821">
        <v>31615</v>
      </c>
      <c r="C2821" t="s">
        <v>931</v>
      </c>
      <c r="D2821">
        <v>2545</v>
      </c>
      <c r="E2821">
        <v>1001</v>
      </c>
      <c r="F2821">
        <v>1</v>
      </c>
      <c r="G2821" t="s">
        <v>1469</v>
      </c>
      <c r="H2821" t="s">
        <v>9</v>
      </c>
      <c r="I2821" t="s">
        <v>411</v>
      </c>
      <c r="J2821" t="s">
        <v>281</v>
      </c>
    </row>
    <row r="2822" spans="1:10">
      <c r="A2822">
        <v>52821</v>
      </c>
      <c r="B2822">
        <v>31616</v>
      </c>
      <c r="C2822" t="s">
        <v>1003</v>
      </c>
      <c r="D2822">
        <v>2282</v>
      </c>
      <c r="E2822">
        <v>1008</v>
      </c>
      <c r="F2822">
        <v>3</v>
      </c>
      <c r="G2822" t="s">
        <v>1491</v>
      </c>
      <c r="H2822" t="s">
        <v>16</v>
      </c>
      <c r="I2822" t="s">
        <v>1421</v>
      </c>
      <c r="J2822" t="s">
        <v>1421</v>
      </c>
    </row>
    <row r="2823" spans="1:10">
      <c r="A2823">
        <v>52822</v>
      </c>
      <c r="B2823">
        <v>31616</v>
      </c>
      <c r="C2823" t="s">
        <v>343</v>
      </c>
      <c r="D2823">
        <v>2282</v>
      </c>
      <c r="E2823">
        <v>1015</v>
      </c>
      <c r="F2823">
        <v>1</v>
      </c>
      <c r="G2823" t="s">
        <v>1478</v>
      </c>
      <c r="H2823" t="s">
        <v>16</v>
      </c>
      <c r="I2823" t="s">
        <v>569</v>
      </c>
      <c r="J2823" t="s">
        <v>1421</v>
      </c>
    </row>
    <row r="2824" spans="1:10">
      <c r="A2824">
        <v>52823</v>
      </c>
      <c r="B2824">
        <v>31616</v>
      </c>
      <c r="C2824" t="s">
        <v>341</v>
      </c>
      <c r="D2824">
        <v>2282</v>
      </c>
      <c r="E2824">
        <v>1011</v>
      </c>
      <c r="F2824">
        <v>3</v>
      </c>
      <c r="G2824" t="s">
        <v>1454</v>
      </c>
      <c r="H2824" t="s">
        <v>16</v>
      </c>
      <c r="I2824" t="s">
        <v>1421</v>
      </c>
      <c r="J2824" t="s">
        <v>1421</v>
      </c>
    </row>
    <row r="2825" spans="1:10">
      <c r="A2825">
        <v>52824</v>
      </c>
      <c r="B2825">
        <v>31617</v>
      </c>
      <c r="C2825" t="s">
        <v>119</v>
      </c>
      <c r="D2825">
        <v>2047</v>
      </c>
      <c r="E2825">
        <v>1001</v>
      </c>
      <c r="F2825">
        <v>3</v>
      </c>
      <c r="G2825" t="s">
        <v>1515</v>
      </c>
      <c r="H2825" t="s">
        <v>1462</v>
      </c>
      <c r="I2825" t="s">
        <v>330</v>
      </c>
      <c r="J2825" t="s">
        <v>1056</v>
      </c>
    </row>
    <row r="2826" spans="1:10">
      <c r="A2826">
        <v>52825</v>
      </c>
      <c r="B2826">
        <v>31617</v>
      </c>
      <c r="C2826" t="s">
        <v>1145</v>
      </c>
      <c r="D2826">
        <v>2047</v>
      </c>
      <c r="E2826">
        <v>1011</v>
      </c>
      <c r="F2826">
        <v>1</v>
      </c>
      <c r="G2826" t="s">
        <v>1472</v>
      </c>
      <c r="H2826" t="s">
        <v>9</v>
      </c>
      <c r="I2826" t="s">
        <v>868</v>
      </c>
      <c r="J2826" t="s">
        <v>425</v>
      </c>
    </row>
    <row r="2827" spans="1:10">
      <c r="A2827">
        <v>52826</v>
      </c>
      <c r="B2827">
        <v>31618</v>
      </c>
      <c r="C2827" t="s">
        <v>1246</v>
      </c>
      <c r="D2827">
        <v>2448</v>
      </c>
      <c r="E2827">
        <v>1001</v>
      </c>
      <c r="F2827">
        <v>4</v>
      </c>
      <c r="G2827" t="s">
        <v>1525</v>
      </c>
      <c r="H2827" t="s">
        <v>9</v>
      </c>
      <c r="I2827" t="s">
        <v>1247</v>
      </c>
      <c r="J2827" t="s">
        <v>721</v>
      </c>
    </row>
    <row r="2828" spans="1:10">
      <c r="A2828">
        <v>52827</v>
      </c>
      <c r="B2828">
        <v>31619</v>
      </c>
      <c r="C2828" t="s">
        <v>768</v>
      </c>
      <c r="D2828">
        <v>2541</v>
      </c>
      <c r="E2828">
        <v>1009</v>
      </c>
      <c r="F2828">
        <v>3</v>
      </c>
      <c r="G2828" t="s">
        <v>1461</v>
      </c>
      <c r="H2828" t="s">
        <v>9</v>
      </c>
      <c r="I2828" t="s">
        <v>232</v>
      </c>
      <c r="J2828" t="s">
        <v>635</v>
      </c>
    </row>
    <row r="2829" spans="1:10">
      <c r="A2829">
        <v>52828</v>
      </c>
      <c r="B2829">
        <v>31620</v>
      </c>
      <c r="C2829" t="s">
        <v>1221</v>
      </c>
      <c r="D2829">
        <v>2094</v>
      </c>
      <c r="E2829">
        <v>1004</v>
      </c>
      <c r="F2829">
        <v>2</v>
      </c>
      <c r="G2829" t="s">
        <v>1476</v>
      </c>
      <c r="H2829" t="s">
        <v>9</v>
      </c>
      <c r="I2829" t="s">
        <v>877</v>
      </c>
      <c r="J2829" t="s">
        <v>798</v>
      </c>
    </row>
    <row r="2830" spans="1:10">
      <c r="A2830">
        <v>52829</v>
      </c>
      <c r="B2830">
        <v>31620</v>
      </c>
      <c r="C2830" t="s">
        <v>342</v>
      </c>
      <c r="D2830">
        <v>2094</v>
      </c>
      <c r="E2830">
        <v>1006</v>
      </c>
      <c r="F2830">
        <v>1</v>
      </c>
      <c r="G2830" t="s">
        <v>1459</v>
      </c>
      <c r="H2830" t="s">
        <v>1495</v>
      </c>
      <c r="I2830" t="s">
        <v>339</v>
      </c>
      <c r="J2830" t="s">
        <v>1052</v>
      </c>
    </row>
    <row r="2831" spans="1:10">
      <c r="A2831">
        <v>52830</v>
      </c>
      <c r="B2831">
        <v>31621</v>
      </c>
      <c r="C2831" t="s">
        <v>1159</v>
      </c>
      <c r="D2831">
        <v>2293</v>
      </c>
      <c r="E2831">
        <v>1009</v>
      </c>
      <c r="F2831">
        <v>3</v>
      </c>
      <c r="G2831" t="s">
        <v>1461</v>
      </c>
      <c r="H2831" t="s">
        <v>9</v>
      </c>
      <c r="I2831" t="s">
        <v>275</v>
      </c>
      <c r="J2831" t="s">
        <v>1352</v>
      </c>
    </row>
    <row r="2832" spans="1:10">
      <c r="A2832">
        <v>52831</v>
      </c>
      <c r="B2832">
        <v>31621</v>
      </c>
      <c r="C2832" t="s">
        <v>1159</v>
      </c>
      <c r="D2832">
        <v>2293</v>
      </c>
      <c r="E2832">
        <v>1003</v>
      </c>
      <c r="F2832">
        <v>1</v>
      </c>
      <c r="G2832" t="s">
        <v>1471</v>
      </c>
      <c r="H2832" t="s">
        <v>9</v>
      </c>
      <c r="I2832" t="s">
        <v>353</v>
      </c>
      <c r="J2832" t="s">
        <v>1100</v>
      </c>
    </row>
    <row r="2833" spans="1:10">
      <c r="A2833">
        <v>52832</v>
      </c>
      <c r="B2833">
        <v>31622</v>
      </c>
      <c r="C2833" t="s">
        <v>182</v>
      </c>
      <c r="D2833">
        <v>2158</v>
      </c>
      <c r="E2833">
        <v>1014</v>
      </c>
      <c r="F2833">
        <v>2</v>
      </c>
      <c r="G2833" t="s">
        <v>1475</v>
      </c>
      <c r="H2833" t="s">
        <v>9</v>
      </c>
      <c r="I2833" t="s">
        <v>95</v>
      </c>
      <c r="J2833" t="s">
        <v>765</v>
      </c>
    </row>
    <row r="2834" spans="1:10">
      <c r="A2834">
        <v>52833</v>
      </c>
      <c r="B2834">
        <v>31623</v>
      </c>
      <c r="C2834" t="s">
        <v>436</v>
      </c>
      <c r="D2834">
        <v>2174</v>
      </c>
      <c r="E2834">
        <v>1011</v>
      </c>
      <c r="F2834">
        <v>1</v>
      </c>
      <c r="G2834" t="s">
        <v>1472</v>
      </c>
      <c r="H2834" t="s">
        <v>1457</v>
      </c>
      <c r="I2834" t="s">
        <v>1090</v>
      </c>
      <c r="J2834" t="s">
        <v>1129</v>
      </c>
    </row>
    <row r="2835" spans="1:10">
      <c r="A2835">
        <v>52834</v>
      </c>
      <c r="B2835">
        <v>31624</v>
      </c>
      <c r="C2835" t="s">
        <v>1347</v>
      </c>
      <c r="D2835">
        <v>2186</v>
      </c>
      <c r="E2835">
        <v>1002</v>
      </c>
      <c r="F2835">
        <v>2</v>
      </c>
      <c r="G2835" t="s">
        <v>1482</v>
      </c>
      <c r="H2835" t="s">
        <v>9</v>
      </c>
      <c r="I2835" t="s">
        <v>1211</v>
      </c>
      <c r="J2835" t="s">
        <v>674</v>
      </c>
    </row>
    <row r="2836" spans="1:10">
      <c r="A2836">
        <v>52835</v>
      </c>
      <c r="B2836">
        <v>31624</v>
      </c>
      <c r="C2836" t="s">
        <v>968</v>
      </c>
      <c r="D2836">
        <v>2186</v>
      </c>
      <c r="E2836">
        <v>1010</v>
      </c>
      <c r="F2836">
        <v>1</v>
      </c>
      <c r="G2836" t="s">
        <v>1468</v>
      </c>
      <c r="H2836" t="s">
        <v>9</v>
      </c>
      <c r="I2836" t="s">
        <v>1017</v>
      </c>
      <c r="J2836" t="s">
        <v>1234</v>
      </c>
    </row>
    <row r="2837" spans="1:10">
      <c r="A2837">
        <v>52836</v>
      </c>
      <c r="B2837">
        <v>31624</v>
      </c>
      <c r="C2837" t="s">
        <v>934</v>
      </c>
      <c r="D2837">
        <v>2186</v>
      </c>
      <c r="E2837">
        <v>1013</v>
      </c>
      <c r="F2837">
        <v>2</v>
      </c>
      <c r="G2837" t="s">
        <v>1492</v>
      </c>
      <c r="H2837" t="s">
        <v>9</v>
      </c>
      <c r="I2837" t="s">
        <v>1017</v>
      </c>
      <c r="J2837" t="s">
        <v>1341</v>
      </c>
    </row>
    <row r="2838" spans="1:10">
      <c r="A2838">
        <v>52837</v>
      </c>
      <c r="B2838">
        <v>31624</v>
      </c>
      <c r="C2838" t="s">
        <v>1347</v>
      </c>
      <c r="D2838">
        <v>2186</v>
      </c>
      <c r="E2838">
        <v>1004</v>
      </c>
      <c r="F2838">
        <v>2</v>
      </c>
      <c r="G2838" t="s">
        <v>1476</v>
      </c>
      <c r="H2838" t="s">
        <v>9</v>
      </c>
      <c r="I2838" t="s">
        <v>1252</v>
      </c>
      <c r="J2838" t="s">
        <v>712</v>
      </c>
    </row>
    <row r="2839" spans="1:10">
      <c r="A2839">
        <v>52838</v>
      </c>
      <c r="B2839">
        <v>31625</v>
      </c>
      <c r="C2839" t="s">
        <v>760</v>
      </c>
      <c r="D2839">
        <v>2328</v>
      </c>
      <c r="E2839">
        <v>1011</v>
      </c>
      <c r="F2839">
        <v>4</v>
      </c>
      <c r="G2839" t="s">
        <v>1499</v>
      </c>
      <c r="H2839" t="s">
        <v>9</v>
      </c>
      <c r="I2839" t="s">
        <v>986</v>
      </c>
      <c r="J2839" t="s">
        <v>1308</v>
      </c>
    </row>
    <row r="2840" spans="1:10">
      <c r="A2840">
        <v>52839</v>
      </c>
      <c r="B2840">
        <v>31626</v>
      </c>
      <c r="C2840" t="s">
        <v>1154</v>
      </c>
      <c r="D2840">
        <v>2265</v>
      </c>
      <c r="E2840">
        <v>1004</v>
      </c>
      <c r="F2840">
        <v>1</v>
      </c>
      <c r="G2840" t="s">
        <v>1452</v>
      </c>
      <c r="H2840" t="s">
        <v>9</v>
      </c>
      <c r="I2840" t="s">
        <v>1237</v>
      </c>
      <c r="J2840" t="s">
        <v>457</v>
      </c>
    </row>
    <row r="2841" spans="1:10">
      <c r="A2841">
        <v>52840</v>
      </c>
      <c r="B2841">
        <v>31627</v>
      </c>
      <c r="C2841" t="s">
        <v>20</v>
      </c>
      <c r="D2841">
        <v>2054</v>
      </c>
      <c r="E2841">
        <v>1008</v>
      </c>
      <c r="F2841">
        <v>4</v>
      </c>
      <c r="G2841" t="s">
        <v>1503</v>
      </c>
      <c r="H2841" t="s">
        <v>9</v>
      </c>
      <c r="I2841" t="s">
        <v>467</v>
      </c>
      <c r="J2841" t="s">
        <v>1173</v>
      </c>
    </row>
    <row r="2842" spans="1:10">
      <c r="A2842">
        <v>52841</v>
      </c>
      <c r="B2842">
        <v>31627</v>
      </c>
      <c r="C2842" t="s">
        <v>762</v>
      </c>
      <c r="D2842">
        <v>2054</v>
      </c>
      <c r="E2842">
        <v>1016</v>
      </c>
      <c r="F2842">
        <v>2</v>
      </c>
      <c r="G2842" t="s">
        <v>1500</v>
      </c>
      <c r="H2842" t="s">
        <v>9</v>
      </c>
      <c r="I2842" t="s">
        <v>975</v>
      </c>
      <c r="J2842" t="s">
        <v>432</v>
      </c>
    </row>
    <row r="2843" spans="1:10">
      <c r="A2843">
        <v>52842</v>
      </c>
      <c r="B2843">
        <v>31627</v>
      </c>
      <c r="C2843" t="s">
        <v>1308</v>
      </c>
      <c r="D2843">
        <v>2054</v>
      </c>
      <c r="E2843">
        <v>1013</v>
      </c>
      <c r="F2843">
        <v>3</v>
      </c>
      <c r="G2843" t="s">
        <v>1490</v>
      </c>
      <c r="H2843" t="s">
        <v>9</v>
      </c>
      <c r="I2843" t="s">
        <v>525</v>
      </c>
      <c r="J2843" t="s">
        <v>1088</v>
      </c>
    </row>
    <row r="2844" spans="1:10">
      <c r="A2844">
        <v>52843</v>
      </c>
      <c r="B2844">
        <v>31628</v>
      </c>
      <c r="C2844" t="s">
        <v>930</v>
      </c>
      <c r="D2844">
        <v>2118</v>
      </c>
      <c r="E2844">
        <v>1011</v>
      </c>
      <c r="F2844">
        <v>1</v>
      </c>
      <c r="G2844" t="s">
        <v>1472</v>
      </c>
      <c r="H2844" t="s">
        <v>9</v>
      </c>
      <c r="I2844" t="s">
        <v>724</v>
      </c>
      <c r="J2844" t="s">
        <v>1305</v>
      </c>
    </row>
    <row r="2845" spans="1:10">
      <c r="A2845">
        <v>52844</v>
      </c>
      <c r="B2845">
        <v>31628</v>
      </c>
      <c r="C2845" t="s">
        <v>930</v>
      </c>
      <c r="D2845">
        <v>2118</v>
      </c>
      <c r="E2845">
        <v>1015</v>
      </c>
      <c r="F2845">
        <v>1</v>
      </c>
      <c r="G2845" t="s">
        <v>1478</v>
      </c>
      <c r="H2845" t="s">
        <v>9</v>
      </c>
      <c r="I2845" t="s">
        <v>884</v>
      </c>
      <c r="J2845" t="s">
        <v>720</v>
      </c>
    </row>
    <row r="2846" spans="1:10">
      <c r="A2846">
        <v>52845</v>
      </c>
      <c r="B2846">
        <v>31628</v>
      </c>
      <c r="C2846" t="s">
        <v>580</v>
      </c>
      <c r="D2846">
        <v>2118</v>
      </c>
      <c r="E2846">
        <v>1014</v>
      </c>
      <c r="F2846">
        <v>1</v>
      </c>
      <c r="G2846" t="s">
        <v>1463</v>
      </c>
      <c r="H2846" t="s">
        <v>1462</v>
      </c>
      <c r="I2846" t="s">
        <v>1048</v>
      </c>
      <c r="J2846" t="s">
        <v>658</v>
      </c>
    </row>
    <row r="2847" spans="1:10">
      <c r="A2847">
        <v>52846</v>
      </c>
      <c r="B2847">
        <v>31629</v>
      </c>
      <c r="C2847" t="s">
        <v>422</v>
      </c>
      <c r="D2847">
        <v>2068</v>
      </c>
      <c r="E2847">
        <v>1014</v>
      </c>
      <c r="F2847">
        <v>1</v>
      </c>
      <c r="G2847" t="s">
        <v>1463</v>
      </c>
      <c r="H2847" t="s">
        <v>9</v>
      </c>
      <c r="I2847" t="s">
        <v>419</v>
      </c>
      <c r="J2847" t="s">
        <v>560</v>
      </c>
    </row>
    <row r="2848" spans="1:10">
      <c r="A2848">
        <v>52847</v>
      </c>
      <c r="B2848">
        <v>31630</v>
      </c>
      <c r="C2848" t="s">
        <v>967</v>
      </c>
      <c r="D2848">
        <v>2240</v>
      </c>
      <c r="E2848">
        <v>1001</v>
      </c>
      <c r="F2848">
        <v>3</v>
      </c>
      <c r="G2848" t="s">
        <v>1515</v>
      </c>
      <c r="H2848" t="s">
        <v>12</v>
      </c>
      <c r="I2848" t="s">
        <v>1421</v>
      </c>
      <c r="J2848" t="s">
        <v>1421</v>
      </c>
    </row>
    <row r="2849" spans="1:10">
      <c r="A2849">
        <v>52848</v>
      </c>
      <c r="B2849">
        <v>31631</v>
      </c>
      <c r="C2849" t="s">
        <v>1217</v>
      </c>
      <c r="D2849">
        <v>2276</v>
      </c>
      <c r="E2849">
        <v>1004</v>
      </c>
      <c r="F2849">
        <v>1</v>
      </c>
      <c r="G2849" t="s">
        <v>1452</v>
      </c>
      <c r="H2849" t="s">
        <v>9</v>
      </c>
      <c r="I2849" t="s">
        <v>853</v>
      </c>
      <c r="J2849" t="s">
        <v>536</v>
      </c>
    </row>
    <row r="2850" spans="1:10">
      <c r="A2850">
        <v>52849</v>
      </c>
      <c r="B2850">
        <v>31631</v>
      </c>
      <c r="C2850" t="s">
        <v>1217</v>
      </c>
      <c r="D2850">
        <v>2276</v>
      </c>
      <c r="E2850">
        <v>1008</v>
      </c>
      <c r="F2850">
        <v>1</v>
      </c>
      <c r="G2850" t="s">
        <v>1447</v>
      </c>
      <c r="H2850" t="s">
        <v>9</v>
      </c>
      <c r="I2850" t="s">
        <v>831</v>
      </c>
      <c r="J2850" t="s">
        <v>1301</v>
      </c>
    </row>
    <row r="2851" spans="1:10">
      <c r="A2851">
        <v>52850</v>
      </c>
      <c r="B2851">
        <v>31632</v>
      </c>
      <c r="C2851" t="s">
        <v>977</v>
      </c>
      <c r="D2851">
        <v>2569</v>
      </c>
      <c r="E2851">
        <v>1005</v>
      </c>
      <c r="F2851">
        <v>1</v>
      </c>
      <c r="G2851" t="s">
        <v>1456</v>
      </c>
      <c r="H2851" t="s">
        <v>9</v>
      </c>
      <c r="I2851" t="s">
        <v>1205</v>
      </c>
      <c r="J2851" t="s">
        <v>29</v>
      </c>
    </row>
    <row r="2852" spans="1:10">
      <c r="A2852">
        <v>52851</v>
      </c>
      <c r="B2852">
        <v>31633</v>
      </c>
      <c r="C2852" t="s">
        <v>312</v>
      </c>
      <c r="D2852">
        <v>2312</v>
      </c>
      <c r="E2852">
        <v>1015</v>
      </c>
      <c r="F2852">
        <v>2</v>
      </c>
      <c r="G2852" t="s">
        <v>1488</v>
      </c>
      <c r="H2852" t="s">
        <v>9</v>
      </c>
      <c r="I2852" t="s">
        <v>383</v>
      </c>
      <c r="J2852" t="s">
        <v>1336</v>
      </c>
    </row>
    <row r="2853" spans="1:10">
      <c r="A2853">
        <v>52852</v>
      </c>
      <c r="B2853">
        <v>31634</v>
      </c>
      <c r="C2853" t="s">
        <v>251</v>
      </c>
      <c r="D2853">
        <v>2086</v>
      </c>
      <c r="E2853">
        <v>1007</v>
      </c>
      <c r="F2853">
        <v>1</v>
      </c>
      <c r="G2853" t="s">
        <v>1453</v>
      </c>
      <c r="H2853" t="s">
        <v>16</v>
      </c>
      <c r="I2853" t="s">
        <v>1421</v>
      </c>
      <c r="J2853" t="s">
        <v>1421</v>
      </c>
    </row>
    <row r="2854" spans="1:10">
      <c r="A2854">
        <v>52853</v>
      </c>
      <c r="B2854">
        <v>31634</v>
      </c>
      <c r="C2854" t="s">
        <v>1158</v>
      </c>
      <c r="D2854">
        <v>2086</v>
      </c>
      <c r="E2854">
        <v>1005</v>
      </c>
      <c r="F2854">
        <v>1</v>
      </c>
      <c r="G2854" t="s">
        <v>1456</v>
      </c>
      <c r="H2854" t="s">
        <v>16</v>
      </c>
      <c r="I2854" t="s">
        <v>1421</v>
      </c>
      <c r="J2854" t="s">
        <v>1421</v>
      </c>
    </row>
    <row r="2855" spans="1:10">
      <c r="A2855">
        <v>52854</v>
      </c>
      <c r="B2855">
        <v>31635</v>
      </c>
      <c r="C2855" t="s">
        <v>982</v>
      </c>
      <c r="D2855">
        <v>2173</v>
      </c>
      <c r="E2855">
        <v>1014</v>
      </c>
      <c r="F2855">
        <v>1</v>
      </c>
      <c r="G2855" t="s">
        <v>1463</v>
      </c>
      <c r="H2855" t="s">
        <v>16</v>
      </c>
      <c r="I2855" t="s">
        <v>1421</v>
      </c>
      <c r="J2855" t="s">
        <v>1421</v>
      </c>
    </row>
    <row r="2856" spans="1:10">
      <c r="A2856">
        <v>52855</v>
      </c>
      <c r="B2856">
        <v>31636</v>
      </c>
      <c r="C2856" t="s">
        <v>992</v>
      </c>
      <c r="D2856">
        <v>2569</v>
      </c>
      <c r="E2856">
        <v>1001</v>
      </c>
      <c r="F2856">
        <v>2</v>
      </c>
      <c r="G2856" t="s">
        <v>1460</v>
      </c>
      <c r="H2856" t="s">
        <v>9</v>
      </c>
      <c r="I2856" t="s">
        <v>415</v>
      </c>
      <c r="J2856" t="s">
        <v>647</v>
      </c>
    </row>
    <row r="2857" spans="1:10">
      <c r="A2857">
        <v>52856</v>
      </c>
      <c r="B2857">
        <v>31636</v>
      </c>
      <c r="C2857" t="s">
        <v>548</v>
      </c>
      <c r="D2857">
        <v>2569</v>
      </c>
      <c r="E2857">
        <v>1015</v>
      </c>
      <c r="F2857">
        <v>1</v>
      </c>
      <c r="G2857" t="s">
        <v>1478</v>
      </c>
      <c r="H2857" t="s">
        <v>9</v>
      </c>
      <c r="I2857" t="s">
        <v>415</v>
      </c>
      <c r="J2857" t="s">
        <v>643</v>
      </c>
    </row>
    <row r="2858" spans="1:10">
      <c r="A2858">
        <v>52857</v>
      </c>
      <c r="B2858">
        <v>31636</v>
      </c>
      <c r="C2858" t="s">
        <v>697</v>
      </c>
      <c r="D2858">
        <v>2569</v>
      </c>
      <c r="E2858">
        <v>1010</v>
      </c>
      <c r="F2858">
        <v>1</v>
      </c>
      <c r="G2858" t="s">
        <v>1468</v>
      </c>
      <c r="H2858" t="s">
        <v>9</v>
      </c>
      <c r="I2858" t="s">
        <v>413</v>
      </c>
      <c r="J2858" t="s">
        <v>1020</v>
      </c>
    </row>
    <row r="2859" spans="1:10">
      <c r="A2859">
        <v>52858</v>
      </c>
      <c r="B2859">
        <v>31637</v>
      </c>
      <c r="C2859" t="s">
        <v>607</v>
      </c>
      <c r="D2859">
        <v>2172</v>
      </c>
      <c r="E2859">
        <v>1016</v>
      </c>
      <c r="F2859">
        <v>1</v>
      </c>
      <c r="G2859" t="s">
        <v>1465</v>
      </c>
      <c r="H2859" t="s">
        <v>9</v>
      </c>
      <c r="I2859" t="s">
        <v>1106</v>
      </c>
      <c r="J2859" t="s">
        <v>1000</v>
      </c>
    </row>
    <row r="2860" spans="1:10">
      <c r="A2860">
        <v>52859</v>
      </c>
      <c r="B2860">
        <v>31638</v>
      </c>
      <c r="C2860" t="s">
        <v>595</v>
      </c>
      <c r="D2860">
        <v>2280</v>
      </c>
      <c r="E2860">
        <v>1013</v>
      </c>
      <c r="F2860">
        <v>1</v>
      </c>
      <c r="G2860" t="s">
        <v>1474</v>
      </c>
      <c r="H2860" t="s">
        <v>9</v>
      </c>
      <c r="I2860" t="s">
        <v>402</v>
      </c>
      <c r="J2860" t="s">
        <v>167</v>
      </c>
    </row>
    <row r="2861" spans="1:10">
      <c r="A2861">
        <v>52860</v>
      </c>
      <c r="B2861">
        <v>31638</v>
      </c>
      <c r="C2861" t="s">
        <v>610</v>
      </c>
      <c r="D2861">
        <v>2280</v>
      </c>
      <c r="E2861">
        <v>1012</v>
      </c>
      <c r="F2861">
        <v>1</v>
      </c>
      <c r="G2861" t="s">
        <v>1449</v>
      </c>
      <c r="H2861" t="s">
        <v>9</v>
      </c>
      <c r="I2861" t="s">
        <v>825</v>
      </c>
      <c r="J2861" t="s">
        <v>403</v>
      </c>
    </row>
    <row r="2862" spans="1:10">
      <c r="A2862">
        <v>52861</v>
      </c>
      <c r="B2862">
        <v>31639</v>
      </c>
      <c r="C2862" t="s">
        <v>175</v>
      </c>
      <c r="D2862">
        <v>2218</v>
      </c>
      <c r="E2862">
        <v>1010</v>
      </c>
      <c r="F2862">
        <v>1</v>
      </c>
      <c r="G2862" t="s">
        <v>1468</v>
      </c>
      <c r="H2862" t="s">
        <v>9</v>
      </c>
      <c r="I2862" t="s">
        <v>398</v>
      </c>
      <c r="J2862" t="s">
        <v>401</v>
      </c>
    </row>
    <row r="2863" spans="1:10">
      <c r="A2863">
        <v>52862</v>
      </c>
      <c r="B2863">
        <v>31639</v>
      </c>
      <c r="C2863" t="s">
        <v>175</v>
      </c>
      <c r="D2863">
        <v>2218</v>
      </c>
      <c r="E2863">
        <v>1002</v>
      </c>
      <c r="F2863">
        <v>1</v>
      </c>
      <c r="G2863" t="s">
        <v>1466</v>
      </c>
      <c r="H2863" t="s">
        <v>9</v>
      </c>
      <c r="I2863" t="s">
        <v>1307</v>
      </c>
      <c r="J2863" t="s">
        <v>1334</v>
      </c>
    </row>
    <row r="2864" spans="1:10">
      <c r="A2864">
        <v>52863</v>
      </c>
      <c r="B2864">
        <v>31639</v>
      </c>
      <c r="C2864" t="s">
        <v>481</v>
      </c>
      <c r="D2864">
        <v>2218</v>
      </c>
      <c r="E2864">
        <v>1006</v>
      </c>
      <c r="F2864">
        <v>1</v>
      </c>
      <c r="G2864" t="s">
        <v>1459</v>
      </c>
      <c r="H2864" t="s">
        <v>9</v>
      </c>
      <c r="I2864" t="s">
        <v>1177</v>
      </c>
      <c r="J2864" t="s">
        <v>243</v>
      </c>
    </row>
    <row r="2865" spans="1:10">
      <c r="A2865">
        <v>52864</v>
      </c>
      <c r="B2865">
        <v>31640</v>
      </c>
      <c r="C2865" t="s">
        <v>1097</v>
      </c>
      <c r="D2865">
        <v>2547</v>
      </c>
      <c r="E2865">
        <v>1010</v>
      </c>
      <c r="F2865">
        <v>3</v>
      </c>
      <c r="G2865" t="s">
        <v>1514</v>
      </c>
      <c r="H2865" t="s">
        <v>9</v>
      </c>
      <c r="I2865" t="s">
        <v>331</v>
      </c>
      <c r="J2865" t="s">
        <v>986</v>
      </c>
    </row>
    <row r="2866" spans="1:10">
      <c r="A2866">
        <v>52865</v>
      </c>
      <c r="B2866">
        <v>31641</v>
      </c>
      <c r="C2866" t="s">
        <v>164</v>
      </c>
      <c r="D2866">
        <v>2092</v>
      </c>
      <c r="E2866">
        <v>1004</v>
      </c>
      <c r="F2866">
        <v>1</v>
      </c>
      <c r="G2866" t="s">
        <v>1452</v>
      </c>
      <c r="H2866" t="s">
        <v>9</v>
      </c>
      <c r="I2866" t="s">
        <v>538</v>
      </c>
      <c r="J2866" t="s">
        <v>550</v>
      </c>
    </row>
    <row r="2867" spans="1:10">
      <c r="A2867">
        <v>52866</v>
      </c>
      <c r="B2867">
        <v>31641</v>
      </c>
      <c r="C2867" t="s">
        <v>1254</v>
      </c>
      <c r="D2867">
        <v>2092</v>
      </c>
      <c r="E2867">
        <v>1005</v>
      </c>
      <c r="F2867">
        <v>1</v>
      </c>
      <c r="G2867" t="s">
        <v>1456</v>
      </c>
      <c r="H2867" t="s">
        <v>9</v>
      </c>
      <c r="I2867" t="s">
        <v>821</v>
      </c>
      <c r="J2867" t="s">
        <v>890</v>
      </c>
    </row>
    <row r="2868" spans="1:10">
      <c r="A2868">
        <v>52867</v>
      </c>
      <c r="B2868">
        <v>31642</v>
      </c>
      <c r="C2868" t="s">
        <v>1122</v>
      </c>
      <c r="D2868">
        <v>2570</v>
      </c>
      <c r="E2868">
        <v>1014</v>
      </c>
      <c r="F2868">
        <v>1</v>
      </c>
      <c r="G2868" t="s">
        <v>1463</v>
      </c>
      <c r="H2868" t="s">
        <v>11</v>
      </c>
      <c r="I2868" t="s">
        <v>1165</v>
      </c>
      <c r="J2868" t="s">
        <v>258</v>
      </c>
    </row>
    <row r="2869" spans="1:10">
      <c r="A2869">
        <v>52868</v>
      </c>
      <c r="B2869">
        <v>31642</v>
      </c>
      <c r="C2869" t="s">
        <v>45</v>
      </c>
      <c r="D2869">
        <v>2570</v>
      </c>
      <c r="E2869">
        <v>1007</v>
      </c>
      <c r="F2869">
        <v>3</v>
      </c>
      <c r="G2869" t="s">
        <v>1446</v>
      </c>
      <c r="H2869" t="s">
        <v>11</v>
      </c>
      <c r="I2869" t="s">
        <v>266</v>
      </c>
      <c r="J2869" t="s">
        <v>722</v>
      </c>
    </row>
    <row r="2870" spans="1:10">
      <c r="A2870">
        <v>52869</v>
      </c>
      <c r="B2870">
        <v>31642</v>
      </c>
      <c r="C2870" t="s">
        <v>263</v>
      </c>
      <c r="D2870">
        <v>2570</v>
      </c>
      <c r="E2870">
        <v>1011</v>
      </c>
      <c r="F2870">
        <v>3</v>
      </c>
      <c r="G2870" t="s">
        <v>1454</v>
      </c>
      <c r="H2870" t="s">
        <v>11</v>
      </c>
      <c r="I2870" t="s">
        <v>120</v>
      </c>
      <c r="J2870" t="s">
        <v>834</v>
      </c>
    </row>
    <row r="2871" spans="1:10">
      <c r="A2871">
        <v>52870</v>
      </c>
      <c r="B2871">
        <v>31643</v>
      </c>
      <c r="C2871" t="s">
        <v>1202</v>
      </c>
      <c r="D2871">
        <v>2351</v>
      </c>
      <c r="E2871">
        <v>1015</v>
      </c>
      <c r="F2871">
        <v>1</v>
      </c>
      <c r="G2871" t="s">
        <v>1478</v>
      </c>
      <c r="H2871" t="s">
        <v>9</v>
      </c>
      <c r="I2871" t="s">
        <v>1002</v>
      </c>
      <c r="J2871" t="s">
        <v>1073</v>
      </c>
    </row>
    <row r="2872" spans="1:10">
      <c r="A2872">
        <v>52871</v>
      </c>
      <c r="B2872">
        <v>31644</v>
      </c>
      <c r="C2872" t="s">
        <v>1282</v>
      </c>
      <c r="D2872">
        <v>2280</v>
      </c>
      <c r="E2872">
        <v>1011</v>
      </c>
      <c r="F2872">
        <v>1</v>
      </c>
      <c r="G2872" t="s">
        <v>1472</v>
      </c>
      <c r="H2872" t="s">
        <v>9</v>
      </c>
      <c r="I2872" t="s">
        <v>625</v>
      </c>
      <c r="J2872" t="s">
        <v>903</v>
      </c>
    </row>
    <row r="2873" spans="1:10">
      <c r="A2873">
        <v>52872</v>
      </c>
      <c r="B2873">
        <v>31644</v>
      </c>
      <c r="C2873" t="s">
        <v>624</v>
      </c>
      <c r="D2873">
        <v>2280</v>
      </c>
      <c r="E2873">
        <v>1011</v>
      </c>
      <c r="F2873">
        <v>2</v>
      </c>
      <c r="G2873" t="s">
        <v>1487</v>
      </c>
      <c r="H2873" t="s">
        <v>9</v>
      </c>
      <c r="I2873" t="s">
        <v>1022</v>
      </c>
      <c r="J2873" t="s">
        <v>469</v>
      </c>
    </row>
    <row r="2874" spans="1:10">
      <c r="A2874">
        <v>52873</v>
      </c>
      <c r="B2874">
        <v>31644</v>
      </c>
      <c r="C2874" t="s">
        <v>626</v>
      </c>
      <c r="D2874">
        <v>2280</v>
      </c>
      <c r="E2874">
        <v>1007</v>
      </c>
      <c r="F2874">
        <v>2</v>
      </c>
      <c r="G2874" t="s">
        <v>1455</v>
      </c>
      <c r="H2874" t="s">
        <v>9</v>
      </c>
      <c r="I2874" t="s">
        <v>739</v>
      </c>
      <c r="J2874" t="s">
        <v>776</v>
      </c>
    </row>
    <row r="2875" spans="1:10">
      <c r="A2875">
        <v>52874</v>
      </c>
      <c r="B2875">
        <v>31645</v>
      </c>
      <c r="C2875" t="s">
        <v>968</v>
      </c>
      <c r="D2875">
        <v>2471</v>
      </c>
      <c r="E2875">
        <v>1011</v>
      </c>
      <c r="F2875">
        <v>1</v>
      </c>
      <c r="G2875" t="s">
        <v>1472</v>
      </c>
      <c r="H2875" t="s">
        <v>1486</v>
      </c>
      <c r="I2875" t="s">
        <v>825</v>
      </c>
      <c r="J2875" t="s">
        <v>611</v>
      </c>
    </row>
    <row r="2876" spans="1:10">
      <c r="A2876">
        <v>52875</v>
      </c>
      <c r="B2876">
        <v>31645</v>
      </c>
      <c r="C2876" t="s">
        <v>594</v>
      </c>
      <c r="D2876">
        <v>2471</v>
      </c>
      <c r="E2876">
        <v>1001</v>
      </c>
      <c r="F2876">
        <v>1</v>
      </c>
      <c r="G2876" t="s">
        <v>1469</v>
      </c>
      <c r="H2876" t="s">
        <v>11</v>
      </c>
      <c r="I2876" t="s">
        <v>1104</v>
      </c>
      <c r="J2876" t="s">
        <v>32</v>
      </c>
    </row>
    <row r="2877" spans="1:10">
      <c r="A2877">
        <v>52876</v>
      </c>
      <c r="B2877">
        <v>31646</v>
      </c>
      <c r="C2877" t="s">
        <v>1096</v>
      </c>
      <c r="D2877">
        <v>2137</v>
      </c>
      <c r="E2877">
        <v>1001</v>
      </c>
      <c r="F2877">
        <v>1</v>
      </c>
      <c r="G2877" t="s">
        <v>1469</v>
      </c>
      <c r="H2877" t="s">
        <v>9</v>
      </c>
      <c r="I2877" t="s">
        <v>649</v>
      </c>
      <c r="J2877" t="s">
        <v>63</v>
      </c>
    </row>
    <row r="2878" spans="1:10">
      <c r="A2878">
        <v>52877</v>
      </c>
      <c r="B2878">
        <v>31646</v>
      </c>
      <c r="C2878" t="s">
        <v>836</v>
      </c>
      <c r="D2878">
        <v>2137</v>
      </c>
      <c r="E2878">
        <v>1016</v>
      </c>
      <c r="F2878">
        <v>3</v>
      </c>
      <c r="G2878" t="s">
        <v>1484</v>
      </c>
      <c r="H2878" t="s">
        <v>9</v>
      </c>
      <c r="I2878" t="s">
        <v>91</v>
      </c>
      <c r="J2878" t="s">
        <v>63</v>
      </c>
    </row>
    <row r="2879" spans="1:10">
      <c r="A2879">
        <v>52878</v>
      </c>
      <c r="B2879">
        <v>31647</v>
      </c>
      <c r="C2879" t="s">
        <v>557</v>
      </c>
      <c r="D2879">
        <v>2005</v>
      </c>
      <c r="E2879">
        <v>1006</v>
      </c>
      <c r="F2879">
        <v>1</v>
      </c>
      <c r="G2879" t="s">
        <v>1459</v>
      </c>
      <c r="H2879" t="s">
        <v>12</v>
      </c>
      <c r="I2879" t="s">
        <v>1421</v>
      </c>
      <c r="J2879" t="s">
        <v>1421</v>
      </c>
    </row>
    <row r="2880" spans="1:10">
      <c r="A2880">
        <v>52879</v>
      </c>
      <c r="B2880">
        <v>31647</v>
      </c>
      <c r="C2880" t="s">
        <v>974</v>
      </c>
      <c r="D2880">
        <v>2005</v>
      </c>
      <c r="E2880">
        <v>1014</v>
      </c>
      <c r="F2880">
        <v>1</v>
      </c>
      <c r="G2880" t="s">
        <v>1463</v>
      </c>
      <c r="H2880" t="s">
        <v>12</v>
      </c>
      <c r="I2880" t="s">
        <v>1421</v>
      </c>
      <c r="J2880" t="s">
        <v>1421</v>
      </c>
    </row>
    <row r="2881" spans="1:10">
      <c r="A2881">
        <v>52880</v>
      </c>
      <c r="B2881">
        <v>31648</v>
      </c>
      <c r="C2881" t="s">
        <v>256</v>
      </c>
      <c r="D2881">
        <v>2570</v>
      </c>
      <c r="E2881">
        <v>1016</v>
      </c>
      <c r="F2881">
        <v>1</v>
      </c>
      <c r="G2881" t="s">
        <v>1465</v>
      </c>
      <c r="H2881" t="s">
        <v>12</v>
      </c>
      <c r="I2881" t="s">
        <v>1421</v>
      </c>
      <c r="J2881" t="s">
        <v>1421</v>
      </c>
    </row>
    <row r="2882" spans="1:10">
      <c r="A2882">
        <v>52881</v>
      </c>
      <c r="B2882">
        <v>31649</v>
      </c>
      <c r="C2882" t="s">
        <v>1200</v>
      </c>
      <c r="D2882">
        <v>2403</v>
      </c>
      <c r="E2882">
        <v>1003</v>
      </c>
      <c r="F2882">
        <v>3</v>
      </c>
      <c r="G2882" t="s">
        <v>1507</v>
      </c>
      <c r="H2882" t="s">
        <v>9</v>
      </c>
      <c r="I2882" t="s">
        <v>704</v>
      </c>
      <c r="J2882" t="s">
        <v>810</v>
      </c>
    </row>
    <row r="2883" spans="1:10">
      <c r="A2883">
        <v>52882</v>
      </c>
      <c r="B2883">
        <v>31649</v>
      </c>
      <c r="C2883" t="s">
        <v>928</v>
      </c>
      <c r="D2883">
        <v>2403</v>
      </c>
      <c r="E2883">
        <v>1001</v>
      </c>
      <c r="F2883">
        <v>1</v>
      </c>
      <c r="G2883" t="s">
        <v>1469</v>
      </c>
      <c r="H2883" t="s">
        <v>9</v>
      </c>
      <c r="I2883" t="s">
        <v>1333</v>
      </c>
      <c r="J2883" t="s">
        <v>192</v>
      </c>
    </row>
    <row r="2884" spans="1:10">
      <c r="A2884">
        <v>52883</v>
      </c>
      <c r="B2884">
        <v>31650</v>
      </c>
      <c r="C2884" t="s">
        <v>614</v>
      </c>
      <c r="D2884">
        <v>2456</v>
      </c>
      <c r="E2884">
        <v>1012</v>
      </c>
      <c r="F2884">
        <v>1</v>
      </c>
      <c r="G2884" t="s">
        <v>1449</v>
      </c>
      <c r="H2884" t="s">
        <v>9</v>
      </c>
      <c r="I2884" t="s">
        <v>750</v>
      </c>
      <c r="J2884" t="s">
        <v>473</v>
      </c>
    </row>
    <row r="2885" spans="1:10">
      <c r="A2885">
        <v>52884</v>
      </c>
      <c r="B2885">
        <v>31651</v>
      </c>
      <c r="C2885" t="s">
        <v>308</v>
      </c>
      <c r="D2885">
        <v>2386</v>
      </c>
      <c r="E2885">
        <v>1012</v>
      </c>
      <c r="F2885">
        <v>1</v>
      </c>
      <c r="G2885" t="s">
        <v>1449</v>
      </c>
      <c r="H2885" t="s">
        <v>1477</v>
      </c>
      <c r="I2885" t="s">
        <v>1421</v>
      </c>
      <c r="J2885" t="s">
        <v>1421</v>
      </c>
    </row>
    <row r="2886" spans="1:10">
      <c r="A2886">
        <v>52885</v>
      </c>
      <c r="B2886">
        <v>31651</v>
      </c>
      <c r="C2886" t="s">
        <v>663</v>
      </c>
      <c r="D2886">
        <v>2386</v>
      </c>
      <c r="E2886">
        <v>1001</v>
      </c>
      <c r="F2886">
        <v>3</v>
      </c>
      <c r="G2886" t="s">
        <v>1515</v>
      </c>
      <c r="H2886" t="s">
        <v>16</v>
      </c>
      <c r="I2886" t="s">
        <v>1069</v>
      </c>
      <c r="J2886" t="s">
        <v>1421</v>
      </c>
    </row>
    <row r="2887" spans="1:10">
      <c r="A2887">
        <v>52886</v>
      </c>
      <c r="B2887">
        <v>31652</v>
      </c>
      <c r="C2887" t="s">
        <v>833</v>
      </c>
      <c r="D2887">
        <v>2380</v>
      </c>
      <c r="E2887">
        <v>1015</v>
      </c>
      <c r="F2887">
        <v>1</v>
      </c>
      <c r="G2887" t="s">
        <v>1478</v>
      </c>
      <c r="H2887" t="s">
        <v>12</v>
      </c>
      <c r="I2887" t="s">
        <v>1421</v>
      </c>
      <c r="J2887" t="s">
        <v>1421</v>
      </c>
    </row>
    <row r="2888" spans="1:10">
      <c r="A2888">
        <v>52887</v>
      </c>
      <c r="B2888">
        <v>31653</v>
      </c>
      <c r="C2888" t="s">
        <v>301</v>
      </c>
      <c r="D2888">
        <v>2010</v>
      </c>
      <c r="E2888">
        <v>1001</v>
      </c>
      <c r="F2888">
        <v>1</v>
      </c>
      <c r="G2888" t="s">
        <v>1469</v>
      </c>
      <c r="H2888" t="s">
        <v>9</v>
      </c>
      <c r="I2888" t="s">
        <v>691</v>
      </c>
      <c r="J2888" t="s">
        <v>1154</v>
      </c>
    </row>
    <row r="2889" spans="1:10">
      <c r="A2889">
        <v>52888</v>
      </c>
      <c r="B2889">
        <v>31653</v>
      </c>
      <c r="C2889" t="s">
        <v>554</v>
      </c>
      <c r="D2889">
        <v>2010</v>
      </c>
      <c r="E2889">
        <v>1009</v>
      </c>
      <c r="F2889">
        <v>1</v>
      </c>
      <c r="G2889" t="s">
        <v>1473</v>
      </c>
      <c r="H2889" t="s">
        <v>68</v>
      </c>
      <c r="I2889" t="s">
        <v>104</v>
      </c>
      <c r="J2889" t="s">
        <v>954</v>
      </c>
    </row>
    <row r="2890" spans="1:10">
      <c r="A2890">
        <v>52889</v>
      </c>
      <c r="B2890">
        <v>31653</v>
      </c>
      <c r="C2890" t="s">
        <v>1131</v>
      </c>
      <c r="D2890">
        <v>2010</v>
      </c>
      <c r="E2890">
        <v>1012</v>
      </c>
      <c r="F2890">
        <v>2</v>
      </c>
      <c r="G2890" t="s">
        <v>1450</v>
      </c>
      <c r="H2890" t="s">
        <v>9</v>
      </c>
      <c r="I2890" t="s">
        <v>104</v>
      </c>
      <c r="J2890" t="s">
        <v>261</v>
      </c>
    </row>
    <row r="2891" spans="1:10">
      <c r="A2891">
        <v>52890</v>
      </c>
      <c r="B2891">
        <v>31654</v>
      </c>
      <c r="C2891" t="s">
        <v>735</v>
      </c>
      <c r="D2891">
        <v>2197</v>
      </c>
      <c r="E2891">
        <v>1010</v>
      </c>
      <c r="F2891">
        <v>1</v>
      </c>
      <c r="G2891" t="s">
        <v>1468</v>
      </c>
      <c r="H2891" t="s">
        <v>9</v>
      </c>
      <c r="I2891" t="s">
        <v>638</v>
      </c>
      <c r="J2891" t="s">
        <v>738</v>
      </c>
    </row>
    <row r="2892" spans="1:10">
      <c r="A2892">
        <v>52891</v>
      </c>
      <c r="B2892">
        <v>31655</v>
      </c>
      <c r="C2892" t="s">
        <v>1295</v>
      </c>
      <c r="D2892">
        <v>2227</v>
      </c>
      <c r="E2892">
        <v>1016</v>
      </c>
      <c r="F2892">
        <v>1</v>
      </c>
      <c r="G2892" t="s">
        <v>1465</v>
      </c>
      <c r="H2892" t="s">
        <v>9</v>
      </c>
      <c r="I2892" t="s">
        <v>1193</v>
      </c>
      <c r="J2892" t="s">
        <v>1083</v>
      </c>
    </row>
    <row r="2893" spans="1:10">
      <c r="A2893">
        <v>52892</v>
      </c>
      <c r="B2893">
        <v>31655</v>
      </c>
      <c r="C2893" t="s">
        <v>1295</v>
      </c>
      <c r="D2893">
        <v>2227</v>
      </c>
      <c r="E2893">
        <v>1012</v>
      </c>
      <c r="F2893">
        <v>1</v>
      </c>
      <c r="G2893" t="s">
        <v>1449</v>
      </c>
      <c r="H2893" t="s">
        <v>9</v>
      </c>
      <c r="I2893" t="s">
        <v>595</v>
      </c>
      <c r="J2893" t="s">
        <v>294</v>
      </c>
    </row>
    <row r="2894" spans="1:10">
      <c r="A2894">
        <v>52893</v>
      </c>
      <c r="B2894">
        <v>31656</v>
      </c>
      <c r="C2894" t="s">
        <v>1107</v>
      </c>
      <c r="D2894">
        <v>2038</v>
      </c>
      <c r="E2894">
        <v>1007</v>
      </c>
      <c r="F2894">
        <v>1</v>
      </c>
      <c r="G2894" t="s">
        <v>1453</v>
      </c>
      <c r="H2894" t="s">
        <v>9</v>
      </c>
      <c r="I2894" t="s">
        <v>462</v>
      </c>
      <c r="J2894" t="s">
        <v>941</v>
      </c>
    </row>
    <row r="2895" spans="1:10">
      <c r="A2895">
        <v>52894</v>
      </c>
      <c r="B2895">
        <v>31656</v>
      </c>
      <c r="C2895" t="s">
        <v>569</v>
      </c>
      <c r="D2895">
        <v>2038</v>
      </c>
      <c r="E2895">
        <v>1001</v>
      </c>
      <c r="F2895">
        <v>1</v>
      </c>
      <c r="G2895" t="s">
        <v>1469</v>
      </c>
      <c r="H2895" t="s">
        <v>9</v>
      </c>
      <c r="I2895" t="s">
        <v>621</v>
      </c>
      <c r="J2895" t="s">
        <v>1035</v>
      </c>
    </row>
    <row r="2896" spans="1:10">
      <c r="A2896">
        <v>52895</v>
      </c>
      <c r="B2896">
        <v>31656</v>
      </c>
      <c r="C2896" t="s">
        <v>1107</v>
      </c>
      <c r="D2896">
        <v>2038</v>
      </c>
      <c r="E2896">
        <v>1007</v>
      </c>
      <c r="F2896">
        <v>1</v>
      </c>
      <c r="G2896" t="s">
        <v>1453</v>
      </c>
      <c r="H2896" t="s">
        <v>9</v>
      </c>
      <c r="I2896" t="s">
        <v>1098</v>
      </c>
      <c r="J2896" t="s">
        <v>26</v>
      </c>
    </row>
    <row r="2897" spans="1:10">
      <c r="A2897">
        <v>52896</v>
      </c>
      <c r="B2897">
        <v>31656</v>
      </c>
      <c r="C2897" t="s">
        <v>569</v>
      </c>
      <c r="D2897">
        <v>2038</v>
      </c>
      <c r="E2897">
        <v>1013</v>
      </c>
      <c r="F2897">
        <v>1</v>
      </c>
      <c r="G2897" t="s">
        <v>1474</v>
      </c>
      <c r="H2897" t="s">
        <v>9</v>
      </c>
      <c r="I2897" t="s">
        <v>626</v>
      </c>
      <c r="J2897" t="s">
        <v>200</v>
      </c>
    </row>
    <row r="2898" spans="1:10">
      <c r="A2898">
        <v>52897</v>
      </c>
      <c r="B2898">
        <v>31657</v>
      </c>
      <c r="C2898" t="s">
        <v>1349</v>
      </c>
      <c r="D2898">
        <v>2114</v>
      </c>
      <c r="E2898">
        <v>1016</v>
      </c>
      <c r="F2898">
        <v>2</v>
      </c>
      <c r="G2898" t="s">
        <v>1500</v>
      </c>
      <c r="H2898" t="s">
        <v>12</v>
      </c>
      <c r="I2898" t="s">
        <v>1421</v>
      </c>
      <c r="J2898" t="s">
        <v>1421</v>
      </c>
    </row>
    <row r="2899" spans="1:10">
      <c r="A2899">
        <v>52898</v>
      </c>
      <c r="B2899">
        <v>31658</v>
      </c>
      <c r="C2899" t="s">
        <v>1142</v>
      </c>
      <c r="D2899">
        <v>2175</v>
      </c>
      <c r="E2899">
        <v>1006</v>
      </c>
      <c r="F2899">
        <v>2</v>
      </c>
      <c r="G2899" t="s">
        <v>1501</v>
      </c>
      <c r="H2899" t="s">
        <v>9</v>
      </c>
      <c r="I2899" t="s">
        <v>1267</v>
      </c>
      <c r="J2899" t="s">
        <v>795</v>
      </c>
    </row>
    <row r="2900" spans="1:10">
      <c r="A2900">
        <v>52899</v>
      </c>
      <c r="B2900">
        <v>31658</v>
      </c>
      <c r="C2900" t="s">
        <v>209</v>
      </c>
      <c r="D2900">
        <v>2175</v>
      </c>
      <c r="E2900">
        <v>1003</v>
      </c>
      <c r="F2900">
        <v>2</v>
      </c>
      <c r="G2900" t="s">
        <v>1464</v>
      </c>
      <c r="H2900" t="s">
        <v>9</v>
      </c>
      <c r="I2900" t="s">
        <v>274</v>
      </c>
      <c r="J2900" t="s">
        <v>795</v>
      </c>
    </row>
    <row r="2901" spans="1:10">
      <c r="A2901">
        <v>52900</v>
      </c>
      <c r="B2901">
        <v>31658</v>
      </c>
      <c r="C2901" t="s">
        <v>1142</v>
      </c>
      <c r="D2901">
        <v>2175</v>
      </c>
      <c r="E2901">
        <v>1005</v>
      </c>
      <c r="F2901">
        <v>1</v>
      </c>
      <c r="G2901" t="s">
        <v>1456</v>
      </c>
      <c r="H2901" t="s">
        <v>9</v>
      </c>
      <c r="I2901" t="s">
        <v>562</v>
      </c>
      <c r="J2901" t="s">
        <v>795</v>
      </c>
    </row>
    <row r="2902" spans="1:10">
      <c r="A2902">
        <v>52901</v>
      </c>
      <c r="B2902">
        <v>31658</v>
      </c>
      <c r="C2902" t="s">
        <v>1037</v>
      </c>
      <c r="D2902">
        <v>2175</v>
      </c>
      <c r="E2902">
        <v>1003</v>
      </c>
      <c r="G2902" t="s">
        <v>1464</v>
      </c>
      <c r="H2902" t="s">
        <v>9</v>
      </c>
      <c r="I2902" t="s">
        <v>1173</v>
      </c>
      <c r="J2902" t="s">
        <v>461</v>
      </c>
    </row>
    <row r="2903" spans="1:10">
      <c r="A2903">
        <v>52902</v>
      </c>
      <c r="B2903">
        <v>31659</v>
      </c>
      <c r="C2903" t="s">
        <v>217</v>
      </c>
      <c r="D2903">
        <v>2131</v>
      </c>
      <c r="E2903">
        <v>1008</v>
      </c>
      <c r="F2903">
        <v>3</v>
      </c>
      <c r="G2903" t="s">
        <v>1491</v>
      </c>
      <c r="H2903" t="s">
        <v>9</v>
      </c>
      <c r="I2903" t="s">
        <v>98</v>
      </c>
      <c r="J2903" t="s">
        <v>1019</v>
      </c>
    </row>
    <row r="2904" spans="1:10">
      <c r="A2904">
        <v>52903</v>
      </c>
      <c r="B2904">
        <v>31660</v>
      </c>
      <c r="C2904" t="s">
        <v>58</v>
      </c>
      <c r="D2904">
        <v>2536</v>
      </c>
      <c r="F2904">
        <v>1</v>
      </c>
      <c r="G2904" t="s">
        <v>1473</v>
      </c>
      <c r="H2904" t="s">
        <v>9</v>
      </c>
      <c r="I2904" t="s">
        <v>40</v>
      </c>
      <c r="J2904" t="s">
        <v>750</v>
      </c>
    </row>
    <row r="2905" spans="1:10">
      <c r="A2905">
        <v>52904</v>
      </c>
      <c r="B2905">
        <v>31660</v>
      </c>
      <c r="C2905" t="s">
        <v>58</v>
      </c>
      <c r="D2905">
        <v>2536</v>
      </c>
      <c r="E2905">
        <v>1007</v>
      </c>
      <c r="F2905">
        <v>1</v>
      </c>
      <c r="G2905" t="s">
        <v>1453</v>
      </c>
      <c r="H2905" t="s">
        <v>9</v>
      </c>
      <c r="I2905" t="s">
        <v>485</v>
      </c>
      <c r="J2905" t="s">
        <v>405</v>
      </c>
    </row>
    <row r="2906" spans="1:10">
      <c r="A2906">
        <v>52905</v>
      </c>
      <c r="B2906">
        <v>31661</v>
      </c>
      <c r="C2906" t="s">
        <v>30</v>
      </c>
      <c r="D2906">
        <v>2024</v>
      </c>
      <c r="E2906">
        <v>1009</v>
      </c>
      <c r="F2906">
        <v>2</v>
      </c>
      <c r="G2906" t="s">
        <v>1479</v>
      </c>
      <c r="H2906" t="s">
        <v>11</v>
      </c>
      <c r="I2906" t="s">
        <v>1020</v>
      </c>
      <c r="J2906" t="s">
        <v>648</v>
      </c>
    </row>
    <row r="2907" spans="1:10">
      <c r="A2907">
        <v>52906</v>
      </c>
      <c r="B2907">
        <v>31662</v>
      </c>
      <c r="C2907" t="s">
        <v>1056</v>
      </c>
      <c r="D2907">
        <v>2574</v>
      </c>
      <c r="E2907">
        <v>1001</v>
      </c>
      <c r="F2907">
        <v>1</v>
      </c>
      <c r="G2907" t="s">
        <v>1469</v>
      </c>
      <c r="H2907" t="s">
        <v>12</v>
      </c>
      <c r="I2907" t="s">
        <v>1421</v>
      </c>
      <c r="J2907" t="s">
        <v>1421</v>
      </c>
    </row>
    <row r="2908" spans="1:10">
      <c r="A2908">
        <v>52907</v>
      </c>
      <c r="B2908">
        <v>31662</v>
      </c>
      <c r="C2908" t="s">
        <v>1056</v>
      </c>
      <c r="D2908">
        <v>2574</v>
      </c>
      <c r="E2908">
        <v>1014</v>
      </c>
      <c r="F2908">
        <v>1</v>
      </c>
      <c r="G2908" t="s">
        <v>1463</v>
      </c>
      <c r="H2908" t="s">
        <v>12</v>
      </c>
      <c r="I2908" t="s">
        <v>1421</v>
      </c>
      <c r="J2908" t="s">
        <v>1421</v>
      </c>
    </row>
    <row r="2909" spans="1:10">
      <c r="A2909">
        <v>52908</v>
      </c>
      <c r="B2909">
        <v>31663</v>
      </c>
      <c r="C2909" t="s">
        <v>575</v>
      </c>
      <c r="D2909">
        <v>2054</v>
      </c>
      <c r="E2909">
        <v>1011</v>
      </c>
      <c r="F2909">
        <v>1</v>
      </c>
      <c r="G2909" t="s">
        <v>1472</v>
      </c>
      <c r="H2909" t="s">
        <v>16</v>
      </c>
      <c r="I2909" t="s">
        <v>1421</v>
      </c>
      <c r="J2909" t="s">
        <v>1421</v>
      </c>
    </row>
    <row r="2910" spans="1:10">
      <c r="A2910">
        <v>52909</v>
      </c>
      <c r="B2910">
        <v>31663</v>
      </c>
      <c r="C2910" t="s">
        <v>321</v>
      </c>
      <c r="D2910">
        <v>2054</v>
      </c>
      <c r="E2910">
        <v>1014</v>
      </c>
      <c r="F2910">
        <v>1</v>
      </c>
      <c r="G2910" t="s">
        <v>1463</v>
      </c>
      <c r="H2910" t="s">
        <v>16</v>
      </c>
      <c r="I2910" t="s">
        <v>1421</v>
      </c>
      <c r="J2910" t="s">
        <v>1421</v>
      </c>
    </row>
    <row r="2911" spans="1:10">
      <c r="A2911">
        <v>52910</v>
      </c>
      <c r="B2911">
        <v>31664</v>
      </c>
      <c r="C2911" t="s">
        <v>217</v>
      </c>
      <c r="D2911">
        <v>2531</v>
      </c>
      <c r="E2911">
        <v>1012</v>
      </c>
      <c r="F2911">
        <v>2</v>
      </c>
      <c r="G2911" t="s">
        <v>1450</v>
      </c>
      <c r="H2911" t="s">
        <v>9</v>
      </c>
      <c r="I2911" t="s">
        <v>411</v>
      </c>
      <c r="J2911" t="s">
        <v>785</v>
      </c>
    </row>
    <row r="2912" spans="1:10">
      <c r="A2912">
        <v>52911</v>
      </c>
      <c r="B2912">
        <v>31664</v>
      </c>
      <c r="C2912" t="s">
        <v>217</v>
      </c>
      <c r="D2912">
        <v>2531</v>
      </c>
      <c r="E2912">
        <v>1002</v>
      </c>
      <c r="F2912">
        <v>1</v>
      </c>
      <c r="G2912" t="s">
        <v>1466</v>
      </c>
      <c r="H2912" t="s">
        <v>9</v>
      </c>
      <c r="I2912" t="s">
        <v>669</v>
      </c>
      <c r="J2912" t="s">
        <v>733</v>
      </c>
    </row>
    <row r="2913" spans="1:10">
      <c r="A2913">
        <v>52912</v>
      </c>
      <c r="B2913">
        <v>31665</v>
      </c>
      <c r="C2913" t="s">
        <v>868</v>
      </c>
      <c r="D2913">
        <v>2230</v>
      </c>
      <c r="E2913">
        <v>1014</v>
      </c>
      <c r="F2913">
        <v>1</v>
      </c>
      <c r="G2913" t="s">
        <v>1463</v>
      </c>
      <c r="H2913" t="s">
        <v>9</v>
      </c>
      <c r="I2913" t="s">
        <v>754</v>
      </c>
      <c r="J2913" t="s">
        <v>421</v>
      </c>
    </row>
    <row r="2914" spans="1:10">
      <c r="A2914">
        <v>52913</v>
      </c>
      <c r="B2914">
        <v>31665</v>
      </c>
      <c r="C2914" t="s">
        <v>868</v>
      </c>
      <c r="D2914">
        <v>2230</v>
      </c>
      <c r="E2914">
        <v>1015</v>
      </c>
      <c r="F2914">
        <v>1</v>
      </c>
      <c r="G2914" t="s">
        <v>1478</v>
      </c>
      <c r="H2914" t="s">
        <v>9</v>
      </c>
      <c r="I2914" t="s">
        <v>1097</v>
      </c>
      <c r="J2914" t="s">
        <v>743</v>
      </c>
    </row>
    <row r="2915" spans="1:10">
      <c r="A2915">
        <v>52914</v>
      </c>
      <c r="B2915">
        <v>31666</v>
      </c>
      <c r="C2915" t="s">
        <v>1137</v>
      </c>
      <c r="D2915">
        <v>2324</v>
      </c>
      <c r="E2915">
        <v>1007</v>
      </c>
      <c r="F2915">
        <v>1</v>
      </c>
      <c r="G2915" t="s">
        <v>1453</v>
      </c>
      <c r="H2915" t="s">
        <v>9</v>
      </c>
      <c r="I2915" t="s">
        <v>985</v>
      </c>
      <c r="J2915" t="s">
        <v>488</v>
      </c>
    </row>
    <row r="2916" spans="1:10">
      <c r="A2916">
        <v>52915</v>
      </c>
      <c r="B2916">
        <v>31667</v>
      </c>
      <c r="C2916" t="s">
        <v>968</v>
      </c>
      <c r="D2916">
        <v>2343</v>
      </c>
      <c r="E2916">
        <v>1001</v>
      </c>
      <c r="F2916">
        <v>1</v>
      </c>
      <c r="G2916" t="s">
        <v>1469</v>
      </c>
      <c r="H2916" t="s">
        <v>9</v>
      </c>
      <c r="I2916" t="s">
        <v>886</v>
      </c>
      <c r="J2916" t="s">
        <v>402</v>
      </c>
    </row>
    <row r="2917" spans="1:10">
      <c r="A2917">
        <v>52916</v>
      </c>
      <c r="B2917">
        <v>31668</v>
      </c>
      <c r="C2917" t="s">
        <v>1222</v>
      </c>
      <c r="D2917">
        <v>2232</v>
      </c>
      <c r="E2917">
        <v>1014</v>
      </c>
      <c r="F2917">
        <v>4</v>
      </c>
      <c r="G2917" t="s">
        <v>1518</v>
      </c>
      <c r="H2917" t="s">
        <v>11</v>
      </c>
      <c r="I2917" t="s">
        <v>655</v>
      </c>
      <c r="J2917" t="s">
        <v>1160</v>
      </c>
    </row>
    <row r="2918" spans="1:10">
      <c r="A2918">
        <v>52917</v>
      </c>
      <c r="B2918">
        <v>31668</v>
      </c>
      <c r="C2918" t="s">
        <v>1222</v>
      </c>
      <c r="D2918">
        <v>2232</v>
      </c>
      <c r="E2918">
        <v>1003</v>
      </c>
      <c r="F2918">
        <v>1</v>
      </c>
      <c r="G2918" t="s">
        <v>1471</v>
      </c>
      <c r="H2918" t="s">
        <v>11</v>
      </c>
      <c r="I2918" t="s">
        <v>202</v>
      </c>
      <c r="J2918" t="s">
        <v>157</v>
      </c>
    </row>
    <row r="2919" spans="1:10">
      <c r="A2919">
        <v>52918</v>
      </c>
      <c r="B2919">
        <v>31669</v>
      </c>
      <c r="C2919" t="s">
        <v>724</v>
      </c>
      <c r="D2919">
        <v>2256</v>
      </c>
      <c r="E2919">
        <v>1011</v>
      </c>
      <c r="F2919">
        <v>2</v>
      </c>
      <c r="G2919" t="s">
        <v>1487</v>
      </c>
      <c r="H2919" t="s">
        <v>9</v>
      </c>
      <c r="I2919" t="s">
        <v>717</v>
      </c>
      <c r="J2919" t="s">
        <v>824</v>
      </c>
    </row>
    <row r="2920" spans="1:10">
      <c r="A2920">
        <v>52919</v>
      </c>
      <c r="B2920">
        <v>31670</v>
      </c>
      <c r="C2920" t="s">
        <v>1188</v>
      </c>
      <c r="D2920">
        <v>2319</v>
      </c>
      <c r="E2920">
        <v>1004</v>
      </c>
      <c r="F2920">
        <v>1</v>
      </c>
      <c r="G2920" t="s">
        <v>1452</v>
      </c>
      <c r="H2920" t="s">
        <v>9</v>
      </c>
      <c r="I2920" t="s">
        <v>273</v>
      </c>
      <c r="J2920" t="s">
        <v>387</v>
      </c>
    </row>
    <row r="2921" spans="1:10">
      <c r="A2921">
        <v>52920</v>
      </c>
      <c r="B2921">
        <v>31671</v>
      </c>
      <c r="C2921" t="s">
        <v>66</v>
      </c>
      <c r="D2921">
        <v>2029</v>
      </c>
      <c r="E2921">
        <v>1001</v>
      </c>
      <c r="F2921">
        <v>1</v>
      </c>
      <c r="G2921" t="s">
        <v>1469</v>
      </c>
      <c r="H2921" t="s">
        <v>9</v>
      </c>
      <c r="I2921" t="s">
        <v>563</v>
      </c>
      <c r="J2921" t="s">
        <v>486</v>
      </c>
    </row>
    <row r="2922" spans="1:10">
      <c r="A2922">
        <v>52921</v>
      </c>
      <c r="B2922">
        <v>31671</v>
      </c>
      <c r="C2922" t="s">
        <v>1279</v>
      </c>
      <c r="D2922">
        <v>2029</v>
      </c>
      <c r="E2922">
        <v>1011</v>
      </c>
      <c r="F2922">
        <v>1</v>
      </c>
      <c r="G2922" t="s">
        <v>1472</v>
      </c>
      <c r="H2922" t="s">
        <v>9</v>
      </c>
      <c r="I2922" t="s">
        <v>74</v>
      </c>
      <c r="J2922" t="s">
        <v>483</v>
      </c>
    </row>
    <row r="2923" spans="1:10">
      <c r="A2923">
        <v>52922</v>
      </c>
      <c r="B2923">
        <v>31672</v>
      </c>
      <c r="C2923" t="s">
        <v>618</v>
      </c>
      <c r="D2923">
        <v>2257</v>
      </c>
      <c r="E2923">
        <v>1016</v>
      </c>
      <c r="F2923">
        <v>2</v>
      </c>
      <c r="G2923" t="s">
        <v>1500</v>
      </c>
      <c r="H2923" t="s">
        <v>9</v>
      </c>
      <c r="I2923" t="s">
        <v>990</v>
      </c>
      <c r="J2923" t="s">
        <v>835</v>
      </c>
    </row>
    <row r="2924" spans="1:10">
      <c r="A2924">
        <v>52923</v>
      </c>
      <c r="B2924">
        <v>31672</v>
      </c>
      <c r="C2924" t="s">
        <v>618</v>
      </c>
      <c r="D2924">
        <v>2257</v>
      </c>
      <c r="E2924">
        <v>1008</v>
      </c>
      <c r="F2924">
        <v>4</v>
      </c>
      <c r="G2924" t="s">
        <v>1503</v>
      </c>
      <c r="H2924" t="s">
        <v>9</v>
      </c>
      <c r="I2924" t="s">
        <v>1315</v>
      </c>
      <c r="J2924" t="s">
        <v>347</v>
      </c>
    </row>
    <row r="2925" spans="1:10">
      <c r="A2925">
        <v>52924</v>
      </c>
      <c r="B2925">
        <v>31673</v>
      </c>
      <c r="C2925" t="s">
        <v>1061</v>
      </c>
      <c r="D2925">
        <v>2349</v>
      </c>
      <c r="E2925">
        <v>1011</v>
      </c>
      <c r="F2925">
        <v>2</v>
      </c>
      <c r="G2925" t="s">
        <v>1487</v>
      </c>
      <c r="H2925" t="s">
        <v>16</v>
      </c>
      <c r="I2925" t="s">
        <v>1421</v>
      </c>
      <c r="J2925" t="s">
        <v>1421</v>
      </c>
    </row>
    <row r="2926" spans="1:10">
      <c r="A2926">
        <v>52925</v>
      </c>
      <c r="B2926">
        <v>31674</v>
      </c>
      <c r="C2926" t="s">
        <v>264</v>
      </c>
      <c r="D2926">
        <v>2243</v>
      </c>
      <c r="E2926">
        <v>1015</v>
      </c>
      <c r="F2926">
        <v>4</v>
      </c>
      <c r="G2926" t="s">
        <v>1521</v>
      </c>
      <c r="H2926" t="s">
        <v>11</v>
      </c>
      <c r="I2926" t="s">
        <v>983</v>
      </c>
      <c r="J2926" t="s">
        <v>632</v>
      </c>
    </row>
    <row r="2927" spans="1:10">
      <c r="A2927">
        <v>52926</v>
      </c>
      <c r="B2927">
        <v>31674</v>
      </c>
      <c r="C2927" t="s">
        <v>264</v>
      </c>
      <c r="D2927">
        <v>2243</v>
      </c>
      <c r="E2927">
        <v>1004</v>
      </c>
      <c r="F2927">
        <v>2</v>
      </c>
      <c r="G2927" t="s">
        <v>1476</v>
      </c>
      <c r="H2927" t="s">
        <v>11</v>
      </c>
      <c r="I2927" t="s">
        <v>51</v>
      </c>
      <c r="J2927" t="s">
        <v>778</v>
      </c>
    </row>
    <row r="2928" spans="1:10">
      <c r="A2928">
        <v>52927</v>
      </c>
      <c r="B2928">
        <v>31675</v>
      </c>
      <c r="C2928" t="s">
        <v>84</v>
      </c>
      <c r="D2928">
        <v>2458</v>
      </c>
      <c r="E2928">
        <v>1003</v>
      </c>
      <c r="F2928">
        <v>1</v>
      </c>
      <c r="G2928" t="s">
        <v>1471</v>
      </c>
      <c r="H2928" t="s">
        <v>9</v>
      </c>
      <c r="I2928" t="s">
        <v>846</v>
      </c>
      <c r="J2928" t="s">
        <v>1044</v>
      </c>
    </row>
    <row r="2929" spans="1:10">
      <c r="A2929">
        <v>52928</v>
      </c>
      <c r="B2929">
        <v>31676</v>
      </c>
      <c r="C2929" t="s">
        <v>290</v>
      </c>
      <c r="D2929">
        <v>2063</v>
      </c>
      <c r="E2929">
        <v>1013</v>
      </c>
      <c r="F2929">
        <v>3</v>
      </c>
      <c r="G2929" t="s">
        <v>1490</v>
      </c>
      <c r="H2929" t="s">
        <v>12</v>
      </c>
      <c r="I2929" t="s">
        <v>1421</v>
      </c>
      <c r="J2929" t="s">
        <v>1421</v>
      </c>
    </row>
    <row r="2930" spans="1:10">
      <c r="A2930">
        <v>52929</v>
      </c>
      <c r="B2930">
        <v>31677</v>
      </c>
      <c r="C2930" t="s">
        <v>1055</v>
      </c>
      <c r="D2930">
        <v>2321</v>
      </c>
      <c r="E2930">
        <v>1003</v>
      </c>
      <c r="F2930">
        <v>5</v>
      </c>
      <c r="G2930" t="s">
        <v>1506</v>
      </c>
      <c r="H2930" t="s">
        <v>12</v>
      </c>
      <c r="I2930" t="s">
        <v>1421</v>
      </c>
      <c r="J2930" t="s">
        <v>1421</v>
      </c>
    </row>
    <row r="2931" spans="1:10">
      <c r="A2931">
        <v>52930</v>
      </c>
      <c r="B2931">
        <v>31677</v>
      </c>
      <c r="C2931" t="s">
        <v>1058</v>
      </c>
      <c r="D2931">
        <v>2321</v>
      </c>
      <c r="E2931">
        <v>1005</v>
      </c>
      <c r="F2931">
        <v>3</v>
      </c>
      <c r="G2931" t="s">
        <v>1498</v>
      </c>
      <c r="H2931" t="s">
        <v>12</v>
      </c>
      <c r="I2931" t="s">
        <v>1421</v>
      </c>
      <c r="J2931" t="s">
        <v>1421</v>
      </c>
    </row>
    <row r="2932" spans="1:10">
      <c r="A2932">
        <v>52931</v>
      </c>
      <c r="B2932">
        <v>31677</v>
      </c>
      <c r="C2932" t="s">
        <v>893</v>
      </c>
      <c r="D2932">
        <v>2321</v>
      </c>
      <c r="E2932">
        <v>1002</v>
      </c>
      <c r="F2932">
        <v>1</v>
      </c>
      <c r="G2932" t="s">
        <v>1466</v>
      </c>
      <c r="H2932" t="s">
        <v>12</v>
      </c>
      <c r="I2932" t="s">
        <v>1421</v>
      </c>
      <c r="J2932" t="s">
        <v>1421</v>
      </c>
    </row>
    <row r="2933" spans="1:10">
      <c r="A2933">
        <v>52932</v>
      </c>
      <c r="B2933">
        <v>31678</v>
      </c>
      <c r="C2933" t="s">
        <v>120</v>
      </c>
      <c r="D2933">
        <v>2453</v>
      </c>
      <c r="E2933">
        <v>1014</v>
      </c>
      <c r="F2933">
        <v>2</v>
      </c>
      <c r="G2933" t="s">
        <v>1475</v>
      </c>
      <c r="H2933" t="s">
        <v>9</v>
      </c>
      <c r="I2933" t="s">
        <v>121</v>
      </c>
      <c r="J2933" t="s">
        <v>894</v>
      </c>
    </row>
    <row r="2934" spans="1:10">
      <c r="A2934">
        <v>52933</v>
      </c>
      <c r="B2934">
        <v>31679</v>
      </c>
      <c r="C2934" t="s">
        <v>589</v>
      </c>
      <c r="D2934">
        <v>2068</v>
      </c>
      <c r="E2934">
        <v>1002</v>
      </c>
      <c r="F2934">
        <v>1</v>
      </c>
      <c r="G2934" t="s">
        <v>1466</v>
      </c>
      <c r="H2934" t="s">
        <v>9</v>
      </c>
      <c r="I2934" t="s">
        <v>587</v>
      </c>
      <c r="J2934" t="s">
        <v>856</v>
      </c>
    </row>
    <row r="2935" spans="1:10">
      <c r="A2935">
        <v>52934</v>
      </c>
      <c r="B2935">
        <v>31679</v>
      </c>
      <c r="C2935" t="s">
        <v>589</v>
      </c>
      <c r="D2935">
        <v>2068</v>
      </c>
      <c r="E2935">
        <v>1002</v>
      </c>
      <c r="F2935">
        <v>1</v>
      </c>
      <c r="G2935" t="s">
        <v>1466</v>
      </c>
      <c r="H2935" t="s">
        <v>9</v>
      </c>
      <c r="I2935" t="s">
        <v>236</v>
      </c>
      <c r="J2935" t="s">
        <v>1238</v>
      </c>
    </row>
    <row r="2936" spans="1:10">
      <c r="A2936">
        <v>52935</v>
      </c>
      <c r="B2936">
        <v>31679</v>
      </c>
      <c r="C2936" t="s">
        <v>1318</v>
      </c>
      <c r="D2936">
        <v>2068</v>
      </c>
      <c r="E2936">
        <v>1010</v>
      </c>
      <c r="F2936">
        <v>1</v>
      </c>
      <c r="G2936" t="s">
        <v>1468</v>
      </c>
      <c r="H2936" t="s">
        <v>68</v>
      </c>
      <c r="I2936" t="s">
        <v>587</v>
      </c>
      <c r="J2936" t="s">
        <v>261</v>
      </c>
    </row>
    <row r="2937" spans="1:10">
      <c r="A2937">
        <v>52936</v>
      </c>
      <c r="B2937">
        <v>31680</v>
      </c>
      <c r="C2937" t="s">
        <v>853</v>
      </c>
      <c r="D2937">
        <v>2391</v>
      </c>
      <c r="E2937">
        <v>1014</v>
      </c>
      <c r="F2937">
        <v>1</v>
      </c>
      <c r="G2937" t="s">
        <v>1463</v>
      </c>
      <c r="H2937" t="s">
        <v>9</v>
      </c>
      <c r="I2937" t="s">
        <v>1344</v>
      </c>
      <c r="J2937" t="s">
        <v>71</v>
      </c>
    </row>
    <row r="2938" spans="1:10">
      <c r="A2938">
        <v>52937</v>
      </c>
      <c r="B2938">
        <v>31681</v>
      </c>
      <c r="C2938" t="s">
        <v>850</v>
      </c>
      <c r="D2938">
        <v>2239</v>
      </c>
      <c r="E2938">
        <v>1001</v>
      </c>
      <c r="F2938">
        <v>2</v>
      </c>
      <c r="G2938" t="s">
        <v>1460</v>
      </c>
      <c r="H2938" t="s">
        <v>1531</v>
      </c>
      <c r="I2938" t="s">
        <v>1421</v>
      </c>
      <c r="J2938" t="s">
        <v>1421</v>
      </c>
    </row>
    <row r="2939" spans="1:10">
      <c r="A2939">
        <v>52938</v>
      </c>
      <c r="B2939">
        <v>31682</v>
      </c>
      <c r="C2939" t="s">
        <v>186</v>
      </c>
      <c r="D2939">
        <v>2465</v>
      </c>
      <c r="E2939">
        <v>1014</v>
      </c>
      <c r="F2939">
        <v>1</v>
      </c>
      <c r="G2939" t="s">
        <v>1463</v>
      </c>
      <c r="H2939" t="s">
        <v>9</v>
      </c>
      <c r="I2939" t="s">
        <v>718</v>
      </c>
      <c r="J2939" t="s">
        <v>657</v>
      </c>
    </row>
    <row r="2940" spans="1:10">
      <c r="A2940">
        <v>52939</v>
      </c>
      <c r="B2940">
        <v>31683</v>
      </c>
      <c r="C2940" t="s">
        <v>853</v>
      </c>
      <c r="D2940">
        <v>2104</v>
      </c>
      <c r="E2940">
        <v>1001</v>
      </c>
      <c r="F2940">
        <v>1</v>
      </c>
      <c r="G2940" t="s">
        <v>1469</v>
      </c>
      <c r="H2940" t="s">
        <v>9</v>
      </c>
      <c r="I2940" t="s">
        <v>1340</v>
      </c>
      <c r="J2940" t="s">
        <v>446</v>
      </c>
    </row>
    <row r="2941" spans="1:10">
      <c r="A2941">
        <v>52940</v>
      </c>
      <c r="B2941">
        <v>31683</v>
      </c>
      <c r="C2941" t="s">
        <v>141</v>
      </c>
      <c r="D2941">
        <v>2104</v>
      </c>
      <c r="E2941">
        <v>1015</v>
      </c>
      <c r="F2941">
        <v>2</v>
      </c>
      <c r="G2941" t="s">
        <v>1488</v>
      </c>
      <c r="H2941" t="s">
        <v>9</v>
      </c>
      <c r="I2941" t="s">
        <v>831</v>
      </c>
      <c r="J2941" t="s">
        <v>446</v>
      </c>
    </row>
    <row r="2942" spans="1:10">
      <c r="A2942">
        <v>52941</v>
      </c>
      <c r="B2942">
        <v>31684</v>
      </c>
      <c r="C2942" t="s">
        <v>1097</v>
      </c>
      <c r="D2942">
        <v>2530</v>
      </c>
      <c r="E2942">
        <v>1007</v>
      </c>
      <c r="F2942">
        <v>4</v>
      </c>
      <c r="G2942" t="s">
        <v>1504</v>
      </c>
      <c r="H2942" t="s">
        <v>9</v>
      </c>
      <c r="I2942" t="s">
        <v>424</v>
      </c>
      <c r="J2942" t="s">
        <v>544</v>
      </c>
    </row>
    <row r="2943" spans="1:10">
      <c r="A2943">
        <v>52942</v>
      </c>
      <c r="B2943">
        <v>31685</v>
      </c>
      <c r="C2943" t="s">
        <v>576</v>
      </c>
      <c r="D2943">
        <v>2111</v>
      </c>
      <c r="E2943">
        <v>1003</v>
      </c>
      <c r="F2943">
        <v>3</v>
      </c>
      <c r="G2943" t="s">
        <v>1507</v>
      </c>
      <c r="H2943" t="s">
        <v>9</v>
      </c>
      <c r="I2943" t="s">
        <v>1347</v>
      </c>
      <c r="J2943" t="s">
        <v>470</v>
      </c>
    </row>
    <row r="2944" spans="1:10">
      <c r="A2944">
        <v>52943</v>
      </c>
      <c r="B2944">
        <v>31686</v>
      </c>
      <c r="C2944" t="s">
        <v>928</v>
      </c>
      <c r="D2944">
        <v>2199</v>
      </c>
      <c r="E2944">
        <v>1005</v>
      </c>
      <c r="F2944">
        <v>1</v>
      </c>
      <c r="G2944" t="s">
        <v>1456</v>
      </c>
      <c r="H2944" t="s">
        <v>12</v>
      </c>
      <c r="I2944" t="s">
        <v>1421</v>
      </c>
      <c r="J2944" t="s">
        <v>1421</v>
      </c>
    </row>
    <row r="2945" spans="1:10">
      <c r="A2945">
        <v>52944</v>
      </c>
      <c r="B2945">
        <v>31686</v>
      </c>
      <c r="C2945" t="s">
        <v>928</v>
      </c>
      <c r="D2945">
        <v>2199</v>
      </c>
      <c r="E2945">
        <v>1009</v>
      </c>
      <c r="F2945">
        <v>3</v>
      </c>
      <c r="G2945" t="s">
        <v>1461</v>
      </c>
      <c r="H2945" t="s">
        <v>12</v>
      </c>
      <c r="I2945" t="s">
        <v>1421</v>
      </c>
      <c r="J2945" t="s">
        <v>1421</v>
      </c>
    </row>
    <row r="2946" spans="1:10">
      <c r="A2946">
        <v>52945</v>
      </c>
      <c r="B2946">
        <v>31686</v>
      </c>
      <c r="C2946" t="s">
        <v>627</v>
      </c>
      <c r="D2946">
        <v>2199</v>
      </c>
      <c r="E2946">
        <v>1012</v>
      </c>
      <c r="F2946">
        <v>2</v>
      </c>
      <c r="G2946" t="s">
        <v>1450</v>
      </c>
      <c r="H2946" t="s">
        <v>12</v>
      </c>
      <c r="I2946" t="s">
        <v>1421</v>
      </c>
      <c r="J2946" t="s">
        <v>1421</v>
      </c>
    </row>
    <row r="2947" spans="1:10">
      <c r="A2947">
        <v>52946</v>
      </c>
      <c r="B2947">
        <v>31687</v>
      </c>
      <c r="C2947" t="s">
        <v>46</v>
      </c>
      <c r="D2947">
        <v>2432</v>
      </c>
      <c r="E2947">
        <v>1015</v>
      </c>
      <c r="F2947">
        <v>1</v>
      </c>
      <c r="G2947" t="s">
        <v>1478</v>
      </c>
      <c r="H2947" t="s">
        <v>9</v>
      </c>
      <c r="I2947" t="s">
        <v>481</v>
      </c>
      <c r="J2947" t="s">
        <v>129</v>
      </c>
    </row>
    <row r="2948" spans="1:10">
      <c r="A2948">
        <v>52947</v>
      </c>
      <c r="B2948">
        <v>31688</v>
      </c>
      <c r="C2948" t="s">
        <v>92</v>
      </c>
      <c r="D2948">
        <v>2191</v>
      </c>
      <c r="E2948">
        <v>1002</v>
      </c>
      <c r="F2948">
        <v>1</v>
      </c>
      <c r="G2948" t="s">
        <v>1466</v>
      </c>
      <c r="H2948" t="s">
        <v>1457</v>
      </c>
      <c r="I2948" t="s">
        <v>342</v>
      </c>
      <c r="J2948" t="s">
        <v>1209</v>
      </c>
    </row>
    <row r="2949" spans="1:10">
      <c r="A2949">
        <v>52948</v>
      </c>
      <c r="B2949">
        <v>31689</v>
      </c>
      <c r="C2949" t="s">
        <v>1313</v>
      </c>
      <c r="D2949">
        <v>2062</v>
      </c>
      <c r="E2949">
        <v>1014</v>
      </c>
      <c r="F2949">
        <v>1</v>
      </c>
      <c r="G2949" t="s">
        <v>1463</v>
      </c>
      <c r="H2949" t="s">
        <v>9</v>
      </c>
      <c r="I2949" t="s">
        <v>985</v>
      </c>
      <c r="J2949" t="s">
        <v>615</v>
      </c>
    </row>
    <row r="2950" spans="1:10">
      <c r="A2950">
        <v>52949</v>
      </c>
      <c r="B2950">
        <v>31689</v>
      </c>
      <c r="C2950" t="s">
        <v>358</v>
      </c>
      <c r="D2950">
        <v>2062</v>
      </c>
      <c r="E2950">
        <v>1012</v>
      </c>
      <c r="F2950">
        <v>1</v>
      </c>
      <c r="G2950" t="s">
        <v>1449</v>
      </c>
      <c r="H2950" t="s">
        <v>9</v>
      </c>
      <c r="I2950" t="s">
        <v>515</v>
      </c>
      <c r="J2950" t="s">
        <v>750</v>
      </c>
    </row>
    <row r="2951" spans="1:10">
      <c r="A2951">
        <v>52950</v>
      </c>
      <c r="B2951">
        <v>31690</v>
      </c>
      <c r="C2951" t="s">
        <v>629</v>
      </c>
      <c r="D2951">
        <v>2319</v>
      </c>
      <c r="E2951">
        <v>1005</v>
      </c>
      <c r="F2951">
        <v>2</v>
      </c>
      <c r="G2951" t="s">
        <v>1458</v>
      </c>
      <c r="H2951" t="s">
        <v>9</v>
      </c>
      <c r="I2951" t="s">
        <v>1000</v>
      </c>
      <c r="J2951" t="s">
        <v>1176</v>
      </c>
    </row>
    <row r="2952" spans="1:10">
      <c r="A2952">
        <v>52951</v>
      </c>
      <c r="B2952">
        <v>31691</v>
      </c>
      <c r="C2952" t="s">
        <v>476</v>
      </c>
      <c r="D2952">
        <v>2151</v>
      </c>
      <c r="E2952">
        <v>1011</v>
      </c>
      <c r="F2952">
        <v>1</v>
      </c>
      <c r="G2952" t="s">
        <v>1472</v>
      </c>
      <c r="H2952" t="s">
        <v>9</v>
      </c>
      <c r="I2952" t="s">
        <v>291</v>
      </c>
      <c r="J2952" t="s">
        <v>319</v>
      </c>
    </row>
    <row r="2953" spans="1:10">
      <c r="A2953">
        <v>52952</v>
      </c>
      <c r="B2953">
        <v>31691</v>
      </c>
      <c r="C2953" t="s">
        <v>801</v>
      </c>
      <c r="D2953">
        <v>2151</v>
      </c>
      <c r="E2953">
        <v>1010</v>
      </c>
      <c r="F2953">
        <v>3</v>
      </c>
      <c r="G2953" t="s">
        <v>1514</v>
      </c>
      <c r="H2953" t="s">
        <v>9</v>
      </c>
      <c r="I2953" t="s">
        <v>1031</v>
      </c>
      <c r="J2953" t="s">
        <v>572</v>
      </c>
    </row>
    <row r="2954" spans="1:10">
      <c r="A2954">
        <v>52953</v>
      </c>
      <c r="B2954">
        <v>31692</v>
      </c>
      <c r="C2954" t="s">
        <v>422</v>
      </c>
      <c r="D2954">
        <v>2378</v>
      </c>
      <c r="E2954">
        <v>1005</v>
      </c>
      <c r="F2954">
        <v>1</v>
      </c>
      <c r="G2954" t="s">
        <v>1456</v>
      </c>
      <c r="H2954" t="s">
        <v>11</v>
      </c>
      <c r="I2954" t="s">
        <v>971</v>
      </c>
      <c r="J2954" t="s">
        <v>559</v>
      </c>
    </row>
    <row r="2955" spans="1:10">
      <c r="A2955">
        <v>52954</v>
      </c>
      <c r="B2955">
        <v>31692</v>
      </c>
      <c r="C2955" t="s">
        <v>427</v>
      </c>
      <c r="D2955">
        <v>2378</v>
      </c>
      <c r="E2955">
        <v>1002</v>
      </c>
      <c r="F2955">
        <v>3</v>
      </c>
      <c r="G2955" t="s">
        <v>1508</v>
      </c>
      <c r="H2955" t="s">
        <v>11</v>
      </c>
      <c r="I2955" t="s">
        <v>544</v>
      </c>
      <c r="J2955" t="s">
        <v>1016</v>
      </c>
    </row>
    <row r="2956" spans="1:10">
      <c r="A2956">
        <v>52955</v>
      </c>
      <c r="B2956">
        <v>31692</v>
      </c>
      <c r="C2956" t="s">
        <v>872</v>
      </c>
      <c r="D2956">
        <v>2378</v>
      </c>
      <c r="E2956">
        <v>1008</v>
      </c>
      <c r="F2956">
        <v>4</v>
      </c>
      <c r="G2956" t="s">
        <v>1503</v>
      </c>
      <c r="H2956" t="s">
        <v>11</v>
      </c>
      <c r="I2956" t="s">
        <v>973</v>
      </c>
      <c r="J2956" t="s">
        <v>78</v>
      </c>
    </row>
    <row r="2957" spans="1:10">
      <c r="A2957">
        <v>52956</v>
      </c>
      <c r="B2957">
        <v>31693</v>
      </c>
      <c r="C2957" t="s">
        <v>400</v>
      </c>
      <c r="D2957">
        <v>2520</v>
      </c>
      <c r="E2957">
        <v>1002</v>
      </c>
      <c r="F2957">
        <v>4</v>
      </c>
      <c r="G2957" t="s">
        <v>1451</v>
      </c>
      <c r="H2957" t="s">
        <v>16</v>
      </c>
      <c r="I2957" t="s">
        <v>1421</v>
      </c>
      <c r="J2957" t="s">
        <v>1421</v>
      </c>
    </row>
    <row r="2958" spans="1:10">
      <c r="A2958">
        <v>52957</v>
      </c>
      <c r="B2958">
        <v>31694</v>
      </c>
      <c r="C2958" t="s">
        <v>150</v>
      </c>
      <c r="D2958">
        <v>2201</v>
      </c>
      <c r="E2958">
        <v>1007</v>
      </c>
      <c r="F2958">
        <v>3</v>
      </c>
      <c r="G2958" t="s">
        <v>1446</v>
      </c>
      <c r="H2958" t="s">
        <v>11</v>
      </c>
      <c r="I2958" t="s">
        <v>1231</v>
      </c>
      <c r="J2958" t="s">
        <v>969</v>
      </c>
    </row>
    <row r="2959" spans="1:10">
      <c r="A2959">
        <v>52958</v>
      </c>
      <c r="B2959">
        <v>31694</v>
      </c>
      <c r="C2959" t="s">
        <v>244</v>
      </c>
      <c r="D2959">
        <v>2201</v>
      </c>
      <c r="E2959">
        <v>1003</v>
      </c>
      <c r="F2959">
        <v>4</v>
      </c>
      <c r="G2959" t="s">
        <v>1519</v>
      </c>
      <c r="H2959" t="s">
        <v>11</v>
      </c>
      <c r="I2959" t="s">
        <v>930</v>
      </c>
      <c r="J2959" t="s">
        <v>969</v>
      </c>
    </row>
    <row r="2960" spans="1:10">
      <c r="A2960">
        <v>52959</v>
      </c>
      <c r="B2960">
        <v>31695</v>
      </c>
      <c r="C2960" t="s">
        <v>311</v>
      </c>
      <c r="D2960">
        <v>2350</v>
      </c>
      <c r="E2960">
        <v>1016</v>
      </c>
      <c r="F2960">
        <v>1</v>
      </c>
      <c r="G2960" t="s">
        <v>1465</v>
      </c>
      <c r="H2960" t="s">
        <v>9</v>
      </c>
      <c r="I2960" t="s">
        <v>542</v>
      </c>
      <c r="J2960" t="s">
        <v>285</v>
      </c>
    </row>
    <row r="2961" spans="1:10">
      <c r="A2961">
        <v>52960</v>
      </c>
      <c r="B2961">
        <v>31695</v>
      </c>
      <c r="C2961" t="s">
        <v>500</v>
      </c>
      <c r="D2961">
        <v>2350</v>
      </c>
      <c r="E2961">
        <v>1015</v>
      </c>
      <c r="F2961">
        <v>1</v>
      </c>
      <c r="G2961" t="s">
        <v>1478</v>
      </c>
      <c r="H2961" t="s">
        <v>9</v>
      </c>
      <c r="I2961" t="s">
        <v>518</v>
      </c>
      <c r="J2961" t="s">
        <v>510</v>
      </c>
    </row>
    <row r="2962" spans="1:10">
      <c r="A2962">
        <v>52961</v>
      </c>
      <c r="B2962">
        <v>31695</v>
      </c>
      <c r="C2962" t="s">
        <v>279</v>
      </c>
      <c r="D2962">
        <v>2350</v>
      </c>
      <c r="E2962">
        <v>1011</v>
      </c>
      <c r="F2962">
        <v>1</v>
      </c>
      <c r="G2962" t="s">
        <v>1472</v>
      </c>
      <c r="H2962" t="s">
        <v>9</v>
      </c>
      <c r="I2962" t="s">
        <v>539</v>
      </c>
      <c r="J2962" t="s">
        <v>746</v>
      </c>
    </row>
    <row r="2963" spans="1:10">
      <c r="A2963">
        <v>52962</v>
      </c>
      <c r="B2963">
        <v>31696</v>
      </c>
      <c r="C2963" t="s">
        <v>190</v>
      </c>
      <c r="D2963">
        <v>2593</v>
      </c>
      <c r="E2963">
        <v>1011</v>
      </c>
      <c r="F2963">
        <v>1</v>
      </c>
      <c r="G2963" t="s">
        <v>1472</v>
      </c>
      <c r="H2963" t="s">
        <v>9</v>
      </c>
      <c r="I2963" t="s">
        <v>1090</v>
      </c>
      <c r="J2963" t="s">
        <v>1351</v>
      </c>
    </row>
    <row r="2964" spans="1:10">
      <c r="A2964">
        <v>52963</v>
      </c>
      <c r="B2964">
        <v>31696</v>
      </c>
      <c r="C2964" t="s">
        <v>1291</v>
      </c>
      <c r="D2964">
        <v>2593</v>
      </c>
      <c r="E2964">
        <v>1010</v>
      </c>
      <c r="F2964">
        <v>2</v>
      </c>
      <c r="G2964" t="s">
        <v>1483</v>
      </c>
      <c r="H2964" t="s">
        <v>9</v>
      </c>
      <c r="I2964" t="s">
        <v>144</v>
      </c>
      <c r="J2964" t="s">
        <v>351</v>
      </c>
    </row>
    <row r="2965" spans="1:10">
      <c r="A2965">
        <v>52964</v>
      </c>
      <c r="B2965">
        <v>31696</v>
      </c>
      <c r="C2965" t="s">
        <v>509</v>
      </c>
      <c r="D2965">
        <v>2593</v>
      </c>
      <c r="E2965">
        <v>1014</v>
      </c>
      <c r="F2965">
        <v>1</v>
      </c>
      <c r="G2965" t="s">
        <v>1463</v>
      </c>
      <c r="H2965" t="s">
        <v>9</v>
      </c>
      <c r="I2965" t="s">
        <v>1274</v>
      </c>
      <c r="J2965" t="s">
        <v>1101</v>
      </c>
    </row>
    <row r="2966" spans="1:10">
      <c r="A2966">
        <v>52965</v>
      </c>
      <c r="B2966">
        <v>31697</v>
      </c>
      <c r="C2966" t="s">
        <v>629</v>
      </c>
      <c r="D2966">
        <v>2337</v>
      </c>
      <c r="E2966">
        <v>1015</v>
      </c>
      <c r="F2966">
        <v>2</v>
      </c>
      <c r="G2966" t="s">
        <v>1488</v>
      </c>
      <c r="H2966" t="s">
        <v>9</v>
      </c>
      <c r="I2966" t="s">
        <v>1000</v>
      </c>
      <c r="J2966" t="s">
        <v>469</v>
      </c>
    </row>
    <row r="2967" spans="1:10">
      <c r="A2967">
        <v>52966</v>
      </c>
      <c r="B2967">
        <v>31697</v>
      </c>
      <c r="C2967" t="s">
        <v>632</v>
      </c>
      <c r="D2967">
        <v>2337</v>
      </c>
      <c r="E2967">
        <v>1002</v>
      </c>
      <c r="F2967">
        <v>2</v>
      </c>
      <c r="G2967" t="s">
        <v>1482</v>
      </c>
      <c r="H2967" t="s">
        <v>9</v>
      </c>
      <c r="I2967" t="s">
        <v>792</v>
      </c>
      <c r="J2967" t="s">
        <v>846</v>
      </c>
    </row>
    <row r="2968" spans="1:10">
      <c r="A2968">
        <v>52967</v>
      </c>
      <c r="B2968">
        <v>31697</v>
      </c>
      <c r="C2968" t="s">
        <v>629</v>
      </c>
      <c r="D2968">
        <v>2337</v>
      </c>
      <c r="E2968">
        <v>1016</v>
      </c>
      <c r="F2968">
        <v>1</v>
      </c>
      <c r="G2968" t="s">
        <v>1465</v>
      </c>
      <c r="H2968" t="s">
        <v>9</v>
      </c>
      <c r="I2968" t="s">
        <v>1000</v>
      </c>
      <c r="J2968" t="s">
        <v>220</v>
      </c>
    </row>
    <row r="2969" spans="1:10">
      <c r="A2969">
        <v>52968</v>
      </c>
      <c r="B2969">
        <v>31698</v>
      </c>
      <c r="C2969" t="s">
        <v>976</v>
      </c>
      <c r="D2969">
        <v>2225</v>
      </c>
      <c r="E2969">
        <v>1008</v>
      </c>
      <c r="F2969">
        <v>2</v>
      </c>
      <c r="G2969" t="s">
        <v>1520</v>
      </c>
      <c r="H2969" t="s">
        <v>12</v>
      </c>
      <c r="I2969" t="s">
        <v>1421</v>
      </c>
      <c r="J2969" t="s">
        <v>1421</v>
      </c>
    </row>
    <row r="2970" spans="1:10">
      <c r="A2970">
        <v>52969</v>
      </c>
      <c r="B2970">
        <v>31698</v>
      </c>
      <c r="C2970" t="s">
        <v>967</v>
      </c>
      <c r="D2970">
        <v>2225</v>
      </c>
      <c r="E2970">
        <v>1008</v>
      </c>
      <c r="F2970">
        <v>1</v>
      </c>
      <c r="G2970" t="s">
        <v>1447</v>
      </c>
      <c r="H2970" t="s">
        <v>12</v>
      </c>
      <c r="I2970" t="s">
        <v>1421</v>
      </c>
      <c r="J2970" t="s">
        <v>1421</v>
      </c>
    </row>
    <row r="2971" spans="1:10">
      <c r="A2971">
        <v>52970</v>
      </c>
      <c r="B2971">
        <v>31699</v>
      </c>
      <c r="C2971" t="s">
        <v>447</v>
      </c>
      <c r="D2971">
        <v>2478</v>
      </c>
      <c r="E2971">
        <v>1008</v>
      </c>
      <c r="F2971">
        <v>1</v>
      </c>
      <c r="G2971" t="s">
        <v>1447</v>
      </c>
      <c r="H2971" t="s">
        <v>9</v>
      </c>
      <c r="I2971" t="s">
        <v>71</v>
      </c>
      <c r="J2971" t="s">
        <v>315</v>
      </c>
    </row>
    <row r="2972" spans="1:10">
      <c r="A2972">
        <v>52971</v>
      </c>
      <c r="B2972">
        <v>31699</v>
      </c>
      <c r="C2972" t="s">
        <v>447</v>
      </c>
      <c r="D2972">
        <v>2478</v>
      </c>
      <c r="E2972">
        <v>1016</v>
      </c>
      <c r="F2972">
        <v>4</v>
      </c>
      <c r="G2972" t="s">
        <v>1522</v>
      </c>
      <c r="H2972" t="s">
        <v>9</v>
      </c>
      <c r="I2972" t="s">
        <v>890</v>
      </c>
      <c r="J2972" t="s">
        <v>551</v>
      </c>
    </row>
    <row r="2973" spans="1:10">
      <c r="A2973">
        <v>52972</v>
      </c>
      <c r="B2973">
        <v>31700</v>
      </c>
      <c r="C2973" t="s">
        <v>246</v>
      </c>
      <c r="D2973">
        <v>2340</v>
      </c>
      <c r="E2973">
        <v>1013</v>
      </c>
      <c r="F2973">
        <v>1</v>
      </c>
      <c r="G2973" t="s">
        <v>1474</v>
      </c>
      <c r="H2973" t="s">
        <v>16</v>
      </c>
      <c r="I2973" t="s">
        <v>1234</v>
      </c>
      <c r="J2973" t="s">
        <v>1421</v>
      </c>
    </row>
    <row r="2974" spans="1:10">
      <c r="A2974">
        <v>52973</v>
      </c>
      <c r="B2974">
        <v>31701</v>
      </c>
      <c r="C2974" t="s">
        <v>1227</v>
      </c>
      <c r="D2974">
        <v>2189</v>
      </c>
      <c r="E2974">
        <v>1001</v>
      </c>
      <c r="F2974">
        <v>2</v>
      </c>
      <c r="G2974" t="s">
        <v>1460</v>
      </c>
      <c r="H2974" t="s">
        <v>16</v>
      </c>
      <c r="I2974" t="s">
        <v>1421</v>
      </c>
      <c r="J2974" t="s">
        <v>1421</v>
      </c>
    </row>
    <row r="2975" spans="1:10">
      <c r="A2975">
        <v>52974</v>
      </c>
      <c r="B2975">
        <v>31701</v>
      </c>
      <c r="C2975" t="s">
        <v>1285</v>
      </c>
      <c r="D2975">
        <v>2189</v>
      </c>
      <c r="E2975">
        <v>1003</v>
      </c>
      <c r="F2975">
        <v>2</v>
      </c>
      <c r="G2975" t="s">
        <v>1464</v>
      </c>
      <c r="H2975" t="s">
        <v>16</v>
      </c>
      <c r="I2975" t="s">
        <v>1421</v>
      </c>
      <c r="J2975" t="s">
        <v>1421</v>
      </c>
    </row>
    <row r="2976" spans="1:10">
      <c r="A2976">
        <v>52975</v>
      </c>
      <c r="B2976">
        <v>31701</v>
      </c>
      <c r="C2976" t="s">
        <v>117</v>
      </c>
      <c r="D2976">
        <v>2189</v>
      </c>
      <c r="E2976">
        <v>1004</v>
      </c>
      <c r="F2976">
        <v>1</v>
      </c>
      <c r="G2976" t="s">
        <v>1452</v>
      </c>
      <c r="H2976" t="s">
        <v>16</v>
      </c>
      <c r="I2976" t="s">
        <v>1353</v>
      </c>
      <c r="J2976" t="s">
        <v>1421</v>
      </c>
    </row>
    <row r="2977" spans="1:10">
      <c r="A2977">
        <v>52976</v>
      </c>
      <c r="B2977">
        <v>31701</v>
      </c>
      <c r="C2977" t="s">
        <v>1285</v>
      </c>
      <c r="D2977">
        <v>2189</v>
      </c>
      <c r="E2977">
        <v>1015</v>
      </c>
      <c r="F2977">
        <v>1</v>
      </c>
      <c r="G2977" t="s">
        <v>1478</v>
      </c>
      <c r="H2977" t="s">
        <v>36</v>
      </c>
      <c r="I2977" t="s">
        <v>158</v>
      </c>
      <c r="J2977" t="s">
        <v>1421</v>
      </c>
    </row>
    <row r="2978" spans="1:10">
      <c r="A2978">
        <v>52977</v>
      </c>
      <c r="B2978">
        <v>31702</v>
      </c>
      <c r="C2978" t="s">
        <v>1136</v>
      </c>
      <c r="D2978">
        <v>2600</v>
      </c>
      <c r="E2978">
        <v>1012</v>
      </c>
      <c r="F2978">
        <v>3</v>
      </c>
      <c r="G2978" t="s">
        <v>1448</v>
      </c>
      <c r="H2978" t="s">
        <v>12</v>
      </c>
      <c r="I2978" t="s">
        <v>1421</v>
      </c>
      <c r="J2978" t="s">
        <v>1421</v>
      </c>
    </row>
    <row r="2979" spans="1:10">
      <c r="A2979">
        <v>52978</v>
      </c>
      <c r="B2979">
        <v>31703</v>
      </c>
      <c r="C2979" t="s">
        <v>368</v>
      </c>
      <c r="D2979">
        <v>2045</v>
      </c>
      <c r="E2979">
        <v>1007</v>
      </c>
      <c r="F2979">
        <v>1</v>
      </c>
      <c r="G2979" t="s">
        <v>1453</v>
      </c>
      <c r="H2979" t="s">
        <v>11</v>
      </c>
      <c r="I2979" t="s">
        <v>357</v>
      </c>
      <c r="J2979" t="s">
        <v>136</v>
      </c>
    </row>
    <row r="2980" spans="1:10">
      <c r="A2980">
        <v>52979</v>
      </c>
      <c r="B2980">
        <v>31704</v>
      </c>
      <c r="C2980" t="s">
        <v>633</v>
      </c>
      <c r="D2980">
        <v>2203</v>
      </c>
      <c r="E2980">
        <v>1008</v>
      </c>
      <c r="F2980">
        <v>1</v>
      </c>
      <c r="G2980" t="s">
        <v>1447</v>
      </c>
      <c r="H2980" t="s">
        <v>9</v>
      </c>
      <c r="I2980" t="s">
        <v>1208</v>
      </c>
      <c r="J2980" t="s">
        <v>956</v>
      </c>
    </row>
    <row r="2981" spans="1:10">
      <c r="A2981">
        <v>52980</v>
      </c>
      <c r="B2981">
        <v>31705</v>
      </c>
      <c r="C2981" t="s">
        <v>810</v>
      </c>
      <c r="D2981">
        <v>2269</v>
      </c>
      <c r="E2981">
        <v>1011</v>
      </c>
      <c r="F2981">
        <v>1</v>
      </c>
      <c r="G2981" t="s">
        <v>1472</v>
      </c>
      <c r="H2981" t="s">
        <v>9</v>
      </c>
      <c r="I2981" t="s">
        <v>901</v>
      </c>
      <c r="J2981" t="s">
        <v>158</v>
      </c>
    </row>
    <row r="2982" spans="1:10">
      <c r="A2982">
        <v>52981</v>
      </c>
      <c r="B2982">
        <v>31705</v>
      </c>
      <c r="C2982" t="s">
        <v>810</v>
      </c>
      <c r="D2982">
        <v>2269</v>
      </c>
      <c r="E2982">
        <v>1008</v>
      </c>
      <c r="F2982">
        <v>4</v>
      </c>
      <c r="G2982" t="s">
        <v>1503</v>
      </c>
      <c r="H2982" t="s">
        <v>9</v>
      </c>
      <c r="I2982" t="s">
        <v>1258</v>
      </c>
      <c r="J2982" t="s">
        <v>1186</v>
      </c>
    </row>
    <row r="2983" spans="1:10">
      <c r="A2983">
        <v>52982</v>
      </c>
      <c r="B2983">
        <v>31705</v>
      </c>
      <c r="C2983" t="s">
        <v>226</v>
      </c>
      <c r="D2983">
        <v>2269</v>
      </c>
      <c r="E2983">
        <v>1006</v>
      </c>
      <c r="F2983">
        <v>2</v>
      </c>
      <c r="G2983" t="s">
        <v>1501</v>
      </c>
      <c r="H2983" t="s">
        <v>9</v>
      </c>
      <c r="I2983" t="s">
        <v>708</v>
      </c>
      <c r="J2983" t="s">
        <v>1298</v>
      </c>
    </row>
    <row r="2984" spans="1:10">
      <c r="A2984">
        <v>52983</v>
      </c>
      <c r="B2984">
        <v>31706</v>
      </c>
      <c r="C2984" t="s">
        <v>148</v>
      </c>
      <c r="D2984">
        <v>2201</v>
      </c>
      <c r="E2984">
        <v>1009</v>
      </c>
      <c r="F2984">
        <v>3</v>
      </c>
      <c r="G2984" t="s">
        <v>1461</v>
      </c>
      <c r="H2984" t="s">
        <v>9</v>
      </c>
      <c r="I2984" t="s">
        <v>1154</v>
      </c>
      <c r="J2984" t="s">
        <v>1347</v>
      </c>
    </row>
    <row r="2985" spans="1:10">
      <c r="A2985">
        <v>52984</v>
      </c>
      <c r="B2985">
        <v>31706</v>
      </c>
      <c r="C2985" t="s">
        <v>589</v>
      </c>
      <c r="D2985">
        <v>2201</v>
      </c>
      <c r="E2985">
        <v>1004</v>
      </c>
      <c r="F2985">
        <v>4</v>
      </c>
      <c r="G2985" t="s">
        <v>1489</v>
      </c>
      <c r="H2985" t="s">
        <v>9</v>
      </c>
      <c r="I2985" t="s">
        <v>587</v>
      </c>
      <c r="J2985" t="s">
        <v>250</v>
      </c>
    </row>
    <row r="2986" spans="1:10">
      <c r="A2986">
        <v>52985</v>
      </c>
      <c r="B2986">
        <v>31707</v>
      </c>
      <c r="C2986" t="s">
        <v>1103</v>
      </c>
      <c r="D2986">
        <v>2022</v>
      </c>
      <c r="E2986">
        <v>1005</v>
      </c>
      <c r="F2986">
        <v>2</v>
      </c>
      <c r="G2986" t="s">
        <v>1458</v>
      </c>
      <c r="H2986" t="s">
        <v>16</v>
      </c>
      <c r="I2986" t="s">
        <v>1421</v>
      </c>
      <c r="J2986" t="s">
        <v>1421</v>
      </c>
    </row>
    <row r="2987" spans="1:10">
      <c r="A2987">
        <v>52986</v>
      </c>
      <c r="B2987">
        <v>31708</v>
      </c>
      <c r="C2987" t="s">
        <v>1037</v>
      </c>
      <c r="D2987">
        <v>2114</v>
      </c>
      <c r="E2987">
        <v>1007</v>
      </c>
      <c r="F2987">
        <v>2</v>
      </c>
      <c r="G2987" t="s">
        <v>1455</v>
      </c>
      <c r="H2987" t="s">
        <v>9</v>
      </c>
      <c r="I2987" t="s">
        <v>274</v>
      </c>
      <c r="J2987" t="s">
        <v>1088</v>
      </c>
    </row>
    <row r="2988" spans="1:10">
      <c r="A2988">
        <v>52987</v>
      </c>
      <c r="B2988">
        <v>31708</v>
      </c>
      <c r="C2988" t="s">
        <v>1037</v>
      </c>
      <c r="D2988">
        <v>2114</v>
      </c>
      <c r="E2988">
        <v>1010</v>
      </c>
      <c r="F2988">
        <v>1</v>
      </c>
      <c r="G2988" t="s">
        <v>1468</v>
      </c>
      <c r="H2988" t="s">
        <v>9</v>
      </c>
      <c r="I2988" t="s">
        <v>1134</v>
      </c>
      <c r="J2988" t="s">
        <v>619</v>
      </c>
    </row>
    <row r="2989" spans="1:10">
      <c r="A2989">
        <v>52988</v>
      </c>
      <c r="B2989">
        <v>31708</v>
      </c>
      <c r="C2989" t="s">
        <v>1037</v>
      </c>
      <c r="D2989">
        <v>2114</v>
      </c>
      <c r="E2989">
        <v>1015</v>
      </c>
      <c r="F2989">
        <v>4</v>
      </c>
      <c r="G2989" t="s">
        <v>1521</v>
      </c>
      <c r="H2989" t="s">
        <v>9</v>
      </c>
      <c r="I2989" t="s">
        <v>1157</v>
      </c>
      <c r="J2989" t="s">
        <v>1295</v>
      </c>
    </row>
    <row r="2990" spans="1:10">
      <c r="A2990">
        <v>52989</v>
      </c>
      <c r="B2990">
        <v>31709</v>
      </c>
      <c r="C2990" t="s">
        <v>391</v>
      </c>
      <c r="D2990">
        <v>2246</v>
      </c>
      <c r="E2990">
        <v>1012</v>
      </c>
      <c r="F2990">
        <v>1</v>
      </c>
      <c r="G2990" t="s">
        <v>1449</v>
      </c>
      <c r="H2990" t="s">
        <v>9</v>
      </c>
      <c r="I2990" t="s">
        <v>653</v>
      </c>
      <c r="J2990" t="s">
        <v>1305</v>
      </c>
    </row>
    <row r="2991" spans="1:10">
      <c r="A2991">
        <v>52990</v>
      </c>
      <c r="B2991">
        <v>31710</v>
      </c>
      <c r="C2991" t="s">
        <v>81</v>
      </c>
      <c r="D2991">
        <v>2176</v>
      </c>
      <c r="E2991">
        <v>1014</v>
      </c>
      <c r="F2991">
        <v>1</v>
      </c>
      <c r="G2991" t="s">
        <v>1463</v>
      </c>
      <c r="H2991" t="s">
        <v>11</v>
      </c>
      <c r="I2991" t="s">
        <v>1327</v>
      </c>
      <c r="J2991" t="s">
        <v>813</v>
      </c>
    </row>
    <row r="2992" spans="1:10">
      <c r="A2992">
        <v>52991</v>
      </c>
      <c r="B2992">
        <v>31711</v>
      </c>
      <c r="C2992" t="s">
        <v>24</v>
      </c>
      <c r="D2992">
        <v>2067</v>
      </c>
      <c r="E2992">
        <v>1005</v>
      </c>
      <c r="F2992">
        <v>1</v>
      </c>
      <c r="G2992" t="s">
        <v>1456</v>
      </c>
      <c r="H2992" t="s">
        <v>9</v>
      </c>
      <c r="I2992" t="s">
        <v>588</v>
      </c>
      <c r="J2992" t="s">
        <v>299</v>
      </c>
    </row>
    <row r="2993" spans="1:10">
      <c r="A2993">
        <v>52992</v>
      </c>
      <c r="B2993">
        <v>31711</v>
      </c>
      <c r="C2993" t="s">
        <v>24</v>
      </c>
      <c r="D2993">
        <v>2067</v>
      </c>
      <c r="E2993">
        <v>1007</v>
      </c>
      <c r="F2993">
        <v>1</v>
      </c>
      <c r="G2993" t="s">
        <v>1453</v>
      </c>
      <c r="H2993" t="s">
        <v>9</v>
      </c>
      <c r="I2993" t="s">
        <v>942</v>
      </c>
      <c r="J2993" t="s">
        <v>693</v>
      </c>
    </row>
    <row r="2994" spans="1:10">
      <c r="A2994">
        <v>52993</v>
      </c>
      <c r="B2994">
        <v>31711</v>
      </c>
      <c r="C2994" t="s">
        <v>300</v>
      </c>
      <c r="D2994">
        <v>2067</v>
      </c>
      <c r="E2994">
        <v>1007</v>
      </c>
      <c r="F2994">
        <v>5</v>
      </c>
      <c r="G2994" t="s">
        <v>1510</v>
      </c>
      <c r="H2994" t="s">
        <v>9</v>
      </c>
      <c r="I2994" t="s">
        <v>1131</v>
      </c>
      <c r="J2994" t="s">
        <v>105</v>
      </c>
    </row>
    <row r="2995" spans="1:10">
      <c r="A2995">
        <v>52994</v>
      </c>
      <c r="B2995">
        <v>31711</v>
      </c>
      <c r="C2995" t="s">
        <v>584</v>
      </c>
      <c r="D2995">
        <v>2067</v>
      </c>
      <c r="E2995">
        <v>1013</v>
      </c>
      <c r="F2995">
        <v>2</v>
      </c>
      <c r="G2995" t="s">
        <v>1492</v>
      </c>
      <c r="H2995" t="s">
        <v>9</v>
      </c>
      <c r="I2995" t="s">
        <v>1130</v>
      </c>
      <c r="J2995" t="s">
        <v>555</v>
      </c>
    </row>
    <row r="2996" spans="1:10">
      <c r="A2996">
        <v>52995</v>
      </c>
      <c r="B2996">
        <v>31712</v>
      </c>
      <c r="C2996" t="s">
        <v>302</v>
      </c>
      <c r="D2996">
        <v>2384</v>
      </c>
      <c r="E2996">
        <v>1014</v>
      </c>
      <c r="F2996">
        <v>1</v>
      </c>
      <c r="G2996" t="s">
        <v>1463</v>
      </c>
      <c r="H2996" t="s">
        <v>9</v>
      </c>
      <c r="I2996" t="s">
        <v>855</v>
      </c>
      <c r="J2996" t="s">
        <v>517</v>
      </c>
    </row>
    <row r="2997" spans="1:10">
      <c r="A2997">
        <v>52996</v>
      </c>
      <c r="B2997">
        <v>31712</v>
      </c>
      <c r="C2997" t="s">
        <v>48</v>
      </c>
      <c r="D2997">
        <v>2384</v>
      </c>
      <c r="E2997">
        <v>1008</v>
      </c>
      <c r="F2997">
        <v>4</v>
      </c>
      <c r="G2997" t="s">
        <v>1503</v>
      </c>
      <c r="H2997" t="s">
        <v>9</v>
      </c>
      <c r="I2997" t="s">
        <v>381</v>
      </c>
      <c r="J2997" t="s">
        <v>1204</v>
      </c>
    </row>
    <row r="2998" spans="1:10">
      <c r="A2998">
        <v>52997</v>
      </c>
      <c r="B2998">
        <v>31713</v>
      </c>
      <c r="C2998" t="s">
        <v>1192</v>
      </c>
      <c r="D2998">
        <v>2048</v>
      </c>
      <c r="E2998">
        <v>1007</v>
      </c>
      <c r="F2998">
        <v>1</v>
      </c>
      <c r="G2998" t="s">
        <v>1453</v>
      </c>
      <c r="H2998" t="s">
        <v>16</v>
      </c>
      <c r="I2998" t="s">
        <v>1421</v>
      </c>
      <c r="J2998" t="s">
        <v>1421</v>
      </c>
    </row>
    <row r="2999" spans="1:10">
      <c r="A2999">
        <v>52998</v>
      </c>
      <c r="B2999">
        <v>31714</v>
      </c>
      <c r="C2999" t="s">
        <v>1105</v>
      </c>
      <c r="D2999">
        <v>2302</v>
      </c>
      <c r="E2999">
        <v>1011</v>
      </c>
      <c r="F2999">
        <v>1</v>
      </c>
      <c r="G2999" t="s">
        <v>1472</v>
      </c>
      <c r="H2999" t="s">
        <v>16</v>
      </c>
      <c r="I2999" t="s">
        <v>123</v>
      </c>
      <c r="J2999" t="s">
        <v>1421</v>
      </c>
    </row>
    <row r="3000" spans="1:10">
      <c r="A3000">
        <v>52999</v>
      </c>
      <c r="B3000">
        <v>31715</v>
      </c>
      <c r="C3000" t="s">
        <v>565</v>
      </c>
      <c r="D3000">
        <v>2287</v>
      </c>
      <c r="E3000">
        <v>1016</v>
      </c>
      <c r="F3000">
        <v>3</v>
      </c>
      <c r="G3000" t="s">
        <v>1484</v>
      </c>
      <c r="H3000" t="s">
        <v>12</v>
      </c>
      <c r="I3000" t="s">
        <v>1421</v>
      </c>
      <c r="J3000" t="s">
        <v>1421</v>
      </c>
    </row>
    <row r="3001" spans="1:10">
      <c r="A3001">
        <v>53000</v>
      </c>
      <c r="B3001">
        <v>31716</v>
      </c>
      <c r="C3001" t="s">
        <v>715</v>
      </c>
      <c r="D3001">
        <v>2215</v>
      </c>
      <c r="E3001">
        <v>1016</v>
      </c>
      <c r="F3001">
        <v>1</v>
      </c>
      <c r="G3001" t="s">
        <v>1465</v>
      </c>
      <c r="H3001" t="s">
        <v>9</v>
      </c>
      <c r="I3001" t="s">
        <v>114</v>
      </c>
      <c r="J3001" t="s">
        <v>939</v>
      </c>
    </row>
    <row r="3002" spans="1:10">
      <c r="A3002">
        <v>53001</v>
      </c>
      <c r="B3002">
        <v>31716</v>
      </c>
      <c r="C3002" t="s">
        <v>714</v>
      </c>
      <c r="D3002">
        <v>2215</v>
      </c>
      <c r="E3002">
        <v>1003</v>
      </c>
      <c r="F3002">
        <v>1</v>
      </c>
      <c r="G3002" t="s">
        <v>1471</v>
      </c>
      <c r="H3002" t="s">
        <v>9</v>
      </c>
      <c r="I3002" t="s">
        <v>1170</v>
      </c>
      <c r="J3002" t="s">
        <v>957</v>
      </c>
    </row>
    <row r="3003" spans="1:10">
      <c r="A3003">
        <v>53002</v>
      </c>
      <c r="B3003">
        <v>31717</v>
      </c>
      <c r="C3003" t="s">
        <v>1076</v>
      </c>
      <c r="D3003">
        <v>2172</v>
      </c>
      <c r="E3003">
        <v>1012</v>
      </c>
      <c r="F3003">
        <v>2</v>
      </c>
      <c r="G3003" t="s">
        <v>1450</v>
      </c>
      <c r="H3003" t="s">
        <v>9</v>
      </c>
      <c r="I3003" t="s">
        <v>1119</v>
      </c>
      <c r="J3003" t="s">
        <v>1213</v>
      </c>
    </row>
    <row r="3004" spans="1:10">
      <c r="A3004">
        <v>53003</v>
      </c>
      <c r="B3004">
        <v>31717</v>
      </c>
      <c r="C3004" t="s">
        <v>293</v>
      </c>
      <c r="D3004">
        <v>2172</v>
      </c>
      <c r="E3004">
        <v>1016</v>
      </c>
      <c r="F3004">
        <v>1</v>
      </c>
      <c r="G3004" t="s">
        <v>1465</v>
      </c>
      <c r="H3004" t="s">
        <v>9</v>
      </c>
      <c r="I3004" t="s">
        <v>317</v>
      </c>
      <c r="J3004" t="s">
        <v>571</v>
      </c>
    </row>
    <row r="3005" spans="1:10">
      <c r="A3005">
        <v>53004</v>
      </c>
      <c r="B3005">
        <v>31718</v>
      </c>
      <c r="C3005" t="s">
        <v>216</v>
      </c>
      <c r="D3005">
        <v>2532</v>
      </c>
      <c r="E3005">
        <v>1011</v>
      </c>
      <c r="F3005">
        <v>2</v>
      </c>
      <c r="G3005" t="s">
        <v>1487</v>
      </c>
      <c r="H3005" t="s">
        <v>9</v>
      </c>
      <c r="I3005" t="s">
        <v>194</v>
      </c>
      <c r="J3005" t="s">
        <v>90</v>
      </c>
    </row>
    <row r="3006" spans="1:10">
      <c r="A3006">
        <v>53005</v>
      </c>
      <c r="B3006">
        <v>31718</v>
      </c>
      <c r="C3006" t="s">
        <v>349</v>
      </c>
      <c r="D3006">
        <v>2532</v>
      </c>
      <c r="E3006">
        <v>1012</v>
      </c>
      <c r="F3006">
        <v>1</v>
      </c>
      <c r="G3006" t="s">
        <v>1449</v>
      </c>
      <c r="H3006" t="s">
        <v>9</v>
      </c>
      <c r="I3006" t="s">
        <v>50</v>
      </c>
      <c r="J3006" t="s">
        <v>1127</v>
      </c>
    </row>
    <row r="3007" spans="1:10">
      <c r="A3007">
        <v>53006</v>
      </c>
      <c r="B3007">
        <v>31719</v>
      </c>
      <c r="C3007" t="s">
        <v>837</v>
      </c>
      <c r="D3007">
        <v>2539</v>
      </c>
      <c r="E3007">
        <v>1016</v>
      </c>
      <c r="F3007">
        <v>1</v>
      </c>
      <c r="G3007" t="s">
        <v>1465</v>
      </c>
      <c r="H3007" t="s">
        <v>9</v>
      </c>
      <c r="I3007" t="s">
        <v>50</v>
      </c>
      <c r="J3007" t="s">
        <v>353</v>
      </c>
    </row>
    <row r="3008" spans="1:10">
      <c r="A3008">
        <v>53007</v>
      </c>
      <c r="B3008">
        <v>31719</v>
      </c>
      <c r="C3008" t="s">
        <v>752</v>
      </c>
      <c r="D3008">
        <v>2539</v>
      </c>
      <c r="E3008">
        <v>1016</v>
      </c>
      <c r="F3008">
        <v>2</v>
      </c>
      <c r="G3008" t="s">
        <v>1500</v>
      </c>
      <c r="H3008" t="s">
        <v>9</v>
      </c>
      <c r="I3008" t="s">
        <v>50</v>
      </c>
      <c r="J3008" t="s">
        <v>434</v>
      </c>
    </row>
    <row r="3009" spans="1:10">
      <c r="A3009">
        <v>53008</v>
      </c>
      <c r="B3009">
        <v>31720</v>
      </c>
      <c r="C3009" t="s">
        <v>444</v>
      </c>
      <c r="D3009">
        <v>2275</v>
      </c>
      <c r="E3009">
        <v>1002</v>
      </c>
      <c r="F3009">
        <v>1</v>
      </c>
      <c r="G3009" t="s">
        <v>1466</v>
      </c>
      <c r="H3009" t="s">
        <v>9</v>
      </c>
      <c r="I3009" t="s">
        <v>890</v>
      </c>
      <c r="J3009" t="s">
        <v>271</v>
      </c>
    </row>
    <row r="3010" spans="1:10">
      <c r="A3010">
        <v>53009</v>
      </c>
      <c r="B3010">
        <v>31720</v>
      </c>
      <c r="C3010" t="s">
        <v>97</v>
      </c>
      <c r="D3010">
        <v>2275</v>
      </c>
      <c r="E3010">
        <v>1007</v>
      </c>
      <c r="F3010">
        <v>2</v>
      </c>
      <c r="G3010" t="s">
        <v>1455</v>
      </c>
      <c r="H3010" t="s">
        <v>9</v>
      </c>
      <c r="I3010" t="s">
        <v>890</v>
      </c>
      <c r="J3010" t="s">
        <v>461</v>
      </c>
    </row>
    <row r="3011" spans="1:10">
      <c r="A3011">
        <v>53010</v>
      </c>
      <c r="B3011">
        <v>31721</v>
      </c>
      <c r="C3011" t="s">
        <v>571</v>
      </c>
      <c r="D3011">
        <v>2225</v>
      </c>
      <c r="E3011">
        <v>1015</v>
      </c>
      <c r="F3011">
        <v>1</v>
      </c>
      <c r="G3011" t="s">
        <v>1478</v>
      </c>
      <c r="H3011" t="s">
        <v>12</v>
      </c>
      <c r="I3011" t="s">
        <v>1421</v>
      </c>
      <c r="J3011" t="s">
        <v>1421</v>
      </c>
    </row>
    <row r="3012" spans="1:10">
      <c r="A3012">
        <v>53011</v>
      </c>
      <c r="B3012">
        <v>31721</v>
      </c>
      <c r="C3012" t="s">
        <v>781</v>
      </c>
      <c r="D3012">
        <v>2225</v>
      </c>
      <c r="E3012">
        <v>1008</v>
      </c>
      <c r="F3012">
        <v>1</v>
      </c>
      <c r="G3012" t="s">
        <v>1447</v>
      </c>
      <c r="H3012" t="s">
        <v>12</v>
      </c>
      <c r="I3012" t="s">
        <v>1421</v>
      </c>
      <c r="J3012" t="s">
        <v>1421</v>
      </c>
    </row>
    <row r="3013" spans="1:10">
      <c r="A3013">
        <v>53012</v>
      </c>
      <c r="B3013">
        <v>31721</v>
      </c>
      <c r="C3013" t="s">
        <v>781</v>
      </c>
      <c r="D3013">
        <v>2225</v>
      </c>
      <c r="E3013">
        <v>1013</v>
      </c>
      <c r="F3013">
        <v>2</v>
      </c>
      <c r="G3013" t="s">
        <v>1492</v>
      </c>
      <c r="H3013" t="s">
        <v>12</v>
      </c>
      <c r="I3013" t="s">
        <v>1421</v>
      </c>
      <c r="J3013" t="s">
        <v>1421</v>
      </c>
    </row>
    <row r="3014" spans="1:10">
      <c r="A3014">
        <v>53013</v>
      </c>
      <c r="B3014">
        <v>31722</v>
      </c>
      <c r="C3014" t="s">
        <v>982</v>
      </c>
      <c r="D3014">
        <v>2224</v>
      </c>
      <c r="E3014">
        <v>1013</v>
      </c>
      <c r="F3014">
        <v>2</v>
      </c>
      <c r="G3014" t="s">
        <v>1492</v>
      </c>
      <c r="H3014" t="s">
        <v>9</v>
      </c>
      <c r="I3014" t="s">
        <v>831</v>
      </c>
      <c r="J3014" t="s">
        <v>749</v>
      </c>
    </row>
    <row r="3015" spans="1:10">
      <c r="A3015">
        <v>53014</v>
      </c>
      <c r="B3015">
        <v>31723</v>
      </c>
      <c r="C3015" t="s">
        <v>155</v>
      </c>
      <c r="D3015">
        <v>2586</v>
      </c>
      <c r="E3015">
        <v>1012</v>
      </c>
      <c r="F3015">
        <v>3</v>
      </c>
      <c r="G3015" t="s">
        <v>1448</v>
      </c>
      <c r="H3015" t="s">
        <v>68</v>
      </c>
      <c r="I3015" t="s">
        <v>906</v>
      </c>
      <c r="J3015" t="s">
        <v>519</v>
      </c>
    </row>
    <row r="3016" spans="1:10">
      <c r="A3016">
        <v>53015</v>
      </c>
      <c r="B3016">
        <v>31723</v>
      </c>
      <c r="C3016" t="s">
        <v>1080</v>
      </c>
      <c r="D3016">
        <v>2586</v>
      </c>
      <c r="E3016">
        <v>1009</v>
      </c>
      <c r="F3016">
        <v>1</v>
      </c>
      <c r="G3016" t="s">
        <v>1473</v>
      </c>
      <c r="H3016" t="s">
        <v>9</v>
      </c>
      <c r="I3016" t="s">
        <v>1299</v>
      </c>
      <c r="J3016" t="s">
        <v>451</v>
      </c>
    </row>
    <row r="3017" spans="1:10">
      <c r="A3017">
        <v>53016</v>
      </c>
      <c r="B3017">
        <v>31723</v>
      </c>
      <c r="C3017" t="s">
        <v>1257</v>
      </c>
      <c r="D3017">
        <v>2586</v>
      </c>
      <c r="E3017">
        <v>1003</v>
      </c>
      <c r="F3017">
        <v>1</v>
      </c>
      <c r="G3017" t="s">
        <v>1471</v>
      </c>
      <c r="H3017" t="s">
        <v>9</v>
      </c>
      <c r="I3017" t="s">
        <v>158</v>
      </c>
      <c r="J3017" t="s">
        <v>763</v>
      </c>
    </row>
    <row r="3018" spans="1:10">
      <c r="A3018">
        <v>53017</v>
      </c>
      <c r="B3018">
        <v>31724</v>
      </c>
      <c r="C3018" t="s">
        <v>1021</v>
      </c>
      <c r="D3018">
        <v>2138</v>
      </c>
      <c r="E3018">
        <v>1010</v>
      </c>
      <c r="F3018">
        <v>1</v>
      </c>
      <c r="G3018" t="s">
        <v>1468</v>
      </c>
      <c r="H3018" t="s">
        <v>9</v>
      </c>
      <c r="I3018" t="s">
        <v>540</v>
      </c>
      <c r="J3018" t="s">
        <v>738</v>
      </c>
    </row>
    <row r="3019" spans="1:10">
      <c r="A3019">
        <v>53018</v>
      </c>
      <c r="B3019">
        <v>31725</v>
      </c>
      <c r="C3019" t="s">
        <v>332</v>
      </c>
      <c r="D3019">
        <v>2456</v>
      </c>
      <c r="E3019">
        <v>1008</v>
      </c>
      <c r="F3019">
        <v>2</v>
      </c>
      <c r="G3019" t="s">
        <v>1520</v>
      </c>
      <c r="H3019" t="s">
        <v>9</v>
      </c>
      <c r="I3019" t="s">
        <v>645</v>
      </c>
      <c r="J3019" t="s">
        <v>644</v>
      </c>
    </row>
    <row r="3020" spans="1:10">
      <c r="A3020">
        <v>53019</v>
      </c>
      <c r="B3020">
        <v>31726</v>
      </c>
      <c r="C3020" t="s">
        <v>451</v>
      </c>
      <c r="D3020">
        <v>2598</v>
      </c>
      <c r="E3020">
        <v>1011</v>
      </c>
      <c r="F3020">
        <v>3</v>
      </c>
      <c r="G3020" t="s">
        <v>1454</v>
      </c>
      <c r="H3020" t="s">
        <v>9</v>
      </c>
      <c r="I3020" t="s">
        <v>415</v>
      </c>
      <c r="J3020" t="s">
        <v>89</v>
      </c>
    </row>
    <row r="3021" spans="1:10">
      <c r="A3021">
        <v>53020</v>
      </c>
      <c r="B3021">
        <v>31727</v>
      </c>
      <c r="C3021" t="s">
        <v>237</v>
      </c>
      <c r="D3021">
        <v>2437</v>
      </c>
      <c r="E3021">
        <v>1014</v>
      </c>
      <c r="F3021">
        <v>1</v>
      </c>
      <c r="G3021" t="s">
        <v>1463</v>
      </c>
      <c r="H3021" t="s">
        <v>9</v>
      </c>
      <c r="I3021" t="s">
        <v>520</v>
      </c>
      <c r="J3021" t="s">
        <v>672</v>
      </c>
    </row>
    <row r="3022" spans="1:10">
      <c r="A3022">
        <v>53021</v>
      </c>
      <c r="B3022">
        <v>31728</v>
      </c>
      <c r="C3022" t="s">
        <v>932</v>
      </c>
      <c r="D3022">
        <v>2419</v>
      </c>
      <c r="E3022">
        <v>1016</v>
      </c>
      <c r="F3022">
        <v>4</v>
      </c>
      <c r="G3022" t="s">
        <v>1522</v>
      </c>
      <c r="H3022" t="s">
        <v>9</v>
      </c>
      <c r="I3022" t="s">
        <v>1057</v>
      </c>
      <c r="J3022" t="s">
        <v>1027</v>
      </c>
    </row>
    <row r="3023" spans="1:10">
      <c r="A3023">
        <v>53022</v>
      </c>
      <c r="B3023">
        <v>31728</v>
      </c>
      <c r="C3023" t="s">
        <v>1056</v>
      </c>
      <c r="D3023">
        <v>2419</v>
      </c>
      <c r="E3023">
        <v>1011</v>
      </c>
      <c r="F3023">
        <v>1</v>
      </c>
      <c r="G3023" t="s">
        <v>1472</v>
      </c>
      <c r="H3023" t="s">
        <v>9</v>
      </c>
      <c r="I3023" t="s">
        <v>1057</v>
      </c>
      <c r="J3023" t="s">
        <v>496</v>
      </c>
    </row>
    <row r="3024" spans="1:10">
      <c r="A3024">
        <v>53023</v>
      </c>
      <c r="B3024">
        <v>31729</v>
      </c>
      <c r="C3024" t="s">
        <v>212</v>
      </c>
      <c r="D3024">
        <v>2280</v>
      </c>
      <c r="E3024">
        <v>1006</v>
      </c>
      <c r="F3024">
        <v>1</v>
      </c>
      <c r="G3024" t="s">
        <v>1459</v>
      </c>
      <c r="H3024" t="s">
        <v>9</v>
      </c>
      <c r="I3024" t="s">
        <v>689</v>
      </c>
      <c r="J3024" t="s">
        <v>966</v>
      </c>
    </row>
    <row r="3025" spans="1:10">
      <c r="A3025">
        <v>53024</v>
      </c>
      <c r="B3025">
        <v>31730</v>
      </c>
      <c r="C3025" t="s">
        <v>879</v>
      </c>
      <c r="D3025">
        <v>2453</v>
      </c>
      <c r="E3025">
        <v>1003</v>
      </c>
      <c r="F3025">
        <v>1</v>
      </c>
      <c r="G3025" t="s">
        <v>1471</v>
      </c>
      <c r="H3025" t="s">
        <v>9</v>
      </c>
      <c r="I3025" t="s">
        <v>108</v>
      </c>
      <c r="J3025" t="s">
        <v>132</v>
      </c>
    </row>
    <row r="3026" spans="1:10">
      <c r="A3026">
        <v>53025</v>
      </c>
      <c r="B3026">
        <v>31731</v>
      </c>
      <c r="C3026" t="s">
        <v>1117</v>
      </c>
      <c r="D3026">
        <v>2368</v>
      </c>
      <c r="E3026">
        <v>1010</v>
      </c>
      <c r="F3026">
        <v>4</v>
      </c>
      <c r="G3026" t="s">
        <v>1517</v>
      </c>
      <c r="H3026" t="s">
        <v>12</v>
      </c>
      <c r="I3026" t="s">
        <v>1421</v>
      </c>
      <c r="J3026" t="s">
        <v>1421</v>
      </c>
    </row>
    <row r="3027" spans="1:10">
      <c r="A3027">
        <v>53026</v>
      </c>
      <c r="B3027">
        <v>31731</v>
      </c>
      <c r="C3027" t="s">
        <v>1117</v>
      </c>
      <c r="D3027">
        <v>2368</v>
      </c>
      <c r="E3027">
        <v>1003</v>
      </c>
      <c r="F3027">
        <v>1</v>
      </c>
      <c r="G3027" t="s">
        <v>1471</v>
      </c>
      <c r="H3027" t="s">
        <v>1531</v>
      </c>
      <c r="I3027" t="s">
        <v>1421</v>
      </c>
      <c r="J3027" t="s">
        <v>1421</v>
      </c>
    </row>
    <row r="3028" spans="1:10">
      <c r="A3028">
        <v>53027</v>
      </c>
      <c r="B3028">
        <v>31732</v>
      </c>
      <c r="C3028" t="s">
        <v>1245</v>
      </c>
      <c r="D3028">
        <v>2284</v>
      </c>
      <c r="E3028">
        <v>1004</v>
      </c>
      <c r="F3028">
        <v>2</v>
      </c>
      <c r="G3028" t="s">
        <v>1476</v>
      </c>
      <c r="H3028" t="s">
        <v>12</v>
      </c>
      <c r="I3028" t="s">
        <v>1421</v>
      </c>
      <c r="J3028" t="s">
        <v>1421</v>
      </c>
    </row>
    <row r="3029" spans="1:10">
      <c r="A3029">
        <v>53028</v>
      </c>
      <c r="B3029">
        <v>31732</v>
      </c>
      <c r="C3029" t="s">
        <v>223</v>
      </c>
      <c r="D3029">
        <v>2284</v>
      </c>
      <c r="E3029">
        <v>1004</v>
      </c>
      <c r="F3029">
        <v>2</v>
      </c>
      <c r="G3029" t="s">
        <v>1476</v>
      </c>
      <c r="H3029" t="s">
        <v>12</v>
      </c>
      <c r="I3029" t="s">
        <v>1421</v>
      </c>
      <c r="J3029" t="s">
        <v>1421</v>
      </c>
    </row>
    <row r="3030" spans="1:10">
      <c r="A3030">
        <v>53029</v>
      </c>
      <c r="B3030">
        <v>31732</v>
      </c>
      <c r="C3030" t="s">
        <v>1245</v>
      </c>
      <c r="D3030">
        <v>2284</v>
      </c>
      <c r="E3030">
        <v>1003</v>
      </c>
      <c r="F3030">
        <v>1</v>
      </c>
      <c r="G3030" t="s">
        <v>1471</v>
      </c>
      <c r="H3030" t="s">
        <v>12</v>
      </c>
      <c r="I3030" t="s">
        <v>1421</v>
      </c>
      <c r="J3030" t="s">
        <v>1421</v>
      </c>
    </row>
    <row r="3031" spans="1:10">
      <c r="A3031">
        <v>53030</v>
      </c>
      <c r="B3031">
        <v>31732</v>
      </c>
      <c r="C3031" t="s">
        <v>223</v>
      </c>
      <c r="D3031">
        <v>2284</v>
      </c>
      <c r="E3031">
        <v>1012</v>
      </c>
      <c r="F3031">
        <v>1</v>
      </c>
      <c r="G3031" t="s">
        <v>1449</v>
      </c>
      <c r="H3031" t="s">
        <v>12</v>
      </c>
      <c r="I3031" t="s">
        <v>1421</v>
      </c>
      <c r="J3031" t="s">
        <v>1421</v>
      </c>
    </row>
    <row r="3032" spans="1:10">
      <c r="A3032">
        <v>53031</v>
      </c>
      <c r="B3032">
        <v>31733</v>
      </c>
      <c r="C3032" t="s">
        <v>1318</v>
      </c>
      <c r="D3032">
        <v>2040</v>
      </c>
      <c r="E3032">
        <v>1011</v>
      </c>
      <c r="F3032">
        <v>2</v>
      </c>
      <c r="G3032" t="s">
        <v>1487</v>
      </c>
      <c r="H3032" t="s">
        <v>9</v>
      </c>
      <c r="I3032" t="s">
        <v>587</v>
      </c>
      <c r="J3032" t="s">
        <v>250</v>
      </c>
    </row>
    <row r="3033" spans="1:10">
      <c r="A3033">
        <v>53032</v>
      </c>
      <c r="B3033">
        <v>31733</v>
      </c>
      <c r="C3033" t="s">
        <v>1318</v>
      </c>
      <c r="D3033">
        <v>2040</v>
      </c>
      <c r="E3033">
        <v>1007</v>
      </c>
      <c r="F3033">
        <v>1</v>
      </c>
      <c r="G3033" t="s">
        <v>1453</v>
      </c>
      <c r="H3033" t="s">
        <v>9</v>
      </c>
      <c r="I3033" t="s">
        <v>236</v>
      </c>
      <c r="J3033" t="s">
        <v>458</v>
      </c>
    </row>
    <row r="3034" spans="1:10">
      <c r="A3034">
        <v>53033</v>
      </c>
      <c r="B3034">
        <v>31733</v>
      </c>
      <c r="C3034" t="s">
        <v>589</v>
      </c>
      <c r="D3034">
        <v>2040</v>
      </c>
      <c r="E3034">
        <v>1011</v>
      </c>
      <c r="F3034">
        <v>1</v>
      </c>
      <c r="G3034" t="s">
        <v>1472</v>
      </c>
      <c r="H3034" t="s">
        <v>1457</v>
      </c>
      <c r="I3034" t="s">
        <v>224</v>
      </c>
      <c r="J3034" t="s">
        <v>968</v>
      </c>
    </row>
    <row r="3035" spans="1:10">
      <c r="A3035">
        <v>53034</v>
      </c>
      <c r="B3035">
        <v>31734</v>
      </c>
      <c r="C3035" t="s">
        <v>208</v>
      </c>
      <c r="D3035">
        <v>2257</v>
      </c>
      <c r="E3035">
        <v>1009</v>
      </c>
      <c r="F3035">
        <v>1</v>
      </c>
      <c r="G3035" t="s">
        <v>1473</v>
      </c>
      <c r="H3035" t="s">
        <v>9</v>
      </c>
      <c r="I3035" t="s">
        <v>948</v>
      </c>
      <c r="J3035" t="s">
        <v>701</v>
      </c>
    </row>
    <row r="3036" spans="1:10">
      <c r="A3036">
        <v>53035</v>
      </c>
      <c r="B3036">
        <v>31735</v>
      </c>
      <c r="C3036" t="s">
        <v>453</v>
      </c>
      <c r="D3036">
        <v>2196</v>
      </c>
      <c r="E3036">
        <v>1005</v>
      </c>
      <c r="F3036">
        <v>1</v>
      </c>
      <c r="G3036" t="s">
        <v>1456</v>
      </c>
      <c r="H3036" t="s">
        <v>9</v>
      </c>
      <c r="I3036" t="s">
        <v>1057</v>
      </c>
      <c r="J3036" t="s">
        <v>349</v>
      </c>
    </row>
    <row r="3037" spans="1:10">
      <c r="A3037">
        <v>53036</v>
      </c>
      <c r="B3037">
        <v>31736</v>
      </c>
      <c r="C3037" t="s">
        <v>459</v>
      </c>
      <c r="D3037">
        <v>2557</v>
      </c>
      <c r="E3037">
        <v>1001</v>
      </c>
      <c r="F3037">
        <v>3</v>
      </c>
      <c r="G3037" t="s">
        <v>1515</v>
      </c>
      <c r="H3037" t="s">
        <v>12</v>
      </c>
      <c r="I3037" t="s">
        <v>1421</v>
      </c>
      <c r="J3037" t="s">
        <v>1421</v>
      </c>
    </row>
    <row r="3038" spans="1:10">
      <c r="A3038">
        <v>53037</v>
      </c>
      <c r="B3038">
        <v>31736</v>
      </c>
      <c r="C3038" t="s">
        <v>459</v>
      </c>
      <c r="D3038">
        <v>2557</v>
      </c>
      <c r="E3038">
        <v>1010</v>
      </c>
      <c r="F3038">
        <v>1</v>
      </c>
      <c r="G3038" t="s">
        <v>1468</v>
      </c>
      <c r="H3038" t="s">
        <v>199</v>
      </c>
      <c r="I3038" t="s">
        <v>1421</v>
      </c>
      <c r="J3038" t="s">
        <v>1421</v>
      </c>
    </row>
    <row r="3039" spans="1:10">
      <c r="A3039">
        <v>53038</v>
      </c>
      <c r="B3039">
        <v>31737</v>
      </c>
      <c r="C3039" t="s">
        <v>668</v>
      </c>
      <c r="D3039">
        <v>2289</v>
      </c>
      <c r="E3039">
        <v>1013</v>
      </c>
      <c r="F3039">
        <v>3</v>
      </c>
      <c r="G3039" t="s">
        <v>1490</v>
      </c>
      <c r="H3039" t="s">
        <v>16</v>
      </c>
      <c r="I3039" t="s">
        <v>1421</v>
      </c>
      <c r="J3039" t="s">
        <v>1421</v>
      </c>
    </row>
    <row r="3040" spans="1:10">
      <c r="A3040">
        <v>53039</v>
      </c>
      <c r="B3040">
        <v>31737</v>
      </c>
      <c r="C3040" t="s">
        <v>668</v>
      </c>
      <c r="D3040">
        <v>2289</v>
      </c>
      <c r="E3040">
        <v>1001</v>
      </c>
      <c r="F3040">
        <v>1</v>
      </c>
      <c r="G3040" t="s">
        <v>1469</v>
      </c>
      <c r="H3040" t="s">
        <v>16</v>
      </c>
      <c r="I3040" t="s">
        <v>1421</v>
      </c>
      <c r="J3040" t="s">
        <v>1421</v>
      </c>
    </row>
    <row r="3041" spans="1:10">
      <c r="A3041">
        <v>53040</v>
      </c>
      <c r="B3041">
        <v>31737</v>
      </c>
      <c r="C3041" t="s">
        <v>668</v>
      </c>
      <c r="D3041">
        <v>2289</v>
      </c>
      <c r="E3041">
        <v>1005</v>
      </c>
      <c r="F3041">
        <v>2</v>
      </c>
      <c r="G3041" t="s">
        <v>1421</v>
      </c>
      <c r="H3041" t="s">
        <v>16</v>
      </c>
      <c r="I3041" t="s">
        <v>1421</v>
      </c>
      <c r="J3041" t="s">
        <v>1421</v>
      </c>
    </row>
    <row r="3042" spans="1:10">
      <c r="A3042">
        <v>53041</v>
      </c>
      <c r="B3042">
        <v>31738</v>
      </c>
      <c r="C3042" t="s">
        <v>368</v>
      </c>
      <c r="D3042">
        <v>2234</v>
      </c>
      <c r="E3042">
        <v>1007</v>
      </c>
      <c r="F3042">
        <v>1</v>
      </c>
      <c r="G3042" t="s">
        <v>1453</v>
      </c>
      <c r="H3042" t="s">
        <v>9</v>
      </c>
      <c r="I3042" t="s">
        <v>373</v>
      </c>
      <c r="J3042" t="s">
        <v>1349</v>
      </c>
    </row>
    <row r="3043" spans="1:10">
      <c r="A3043">
        <v>53042</v>
      </c>
      <c r="B3043">
        <v>31739</v>
      </c>
      <c r="C3043" t="s">
        <v>721</v>
      </c>
      <c r="D3043">
        <v>2486</v>
      </c>
      <c r="E3043">
        <v>1015</v>
      </c>
      <c r="F3043">
        <v>1</v>
      </c>
      <c r="G3043" t="s">
        <v>1478</v>
      </c>
      <c r="H3043" t="s">
        <v>9</v>
      </c>
      <c r="I3043" t="s">
        <v>991</v>
      </c>
      <c r="J3043" t="s">
        <v>723</v>
      </c>
    </row>
    <row r="3044" spans="1:10">
      <c r="A3044">
        <v>53043</v>
      </c>
      <c r="B3044">
        <v>31739</v>
      </c>
      <c r="C3044" t="s">
        <v>716</v>
      </c>
      <c r="D3044">
        <v>2486</v>
      </c>
      <c r="E3044">
        <v>1015</v>
      </c>
      <c r="F3044">
        <v>1</v>
      </c>
      <c r="G3044" t="s">
        <v>1478</v>
      </c>
      <c r="H3044" t="s">
        <v>9</v>
      </c>
      <c r="I3044" t="s">
        <v>717</v>
      </c>
      <c r="J3044" t="s">
        <v>578</v>
      </c>
    </row>
    <row r="3045" spans="1:10">
      <c r="A3045">
        <v>53044</v>
      </c>
      <c r="B3045">
        <v>31739</v>
      </c>
      <c r="C3045" t="s">
        <v>716</v>
      </c>
      <c r="D3045">
        <v>2486</v>
      </c>
      <c r="E3045">
        <v>1011</v>
      </c>
      <c r="F3045">
        <v>1</v>
      </c>
      <c r="G3045" t="s">
        <v>1472</v>
      </c>
      <c r="H3045" t="s">
        <v>9</v>
      </c>
      <c r="I3045" t="s">
        <v>991</v>
      </c>
      <c r="J3045" t="s">
        <v>655</v>
      </c>
    </row>
    <row r="3046" spans="1:10">
      <c r="A3046">
        <v>53045</v>
      </c>
      <c r="B3046">
        <v>31739</v>
      </c>
      <c r="C3046" t="s">
        <v>930</v>
      </c>
      <c r="D3046">
        <v>2486</v>
      </c>
      <c r="E3046">
        <v>1003</v>
      </c>
      <c r="F3046">
        <v>2</v>
      </c>
      <c r="G3046" t="s">
        <v>1464</v>
      </c>
      <c r="H3046" t="s">
        <v>9</v>
      </c>
      <c r="I3046" t="s">
        <v>690</v>
      </c>
      <c r="J3046" t="s">
        <v>1230</v>
      </c>
    </row>
    <row r="3047" spans="1:10">
      <c r="A3047">
        <v>53046</v>
      </c>
      <c r="B3047">
        <v>31740</v>
      </c>
      <c r="C3047" t="s">
        <v>1162</v>
      </c>
      <c r="D3047">
        <v>2321</v>
      </c>
      <c r="E3047">
        <v>1014</v>
      </c>
      <c r="F3047">
        <v>2</v>
      </c>
      <c r="G3047" t="s">
        <v>1475</v>
      </c>
      <c r="H3047" t="s">
        <v>16</v>
      </c>
      <c r="I3047" t="s">
        <v>1421</v>
      </c>
      <c r="J3047" t="s">
        <v>1421</v>
      </c>
    </row>
    <row r="3048" spans="1:10">
      <c r="A3048">
        <v>53047</v>
      </c>
      <c r="B3048">
        <v>31740</v>
      </c>
      <c r="C3048" t="s">
        <v>684</v>
      </c>
      <c r="D3048">
        <v>2321</v>
      </c>
      <c r="E3048">
        <v>1014</v>
      </c>
      <c r="F3048">
        <v>2</v>
      </c>
      <c r="G3048" t="s">
        <v>1475</v>
      </c>
      <c r="H3048" t="s">
        <v>16</v>
      </c>
      <c r="I3048" t="s">
        <v>74</v>
      </c>
      <c r="J3048" t="s">
        <v>1421</v>
      </c>
    </row>
    <row r="3049" spans="1:10">
      <c r="A3049">
        <v>53048</v>
      </c>
      <c r="B3049">
        <v>31740</v>
      </c>
      <c r="C3049" t="s">
        <v>684</v>
      </c>
      <c r="D3049">
        <v>2321</v>
      </c>
      <c r="E3049">
        <v>1015</v>
      </c>
      <c r="F3049">
        <v>1</v>
      </c>
      <c r="G3049" t="s">
        <v>1478</v>
      </c>
      <c r="H3049" t="s">
        <v>16</v>
      </c>
      <c r="I3049" t="s">
        <v>1421</v>
      </c>
      <c r="J3049" t="s">
        <v>1421</v>
      </c>
    </row>
    <row r="3050" spans="1:10">
      <c r="A3050">
        <v>53049</v>
      </c>
      <c r="B3050">
        <v>31740</v>
      </c>
      <c r="C3050" t="s">
        <v>684</v>
      </c>
      <c r="D3050">
        <v>2321</v>
      </c>
      <c r="E3050">
        <v>1001</v>
      </c>
      <c r="F3050">
        <v>1</v>
      </c>
      <c r="G3050" t="s">
        <v>1469</v>
      </c>
      <c r="H3050" t="s">
        <v>16</v>
      </c>
      <c r="I3050" t="s">
        <v>1421</v>
      </c>
      <c r="J3050" t="s">
        <v>1421</v>
      </c>
    </row>
    <row r="3051" spans="1:10">
      <c r="A3051">
        <v>53050</v>
      </c>
      <c r="B3051">
        <v>31741</v>
      </c>
      <c r="C3051" t="s">
        <v>1343</v>
      </c>
      <c r="D3051">
        <v>2592</v>
      </c>
      <c r="E3051">
        <v>1010</v>
      </c>
      <c r="F3051">
        <v>1</v>
      </c>
      <c r="G3051" t="s">
        <v>1468</v>
      </c>
      <c r="H3051" t="s">
        <v>12</v>
      </c>
      <c r="I3051" t="s">
        <v>1421</v>
      </c>
      <c r="J3051" t="s">
        <v>1421</v>
      </c>
    </row>
    <row r="3052" spans="1:10">
      <c r="A3052">
        <v>53051</v>
      </c>
      <c r="B3052">
        <v>31741</v>
      </c>
      <c r="C3052" t="s">
        <v>936</v>
      </c>
      <c r="D3052">
        <v>2592</v>
      </c>
      <c r="E3052">
        <v>1001</v>
      </c>
      <c r="F3052">
        <v>3</v>
      </c>
      <c r="G3052" t="s">
        <v>1515</v>
      </c>
      <c r="H3052" t="s">
        <v>12</v>
      </c>
      <c r="I3052" t="s">
        <v>1421</v>
      </c>
      <c r="J3052" t="s">
        <v>1421</v>
      </c>
    </row>
    <row r="3053" spans="1:10">
      <c r="A3053">
        <v>53052</v>
      </c>
      <c r="B3053">
        <v>31742</v>
      </c>
      <c r="C3053" t="s">
        <v>1229</v>
      </c>
      <c r="D3053">
        <v>2512</v>
      </c>
      <c r="E3053">
        <v>1012</v>
      </c>
      <c r="F3053">
        <v>2</v>
      </c>
      <c r="G3053" t="s">
        <v>1450</v>
      </c>
      <c r="H3053" t="s">
        <v>16</v>
      </c>
      <c r="I3053" t="s">
        <v>1421</v>
      </c>
      <c r="J3053" t="s">
        <v>1421</v>
      </c>
    </row>
    <row r="3054" spans="1:10">
      <c r="A3054">
        <v>53053</v>
      </c>
      <c r="B3054">
        <v>31743</v>
      </c>
      <c r="C3054" t="s">
        <v>798</v>
      </c>
      <c r="D3054">
        <v>2430</v>
      </c>
      <c r="E3054">
        <v>1013</v>
      </c>
      <c r="F3054">
        <v>1</v>
      </c>
      <c r="G3054" t="s">
        <v>1474</v>
      </c>
      <c r="H3054" t="s">
        <v>9</v>
      </c>
      <c r="I3054" t="s">
        <v>343</v>
      </c>
      <c r="J3054" t="s">
        <v>739</v>
      </c>
    </row>
    <row r="3055" spans="1:10">
      <c r="A3055">
        <v>53054</v>
      </c>
      <c r="B3055">
        <v>31743</v>
      </c>
      <c r="C3055" t="s">
        <v>818</v>
      </c>
      <c r="D3055">
        <v>2430</v>
      </c>
      <c r="E3055">
        <v>1010</v>
      </c>
      <c r="F3055">
        <v>2</v>
      </c>
      <c r="G3055" t="s">
        <v>1483</v>
      </c>
      <c r="H3055" t="s">
        <v>9</v>
      </c>
      <c r="I3055" t="s">
        <v>341</v>
      </c>
      <c r="J3055" t="s">
        <v>799</v>
      </c>
    </row>
    <row r="3056" spans="1:10">
      <c r="A3056">
        <v>53055</v>
      </c>
      <c r="B3056">
        <v>31743</v>
      </c>
      <c r="C3056" t="s">
        <v>798</v>
      </c>
      <c r="D3056">
        <v>2430</v>
      </c>
      <c r="E3056">
        <v>1011</v>
      </c>
      <c r="F3056">
        <v>4</v>
      </c>
      <c r="G3056" t="s">
        <v>1499</v>
      </c>
      <c r="H3056" t="s">
        <v>9</v>
      </c>
      <c r="I3056" t="s">
        <v>343</v>
      </c>
      <c r="J3056" t="s">
        <v>739</v>
      </c>
    </row>
    <row r="3057" spans="1:10">
      <c r="A3057">
        <v>53056</v>
      </c>
      <c r="B3057">
        <v>31744</v>
      </c>
      <c r="C3057" t="s">
        <v>215</v>
      </c>
      <c r="D3057">
        <v>2024</v>
      </c>
      <c r="E3057">
        <v>1002</v>
      </c>
      <c r="F3057">
        <v>1</v>
      </c>
      <c r="G3057" t="s">
        <v>1466</v>
      </c>
      <c r="H3057" t="s">
        <v>9</v>
      </c>
      <c r="I3057" t="s">
        <v>242</v>
      </c>
      <c r="J3057" t="s">
        <v>1253</v>
      </c>
    </row>
    <row r="3058" spans="1:10">
      <c r="A3058">
        <v>53057</v>
      </c>
      <c r="B3058">
        <v>31745</v>
      </c>
      <c r="C3058" t="s">
        <v>648</v>
      </c>
      <c r="D3058">
        <v>2143</v>
      </c>
      <c r="E3058">
        <v>1011</v>
      </c>
      <c r="F3058">
        <v>1</v>
      </c>
      <c r="G3058" t="s">
        <v>1472</v>
      </c>
      <c r="H3058" t="s">
        <v>9</v>
      </c>
      <c r="I3058" t="s">
        <v>178</v>
      </c>
      <c r="J3058" t="s">
        <v>798</v>
      </c>
    </row>
    <row r="3059" spans="1:10">
      <c r="A3059">
        <v>53058</v>
      </c>
      <c r="B3059">
        <v>31745</v>
      </c>
      <c r="C3059" t="s">
        <v>115</v>
      </c>
      <c r="D3059">
        <v>2143</v>
      </c>
      <c r="E3059">
        <v>1013</v>
      </c>
      <c r="F3059">
        <v>1</v>
      </c>
      <c r="G3059" t="s">
        <v>1474</v>
      </c>
      <c r="H3059" t="s">
        <v>9</v>
      </c>
      <c r="I3059" t="s">
        <v>1021</v>
      </c>
      <c r="J3059" t="s">
        <v>362</v>
      </c>
    </row>
    <row r="3060" spans="1:10">
      <c r="A3060">
        <v>53059</v>
      </c>
      <c r="B3060">
        <v>31745</v>
      </c>
      <c r="C3060" t="s">
        <v>644</v>
      </c>
      <c r="D3060">
        <v>2143</v>
      </c>
      <c r="E3060">
        <v>1013</v>
      </c>
      <c r="F3060">
        <v>1</v>
      </c>
      <c r="G3060" t="s">
        <v>1474</v>
      </c>
      <c r="H3060" t="s">
        <v>9</v>
      </c>
      <c r="I3060" t="s">
        <v>151</v>
      </c>
      <c r="J3060" t="s">
        <v>798</v>
      </c>
    </row>
    <row r="3061" spans="1:10">
      <c r="A3061">
        <v>53060</v>
      </c>
      <c r="B3061">
        <v>31746</v>
      </c>
      <c r="C3061" t="s">
        <v>848</v>
      </c>
      <c r="D3061">
        <v>2210</v>
      </c>
      <c r="E3061">
        <v>1003</v>
      </c>
      <c r="F3061">
        <v>5</v>
      </c>
      <c r="G3061" t="s">
        <v>1506</v>
      </c>
      <c r="H3061" t="s">
        <v>11</v>
      </c>
      <c r="I3061" t="s">
        <v>214</v>
      </c>
      <c r="J3061" t="s">
        <v>1266</v>
      </c>
    </row>
    <row r="3062" spans="1:10">
      <c r="A3062">
        <v>53061</v>
      </c>
      <c r="B3062">
        <v>31746</v>
      </c>
      <c r="C3062" t="s">
        <v>157</v>
      </c>
      <c r="D3062">
        <v>2210</v>
      </c>
      <c r="E3062">
        <v>1013</v>
      </c>
      <c r="F3062">
        <v>4</v>
      </c>
      <c r="G3062" t="s">
        <v>1523</v>
      </c>
      <c r="H3062" t="s">
        <v>1524</v>
      </c>
      <c r="I3062" t="s">
        <v>849</v>
      </c>
      <c r="J3062" t="s">
        <v>896</v>
      </c>
    </row>
    <row r="3063" spans="1:10">
      <c r="A3063">
        <v>53062</v>
      </c>
      <c r="B3063">
        <v>31746</v>
      </c>
      <c r="C3063" t="s">
        <v>157</v>
      </c>
      <c r="D3063">
        <v>2210</v>
      </c>
      <c r="E3063">
        <v>1007</v>
      </c>
      <c r="F3063">
        <v>1</v>
      </c>
      <c r="G3063" t="s">
        <v>1453</v>
      </c>
      <c r="H3063" t="s">
        <v>11</v>
      </c>
      <c r="I3063" t="s">
        <v>897</v>
      </c>
      <c r="J3063" t="s">
        <v>187</v>
      </c>
    </row>
    <row r="3064" spans="1:10">
      <c r="A3064">
        <v>53063</v>
      </c>
      <c r="B3064">
        <v>31746</v>
      </c>
      <c r="C3064" t="s">
        <v>885</v>
      </c>
      <c r="D3064">
        <v>2210</v>
      </c>
      <c r="E3064">
        <v>1016</v>
      </c>
      <c r="F3064">
        <v>1</v>
      </c>
      <c r="G3064" t="s">
        <v>1465</v>
      </c>
      <c r="H3064" t="s">
        <v>11</v>
      </c>
      <c r="I3064" t="s">
        <v>418</v>
      </c>
      <c r="J3064" t="s">
        <v>764</v>
      </c>
    </row>
    <row r="3065" spans="1:10">
      <c r="A3065">
        <v>53064</v>
      </c>
      <c r="B3065">
        <v>31747</v>
      </c>
      <c r="C3065" t="s">
        <v>1056</v>
      </c>
      <c r="D3065">
        <v>2112</v>
      </c>
      <c r="E3065">
        <v>1015</v>
      </c>
      <c r="F3065">
        <v>2</v>
      </c>
      <c r="G3065" t="s">
        <v>1488</v>
      </c>
      <c r="H3065" t="s">
        <v>1457</v>
      </c>
      <c r="I3065" t="s">
        <v>560</v>
      </c>
      <c r="J3065" t="s">
        <v>526</v>
      </c>
    </row>
    <row r="3066" spans="1:10">
      <c r="A3066">
        <v>53065</v>
      </c>
      <c r="B3066">
        <v>31748</v>
      </c>
      <c r="C3066" t="s">
        <v>916</v>
      </c>
      <c r="D3066">
        <v>2312</v>
      </c>
      <c r="E3066">
        <v>1004</v>
      </c>
      <c r="F3066">
        <v>1</v>
      </c>
      <c r="G3066" t="s">
        <v>1452</v>
      </c>
      <c r="H3066" t="s">
        <v>9</v>
      </c>
      <c r="I3066" t="s">
        <v>575</v>
      </c>
      <c r="J3066" t="s">
        <v>663</v>
      </c>
    </row>
    <row r="3067" spans="1:10">
      <c r="A3067">
        <v>53066</v>
      </c>
      <c r="B3067">
        <v>31748</v>
      </c>
      <c r="C3067" t="s">
        <v>1099</v>
      </c>
      <c r="D3067">
        <v>2312</v>
      </c>
      <c r="E3067">
        <v>1006</v>
      </c>
      <c r="F3067">
        <v>1</v>
      </c>
      <c r="G3067" t="s">
        <v>1459</v>
      </c>
      <c r="H3067" t="s">
        <v>9</v>
      </c>
      <c r="I3067" t="s">
        <v>321</v>
      </c>
      <c r="J3067" t="s">
        <v>663</v>
      </c>
    </row>
    <row r="3068" spans="1:10">
      <c r="A3068">
        <v>53067</v>
      </c>
      <c r="B3068">
        <v>31749</v>
      </c>
      <c r="C3068" t="s">
        <v>561</v>
      </c>
      <c r="D3068">
        <v>2033</v>
      </c>
      <c r="E3068">
        <v>1016</v>
      </c>
      <c r="F3068">
        <v>1</v>
      </c>
      <c r="G3068" t="s">
        <v>1465</v>
      </c>
      <c r="H3068" t="s">
        <v>16</v>
      </c>
      <c r="I3068" t="s">
        <v>771</v>
      </c>
      <c r="J3068" t="s">
        <v>1421</v>
      </c>
    </row>
    <row r="3069" spans="1:10">
      <c r="A3069">
        <v>53068</v>
      </c>
      <c r="B3069">
        <v>31750</v>
      </c>
      <c r="C3069" t="s">
        <v>670</v>
      </c>
      <c r="D3069">
        <v>2204</v>
      </c>
      <c r="E3069">
        <v>1013</v>
      </c>
      <c r="F3069">
        <v>2</v>
      </c>
      <c r="G3069" t="s">
        <v>1492</v>
      </c>
      <c r="H3069" t="s">
        <v>9</v>
      </c>
      <c r="I3069" t="s">
        <v>548</v>
      </c>
      <c r="J3069" t="s">
        <v>1324</v>
      </c>
    </row>
    <row r="3070" spans="1:10">
      <c r="A3070">
        <v>53069</v>
      </c>
      <c r="B3070">
        <v>31750</v>
      </c>
      <c r="C3070" t="s">
        <v>670</v>
      </c>
      <c r="D3070">
        <v>2204</v>
      </c>
      <c r="E3070">
        <v>1010</v>
      </c>
      <c r="F3070">
        <v>4</v>
      </c>
      <c r="G3070" t="s">
        <v>1517</v>
      </c>
      <c r="H3070" t="s">
        <v>9</v>
      </c>
      <c r="I3070" t="s">
        <v>613</v>
      </c>
      <c r="J3070" t="s">
        <v>606</v>
      </c>
    </row>
    <row r="3071" spans="1:10">
      <c r="A3071">
        <v>53070</v>
      </c>
      <c r="B3071">
        <v>31750</v>
      </c>
      <c r="C3071" t="s">
        <v>411</v>
      </c>
      <c r="D3071">
        <v>2204</v>
      </c>
      <c r="E3071">
        <v>1007</v>
      </c>
      <c r="F3071">
        <v>2</v>
      </c>
      <c r="G3071" t="s">
        <v>1455</v>
      </c>
      <c r="H3071" t="s">
        <v>9</v>
      </c>
      <c r="I3071" t="s">
        <v>640</v>
      </c>
      <c r="J3071" t="s">
        <v>706</v>
      </c>
    </row>
    <row r="3072" spans="1:10">
      <c r="A3072">
        <v>53071</v>
      </c>
      <c r="B3072">
        <v>31751</v>
      </c>
      <c r="C3072" t="s">
        <v>462</v>
      </c>
      <c r="D3072">
        <v>2239</v>
      </c>
      <c r="E3072">
        <v>1003</v>
      </c>
      <c r="F3072">
        <v>1</v>
      </c>
      <c r="G3072" t="s">
        <v>1471</v>
      </c>
      <c r="H3072" t="s">
        <v>9</v>
      </c>
      <c r="I3072" t="s">
        <v>624</v>
      </c>
      <c r="J3072" t="s">
        <v>1131</v>
      </c>
    </row>
    <row r="3073" spans="1:10">
      <c r="A3073">
        <v>53072</v>
      </c>
      <c r="B3073">
        <v>31752</v>
      </c>
      <c r="C3073" t="s">
        <v>58</v>
      </c>
      <c r="D3073">
        <v>2466</v>
      </c>
      <c r="E3073">
        <v>1001</v>
      </c>
      <c r="F3073">
        <v>1</v>
      </c>
      <c r="G3073" t="s">
        <v>1469</v>
      </c>
      <c r="H3073" t="s">
        <v>1462</v>
      </c>
      <c r="I3073" t="s">
        <v>935</v>
      </c>
      <c r="J3073" t="s">
        <v>670</v>
      </c>
    </row>
    <row r="3074" spans="1:10">
      <c r="A3074">
        <v>53073</v>
      </c>
      <c r="B3074">
        <v>31753</v>
      </c>
      <c r="C3074" t="s">
        <v>934</v>
      </c>
      <c r="D3074">
        <v>2176</v>
      </c>
      <c r="E3074">
        <v>1014</v>
      </c>
      <c r="F3074">
        <v>4</v>
      </c>
      <c r="G3074" t="s">
        <v>1518</v>
      </c>
      <c r="H3074" t="s">
        <v>9</v>
      </c>
      <c r="I3074" t="s">
        <v>873</v>
      </c>
      <c r="J3074" t="s">
        <v>490</v>
      </c>
    </row>
    <row r="3075" spans="1:10">
      <c r="A3075">
        <v>53074</v>
      </c>
      <c r="B3075">
        <v>31753</v>
      </c>
      <c r="C3075" t="s">
        <v>968</v>
      </c>
      <c r="D3075">
        <v>2176</v>
      </c>
      <c r="E3075">
        <v>1013</v>
      </c>
      <c r="F3075">
        <v>1</v>
      </c>
      <c r="G3075" t="s">
        <v>1474</v>
      </c>
      <c r="H3075" t="s">
        <v>9</v>
      </c>
      <c r="I3075" t="s">
        <v>1286</v>
      </c>
      <c r="J3075" t="s">
        <v>470</v>
      </c>
    </row>
    <row r="3076" spans="1:10">
      <c r="A3076">
        <v>53075</v>
      </c>
      <c r="B3076">
        <v>31754</v>
      </c>
      <c r="C3076" t="s">
        <v>918</v>
      </c>
      <c r="D3076">
        <v>2161</v>
      </c>
      <c r="E3076">
        <v>1005</v>
      </c>
      <c r="F3076">
        <v>1</v>
      </c>
      <c r="G3076" t="s">
        <v>1456</v>
      </c>
      <c r="H3076" t="s">
        <v>11</v>
      </c>
      <c r="I3076" t="s">
        <v>470</v>
      </c>
      <c r="J3076" t="s">
        <v>130</v>
      </c>
    </row>
    <row r="3077" spans="1:10">
      <c r="A3077">
        <v>53076</v>
      </c>
      <c r="B3077">
        <v>31755</v>
      </c>
      <c r="C3077" t="s">
        <v>731</v>
      </c>
      <c r="D3077">
        <v>2550</v>
      </c>
      <c r="E3077">
        <v>1003</v>
      </c>
      <c r="F3077">
        <v>3</v>
      </c>
      <c r="G3077" t="s">
        <v>1507</v>
      </c>
      <c r="H3077" t="s">
        <v>9</v>
      </c>
      <c r="I3077" t="s">
        <v>1164</v>
      </c>
      <c r="J3077" t="s">
        <v>878</v>
      </c>
    </row>
    <row r="3078" spans="1:10">
      <c r="A3078">
        <v>53077</v>
      </c>
      <c r="B3078">
        <v>31756</v>
      </c>
      <c r="C3078" t="s">
        <v>166</v>
      </c>
      <c r="D3078">
        <v>2399</v>
      </c>
      <c r="E3078">
        <v>1007</v>
      </c>
      <c r="F3078">
        <v>4</v>
      </c>
      <c r="G3078" t="s">
        <v>1504</v>
      </c>
      <c r="H3078" t="s">
        <v>11</v>
      </c>
      <c r="I3078" t="s">
        <v>72</v>
      </c>
      <c r="J3078" t="s">
        <v>581</v>
      </c>
    </row>
    <row r="3079" spans="1:10">
      <c r="A3079">
        <v>53078</v>
      </c>
      <c r="B3079">
        <v>31756</v>
      </c>
      <c r="C3079" t="s">
        <v>473</v>
      </c>
      <c r="D3079">
        <v>2399</v>
      </c>
      <c r="E3079">
        <v>1005</v>
      </c>
      <c r="F3079">
        <v>1</v>
      </c>
      <c r="G3079" t="s">
        <v>1456</v>
      </c>
      <c r="H3079" t="s">
        <v>11</v>
      </c>
      <c r="I3079" t="s">
        <v>489</v>
      </c>
      <c r="J3079" t="s">
        <v>1012</v>
      </c>
    </row>
    <row r="3080" spans="1:10">
      <c r="A3080">
        <v>53079</v>
      </c>
      <c r="B3080">
        <v>31757</v>
      </c>
      <c r="C3080" t="s">
        <v>506</v>
      </c>
      <c r="D3080">
        <v>2211</v>
      </c>
      <c r="E3080">
        <v>1016</v>
      </c>
      <c r="F3080">
        <v>2</v>
      </c>
      <c r="G3080" t="s">
        <v>1500</v>
      </c>
      <c r="H3080" t="s">
        <v>9</v>
      </c>
      <c r="I3080" t="s">
        <v>358</v>
      </c>
      <c r="J3080" t="s">
        <v>255</v>
      </c>
    </row>
    <row r="3081" spans="1:10">
      <c r="A3081">
        <v>53080</v>
      </c>
      <c r="B3081">
        <v>31758</v>
      </c>
      <c r="C3081" t="s">
        <v>1263</v>
      </c>
      <c r="D3081">
        <v>2163</v>
      </c>
      <c r="E3081">
        <v>1010</v>
      </c>
      <c r="F3081">
        <v>2</v>
      </c>
      <c r="G3081" t="s">
        <v>1483</v>
      </c>
      <c r="H3081" t="s">
        <v>9</v>
      </c>
      <c r="I3081" t="s">
        <v>1283</v>
      </c>
      <c r="J3081" t="s">
        <v>752</v>
      </c>
    </row>
    <row r="3082" spans="1:10">
      <c r="A3082">
        <v>53081</v>
      </c>
      <c r="B3082">
        <v>31759</v>
      </c>
      <c r="C3082" t="s">
        <v>589</v>
      </c>
      <c r="D3082">
        <v>2208</v>
      </c>
      <c r="E3082">
        <v>1015</v>
      </c>
      <c r="F3082">
        <v>1</v>
      </c>
      <c r="G3082" t="s">
        <v>1478</v>
      </c>
      <c r="H3082" t="s">
        <v>9</v>
      </c>
      <c r="I3082" t="s">
        <v>224</v>
      </c>
      <c r="J3082" t="s">
        <v>968</v>
      </c>
    </row>
    <row r="3083" spans="1:10">
      <c r="A3083">
        <v>53082</v>
      </c>
      <c r="B3083">
        <v>31760</v>
      </c>
      <c r="C3083" t="s">
        <v>884</v>
      </c>
      <c r="D3083">
        <v>2283</v>
      </c>
      <c r="E3083">
        <v>1005</v>
      </c>
      <c r="F3083">
        <v>2</v>
      </c>
      <c r="G3083" t="s">
        <v>1458</v>
      </c>
      <c r="H3083" t="s">
        <v>9</v>
      </c>
      <c r="I3083" t="s">
        <v>846</v>
      </c>
      <c r="J3083" t="s">
        <v>1200</v>
      </c>
    </row>
    <row r="3084" spans="1:10">
      <c r="A3084">
        <v>53083</v>
      </c>
      <c r="B3084">
        <v>31760</v>
      </c>
      <c r="C3084" t="s">
        <v>884</v>
      </c>
      <c r="D3084">
        <v>2283</v>
      </c>
      <c r="E3084">
        <v>1015</v>
      </c>
      <c r="F3084">
        <v>4</v>
      </c>
      <c r="G3084" t="s">
        <v>1521</v>
      </c>
      <c r="H3084" t="s">
        <v>9</v>
      </c>
      <c r="I3084" t="s">
        <v>511</v>
      </c>
      <c r="J3084" t="s">
        <v>707</v>
      </c>
    </row>
    <row r="3085" spans="1:10">
      <c r="A3085">
        <v>53084</v>
      </c>
      <c r="B3085">
        <v>31761</v>
      </c>
      <c r="C3085" t="s">
        <v>110</v>
      </c>
      <c r="D3085">
        <v>2066</v>
      </c>
      <c r="E3085">
        <v>1008</v>
      </c>
      <c r="F3085">
        <v>1</v>
      </c>
      <c r="G3085" t="s">
        <v>1447</v>
      </c>
      <c r="H3085" t="s">
        <v>16</v>
      </c>
      <c r="I3085" t="s">
        <v>1421</v>
      </c>
      <c r="J3085" t="s">
        <v>1421</v>
      </c>
    </row>
    <row r="3086" spans="1:10">
      <c r="A3086">
        <v>53085</v>
      </c>
      <c r="B3086">
        <v>31762</v>
      </c>
      <c r="C3086" t="s">
        <v>731</v>
      </c>
      <c r="D3086">
        <v>2583</v>
      </c>
      <c r="E3086">
        <v>1015</v>
      </c>
      <c r="F3086">
        <v>1</v>
      </c>
      <c r="G3086" t="s">
        <v>1478</v>
      </c>
      <c r="H3086" t="s">
        <v>12</v>
      </c>
      <c r="I3086" t="s">
        <v>1421</v>
      </c>
      <c r="J3086" t="s">
        <v>1421</v>
      </c>
    </row>
    <row r="3087" spans="1:10">
      <c r="A3087">
        <v>53086</v>
      </c>
      <c r="B3087">
        <v>31763</v>
      </c>
      <c r="C3087" t="s">
        <v>135</v>
      </c>
      <c r="D3087">
        <v>2474</v>
      </c>
      <c r="E3087">
        <v>1003</v>
      </c>
      <c r="F3087">
        <v>3</v>
      </c>
      <c r="G3087" t="s">
        <v>1507</v>
      </c>
      <c r="H3087" t="s">
        <v>9</v>
      </c>
      <c r="I3087" t="s">
        <v>680</v>
      </c>
      <c r="J3087" t="s">
        <v>1221</v>
      </c>
    </row>
    <row r="3088" spans="1:10">
      <c r="A3088">
        <v>53087</v>
      </c>
      <c r="B3088">
        <v>31763</v>
      </c>
      <c r="C3088" t="s">
        <v>404</v>
      </c>
      <c r="D3088">
        <v>2474</v>
      </c>
      <c r="E3088">
        <v>1010</v>
      </c>
      <c r="F3088">
        <v>1</v>
      </c>
      <c r="G3088" t="s">
        <v>1468</v>
      </c>
      <c r="H3088" t="s">
        <v>9</v>
      </c>
      <c r="I3088" t="s">
        <v>540</v>
      </c>
      <c r="J3088" t="s">
        <v>1136</v>
      </c>
    </row>
    <row r="3089" spans="1:10">
      <c r="A3089">
        <v>53088</v>
      </c>
      <c r="B3089">
        <v>31763</v>
      </c>
      <c r="C3089" t="s">
        <v>531</v>
      </c>
      <c r="D3089">
        <v>2474</v>
      </c>
      <c r="E3089">
        <v>1015</v>
      </c>
      <c r="F3089">
        <v>1</v>
      </c>
      <c r="G3089" t="s">
        <v>1478</v>
      </c>
      <c r="H3089" t="s">
        <v>9</v>
      </c>
      <c r="I3089" t="s">
        <v>540</v>
      </c>
      <c r="J3089" t="s">
        <v>1062</v>
      </c>
    </row>
    <row r="3090" spans="1:10">
      <c r="A3090">
        <v>53089</v>
      </c>
      <c r="B3090">
        <v>31764</v>
      </c>
      <c r="C3090" t="s">
        <v>371</v>
      </c>
      <c r="D3090">
        <v>2356</v>
      </c>
      <c r="E3090">
        <v>1010</v>
      </c>
      <c r="F3090">
        <v>1</v>
      </c>
      <c r="G3090" t="s">
        <v>1468</v>
      </c>
      <c r="H3090" t="s">
        <v>9</v>
      </c>
      <c r="I3090" t="s">
        <v>360</v>
      </c>
      <c r="J3090" t="s">
        <v>344</v>
      </c>
    </row>
    <row r="3091" spans="1:10">
      <c r="A3091">
        <v>53090</v>
      </c>
      <c r="B3091">
        <v>31764</v>
      </c>
      <c r="C3091" t="s">
        <v>359</v>
      </c>
      <c r="D3091">
        <v>2356</v>
      </c>
      <c r="E3091">
        <v>1013</v>
      </c>
      <c r="F3091">
        <v>1</v>
      </c>
      <c r="G3091" t="s">
        <v>1474</v>
      </c>
      <c r="H3091" t="s">
        <v>9</v>
      </c>
      <c r="I3091" t="s">
        <v>195</v>
      </c>
      <c r="J3091" t="s">
        <v>983</v>
      </c>
    </row>
    <row r="3092" spans="1:10">
      <c r="A3092">
        <v>53091</v>
      </c>
      <c r="B3092">
        <v>31764</v>
      </c>
      <c r="C3092" t="s">
        <v>359</v>
      </c>
      <c r="D3092">
        <v>2356</v>
      </c>
      <c r="E3092">
        <v>1006</v>
      </c>
      <c r="F3092">
        <v>1</v>
      </c>
      <c r="G3092" t="s">
        <v>1459</v>
      </c>
      <c r="H3092" t="s">
        <v>9</v>
      </c>
      <c r="I3092" t="s">
        <v>952</v>
      </c>
      <c r="J3092" t="s">
        <v>221</v>
      </c>
    </row>
    <row r="3093" spans="1:10">
      <c r="A3093">
        <v>53092</v>
      </c>
      <c r="B3093">
        <v>31765</v>
      </c>
      <c r="C3093" t="s">
        <v>695</v>
      </c>
      <c r="D3093">
        <v>2426</v>
      </c>
      <c r="E3093">
        <v>1014</v>
      </c>
      <c r="F3093">
        <v>1</v>
      </c>
      <c r="G3093" t="s">
        <v>1463</v>
      </c>
      <c r="H3093" t="s">
        <v>9</v>
      </c>
      <c r="I3093" t="s">
        <v>574</v>
      </c>
      <c r="J3093" t="s">
        <v>1179</v>
      </c>
    </row>
    <row r="3094" spans="1:10">
      <c r="A3094">
        <v>53093</v>
      </c>
      <c r="B3094">
        <v>31765</v>
      </c>
      <c r="C3094" t="s">
        <v>575</v>
      </c>
      <c r="D3094">
        <v>2426</v>
      </c>
      <c r="E3094">
        <v>1015</v>
      </c>
      <c r="F3094">
        <v>1</v>
      </c>
      <c r="G3094" t="s">
        <v>1478</v>
      </c>
      <c r="H3094" t="s">
        <v>9</v>
      </c>
      <c r="I3094" t="s">
        <v>694</v>
      </c>
      <c r="J3094" t="s">
        <v>982</v>
      </c>
    </row>
    <row r="3095" spans="1:10">
      <c r="A3095">
        <v>53094</v>
      </c>
      <c r="B3095">
        <v>31766</v>
      </c>
      <c r="C3095" t="s">
        <v>851</v>
      </c>
      <c r="D3095">
        <v>2394</v>
      </c>
      <c r="E3095">
        <v>1006</v>
      </c>
      <c r="F3095">
        <v>1</v>
      </c>
      <c r="G3095" t="s">
        <v>1459</v>
      </c>
      <c r="H3095" t="s">
        <v>12</v>
      </c>
      <c r="I3095" t="s">
        <v>1421</v>
      </c>
      <c r="J3095" t="s">
        <v>1421</v>
      </c>
    </row>
    <row r="3096" spans="1:10">
      <c r="A3096">
        <v>53095</v>
      </c>
      <c r="B3096">
        <v>31767</v>
      </c>
      <c r="C3096" t="s">
        <v>915</v>
      </c>
      <c r="D3096">
        <v>2583</v>
      </c>
      <c r="E3096">
        <v>1002</v>
      </c>
      <c r="F3096">
        <v>1</v>
      </c>
      <c r="G3096" t="s">
        <v>1466</v>
      </c>
      <c r="H3096" t="s">
        <v>9</v>
      </c>
      <c r="I3096" t="s">
        <v>364</v>
      </c>
      <c r="J3096" t="s">
        <v>845</v>
      </c>
    </row>
    <row r="3097" spans="1:10">
      <c r="A3097">
        <v>53096</v>
      </c>
      <c r="B3097">
        <v>31767</v>
      </c>
      <c r="C3097" t="s">
        <v>84</v>
      </c>
      <c r="D3097">
        <v>2583</v>
      </c>
      <c r="E3097">
        <v>1008</v>
      </c>
      <c r="F3097">
        <v>2</v>
      </c>
      <c r="G3097" t="s">
        <v>1520</v>
      </c>
      <c r="H3097" t="s">
        <v>9</v>
      </c>
      <c r="I3097" t="s">
        <v>365</v>
      </c>
      <c r="J3097" t="s">
        <v>1036</v>
      </c>
    </row>
    <row r="3098" spans="1:10">
      <c r="A3098">
        <v>53097</v>
      </c>
      <c r="B3098">
        <v>31768</v>
      </c>
      <c r="C3098" t="s">
        <v>958</v>
      </c>
      <c r="D3098">
        <v>2162</v>
      </c>
      <c r="E3098">
        <v>1010</v>
      </c>
      <c r="F3098">
        <v>2</v>
      </c>
      <c r="G3098" t="s">
        <v>1483</v>
      </c>
      <c r="H3098" t="s">
        <v>9</v>
      </c>
      <c r="I3098" t="s">
        <v>20</v>
      </c>
      <c r="J3098" t="s">
        <v>1157</v>
      </c>
    </row>
    <row r="3099" spans="1:10">
      <c r="A3099">
        <v>53098</v>
      </c>
      <c r="B3099">
        <v>31769</v>
      </c>
      <c r="C3099" t="s">
        <v>1055</v>
      </c>
      <c r="D3099">
        <v>2069</v>
      </c>
      <c r="E3099">
        <v>1007</v>
      </c>
      <c r="F3099">
        <v>1</v>
      </c>
      <c r="G3099" t="s">
        <v>1421</v>
      </c>
      <c r="H3099" t="s">
        <v>9</v>
      </c>
      <c r="I3099" t="s">
        <v>476</v>
      </c>
      <c r="J3099" t="s">
        <v>320</v>
      </c>
    </row>
    <row r="3100" spans="1:10">
      <c r="A3100">
        <v>53099</v>
      </c>
      <c r="B3100">
        <v>31770</v>
      </c>
      <c r="C3100" t="s">
        <v>683</v>
      </c>
      <c r="D3100">
        <v>2506</v>
      </c>
      <c r="E3100">
        <v>1004</v>
      </c>
      <c r="F3100">
        <v>1</v>
      </c>
      <c r="G3100" t="s">
        <v>1452</v>
      </c>
      <c r="H3100" t="s">
        <v>9</v>
      </c>
      <c r="I3100" t="s">
        <v>860</v>
      </c>
      <c r="J3100" t="s">
        <v>1158</v>
      </c>
    </row>
    <row r="3101" spans="1:10">
      <c r="A3101">
        <v>53100</v>
      </c>
      <c r="B3101">
        <v>31770</v>
      </c>
      <c r="C3101" t="s">
        <v>249</v>
      </c>
      <c r="D3101">
        <v>2506</v>
      </c>
      <c r="E3101">
        <v>1012</v>
      </c>
      <c r="F3101">
        <v>2</v>
      </c>
      <c r="G3101" t="s">
        <v>1450</v>
      </c>
      <c r="H3101" t="s">
        <v>9</v>
      </c>
      <c r="I3101" t="s">
        <v>899</v>
      </c>
      <c r="J3101" t="s">
        <v>861</v>
      </c>
    </row>
    <row r="3102" spans="1:10">
      <c r="A3102">
        <v>53101</v>
      </c>
      <c r="B3102">
        <v>31770</v>
      </c>
      <c r="C3102" t="s">
        <v>205</v>
      </c>
      <c r="D3102">
        <v>2506</v>
      </c>
      <c r="E3102">
        <v>1003</v>
      </c>
      <c r="F3102">
        <v>1</v>
      </c>
      <c r="G3102" t="s">
        <v>1471</v>
      </c>
      <c r="H3102" t="s">
        <v>9</v>
      </c>
      <c r="I3102" t="s">
        <v>857</v>
      </c>
      <c r="J3102" t="s">
        <v>873</v>
      </c>
    </row>
    <row r="3103" spans="1:10">
      <c r="A3103">
        <v>53102</v>
      </c>
      <c r="B3103">
        <v>31771</v>
      </c>
      <c r="C3103" t="s">
        <v>1039</v>
      </c>
      <c r="D3103">
        <v>2108</v>
      </c>
      <c r="E3103">
        <v>1011</v>
      </c>
      <c r="F3103">
        <v>1</v>
      </c>
      <c r="G3103" t="s">
        <v>1472</v>
      </c>
      <c r="H3103" t="s">
        <v>9</v>
      </c>
      <c r="I3103" t="s">
        <v>946</v>
      </c>
      <c r="J3103" t="s">
        <v>1026</v>
      </c>
    </row>
    <row r="3104" spans="1:10">
      <c r="A3104">
        <v>53103</v>
      </c>
      <c r="B3104">
        <v>31772</v>
      </c>
      <c r="C3104" t="s">
        <v>769</v>
      </c>
      <c r="D3104">
        <v>2420</v>
      </c>
      <c r="E3104">
        <v>1009</v>
      </c>
      <c r="F3104">
        <v>1</v>
      </c>
      <c r="G3104" t="s">
        <v>1473</v>
      </c>
      <c r="H3104" t="s">
        <v>9</v>
      </c>
      <c r="I3104" t="s">
        <v>770</v>
      </c>
      <c r="J3104" t="s">
        <v>1057</v>
      </c>
    </row>
    <row r="3105" spans="1:10">
      <c r="A3105">
        <v>53104</v>
      </c>
      <c r="B3105">
        <v>31773</v>
      </c>
      <c r="C3105" t="s">
        <v>275</v>
      </c>
      <c r="D3105">
        <v>2213</v>
      </c>
      <c r="E3105">
        <v>1015</v>
      </c>
      <c r="F3105">
        <v>2</v>
      </c>
      <c r="G3105" t="s">
        <v>1488</v>
      </c>
      <c r="H3105" t="s">
        <v>9</v>
      </c>
      <c r="I3105" t="s">
        <v>1327</v>
      </c>
      <c r="J3105" t="s">
        <v>913</v>
      </c>
    </row>
    <row r="3106" spans="1:10">
      <c r="A3106">
        <v>53105</v>
      </c>
      <c r="B3106">
        <v>31774</v>
      </c>
      <c r="C3106" t="s">
        <v>178</v>
      </c>
      <c r="D3106">
        <v>2028</v>
      </c>
      <c r="E3106">
        <v>1015</v>
      </c>
      <c r="F3106">
        <v>1</v>
      </c>
      <c r="G3106" t="s">
        <v>1478</v>
      </c>
      <c r="H3106" t="s">
        <v>9</v>
      </c>
      <c r="I3106" t="s">
        <v>151</v>
      </c>
      <c r="J3106" t="s">
        <v>337</v>
      </c>
    </row>
    <row r="3107" spans="1:10">
      <c r="A3107">
        <v>53106</v>
      </c>
      <c r="B3107">
        <v>31775</v>
      </c>
      <c r="C3107" t="s">
        <v>827</v>
      </c>
      <c r="D3107">
        <v>2391</v>
      </c>
      <c r="E3107">
        <v>1013</v>
      </c>
      <c r="F3107">
        <v>2</v>
      </c>
      <c r="G3107" t="s">
        <v>1492</v>
      </c>
      <c r="H3107" t="s">
        <v>9</v>
      </c>
      <c r="I3107" t="s">
        <v>996</v>
      </c>
      <c r="J3107" t="s">
        <v>1198</v>
      </c>
    </row>
    <row r="3108" spans="1:10">
      <c r="A3108">
        <v>53107</v>
      </c>
      <c r="B3108">
        <v>31776</v>
      </c>
      <c r="C3108" t="s">
        <v>537</v>
      </c>
      <c r="D3108">
        <v>2200</v>
      </c>
      <c r="E3108">
        <v>1001</v>
      </c>
      <c r="F3108">
        <v>1</v>
      </c>
      <c r="G3108" t="s">
        <v>1469</v>
      </c>
      <c r="H3108" t="s">
        <v>9</v>
      </c>
      <c r="I3108" t="s">
        <v>538</v>
      </c>
      <c r="J3108" t="s">
        <v>447</v>
      </c>
    </row>
    <row r="3109" spans="1:10">
      <c r="A3109">
        <v>53108</v>
      </c>
      <c r="B3109">
        <v>31776</v>
      </c>
      <c r="C3109" t="s">
        <v>164</v>
      </c>
      <c r="D3109">
        <v>2200</v>
      </c>
      <c r="E3109">
        <v>1009</v>
      </c>
      <c r="F3109">
        <v>1</v>
      </c>
      <c r="G3109" t="s">
        <v>1473</v>
      </c>
      <c r="H3109" t="s">
        <v>9</v>
      </c>
      <c r="I3109" t="s">
        <v>1123</v>
      </c>
      <c r="J3109" t="s">
        <v>823</v>
      </c>
    </row>
    <row r="3110" spans="1:10">
      <c r="A3110">
        <v>53109</v>
      </c>
      <c r="B3110">
        <v>31776</v>
      </c>
      <c r="C3110" t="s">
        <v>1346</v>
      </c>
      <c r="D3110">
        <v>2200</v>
      </c>
      <c r="E3110">
        <v>1004</v>
      </c>
      <c r="F3110">
        <v>1</v>
      </c>
      <c r="G3110" t="s">
        <v>1452</v>
      </c>
      <c r="H3110" t="s">
        <v>9</v>
      </c>
      <c r="I3110" t="s">
        <v>821</v>
      </c>
      <c r="J3110" t="s">
        <v>311</v>
      </c>
    </row>
    <row r="3111" spans="1:10">
      <c r="A3111">
        <v>53110</v>
      </c>
      <c r="B3111">
        <v>31777</v>
      </c>
      <c r="C3111" t="s">
        <v>1053</v>
      </c>
      <c r="D3111">
        <v>2140</v>
      </c>
      <c r="E3111">
        <v>1015</v>
      </c>
      <c r="F3111">
        <v>1</v>
      </c>
      <c r="G3111" t="s">
        <v>1478</v>
      </c>
      <c r="H3111" t="s">
        <v>9</v>
      </c>
      <c r="I3111" t="s">
        <v>177</v>
      </c>
      <c r="J3111" t="s">
        <v>1107</v>
      </c>
    </row>
    <row r="3112" spans="1:10">
      <c r="A3112">
        <v>53111</v>
      </c>
      <c r="B3112">
        <v>31778</v>
      </c>
      <c r="C3112" t="s">
        <v>178</v>
      </c>
      <c r="D3112">
        <v>2497</v>
      </c>
      <c r="E3112">
        <v>1003</v>
      </c>
      <c r="F3112">
        <v>1</v>
      </c>
      <c r="G3112" t="s">
        <v>1471</v>
      </c>
      <c r="H3112" t="s">
        <v>9</v>
      </c>
      <c r="I3112" t="s">
        <v>540</v>
      </c>
      <c r="J3112" t="s">
        <v>541</v>
      </c>
    </row>
    <row r="3113" spans="1:10">
      <c r="A3113">
        <v>53112</v>
      </c>
      <c r="B3113">
        <v>31779</v>
      </c>
      <c r="C3113" t="s">
        <v>285</v>
      </c>
      <c r="D3113">
        <v>2562</v>
      </c>
      <c r="E3113">
        <v>1015</v>
      </c>
      <c r="F3113">
        <v>1</v>
      </c>
      <c r="G3113" t="s">
        <v>1478</v>
      </c>
      <c r="H3113" t="s">
        <v>9</v>
      </c>
      <c r="I3113" t="s">
        <v>1118</v>
      </c>
      <c r="J3113" t="s">
        <v>985</v>
      </c>
    </row>
    <row r="3114" spans="1:10">
      <c r="A3114">
        <v>53113</v>
      </c>
      <c r="B3114">
        <v>31780</v>
      </c>
      <c r="C3114" t="s">
        <v>502</v>
      </c>
      <c r="D3114">
        <v>2144</v>
      </c>
      <c r="E3114">
        <v>1009</v>
      </c>
      <c r="F3114">
        <v>1</v>
      </c>
      <c r="G3114" t="s">
        <v>1473</v>
      </c>
      <c r="H3114" t="s">
        <v>9</v>
      </c>
      <c r="I3114" t="s">
        <v>856</v>
      </c>
      <c r="J3114" t="s">
        <v>490</v>
      </c>
    </row>
    <row r="3115" spans="1:10">
      <c r="A3115">
        <v>53114</v>
      </c>
      <c r="B3115">
        <v>31780</v>
      </c>
      <c r="C3115" t="s">
        <v>539</v>
      </c>
      <c r="D3115">
        <v>2144</v>
      </c>
      <c r="E3115">
        <v>1006</v>
      </c>
      <c r="F3115">
        <v>5</v>
      </c>
      <c r="G3115" t="s">
        <v>1530</v>
      </c>
      <c r="H3115" t="s">
        <v>9</v>
      </c>
      <c r="I3115" t="s">
        <v>1107</v>
      </c>
      <c r="J3115" t="s">
        <v>874</v>
      </c>
    </row>
    <row r="3116" spans="1:10">
      <c r="A3116">
        <v>53115</v>
      </c>
      <c r="B3116">
        <v>31781</v>
      </c>
      <c r="C3116" t="s">
        <v>17</v>
      </c>
      <c r="D3116">
        <v>2175</v>
      </c>
      <c r="E3116">
        <v>1004</v>
      </c>
      <c r="F3116">
        <v>1</v>
      </c>
      <c r="G3116" t="s">
        <v>1452</v>
      </c>
      <c r="H3116" t="s">
        <v>16</v>
      </c>
      <c r="I3116" t="s">
        <v>983</v>
      </c>
      <c r="J3116" t="s">
        <v>1421</v>
      </c>
    </row>
    <row r="3117" spans="1:10">
      <c r="A3117">
        <v>53116</v>
      </c>
      <c r="B3117">
        <v>31782</v>
      </c>
      <c r="C3117" t="s">
        <v>1295</v>
      </c>
      <c r="D3117">
        <v>2128</v>
      </c>
      <c r="E3117">
        <v>1013</v>
      </c>
      <c r="F3117">
        <v>4</v>
      </c>
      <c r="G3117" t="s">
        <v>1523</v>
      </c>
      <c r="H3117" t="s">
        <v>9</v>
      </c>
      <c r="I3117" t="s">
        <v>1158</v>
      </c>
      <c r="J3117" t="s">
        <v>924</v>
      </c>
    </row>
    <row r="3118" spans="1:10">
      <c r="A3118">
        <v>53117</v>
      </c>
      <c r="B3118">
        <v>31782</v>
      </c>
      <c r="C3118" t="s">
        <v>1119</v>
      </c>
      <c r="D3118">
        <v>2128</v>
      </c>
      <c r="F3118">
        <v>1</v>
      </c>
      <c r="G3118" t="s">
        <v>1459</v>
      </c>
      <c r="H3118" t="s">
        <v>9</v>
      </c>
      <c r="I3118" t="s">
        <v>595</v>
      </c>
      <c r="J3118" t="s">
        <v>1083</v>
      </c>
    </row>
    <row r="3119" spans="1:10">
      <c r="A3119">
        <v>53118</v>
      </c>
      <c r="B3119">
        <v>31782</v>
      </c>
      <c r="C3119" t="s">
        <v>1119</v>
      </c>
      <c r="D3119">
        <v>2128</v>
      </c>
      <c r="E3119">
        <v>1003</v>
      </c>
      <c r="F3119">
        <v>3</v>
      </c>
      <c r="G3119" t="s">
        <v>1507</v>
      </c>
      <c r="H3119" t="s">
        <v>9</v>
      </c>
      <c r="I3119" t="s">
        <v>1309</v>
      </c>
      <c r="J3119" t="s">
        <v>46</v>
      </c>
    </row>
    <row r="3120" spans="1:10">
      <c r="A3120">
        <v>53119</v>
      </c>
      <c r="B3120">
        <v>31783</v>
      </c>
      <c r="C3120" t="s">
        <v>216</v>
      </c>
      <c r="D3120">
        <v>2012</v>
      </c>
      <c r="E3120">
        <v>1005</v>
      </c>
      <c r="F3120">
        <v>2</v>
      </c>
      <c r="G3120" t="s">
        <v>1458</v>
      </c>
      <c r="H3120" t="s">
        <v>9</v>
      </c>
      <c r="I3120" t="s">
        <v>603</v>
      </c>
      <c r="J3120" t="s">
        <v>1345</v>
      </c>
    </row>
    <row r="3121" spans="1:10">
      <c r="A3121">
        <v>53120</v>
      </c>
      <c r="B3121">
        <v>31784</v>
      </c>
      <c r="C3121" t="s">
        <v>839</v>
      </c>
      <c r="D3121">
        <v>2452</v>
      </c>
      <c r="E3121">
        <v>1007</v>
      </c>
      <c r="F3121">
        <v>3</v>
      </c>
      <c r="G3121" t="s">
        <v>1446</v>
      </c>
      <c r="H3121" t="s">
        <v>9</v>
      </c>
      <c r="I3121" t="s">
        <v>737</v>
      </c>
      <c r="J3121" t="s">
        <v>93</v>
      </c>
    </row>
    <row r="3122" spans="1:10">
      <c r="A3122">
        <v>53121</v>
      </c>
      <c r="B3122">
        <v>31785</v>
      </c>
      <c r="C3122" t="s">
        <v>416</v>
      </c>
      <c r="D3122">
        <v>2036</v>
      </c>
      <c r="E3122">
        <v>1007</v>
      </c>
      <c r="F3122">
        <v>1</v>
      </c>
      <c r="G3122" t="s">
        <v>1453</v>
      </c>
      <c r="H3122" t="s">
        <v>12</v>
      </c>
      <c r="I3122" t="s">
        <v>1421</v>
      </c>
      <c r="J3122" t="s">
        <v>1421</v>
      </c>
    </row>
    <row r="3123" spans="1:10">
      <c r="A3123">
        <v>53122</v>
      </c>
      <c r="B3123">
        <v>31786</v>
      </c>
      <c r="C3123" t="s">
        <v>985</v>
      </c>
      <c r="D3123">
        <v>2453</v>
      </c>
      <c r="E3123">
        <v>1004</v>
      </c>
      <c r="F3123">
        <v>3</v>
      </c>
      <c r="G3123" t="s">
        <v>1481</v>
      </c>
      <c r="H3123" t="s">
        <v>9</v>
      </c>
      <c r="I3123" t="s">
        <v>663</v>
      </c>
      <c r="J3123" t="s">
        <v>1128</v>
      </c>
    </row>
    <row r="3124" spans="1:10">
      <c r="A3124">
        <v>53123</v>
      </c>
      <c r="B3124">
        <v>31787</v>
      </c>
      <c r="C3124" t="s">
        <v>53</v>
      </c>
      <c r="D3124">
        <v>2400</v>
      </c>
      <c r="E3124">
        <v>1015</v>
      </c>
      <c r="F3124">
        <v>1</v>
      </c>
      <c r="G3124" t="s">
        <v>1478</v>
      </c>
      <c r="H3124" t="s">
        <v>9</v>
      </c>
      <c r="I3124" t="s">
        <v>244</v>
      </c>
      <c r="J3124" t="s">
        <v>970</v>
      </c>
    </row>
    <row r="3125" spans="1:10">
      <c r="A3125">
        <v>53124</v>
      </c>
      <c r="B3125">
        <v>31788</v>
      </c>
      <c r="C3125" t="s">
        <v>1349</v>
      </c>
      <c r="D3125">
        <v>2054</v>
      </c>
      <c r="E3125">
        <v>1002</v>
      </c>
      <c r="F3125">
        <v>4</v>
      </c>
      <c r="G3125" t="s">
        <v>1451</v>
      </c>
      <c r="H3125" t="s">
        <v>9</v>
      </c>
      <c r="I3125" t="s">
        <v>264</v>
      </c>
      <c r="J3125" t="s">
        <v>45</v>
      </c>
    </row>
    <row r="3126" spans="1:10">
      <c r="A3126">
        <v>53125</v>
      </c>
      <c r="B3126">
        <v>31789</v>
      </c>
      <c r="C3126" t="s">
        <v>861</v>
      </c>
      <c r="D3126">
        <v>2387</v>
      </c>
      <c r="E3126">
        <v>1008</v>
      </c>
      <c r="F3126">
        <v>3</v>
      </c>
      <c r="G3126" t="s">
        <v>1491</v>
      </c>
      <c r="H3126" t="s">
        <v>16</v>
      </c>
      <c r="I3126" t="s">
        <v>1421</v>
      </c>
      <c r="J3126" t="s">
        <v>1421</v>
      </c>
    </row>
    <row r="3127" spans="1:10">
      <c r="A3127">
        <v>53126</v>
      </c>
      <c r="B3127">
        <v>31790</v>
      </c>
      <c r="C3127" t="s">
        <v>1247</v>
      </c>
      <c r="D3127">
        <v>2245</v>
      </c>
      <c r="E3127">
        <v>1001</v>
      </c>
      <c r="F3127">
        <v>2</v>
      </c>
      <c r="G3127" t="s">
        <v>1460</v>
      </c>
      <c r="H3127" t="s">
        <v>9</v>
      </c>
      <c r="I3127" t="s">
        <v>1339</v>
      </c>
      <c r="J3127" t="s">
        <v>1094</v>
      </c>
    </row>
    <row r="3128" spans="1:10">
      <c r="A3128">
        <v>53127</v>
      </c>
      <c r="B3128">
        <v>31790</v>
      </c>
      <c r="C3128" t="s">
        <v>1241</v>
      </c>
      <c r="D3128">
        <v>2245</v>
      </c>
      <c r="E3128">
        <v>1014</v>
      </c>
      <c r="F3128">
        <v>1</v>
      </c>
      <c r="G3128" t="s">
        <v>1463</v>
      </c>
      <c r="H3128" t="s">
        <v>9</v>
      </c>
      <c r="I3128" t="s">
        <v>568</v>
      </c>
      <c r="J3128" t="s">
        <v>824</v>
      </c>
    </row>
    <row r="3129" spans="1:10">
      <c r="A3129">
        <v>53128</v>
      </c>
      <c r="B3129">
        <v>31791</v>
      </c>
      <c r="C3129" t="s">
        <v>205</v>
      </c>
      <c r="D3129">
        <v>2029</v>
      </c>
      <c r="E3129">
        <v>1011</v>
      </c>
      <c r="F3129">
        <v>2</v>
      </c>
      <c r="G3129" t="s">
        <v>1487</v>
      </c>
      <c r="H3129" t="s">
        <v>1524</v>
      </c>
      <c r="I3129" t="s">
        <v>502</v>
      </c>
      <c r="J3129" t="s">
        <v>1210</v>
      </c>
    </row>
    <row r="3130" spans="1:10">
      <c r="A3130">
        <v>53129</v>
      </c>
      <c r="B3130">
        <v>31792</v>
      </c>
      <c r="C3130" t="s">
        <v>135</v>
      </c>
      <c r="D3130">
        <v>2197</v>
      </c>
      <c r="E3130">
        <v>1003</v>
      </c>
      <c r="F3130">
        <v>1</v>
      </c>
      <c r="G3130" t="s">
        <v>1471</v>
      </c>
      <c r="H3130" t="s">
        <v>9</v>
      </c>
      <c r="I3130" t="s">
        <v>177</v>
      </c>
      <c r="J3130" t="s">
        <v>343</v>
      </c>
    </row>
    <row r="3131" spans="1:10">
      <c r="A3131">
        <v>53130</v>
      </c>
      <c r="B3131">
        <v>31793</v>
      </c>
      <c r="C3131" t="s">
        <v>961</v>
      </c>
      <c r="D3131">
        <v>2226</v>
      </c>
      <c r="E3131">
        <v>1004</v>
      </c>
      <c r="F3131">
        <v>2</v>
      </c>
      <c r="G3131" t="s">
        <v>1476</v>
      </c>
      <c r="H3131" t="s">
        <v>11</v>
      </c>
      <c r="I3131" t="s">
        <v>371</v>
      </c>
      <c r="J3131" t="s">
        <v>952</v>
      </c>
    </row>
    <row r="3132" spans="1:10">
      <c r="A3132">
        <v>53131</v>
      </c>
      <c r="B3132">
        <v>31794</v>
      </c>
      <c r="C3132" t="s">
        <v>673</v>
      </c>
      <c r="D3132">
        <v>2172</v>
      </c>
      <c r="E3132">
        <v>1002</v>
      </c>
      <c r="F3132">
        <v>4</v>
      </c>
      <c r="G3132" t="s">
        <v>1451</v>
      </c>
      <c r="H3132" t="s">
        <v>9</v>
      </c>
      <c r="I3132" t="s">
        <v>450</v>
      </c>
      <c r="J3132" t="s">
        <v>521</v>
      </c>
    </row>
    <row r="3133" spans="1:10">
      <c r="A3133">
        <v>53132</v>
      </c>
      <c r="B3133">
        <v>31794</v>
      </c>
      <c r="C3133" t="s">
        <v>534</v>
      </c>
      <c r="D3133">
        <v>2172</v>
      </c>
      <c r="E3133">
        <v>1014</v>
      </c>
      <c r="F3133">
        <v>1</v>
      </c>
      <c r="G3133" t="s">
        <v>1463</v>
      </c>
      <c r="H3133" t="s">
        <v>9</v>
      </c>
      <c r="I3133" t="s">
        <v>510</v>
      </c>
      <c r="J3133" t="s">
        <v>893</v>
      </c>
    </row>
    <row r="3134" spans="1:10">
      <c r="A3134">
        <v>53133</v>
      </c>
      <c r="B3134">
        <v>31795</v>
      </c>
      <c r="C3134" t="s">
        <v>754</v>
      </c>
      <c r="D3134">
        <v>2525</v>
      </c>
      <c r="E3134">
        <v>1011</v>
      </c>
      <c r="F3134">
        <v>4</v>
      </c>
      <c r="G3134" t="s">
        <v>1499</v>
      </c>
      <c r="H3134" t="s">
        <v>9</v>
      </c>
      <c r="I3134" t="s">
        <v>421</v>
      </c>
      <c r="J3134" t="s">
        <v>331</v>
      </c>
    </row>
    <row r="3135" spans="1:10">
      <c r="A3135">
        <v>53134</v>
      </c>
      <c r="B3135">
        <v>31796</v>
      </c>
      <c r="C3135" t="s">
        <v>1314</v>
      </c>
      <c r="D3135">
        <v>2331</v>
      </c>
      <c r="E3135">
        <v>1007</v>
      </c>
      <c r="F3135">
        <v>1</v>
      </c>
      <c r="G3135" t="s">
        <v>1453</v>
      </c>
      <c r="H3135" t="s">
        <v>9</v>
      </c>
      <c r="I3135" t="s">
        <v>110</v>
      </c>
      <c r="J3135" t="s">
        <v>694</v>
      </c>
    </row>
    <row r="3136" spans="1:10">
      <c r="A3136">
        <v>53135</v>
      </c>
      <c r="B3136">
        <v>31796</v>
      </c>
      <c r="C3136" t="s">
        <v>1258</v>
      </c>
      <c r="D3136">
        <v>2331</v>
      </c>
      <c r="E3136">
        <v>1007</v>
      </c>
      <c r="F3136">
        <v>2</v>
      </c>
      <c r="G3136" t="s">
        <v>1455</v>
      </c>
      <c r="H3136" t="s">
        <v>9</v>
      </c>
      <c r="I3136" t="s">
        <v>117</v>
      </c>
      <c r="J3136" t="s">
        <v>1298</v>
      </c>
    </row>
    <row r="3137" spans="1:10">
      <c r="A3137">
        <v>53136</v>
      </c>
      <c r="B3137">
        <v>31797</v>
      </c>
      <c r="C3137" t="s">
        <v>245</v>
      </c>
      <c r="D3137">
        <v>2555</v>
      </c>
      <c r="E3137">
        <v>1014</v>
      </c>
      <c r="F3137">
        <v>1</v>
      </c>
      <c r="G3137" t="s">
        <v>1463</v>
      </c>
      <c r="H3137" t="s">
        <v>9</v>
      </c>
      <c r="I3137" t="s">
        <v>295</v>
      </c>
      <c r="J3137" t="s">
        <v>25</v>
      </c>
    </row>
    <row r="3138" spans="1:10">
      <c r="A3138">
        <v>53137</v>
      </c>
      <c r="B3138">
        <v>31797</v>
      </c>
      <c r="C3138" t="s">
        <v>1256</v>
      </c>
      <c r="D3138">
        <v>2555</v>
      </c>
      <c r="E3138">
        <v>1004</v>
      </c>
      <c r="F3138">
        <v>1</v>
      </c>
      <c r="G3138" t="s">
        <v>1452</v>
      </c>
      <c r="H3138" t="s">
        <v>9</v>
      </c>
      <c r="I3138" t="s">
        <v>453</v>
      </c>
      <c r="J3138" t="s">
        <v>301</v>
      </c>
    </row>
    <row r="3139" spans="1:10">
      <c r="A3139">
        <v>53138</v>
      </c>
      <c r="B3139">
        <v>31798</v>
      </c>
      <c r="C3139" t="s">
        <v>1108</v>
      </c>
      <c r="D3139">
        <v>2238</v>
      </c>
      <c r="E3139">
        <v>1012</v>
      </c>
      <c r="F3139">
        <v>1</v>
      </c>
      <c r="G3139" t="s">
        <v>1449</v>
      </c>
      <c r="H3139" t="s">
        <v>9</v>
      </c>
      <c r="I3139" t="s">
        <v>560</v>
      </c>
      <c r="J3139" t="s">
        <v>61</v>
      </c>
    </row>
    <row r="3140" spans="1:10">
      <c r="A3140">
        <v>53139</v>
      </c>
      <c r="B3140">
        <v>31799</v>
      </c>
      <c r="C3140" t="s">
        <v>128</v>
      </c>
      <c r="D3140">
        <v>2332</v>
      </c>
      <c r="E3140">
        <v>1013</v>
      </c>
      <c r="F3140">
        <v>1</v>
      </c>
      <c r="G3140" t="s">
        <v>1474</v>
      </c>
      <c r="H3140" t="s">
        <v>9</v>
      </c>
      <c r="I3140" t="s">
        <v>23</v>
      </c>
      <c r="J3140" t="s">
        <v>631</v>
      </c>
    </row>
    <row r="3141" spans="1:10">
      <c r="A3141">
        <v>53140</v>
      </c>
      <c r="B3141">
        <v>31800</v>
      </c>
      <c r="C3141" t="s">
        <v>1032</v>
      </c>
      <c r="D3141">
        <v>2324</v>
      </c>
      <c r="E3141">
        <v>1007</v>
      </c>
      <c r="F3141">
        <v>1</v>
      </c>
      <c r="G3141" t="s">
        <v>1453</v>
      </c>
      <c r="H3141" t="s">
        <v>9</v>
      </c>
      <c r="I3141" t="s">
        <v>1322</v>
      </c>
      <c r="J3141" t="s">
        <v>212</v>
      </c>
    </row>
    <row r="3142" spans="1:10">
      <c r="A3142">
        <v>53141</v>
      </c>
      <c r="B3142">
        <v>31800</v>
      </c>
      <c r="C3142" t="s">
        <v>203</v>
      </c>
      <c r="D3142">
        <v>2324</v>
      </c>
      <c r="E3142">
        <v>1015</v>
      </c>
      <c r="F3142">
        <v>3</v>
      </c>
      <c r="G3142" t="s">
        <v>1470</v>
      </c>
      <c r="H3142" t="s">
        <v>9</v>
      </c>
      <c r="I3142" t="s">
        <v>1322</v>
      </c>
      <c r="J3142" t="s">
        <v>1199</v>
      </c>
    </row>
    <row r="3143" spans="1:10">
      <c r="A3143">
        <v>51549</v>
      </c>
      <c r="B3143">
        <v>30901</v>
      </c>
      <c r="C3143" t="s">
        <v>467</v>
      </c>
      <c r="D3143">
        <v>2223</v>
      </c>
      <c r="E3143">
        <v>1010</v>
      </c>
      <c r="F3143">
        <v>2</v>
      </c>
      <c r="G3143" t="s">
        <v>1483</v>
      </c>
      <c r="H3143" t="s">
        <v>9</v>
      </c>
      <c r="I3143" t="s">
        <v>15</v>
      </c>
      <c r="J3143" t="s">
        <v>1192</v>
      </c>
    </row>
    <row r="3144" spans="1:10">
      <c r="A3144">
        <v>50764</v>
      </c>
      <c r="B3144">
        <v>30431</v>
      </c>
      <c r="C3144" t="s">
        <v>308</v>
      </c>
      <c r="D3144">
        <v>2269</v>
      </c>
      <c r="E3144">
        <v>1013</v>
      </c>
      <c r="F3144">
        <v>1</v>
      </c>
      <c r="G3144" t="s">
        <v>1474</v>
      </c>
      <c r="H3144" t="s">
        <v>9</v>
      </c>
      <c r="I3144" t="s">
        <v>1044</v>
      </c>
      <c r="J3144" t="s">
        <v>1069</v>
      </c>
    </row>
    <row r="3145" spans="1:10">
      <c r="A3145">
        <v>50921</v>
      </c>
      <c r="B3145">
        <v>30521</v>
      </c>
      <c r="C3145" t="s">
        <v>650</v>
      </c>
      <c r="D3145">
        <v>2449</v>
      </c>
      <c r="E3145">
        <v>1014</v>
      </c>
      <c r="F3145">
        <v>4</v>
      </c>
      <c r="G3145" t="s">
        <v>1518</v>
      </c>
      <c r="H3145" t="s">
        <v>9</v>
      </c>
      <c r="I3145" t="s">
        <v>1126</v>
      </c>
      <c r="J3145" t="s">
        <v>1127</v>
      </c>
    </row>
    <row r="3146" spans="1:10">
      <c r="A3146">
        <v>52791</v>
      </c>
      <c r="B3146">
        <v>31600</v>
      </c>
      <c r="C3146" t="s">
        <v>152</v>
      </c>
      <c r="D3146">
        <v>2311</v>
      </c>
      <c r="E3146">
        <v>1001</v>
      </c>
      <c r="F3146">
        <v>1</v>
      </c>
      <c r="G3146" t="s">
        <v>1469</v>
      </c>
      <c r="H3146" t="s">
        <v>9</v>
      </c>
      <c r="I3146" t="s">
        <v>759</v>
      </c>
      <c r="J3146" t="s">
        <v>325</v>
      </c>
    </row>
    <row r="3147" spans="1:10">
      <c r="A3147">
        <v>50211</v>
      </c>
      <c r="B3147">
        <v>30121</v>
      </c>
      <c r="C3147" t="s">
        <v>591</v>
      </c>
      <c r="D3147">
        <v>2476</v>
      </c>
      <c r="E3147">
        <v>1016</v>
      </c>
      <c r="F3147">
        <v>1</v>
      </c>
      <c r="G3147" t="s">
        <v>1465</v>
      </c>
      <c r="H3147" t="s">
        <v>11</v>
      </c>
      <c r="I3147" t="s">
        <v>445</v>
      </c>
      <c r="J3147" t="s">
        <v>592</v>
      </c>
    </row>
    <row r="3148" spans="1:10">
      <c r="A3148">
        <v>52056</v>
      </c>
      <c r="B3148">
        <v>31193</v>
      </c>
      <c r="C3148" t="s">
        <v>801</v>
      </c>
      <c r="D3148">
        <v>2109</v>
      </c>
      <c r="E3148">
        <v>1009</v>
      </c>
      <c r="F3148">
        <v>1</v>
      </c>
      <c r="G3148" t="s">
        <v>1473</v>
      </c>
      <c r="H3148" t="s">
        <v>12</v>
      </c>
      <c r="I3148" t="s">
        <v>1421</v>
      </c>
      <c r="J3148" t="s">
        <v>1421</v>
      </c>
    </row>
    <row r="3149" spans="1:10">
      <c r="A3149">
        <v>51431</v>
      </c>
      <c r="B3149">
        <v>30829</v>
      </c>
      <c r="C3149" t="s">
        <v>1204</v>
      </c>
      <c r="D3149">
        <v>2078</v>
      </c>
      <c r="E3149">
        <v>1011</v>
      </c>
      <c r="F3149">
        <v>1</v>
      </c>
      <c r="G3149" t="s">
        <v>1472</v>
      </c>
      <c r="H3149" t="s">
        <v>9</v>
      </c>
      <c r="I3149" t="s">
        <v>439</v>
      </c>
      <c r="J3149" t="s">
        <v>519</v>
      </c>
    </row>
    <row r="3150" spans="1:10">
      <c r="A3150">
        <v>51322</v>
      </c>
      <c r="B3150">
        <v>30766</v>
      </c>
      <c r="C3150" t="s">
        <v>922</v>
      </c>
      <c r="D3150">
        <v>2106</v>
      </c>
      <c r="E3150">
        <v>1009</v>
      </c>
      <c r="F3150">
        <v>1</v>
      </c>
      <c r="G3150" t="s">
        <v>1473</v>
      </c>
      <c r="H3150" t="s">
        <v>9</v>
      </c>
      <c r="I3150" t="s">
        <v>192</v>
      </c>
      <c r="J3150" t="s">
        <v>661</v>
      </c>
    </row>
    <row r="3151" spans="1:10">
      <c r="A3151">
        <v>50119</v>
      </c>
      <c r="B3151">
        <v>30070</v>
      </c>
      <c r="C3151" t="s">
        <v>54</v>
      </c>
      <c r="D3151">
        <v>2058</v>
      </c>
      <c r="E3151">
        <v>1003</v>
      </c>
      <c r="F3151">
        <v>2</v>
      </c>
      <c r="G3151" t="s">
        <v>1464</v>
      </c>
      <c r="H3151" t="s">
        <v>9</v>
      </c>
      <c r="I3151" t="s">
        <v>457</v>
      </c>
      <c r="J3151" t="s">
        <v>281</v>
      </c>
    </row>
    <row r="3152" spans="1:10">
      <c r="A3152">
        <v>50266</v>
      </c>
      <c r="B3152">
        <v>30150</v>
      </c>
      <c r="C3152" t="s">
        <v>384</v>
      </c>
      <c r="D3152">
        <v>2143</v>
      </c>
      <c r="E3152">
        <v>1016</v>
      </c>
      <c r="F3152">
        <v>1</v>
      </c>
      <c r="G3152" t="s">
        <v>1465</v>
      </c>
      <c r="H3152" t="s">
        <v>9</v>
      </c>
      <c r="I3152" t="s">
        <v>96</v>
      </c>
      <c r="J3152" t="s">
        <v>74</v>
      </c>
    </row>
    <row r="3153" spans="1:10">
      <c r="A3153">
        <v>51873</v>
      </c>
      <c r="B3153">
        <v>31084</v>
      </c>
      <c r="C3153" t="s">
        <v>347</v>
      </c>
      <c r="D3153">
        <v>2222</v>
      </c>
      <c r="E3153">
        <v>1006</v>
      </c>
      <c r="F3153">
        <v>1</v>
      </c>
      <c r="G3153" t="s">
        <v>1459</v>
      </c>
      <c r="H3153" t="s">
        <v>9</v>
      </c>
      <c r="I3153" t="s">
        <v>1306</v>
      </c>
      <c r="J3153" t="s">
        <v>175</v>
      </c>
    </row>
    <row r="3154" spans="1:10">
      <c r="A3154">
        <v>52159</v>
      </c>
      <c r="B3154">
        <v>31252</v>
      </c>
      <c r="C3154" t="s">
        <v>721</v>
      </c>
      <c r="D3154">
        <v>2352</v>
      </c>
      <c r="E3154">
        <v>1010</v>
      </c>
      <c r="F3154">
        <v>2</v>
      </c>
      <c r="G3154" t="s">
        <v>1483</v>
      </c>
      <c r="H3154" t="s">
        <v>9</v>
      </c>
      <c r="I3154" t="s">
        <v>884</v>
      </c>
      <c r="J3154" t="s">
        <v>202</v>
      </c>
    </row>
    <row r="3155" spans="1:10">
      <c r="A3155">
        <v>50006</v>
      </c>
      <c r="B3155">
        <v>30004</v>
      </c>
      <c r="C3155" t="s">
        <v>248</v>
      </c>
      <c r="D3155">
        <v>2558</v>
      </c>
      <c r="E3155">
        <v>1012</v>
      </c>
      <c r="F3155">
        <v>2</v>
      </c>
      <c r="G3155" t="s">
        <v>1538</v>
      </c>
      <c r="H3155" t="s">
        <v>12</v>
      </c>
      <c r="I3155" t="s">
        <v>1421</v>
      </c>
      <c r="J3155" t="s">
        <v>1421</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916210-FE58-4947-9CE7-63133352BE9B}">
  <dimension ref="A1:D17"/>
  <sheetViews>
    <sheetView workbookViewId="0">
      <selection activeCell="F7" sqref="F7"/>
    </sheetView>
  </sheetViews>
  <sheetFormatPr defaultRowHeight="14.4"/>
  <cols>
    <col min="1" max="1" width="14.5546875" customWidth="1"/>
    <col min="2" max="2" width="16.88671875" customWidth="1"/>
    <col min="3" max="3" width="16.5546875" customWidth="1"/>
    <col min="4" max="4" width="15.5546875" customWidth="1"/>
  </cols>
  <sheetData>
    <row r="1" spans="1:4">
      <c r="A1" t="s">
        <v>4</v>
      </c>
      <c r="B1" t="s">
        <v>1397</v>
      </c>
      <c r="C1" t="s">
        <v>1398</v>
      </c>
      <c r="D1" t="s">
        <v>1399</v>
      </c>
    </row>
    <row r="2" spans="1:4">
      <c r="A2">
        <v>1001</v>
      </c>
      <c r="B2" t="s">
        <v>1377</v>
      </c>
      <c r="C2" t="s">
        <v>1378</v>
      </c>
      <c r="D2">
        <v>203.04</v>
      </c>
    </row>
    <row r="3" spans="1:4">
      <c r="A3">
        <v>1002</v>
      </c>
      <c r="B3" t="s">
        <v>1379</v>
      </c>
      <c r="C3" t="s">
        <v>1378</v>
      </c>
      <c r="D3">
        <v>118.6</v>
      </c>
    </row>
    <row r="4" spans="1:4">
      <c r="A4">
        <v>1003</v>
      </c>
      <c r="B4" t="s">
        <v>1380</v>
      </c>
      <c r="C4" t="s">
        <v>1378</v>
      </c>
      <c r="D4">
        <v>224.37</v>
      </c>
    </row>
    <row r="5" spans="1:4">
      <c r="A5">
        <v>1004</v>
      </c>
      <c r="B5" t="s">
        <v>1381</v>
      </c>
      <c r="C5" t="s">
        <v>1378</v>
      </c>
      <c r="D5">
        <v>183.74</v>
      </c>
    </row>
    <row r="6" spans="1:4">
      <c r="A6">
        <v>1005</v>
      </c>
      <c r="B6" t="s">
        <v>1382</v>
      </c>
      <c r="C6" t="s">
        <v>1378</v>
      </c>
      <c r="D6">
        <v>31.73</v>
      </c>
    </row>
    <row r="7" spans="1:4">
      <c r="A7">
        <v>1006</v>
      </c>
      <c r="B7" t="s">
        <v>1383</v>
      </c>
      <c r="C7" t="s">
        <v>1384</v>
      </c>
      <c r="D7">
        <v>253.86</v>
      </c>
    </row>
    <row r="8" spans="1:4">
      <c r="A8">
        <v>1007</v>
      </c>
      <c r="B8" t="s">
        <v>1385</v>
      </c>
      <c r="C8" t="s">
        <v>1384</v>
      </c>
      <c r="D8">
        <v>199.81</v>
      </c>
    </row>
    <row r="9" spans="1:4">
      <c r="A9">
        <v>1008</v>
      </c>
      <c r="B9" t="s">
        <v>1386</v>
      </c>
      <c r="C9" t="s">
        <v>1384</v>
      </c>
      <c r="D9">
        <v>206.09</v>
      </c>
    </row>
    <row r="10" spans="1:4">
      <c r="A10">
        <v>1009</v>
      </c>
      <c r="B10" t="s">
        <v>1387</v>
      </c>
      <c r="C10" t="s">
        <v>1384</v>
      </c>
      <c r="D10">
        <v>40.28</v>
      </c>
    </row>
    <row r="11" spans="1:4">
      <c r="A11">
        <v>1010</v>
      </c>
      <c r="B11" t="s">
        <v>1388</v>
      </c>
      <c r="C11" t="s">
        <v>1389</v>
      </c>
      <c r="D11">
        <v>121.5</v>
      </c>
    </row>
    <row r="12" spans="1:4">
      <c r="A12">
        <v>1011</v>
      </c>
      <c r="B12" t="s">
        <v>1390</v>
      </c>
      <c r="C12" t="s">
        <v>1389</v>
      </c>
      <c r="D12">
        <v>101.44</v>
      </c>
    </row>
    <row r="13" spans="1:4">
      <c r="A13">
        <v>1012</v>
      </c>
      <c r="B13" t="s">
        <v>1391</v>
      </c>
      <c r="C13" t="s">
        <v>1389</v>
      </c>
      <c r="D13">
        <v>241.54</v>
      </c>
    </row>
    <row r="14" spans="1:4">
      <c r="A14">
        <v>1013</v>
      </c>
      <c r="B14" t="s">
        <v>1392</v>
      </c>
      <c r="C14" t="s">
        <v>1389</v>
      </c>
      <c r="D14">
        <v>170.25</v>
      </c>
    </row>
    <row r="15" spans="1:4">
      <c r="A15">
        <v>1014</v>
      </c>
      <c r="B15" t="s">
        <v>1393</v>
      </c>
      <c r="C15" t="s">
        <v>1394</v>
      </c>
      <c r="D15">
        <v>215.34</v>
      </c>
    </row>
    <row r="16" spans="1:4">
      <c r="A16">
        <v>1015</v>
      </c>
      <c r="B16" t="s">
        <v>1395</v>
      </c>
      <c r="C16" t="s">
        <v>1394</v>
      </c>
      <c r="D16">
        <v>119.74</v>
      </c>
    </row>
    <row r="17" spans="1:4">
      <c r="A17">
        <v>1016</v>
      </c>
      <c r="B17" t="s">
        <v>1396</v>
      </c>
      <c r="C17" t="s">
        <v>1394</v>
      </c>
      <c r="D17">
        <v>65.260000000000005</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F3EA53-7530-4261-B377-669F56309470}">
  <dimension ref="A1:G13"/>
  <sheetViews>
    <sheetView tabSelected="1" workbookViewId="0">
      <selection activeCell="F20" sqref="F20"/>
    </sheetView>
  </sheetViews>
  <sheetFormatPr defaultRowHeight="14.4"/>
  <cols>
    <col min="1" max="1" width="9.33203125" customWidth="1"/>
    <col min="2" max="2" width="19" customWidth="1"/>
    <col min="3" max="3" width="56" customWidth="1"/>
    <col min="4" max="4" width="52.77734375" customWidth="1"/>
    <col min="5" max="5" width="37" customWidth="1"/>
    <col min="6" max="6" width="33.88671875" customWidth="1"/>
    <col min="7" max="7" width="42.5546875" customWidth="1"/>
  </cols>
  <sheetData>
    <row r="1" spans="1:7">
      <c r="A1" t="s">
        <v>1354</v>
      </c>
      <c r="B1" t="s">
        <v>1356</v>
      </c>
      <c r="C1" t="s">
        <v>1357</v>
      </c>
      <c r="D1" t="s">
        <v>1358</v>
      </c>
      <c r="E1" t="s">
        <v>1360</v>
      </c>
      <c r="F1" t="s">
        <v>1362</v>
      </c>
      <c r="G1" t="s">
        <v>1364</v>
      </c>
    </row>
    <row r="2" spans="1:7" ht="24.6" customHeight="1">
      <c r="A2" t="s">
        <v>1355</v>
      </c>
      <c r="B2" t="s">
        <v>1366</v>
      </c>
      <c r="C2" t="s">
        <v>1367</v>
      </c>
      <c r="D2" t="s">
        <v>1359</v>
      </c>
      <c r="E2" t="s">
        <v>1361</v>
      </c>
      <c r="F2" t="s">
        <v>1363</v>
      </c>
      <c r="G2" t="s">
        <v>1365</v>
      </c>
    </row>
    <row r="3" spans="1:7">
      <c r="A3" t="s">
        <v>1371</v>
      </c>
      <c r="B3" t="s">
        <v>3</v>
      </c>
      <c r="C3" t="s">
        <v>1368</v>
      </c>
      <c r="D3" t="s">
        <v>1369</v>
      </c>
      <c r="F3" t="s">
        <v>1370</v>
      </c>
    </row>
    <row r="4" spans="1:7">
      <c r="A4" t="s">
        <v>1401</v>
      </c>
      <c r="B4" t="s">
        <v>6</v>
      </c>
      <c r="C4" t="s">
        <v>1373</v>
      </c>
      <c r="D4" t="s">
        <v>1374</v>
      </c>
      <c r="E4" t="s">
        <v>1375</v>
      </c>
      <c r="F4" t="s">
        <v>1376</v>
      </c>
    </row>
    <row r="5" spans="1:7">
      <c r="A5" t="s">
        <v>1402</v>
      </c>
      <c r="B5" t="s">
        <v>4</v>
      </c>
      <c r="C5" t="s">
        <v>1400</v>
      </c>
      <c r="D5" t="s">
        <v>1403</v>
      </c>
      <c r="E5" t="s">
        <v>1404</v>
      </c>
      <c r="F5" t="s">
        <v>1405</v>
      </c>
      <c r="G5" t="s">
        <v>1406</v>
      </c>
    </row>
    <row r="6" spans="1:7">
      <c r="A6" t="s">
        <v>1408</v>
      </c>
      <c r="B6" t="s">
        <v>5</v>
      </c>
      <c r="C6" t="s">
        <v>1407</v>
      </c>
      <c r="D6" t="s">
        <v>1409</v>
      </c>
      <c r="E6" t="s">
        <v>1410</v>
      </c>
      <c r="F6" t="s">
        <v>1411</v>
      </c>
    </row>
    <row r="7" spans="1:7">
      <c r="A7" s="3" t="s">
        <v>1417</v>
      </c>
      <c r="B7" t="s">
        <v>1412</v>
      </c>
      <c r="C7" t="s">
        <v>1413</v>
      </c>
      <c r="D7" t="s">
        <v>1414</v>
      </c>
      <c r="E7" t="s">
        <v>1415</v>
      </c>
      <c r="F7" t="s">
        <v>1416</v>
      </c>
    </row>
    <row r="8" spans="1:7">
      <c r="A8" t="s">
        <v>1419</v>
      </c>
      <c r="B8" t="s">
        <v>1362</v>
      </c>
      <c r="C8" t="s">
        <v>1418</v>
      </c>
      <c r="E8" t="s">
        <v>1420</v>
      </c>
      <c r="F8" t="s">
        <v>1411</v>
      </c>
    </row>
    <row r="9" spans="1:7">
      <c r="A9" t="s">
        <v>1422</v>
      </c>
      <c r="B9" t="s">
        <v>1423</v>
      </c>
      <c r="C9" t="s">
        <v>1424</v>
      </c>
      <c r="D9" t="s">
        <v>1425</v>
      </c>
      <c r="E9" t="s">
        <v>1426</v>
      </c>
      <c r="F9" t="s">
        <v>1411</v>
      </c>
    </row>
    <row r="10" spans="1:7">
      <c r="A10" t="s">
        <v>1427</v>
      </c>
      <c r="B10" t="s">
        <v>1428</v>
      </c>
      <c r="C10" t="s">
        <v>1429</v>
      </c>
      <c r="D10" t="s">
        <v>1430</v>
      </c>
      <c r="E10" t="s">
        <v>1431</v>
      </c>
      <c r="F10" t="s">
        <v>1411</v>
      </c>
    </row>
    <row r="11" spans="1:7">
      <c r="A11" t="s">
        <v>1432</v>
      </c>
      <c r="B11" t="s">
        <v>1366</v>
      </c>
      <c r="C11" t="s">
        <v>1433</v>
      </c>
      <c r="D11" t="s">
        <v>1434</v>
      </c>
      <c r="E11" t="s">
        <v>1435</v>
      </c>
      <c r="F11" t="s">
        <v>1411</v>
      </c>
    </row>
    <row r="12" spans="1:7">
      <c r="A12" t="s">
        <v>1436</v>
      </c>
      <c r="B12" t="s">
        <v>1437</v>
      </c>
      <c r="C12" t="s">
        <v>1438</v>
      </c>
      <c r="D12" t="s">
        <v>1439</v>
      </c>
      <c r="E12" t="s">
        <v>1440</v>
      </c>
      <c r="F12" t="s">
        <v>1411</v>
      </c>
    </row>
    <row r="13" spans="1:7">
      <c r="A13" t="s">
        <v>1441</v>
      </c>
      <c r="B13" t="s">
        <v>1372</v>
      </c>
      <c r="C13" t="s">
        <v>1442</v>
      </c>
      <c r="D13" t="s">
        <v>1443</v>
      </c>
      <c r="E13" t="s">
        <v>1444</v>
      </c>
      <c r="F13" t="s">
        <v>1411</v>
      </c>
    </row>
  </sheetData>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F097E3-898D-4366-9635-110BE244186D}">
  <dimension ref="A3:B8"/>
  <sheetViews>
    <sheetView workbookViewId="0">
      <selection activeCell="B6" sqref="B6"/>
    </sheetView>
  </sheetViews>
  <sheetFormatPr defaultRowHeight="14.4"/>
  <cols>
    <col min="1" max="1" width="12.5546875" bestFit="1" customWidth="1"/>
    <col min="2" max="2" width="18" bestFit="1" customWidth="1"/>
  </cols>
  <sheetData>
    <row r="3" spans="1:2">
      <c r="A3" s="5" t="s">
        <v>1540</v>
      </c>
      <c r="B3" t="s">
        <v>1539</v>
      </c>
    </row>
    <row r="4" spans="1:2">
      <c r="A4" s="6" t="s">
        <v>12</v>
      </c>
      <c r="B4" s="8">
        <v>62430.77000000004</v>
      </c>
    </row>
    <row r="5" spans="1:2">
      <c r="A5" s="6" t="s">
        <v>9</v>
      </c>
      <c r="B5" s="8">
        <v>629502.24999999616</v>
      </c>
    </row>
    <row r="6" spans="1:2">
      <c r="A6" s="6" t="s">
        <v>16</v>
      </c>
      <c r="B6" s="8">
        <v>82227.299999999974</v>
      </c>
    </row>
    <row r="7" spans="1:2">
      <c r="A7" s="6" t="s">
        <v>11</v>
      </c>
      <c r="B7" s="8">
        <v>54350.260000000009</v>
      </c>
    </row>
    <row r="8" spans="1:2">
      <c r="A8" s="6" t="s">
        <v>1541</v>
      </c>
      <c r="B8" s="8">
        <v>828510.57999999612</v>
      </c>
    </row>
  </sheetData>
  <pageMargins left="0.7" right="0.7" top="0.75" bottom="0.75" header="0.3" footer="0.3"/>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8DCE8F-F8AC-47EF-9A89-43C1CD41BF2A}">
  <dimension ref="A3:B17"/>
  <sheetViews>
    <sheetView workbookViewId="0">
      <selection activeCell="B13" sqref="B13"/>
    </sheetView>
  </sheetViews>
  <sheetFormatPr defaultRowHeight="14.4"/>
  <cols>
    <col min="1" max="1" width="12.5546875" bestFit="1" customWidth="1"/>
    <col min="2" max="2" width="21.6640625" bestFit="1" customWidth="1"/>
  </cols>
  <sheetData>
    <row r="3" spans="1:2">
      <c r="A3" s="5" t="s">
        <v>1540</v>
      </c>
      <c r="B3" t="s">
        <v>1560</v>
      </c>
    </row>
    <row r="4" spans="1:2">
      <c r="A4" s="6" t="s">
        <v>1554</v>
      </c>
      <c r="B4" s="4"/>
    </row>
    <row r="5" spans="1:2">
      <c r="A5" s="7" t="s">
        <v>1542</v>
      </c>
      <c r="B5" s="4">
        <v>20.883534136546185</v>
      </c>
    </row>
    <row r="6" spans="1:2">
      <c r="A6" s="7" t="s">
        <v>1543</v>
      </c>
      <c r="B6" s="4">
        <v>23.800884955752213</v>
      </c>
    </row>
    <row r="7" spans="1:2">
      <c r="A7" s="7" t="s">
        <v>1544</v>
      </c>
      <c r="B7" s="4">
        <v>16.333333333333332</v>
      </c>
    </row>
    <row r="8" spans="1:2">
      <c r="A8" s="7" t="s">
        <v>1545</v>
      </c>
      <c r="B8" s="4">
        <v>12.969696969696969</v>
      </c>
    </row>
    <row r="9" spans="1:2">
      <c r="A9" s="7" t="s">
        <v>1546</v>
      </c>
      <c r="B9" s="4">
        <v>11.864754098360656</v>
      </c>
    </row>
    <row r="10" spans="1:2">
      <c r="A10" s="7" t="s">
        <v>1547</v>
      </c>
      <c r="B10" s="4">
        <v>11.040816326530612</v>
      </c>
    </row>
    <row r="11" spans="1:2">
      <c r="A11" s="7" t="s">
        <v>1548</v>
      </c>
      <c r="B11" s="4">
        <v>8.3826086956521735</v>
      </c>
    </row>
    <row r="12" spans="1:2">
      <c r="A12" s="7" t="s">
        <v>1549</v>
      </c>
      <c r="B12" s="4">
        <v>6.6010928961748636</v>
      </c>
    </row>
    <row r="13" spans="1:2">
      <c r="A13" s="7" t="s">
        <v>1550</v>
      </c>
      <c r="B13" s="4">
        <v>5.6201117318435756</v>
      </c>
    </row>
    <row r="14" spans="1:2">
      <c r="A14" s="7" t="s">
        <v>1551</v>
      </c>
      <c r="B14" s="4">
        <v>6.0420168067226889</v>
      </c>
    </row>
    <row r="15" spans="1:2">
      <c r="A15" s="7" t="s">
        <v>1552</v>
      </c>
      <c r="B15" s="4">
        <v>5.8103448275862073</v>
      </c>
    </row>
    <row r="16" spans="1:2">
      <c r="A16" s="7" t="s">
        <v>1553</v>
      </c>
      <c r="B16" s="4">
        <v>14.866279069767442</v>
      </c>
    </row>
    <row r="17" spans="1:2">
      <c r="A17" s="6" t="s">
        <v>1541</v>
      </c>
      <c r="B17" s="4">
        <v>12.376929012345679</v>
      </c>
    </row>
  </sheetData>
  <pageMargins left="0.7" right="0.7" top="0.75" bottom="0.75" header="0.3" footer="0.3"/>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328DE2-FF36-47D5-9BCB-C3C76D87677F}">
  <dimension ref="A3:B17"/>
  <sheetViews>
    <sheetView workbookViewId="0">
      <selection activeCell="F21" sqref="F21"/>
    </sheetView>
  </sheetViews>
  <sheetFormatPr defaultRowHeight="14.4"/>
  <cols>
    <col min="1" max="1" width="12.5546875" bestFit="1" customWidth="1"/>
    <col min="2" max="2" width="19.21875" bestFit="1" customWidth="1"/>
  </cols>
  <sheetData>
    <row r="3" spans="1:2">
      <c r="A3" s="5" t="s">
        <v>1540</v>
      </c>
      <c r="B3" t="s">
        <v>1558</v>
      </c>
    </row>
    <row r="4" spans="1:2">
      <c r="A4" s="6" t="s">
        <v>1554</v>
      </c>
      <c r="B4" s="9"/>
    </row>
    <row r="5" spans="1:2">
      <c r="A5" s="7" t="s">
        <v>1542</v>
      </c>
      <c r="B5" s="9">
        <v>153</v>
      </c>
    </row>
    <row r="6" spans="1:2">
      <c r="A6" s="7" t="s">
        <v>1543</v>
      </c>
      <c r="B6" s="9">
        <v>155</v>
      </c>
    </row>
    <row r="7" spans="1:2">
      <c r="A7" s="7" t="s">
        <v>1544</v>
      </c>
      <c r="B7" s="9">
        <v>163</v>
      </c>
    </row>
    <row r="8" spans="1:2">
      <c r="A8" s="7" t="s">
        <v>1545</v>
      </c>
      <c r="B8" s="9">
        <v>167</v>
      </c>
    </row>
    <row r="9" spans="1:2">
      <c r="A9" s="7" t="s">
        <v>1546</v>
      </c>
      <c r="B9" s="9">
        <v>165</v>
      </c>
    </row>
    <row r="10" spans="1:2">
      <c r="A10" s="7" t="s">
        <v>1547</v>
      </c>
      <c r="B10" s="9">
        <v>139</v>
      </c>
    </row>
    <row r="11" spans="1:2">
      <c r="A11" s="7" t="s">
        <v>1548</v>
      </c>
      <c r="B11" s="9">
        <v>170</v>
      </c>
    </row>
    <row r="12" spans="1:2">
      <c r="A12" s="7" t="s">
        <v>1549</v>
      </c>
      <c r="B12" s="9">
        <v>141</v>
      </c>
    </row>
    <row r="13" spans="1:2">
      <c r="A13" s="7" t="s">
        <v>1550</v>
      </c>
      <c r="B13" s="9">
        <v>136</v>
      </c>
    </row>
    <row r="14" spans="1:2">
      <c r="A14" s="7" t="s">
        <v>1551</v>
      </c>
      <c r="B14" s="9">
        <v>162</v>
      </c>
    </row>
    <row r="15" spans="1:2">
      <c r="A15" s="7" t="s">
        <v>1552</v>
      </c>
      <c r="B15" s="9">
        <v>129</v>
      </c>
    </row>
    <row r="16" spans="1:2">
      <c r="A16" s="7" t="s">
        <v>1553</v>
      </c>
      <c r="B16" s="9">
        <v>120</v>
      </c>
    </row>
    <row r="17" spans="1:2">
      <c r="A17" s="6" t="s">
        <v>1541</v>
      </c>
      <c r="B17" s="9">
        <v>1800</v>
      </c>
    </row>
  </sheetData>
  <pageMargins left="0.7" right="0.7" top="0.75" bottom="0.75" header="0.3" footer="0.3"/>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24978D-3FEE-41AC-A88F-377BA3974CF1}">
  <dimension ref="A3:B17"/>
  <sheetViews>
    <sheetView workbookViewId="0">
      <selection activeCell="M10" sqref="M10"/>
    </sheetView>
  </sheetViews>
  <sheetFormatPr defaultRowHeight="14.4"/>
  <cols>
    <col min="1" max="1" width="12.5546875" bestFit="1" customWidth="1"/>
    <col min="2" max="2" width="18" bestFit="1" customWidth="1"/>
  </cols>
  <sheetData>
    <row r="3" spans="1:2">
      <c r="A3" s="5" t="s">
        <v>1540</v>
      </c>
      <c r="B3" t="s">
        <v>1539</v>
      </c>
    </row>
    <row r="4" spans="1:2">
      <c r="A4" s="6" t="s">
        <v>1554</v>
      </c>
      <c r="B4" s="8">
        <v>828510.58000000007</v>
      </c>
    </row>
    <row r="5" spans="1:2">
      <c r="A5" s="7" t="s">
        <v>1542</v>
      </c>
      <c r="B5" s="8">
        <v>78735.839999999997</v>
      </c>
    </row>
    <row r="6" spans="1:2">
      <c r="A6" s="7" t="s">
        <v>1543</v>
      </c>
      <c r="B6" s="8">
        <v>77092.609999999942</v>
      </c>
    </row>
    <row r="7" spans="1:2">
      <c r="A7" s="7" t="s">
        <v>1544</v>
      </c>
      <c r="B7" s="8">
        <v>70575.530000000013</v>
      </c>
    </row>
    <row r="8" spans="1:2">
      <c r="A8" s="7" t="s">
        <v>1545</v>
      </c>
      <c r="B8" s="8">
        <v>73576.699999999983</v>
      </c>
    </row>
    <row r="9" spans="1:2">
      <c r="A9" s="7" t="s">
        <v>1546</v>
      </c>
      <c r="B9" s="8">
        <v>78449.190000000017</v>
      </c>
    </row>
    <row r="10" spans="1:2">
      <c r="A10" s="7" t="s">
        <v>1547</v>
      </c>
      <c r="B10" s="8">
        <v>65216.030000000013</v>
      </c>
    </row>
    <row r="11" spans="1:2">
      <c r="A11" s="7" t="s">
        <v>1548</v>
      </c>
      <c r="B11" s="8">
        <v>77447.899999999994</v>
      </c>
    </row>
    <row r="12" spans="1:2">
      <c r="A12" s="7" t="s">
        <v>1549</v>
      </c>
      <c r="B12" s="8">
        <v>64125.310000000005</v>
      </c>
    </row>
    <row r="13" spans="1:2">
      <c r="A13" s="7" t="s">
        <v>1550</v>
      </c>
      <c r="B13" s="8">
        <v>61677.070000000022</v>
      </c>
    </row>
    <row r="14" spans="1:2">
      <c r="A14" s="7" t="s">
        <v>1551</v>
      </c>
      <c r="B14" s="8">
        <v>73771.219999999943</v>
      </c>
    </row>
    <row r="15" spans="1:2">
      <c r="A15" s="7" t="s">
        <v>1552</v>
      </c>
      <c r="B15" s="8">
        <v>56645.450000000026</v>
      </c>
    </row>
    <row r="16" spans="1:2">
      <c r="A16" s="7" t="s">
        <v>1553</v>
      </c>
      <c r="B16" s="8">
        <v>51197.73000000001</v>
      </c>
    </row>
    <row r="17" spans="1:2">
      <c r="A17" s="6" t="s">
        <v>1541</v>
      </c>
      <c r="B17" s="8">
        <v>828510.58000000007</v>
      </c>
    </row>
  </sheetData>
  <pageMargins left="0.7" right="0.7" top="0.75" bottom="0.75" header="0.3" footer="0.3"/>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A72ABA-8710-4C9E-89A8-898B85EB3651}">
  <dimension ref="A3:B9"/>
  <sheetViews>
    <sheetView workbookViewId="0">
      <selection activeCell="B7" sqref="B7"/>
    </sheetView>
  </sheetViews>
  <sheetFormatPr defaultRowHeight="14.4"/>
  <cols>
    <col min="1" max="1" width="12.5546875" bestFit="1" customWidth="1"/>
    <col min="2" max="2" width="18" bestFit="1" customWidth="1"/>
  </cols>
  <sheetData>
    <row r="3" spans="1:2">
      <c r="A3" s="5" t="s">
        <v>1540</v>
      </c>
      <c r="B3" t="s">
        <v>1539</v>
      </c>
    </row>
    <row r="4" spans="1:2">
      <c r="A4" s="6" t="s">
        <v>1378</v>
      </c>
      <c r="B4" s="8">
        <v>249777.81999999998</v>
      </c>
    </row>
    <row r="5" spans="1:2">
      <c r="A5" s="6" t="s">
        <v>1384</v>
      </c>
      <c r="B5" s="8">
        <v>223074.7099999979</v>
      </c>
    </row>
    <row r="6" spans="1:2">
      <c r="A6" s="6" t="s">
        <v>1389</v>
      </c>
      <c r="B6" s="8">
        <v>212325.32000000044</v>
      </c>
    </row>
    <row r="7" spans="1:2">
      <c r="A7" s="6" t="s">
        <v>1394</v>
      </c>
      <c r="B7" s="8">
        <v>143332.72999999934</v>
      </c>
    </row>
    <row r="8" spans="1:2">
      <c r="A8" s="6" t="s">
        <v>1567</v>
      </c>
      <c r="B8" s="8">
        <v>0</v>
      </c>
    </row>
    <row r="9" spans="1:2">
      <c r="A9" s="6" t="s">
        <v>1541</v>
      </c>
      <c r="B9" s="8">
        <v>828510.57999999775</v>
      </c>
    </row>
  </sheetData>
  <pageMargins left="0.7" right="0.7" top="0.75" bottom="0.75" header="0.3" footer="0.3"/>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084D38-8E48-49CB-B291-E1031284D956}">
  <dimension ref="A3:B17"/>
  <sheetViews>
    <sheetView workbookViewId="0">
      <selection activeCell="B5" sqref="B5"/>
    </sheetView>
  </sheetViews>
  <sheetFormatPr defaultRowHeight="14.4"/>
  <cols>
    <col min="1" max="1" width="12.5546875" bestFit="1" customWidth="1"/>
    <col min="2" max="2" width="15.44140625" bestFit="1" customWidth="1"/>
  </cols>
  <sheetData>
    <row r="3" spans="1:2">
      <c r="A3" s="5" t="s">
        <v>1540</v>
      </c>
      <c r="B3" t="s">
        <v>1556</v>
      </c>
    </row>
    <row r="4" spans="1:2">
      <c r="A4" s="6" t="s">
        <v>1554</v>
      </c>
    </row>
    <row r="5" spans="1:2">
      <c r="A5" s="7" t="s">
        <v>1542</v>
      </c>
      <c r="B5">
        <v>284</v>
      </c>
    </row>
    <row r="6" spans="1:2">
      <c r="A6" s="7" t="s">
        <v>1543</v>
      </c>
      <c r="B6">
        <v>293</v>
      </c>
    </row>
    <row r="7" spans="1:2">
      <c r="A7" s="7" t="s">
        <v>1544</v>
      </c>
      <c r="B7">
        <v>283</v>
      </c>
    </row>
    <row r="8" spans="1:2">
      <c r="A8" s="7" t="s">
        <v>1545</v>
      </c>
      <c r="B8">
        <v>305</v>
      </c>
    </row>
    <row r="9" spans="1:2">
      <c r="A9" s="7" t="s">
        <v>1546</v>
      </c>
      <c r="B9">
        <v>290</v>
      </c>
    </row>
    <row r="10" spans="1:2">
      <c r="A10" s="7" t="s">
        <v>1547</v>
      </c>
      <c r="B10">
        <v>241</v>
      </c>
    </row>
    <row r="11" spans="1:2">
      <c r="A11" s="7" t="s">
        <v>1548</v>
      </c>
      <c r="B11">
        <v>278</v>
      </c>
    </row>
    <row r="12" spans="1:2">
      <c r="A12" s="7" t="s">
        <v>1549</v>
      </c>
      <c r="B12">
        <v>243</v>
      </c>
    </row>
    <row r="13" spans="1:2">
      <c r="A13" s="7" t="s">
        <v>1550</v>
      </c>
      <c r="B13">
        <v>220</v>
      </c>
    </row>
    <row r="14" spans="1:2">
      <c r="A14" s="7" t="s">
        <v>1551</v>
      </c>
      <c r="B14">
        <v>287</v>
      </c>
    </row>
    <row r="15" spans="1:2">
      <c r="A15" s="7" t="s">
        <v>1552</v>
      </c>
      <c r="B15">
        <v>219</v>
      </c>
    </row>
    <row r="16" spans="1:2">
      <c r="A16" s="7" t="s">
        <v>1553</v>
      </c>
      <c r="B16">
        <v>211</v>
      </c>
    </row>
    <row r="17" spans="1:2">
      <c r="A17" s="6" t="s">
        <v>1541</v>
      </c>
      <c r="B17">
        <v>3154</v>
      </c>
    </row>
  </sheetData>
  <pageMargins left="0.7" right="0.7" top="0.75" bottom="0.75" header="0.3" footer="0.3"/>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5064CC-EEF6-4135-9D7A-9FBE2CDEC571}">
  <dimension ref="A3:B20"/>
  <sheetViews>
    <sheetView workbookViewId="0">
      <selection activeCell="F23" sqref="F23"/>
    </sheetView>
  </sheetViews>
  <sheetFormatPr defaultRowHeight="14.4"/>
  <cols>
    <col min="1" max="1" width="12.5546875" bestFit="1" customWidth="1"/>
    <col min="2" max="2" width="18" bestFit="1" customWidth="1"/>
  </cols>
  <sheetData>
    <row r="3" spans="1:2">
      <c r="A3" s="5" t="s">
        <v>1540</v>
      </c>
      <c r="B3" t="s">
        <v>1539</v>
      </c>
    </row>
    <row r="4" spans="1:2">
      <c r="A4" s="6">
        <v>1003</v>
      </c>
      <c r="B4" s="8">
        <v>80997.570000000007</v>
      </c>
    </row>
    <row r="5" spans="1:2">
      <c r="A5" s="6">
        <v>1014</v>
      </c>
      <c r="B5" s="8">
        <v>77307.059999999678</v>
      </c>
    </row>
    <row r="6" spans="1:2">
      <c r="A6" s="6">
        <v>1012</v>
      </c>
      <c r="B6" s="8">
        <v>75131.940000000061</v>
      </c>
    </row>
    <row r="7" spans="1:2">
      <c r="A7" s="6">
        <v>1006</v>
      </c>
      <c r="B7" s="8">
        <v>73143.410000000105</v>
      </c>
    </row>
    <row r="8" spans="1:2">
      <c r="A8" s="6">
        <v>1008</v>
      </c>
      <c r="B8" s="8">
        <v>69246.239999999802</v>
      </c>
    </row>
    <row r="9" spans="1:2">
      <c r="A9" s="6">
        <v>1007</v>
      </c>
      <c r="B9" s="8">
        <v>68335.019999999931</v>
      </c>
    </row>
    <row r="10" spans="1:2">
      <c r="A10" s="6">
        <v>1001</v>
      </c>
      <c r="B10" s="8">
        <v>60302.880000000165</v>
      </c>
    </row>
    <row r="11" spans="1:2">
      <c r="A11" s="6">
        <v>1004</v>
      </c>
      <c r="B11" s="8">
        <v>56224.440000000024</v>
      </c>
    </row>
    <row r="12" spans="1:2">
      <c r="A12" s="6">
        <v>1013</v>
      </c>
      <c r="B12" s="8">
        <v>56182.5</v>
      </c>
    </row>
    <row r="13" spans="1:2">
      <c r="A13" s="6">
        <v>1010</v>
      </c>
      <c r="B13" s="8">
        <v>42768</v>
      </c>
    </row>
    <row r="14" spans="1:2">
      <c r="A14" s="6">
        <v>1015</v>
      </c>
      <c r="B14" s="8">
        <v>42558.210000000028</v>
      </c>
    </row>
    <row r="15" spans="1:2">
      <c r="A15" s="6">
        <v>1002</v>
      </c>
      <c r="B15" s="8">
        <v>40798.399999999914</v>
      </c>
    </row>
    <row r="16" spans="1:2">
      <c r="A16" s="6">
        <v>1011</v>
      </c>
      <c r="B16" s="8">
        <v>38242.879999999976</v>
      </c>
    </row>
    <row r="17" spans="1:2">
      <c r="A17" s="6">
        <v>1016</v>
      </c>
      <c r="B17" s="8">
        <v>23467.459999999974</v>
      </c>
    </row>
    <row r="18" spans="1:2">
      <c r="A18" s="6">
        <v>1009</v>
      </c>
      <c r="B18" s="8">
        <v>12350.040000000025</v>
      </c>
    </row>
    <row r="19" spans="1:2">
      <c r="A19" s="6">
        <v>1005</v>
      </c>
      <c r="B19" s="8">
        <v>11454.529999999955</v>
      </c>
    </row>
    <row r="20" spans="1:2">
      <c r="A20" s="6" t="s">
        <v>1541</v>
      </c>
      <c r="B20" s="8">
        <v>828510.57999999973</v>
      </c>
    </row>
  </sheetData>
  <pageMargins left="0.7" right="0.7" top="0.75" bottom="0.75" header="0.3" footer="0.3"/>
  <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5AF60F-D5D8-4073-BF28-04B42932C942}">
  <dimension ref="A3:A4"/>
  <sheetViews>
    <sheetView workbookViewId="0">
      <selection activeCell="A4" sqref="A4"/>
    </sheetView>
  </sheetViews>
  <sheetFormatPr defaultRowHeight="14.4"/>
  <cols>
    <col min="1" max="1" width="21.6640625" bestFit="1" customWidth="1"/>
  </cols>
  <sheetData>
    <row r="3" spans="1:1">
      <c r="A3" t="s">
        <v>1560</v>
      </c>
    </row>
    <row r="4" spans="1:1">
      <c r="A4" s="4">
        <v>12.376929012345679</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59D5AABB-E6F2-405C-A09E-850B5B17197B}">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13</vt:i4>
      </vt:variant>
    </vt:vector>
  </HeadingPairs>
  <TitlesOfParts>
    <vt:vector size="13" baseType="lpstr">
      <vt:lpstr>Dashboard</vt:lpstr>
      <vt:lpstr>Cleaned_Data</vt:lpstr>
      <vt:lpstr>Raw_Data</vt:lpstr>
      <vt:lpstr>Product_Lookup</vt:lpstr>
      <vt:lpstr>Data_Quality_Issue_Log</vt:lpstr>
      <vt:lpstr>Sales_by_Status</vt:lpstr>
      <vt:lpstr>Avg_Delivery_by_Month</vt:lpstr>
      <vt:lpstr>Monthly_Unique_Orders</vt:lpstr>
      <vt:lpstr>Monthly_Sales</vt:lpstr>
      <vt:lpstr>Sales_by_Category</vt:lpstr>
      <vt:lpstr>Monthly_Orders</vt:lpstr>
      <vt:lpstr>Sales_by_Product</vt:lpstr>
      <vt:lpstr>Delivery_Time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Ivayla Emilova</dc:creator>
  <cp:lastModifiedBy>Ivayla Emilova</cp:lastModifiedBy>
  <dcterms:created xsi:type="dcterms:W3CDTF">2026-10-22T08:51:19Z</dcterms:created>
  <dcterms:modified xsi:type="dcterms:W3CDTF">2026-10-27T12:29:22Z</dcterms:modified>
</cp:coreProperties>
</file>